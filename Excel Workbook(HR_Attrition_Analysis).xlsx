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13_ncr:1_{96F62405-DD60-4CAE-82EE-8413445C98A6}" xr6:coauthVersionLast="47" xr6:coauthVersionMax="47" xr10:uidLastSave="{00000000-0000-0000-0000-000000000000}"/>
  <bookViews>
    <workbookView xWindow="-120" yWindow="-120" windowWidth="20730" windowHeight="11040" activeTab="1" xr2:uid="{C3F3E804-EB13-418C-83F2-18D1DBB76E88}"/>
  </bookViews>
  <sheets>
    <sheet name="IBM-HR-Employee-Attrition" sheetId="1" r:id="rId1"/>
    <sheet name="Working sheet" sheetId="2" r:id="rId2"/>
  </sheets>
  <definedNames>
    <definedName name="_xlnm._FilterDatabase" localSheetId="1" hidden="1">'Working sheet'!$A$1:$AR$1471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AB2" i="2" a="1"/>
  <c r="AB2" i="2" s="1"/>
  <c r="AB3" i="2" a="1"/>
  <c r="AB3" i="2" s="1"/>
  <c r="AB4" i="2" a="1"/>
  <c r="AB4" i="2" s="1"/>
  <c r="AB5" i="2" a="1"/>
  <c r="AB5" i="2" s="1"/>
  <c r="AB6" i="2" a="1"/>
  <c r="AB6" i="2" s="1"/>
  <c r="AB7" i="2" a="1"/>
  <c r="AB7" i="2" s="1"/>
  <c r="AB8" i="2" a="1"/>
  <c r="AB8" i="2" s="1"/>
  <c r="AB9" i="2" a="1"/>
  <c r="AB9" i="2" s="1"/>
  <c r="AB10" i="2" a="1"/>
  <c r="AB10" i="2" s="1"/>
  <c r="AB11" i="2" a="1"/>
  <c r="AB11" i="2" s="1"/>
  <c r="AB12" i="2" a="1"/>
  <c r="AB12" i="2" s="1"/>
  <c r="AB13" i="2" a="1"/>
  <c r="AB13" i="2" s="1"/>
  <c r="AB14" i="2" a="1"/>
  <c r="AB14" i="2" s="1"/>
  <c r="AB15" i="2" a="1"/>
  <c r="AB15" i="2" s="1"/>
  <c r="AB16" i="2" a="1"/>
  <c r="AB16" i="2" s="1"/>
  <c r="AB17" i="2" a="1"/>
  <c r="AB17" i="2" s="1"/>
  <c r="AB18" i="2" a="1"/>
  <c r="AB18" i="2" s="1"/>
  <c r="AB19" i="2" a="1"/>
  <c r="AB19" i="2" s="1"/>
  <c r="AB20" i="2" a="1"/>
  <c r="AB20" i="2" s="1"/>
  <c r="AB21" i="2" a="1"/>
  <c r="AB21" i="2" s="1"/>
  <c r="AB22" i="2" a="1"/>
  <c r="AB22" i="2" s="1"/>
  <c r="AB23" i="2" a="1"/>
  <c r="AB23" i="2" s="1"/>
  <c r="AB24" i="2" a="1"/>
  <c r="AB24" i="2" s="1"/>
  <c r="AB25" i="2" a="1"/>
  <c r="AB25" i="2" s="1"/>
  <c r="AB26" i="2" a="1"/>
  <c r="AB26" i="2" s="1"/>
  <c r="AB27" i="2" a="1"/>
  <c r="AB27" i="2" s="1"/>
  <c r="AB28" i="2" a="1"/>
  <c r="AB28" i="2" s="1"/>
  <c r="AB29" i="2" a="1"/>
  <c r="AB29" i="2" s="1"/>
  <c r="AB30" i="2" a="1"/>
  <c r="AB30" i="2" s="1"/>
  <c r="AB31" i="2" a="1"/>
  <c r="AB31" i="2" s="1"/>
  <c r="AB32" i="2" a="1"/>
  <c r="AB32" i="2" s="1"/>
  <c r="AB33" i="2" a="1"/>
  <c r="AB33" i="2" s="1"/>
  <c r="AB34" i="2" a="1"/>
  <c r="AB34" i="2" s="1"/>
  <c r="AB35" i="2" a="1"/>
  <c r="AB35" i="2" s="1"/>
  <c r="AB36" i="2" a="1"/>
  <c r="AB36" i="2" s="1"/>
  <c r="AB37" i="2" a="1"/>
  <c r="AB37" i="2" s="1"/>
  <c r="AB38" i="2" a="1"/>
  <c r="AB38" i="2" s="1"/>
  <c r="AB39" i="2" a="1"/>
  <c r="AB39" i="2" s="1"/>
  <c r="AB40" i="2" a="1"/>
  <c r="AB40" i="2" s="1"/>
  <c r="AB41" i="2" a="1"/>
  <c r="AB41" i="2" s="1"/>
  <c r="AB42" i="2" a="1"/>
  <c r="AB42" i="2" s="1"/>
  <c r="AB43" i="2" a="1"/>
  <c r="AB43" i="2" s="1"/>
  <c r="AB44" i="2" a="1"/>
  <c r="AB44" i="2" s="1"/>
  <c r="AB45" i="2" a="1"/>
  <c r="AB45" i="2" s="1"/>
  <c r="AB46" i="2" a="1"/>
  <c r="AB46" i="2" s="1"/>
  <c r="AB47" i="2" a="1"/>
  <c r="AB47" i="2" s="1"/>
  <c r="AB48" i="2" a="1"/>
  <c r="AB48" i="2" s="1"/>
  <c r="AB49" i="2" a="1"/>
  <c r="AB49" i="2" s="1"/>
  <c r="AB50" i="2" a="1"/>
  <c r="AB50" i="2" s="1"/>
  <c r="AB51" i="2" a="1"/>
  <c r="AB51" i="2" s="1"/>
  <c r="AB52" i="2" a="1"/>
  <c r="AB52" i="2" s="1"/>
  <c r="AB53" i="2" a="1"/>
  <c r="AB53" i="2" s="1"/>
  <c r="AB54" i="2" a="1"/>
  <c r="AB54" i="2" s="1"/>
  <c r="AB55" i="2" a="1"/>
  <c r="AB55" i="2" s="1"/>
  <c r="AB56" i="2" a="1"/>
  <c r="AB56" i="2" s="1"/>
  <c r="AB57" i="2" a="1"/>
  <c r="AB57" i="2" s="1"/>
  <c r="AB58" i="2" a="1"/>
  <c r="AB58" i="2" s="1"/>
  <c r="AB59" i="2" a="1"/>
  <c r="AB59" i="2" s="1"/>
  <c r="AB60" i="2" a="1"/>
  <c r="AB60" i="2" s="1"/>
  <c r="AB61" i="2" a="1"/>
  <c r="AB61" i="2" s="1"/>
  <c r="AB62" i="2" a="1"/>
  <c r="AB62" i="2" s="1"/>
  <c r="AB63" i="2" a="1"/>
  <c r="AB63" i="2" s="1"/>
  <c r="AB64" i="2" a="1"/>
  <c r="AB64" i="2" s="1"/>
  <c r="AB65" i="2" a="1"/>
  <c r="AB65" i="2" s="1"/>
  <c r="AB66" i="2" a="1"/>
  <c r="AB66" i="2" s="1"/>
  <c r="AB67" i="2" a="1"/>
  <c r="AB67" i="2" s="1"/>
  <c r="AB68" i="2" a="1"/>
  <c r="AB68" i="2" s="1"/>
  <c r="AB69" i="2" a="1"/>
  <c r="AB69" i="2" s="1"/>
  <c r="AB70" i="2" a="1"/>
  <c r="AB70" i="2" s="1"/>
  <c r="AB71" i="2" a="1"/>
  <c r="AB71" i="2" s="1"/>
  <c r="AB72" i="2" a="1"/>
  <c r="AB72" i="2" s="1"/>
  <c r="AB73" i="2" a="1"/>
  <c r="AB73" i="2" s="1"/>
  <c r="AB74" i="2" a="1"/>
  <c r="AB74" i="2" s="1"/>
  <c r="AB75" i="2" a="1"/>
  <c r="AB75" i="2" s="1"/>
  <c r="AB76" i="2" a="1"/>
  <c r="AB76" i="2" s="1"/>
  <c r="AB77" i="2" a="1"/>
  <c r="AB77" i="2" s="1"/>
  <c r="AB78" i="2" a="1"/>
  <c r="AB78" i="2" s="1"/>
  <c r="AB79" i="2" a="1"/>
  <c r="AB79" i="2" s="1"/>
  <c r="AB80" i="2" a="1"/>
  <c r="AB80" i="2" s="1"/>
  <c r="AB81" i="2" a="1"/>
  <c r="AB81" i="2" s="1"/>
  <c r="AB82" i="2" a="1"/>
  <c r="AB82" i="2" s="1"/>
  <c r="AB83" i="2" a="1"/>
  <c r="AB83" i="2" s="1"/>
  <c r="AB84" i="2" a="1"/>
  <c r="AB84" i="2" s="1"/>
  <c r="AB85" i="2" a="1"/>
  <c r="AB85" i="2" s="1"/>
  <c r="AB86" i="2" a="1"/>
  <c r="AB86" i="2" s="1"/>
  <c r="AB87" i="2" a="1"/>
  <c r="AB87" i="2" s="1"/>
  <c r="AB88" i="2" a="1"/>
  <c r="AB88" i="2" s="1"/>
  <c r="AB89" i="2" a="1"/>
  <c r="AB89" i="2" s="1"/>
  <c r="AB90" i="2" a="1"/>
  <c r="AB90" i="2" s="1"/>
  <c r="AB91" i="2" a="1"/>
  <c r="AB91" i="2" s="1"/>
  <c r="AB92" i="2" a="1"/>
  <c r="AB92" i="2" s="1"/>
  <c r="AB93" i="2" a="1"/>
  <c r="AB93" i="2" s="1"/>
  <c r="AB94" i="2" a="1"/>
  <c r="AB94" i="2" s="1"/>
  <c r="AB95" i="2" a="1"/>
  <c r="AB95" i="2" s="1"/>
  <c r="AB96" i="2" a="1"/>
  <c r="AB96" i="2" s="1"/>
  <c r="AB97" i="2" a="1"/>
  <c r="AB97" i="2" s="1"/>
  <c r="AB98" i="2" a="1"/>
  <c r="AB98" i="2" s="1"/>
  <c r="AB99" i="2" a="1"/>
  <c r="AB99" i="2" s="1"/>
  <c r="AB100" i="2" a="1"/>
  <c r="AB100" i="2" s="1"/>
  <c r="AB101" i="2" a="1"/>
  <c r="AB101" i="2" s="1"/>
  <c r="AB102" i="2" a="1"/>
  <c r="AB102" i="2" s="1"/>
  <c r="AB103" i="2" a="1"/>
  <c r="AB103" i="2" s="1"/>
  <c r="AB104" i="2" a="1"/>
  <c r="AB104" i="2" s="1"/>
  <c r="AB105" i="2" a="1"/>
  <c r="AB105" i="2" s="1"/>
  <c r="AB106" i="2" a="1"/>
  <c r="AB106" i="2" s="1"/>
  <c r="AB107" i="2" a="1"/>
  <c r="AB107" i="2" s="1"/>
  <c r="AB108" i="2" a="1"/>
  <c r="AB108" i="2" s="1"/>
  <c r="AB109" i="2" a="1"/>
  <c r="AB109" i="2" s="1"/>
  <c r="AB110" i="2" a="1"/>
  <c r="AB110" i="2" s="1"/>
  <c r="AB111" i="2" a="1"/>
  <c r="AB111" i="2" s="1"/>
  <c r="AB112" i="2" a="1"/>
  <c r="AB112" i="2" s="1"/>
  <c r="AB113" i="2" a="1"/>
  <c r="AB113" i="2" s="1"/>
  <c r="AB114" i="2" a="1"/>
  <c r="AB114" i="2" s="1"/>
  <c r="AB115" i="2" a="1"/>
  <c r="AB115" i="2" s="1"/>
  <c r="AB116" i="2" a="1"/>
  <c r="AB116" i="2" s="1"/>
  <c r="AB117" i="2" a="1"/>
  <c r="AB117" i="2" s="1"/>
  <c r="AB118" i="2" a="1"/>
  <c r="AB118" i="2" s="1"/>
  <c r="AB119" i="2" a="1"/>
  <c r="AB119" i="2" s="1"/>
  <c r="AB120" i="2" a="1"/>
  <c r="AB120" i="2" s="1"/>
  <c r="AB121" i="2" a="1"/>
  <c r="AB121" i="2" s="1"/>
  <c r="AB122" i="2" a="1"/>
  <c r="AB122" i="2" s="1"/>
  <c r="AB123" i="2" a="1"/>
  <c r="AB123" i="2" s="1"/>
  <c r="AB124" i="2" a="1"/>
  <c r="AB124" i="2" s="1"/>
  <c r="AB125" i="2" a="1"/>
  <c r="AB125" i="2" s="1"/>
  <c r="AB126" i="2" a="1"/>
  <c r="AB126" i="2" s="1"/>
  <c r="AB127" i="2" a="1"/>
  <c r="AB127" i="2" s="1"/>
  <c r="AB128" i="2" a="1"/>
  <c r="AB128" i="2" s="1"/>
  <c r="AB129" i="2" a="1"/>
  <c r="AB129" i="2" s="1"/>
  <c r="AB130" i="2" a="1"/>
  <c r="AB130" i="2" s="1"/>
  <c r="AB131" i="2" a="1"/>
  <c r="AB131" i="2" s="1"/>
  <c r="AB132" i="2" a="1"/>
  <c r="AB132" i="2" s="1"/>
  <c r="AB133" i="2" a="1"/>
  <c r="AB133" i="2" s="1"/>
  <c r="AB134" i="2" a="1"/>
  <c r="AB134" i="2" s="1"/>
  <c r="AB135" i="2" a="1"/>
  <c r="AB135" i="2" s="1"/>
  <c r="AB136" i="2" a="1"/>
  <c r="AB136" i="2" s="1"/>
  <c r="AB137" i="2" a="1"/>
  <c r="AB137" i="2" s="1"/>
  <c r="AB138" i="2" a="1"/>
  <c r="AB138" i="2" s="1"/>
  <c r="AB139" i="2" a="1"/>
  <c r="AB139" i="2" s="1"/>
  <c r="AB140" i="2" a="1"/>
  <c r="AB140" i="2" s="1"/>
  <c r="AB141" i="2" a="1"/>
  <c r="AB141" i="2" s="1"/>
  <c r="AB142" i="2" a="1"/>
  <c r="AB142" i="2" s="1"/>
  <c r="AB143" i="2" a="1"/>
  <c r="AB143" i="2" s="1"/>
  <c r="AB144" i="2" a="1"/>
  <c r="AB144" i="2" s="1"/>
  <c r="AB145" i="2" a="1"/>
  <c r="AB145" i="2" s="1"/>
  <c r="AB146" i="2" a="1"/>
  <c r="AB146" i="2" s="1"/>
  <c r="AB147" i="2" a="1"/>
  <c r="AB147" i="2" s="1"/>
  <c r="AB148" i="2" a="1"/>
  <c r="AB148" i="2" s="1"/>
  <c r="AB149" i="2" a="1"/>
  <c r="AB149" i="2" s="1"/>
  <c r="AB150" i="2" a="1"/>
  <c r="AB150" i="2" s="1"/>
  <c r="AB151" i="2" a="1"/>
  <c r="AB151" i="2" s="1"/>
  <c r="AB152" i="2" a="1"/>
  <c r="AB152" i="2" s="1"/>
  <c r="AB153" i="2" a="1"/>
  <c r="AB153" i="2" s="1"/>
  <c r="AB154" i="2" a="1"/>
  <c r="AB154" i="2" s="1"/>
  <c r="AB155" i="2" a="1"/>
  <c r="AB155" i="2" s="1"/>
  <c r="AB156" i="2" a="1"/>
  <c r="AB156" i="2" s="1"/>
  <c r="AB157" i="2" a="1"/>
  <c r="AB157" i="2" s="1"/>
  <c r="AB158" i="2" a="1"/>
  <c r="AB158" i="2" s="1"/>
  <c r="AB159" i="2" a="1"/>
  <c r="AB159" i="2" s="1"/>
  <c r="AB160" i="2" a="1"/>
  <c r="AB160" i="2" s="1"/>
  <c r="AB161" i="2" a="1"/>
  <c r="AB161" i="2" s="1"/>
  <c r="AB162" i="2" a="1"/>
  <c r="AB162" i="2" s="1"/>
  <c r="AB163" i="2" a="1"/>
  <c r="AB163" i="2" s="1"/>
  <c r="AB164" i="2" a="1"/>
  <c r="AB164" i="2" s="1"/>
  <c r="AB165" i="2" a="1"/>
  <c r="AB165" i="2" s="1"/>
  <c r="AB166" i="2" a="1"/>
  <c r="AB166" i="2" s="1"/>
  <c r="AB167" i="2" a="1"/>
  <c r="AB167" i="2" s="1"/>
  <c r="AB168" i="2" a="1"/>
  <c r="AB168" i="2" s="1"/>
  <c r="AB169" i="2" a="1"/>
  <c r="AB169" i="2" s="1"/>
  <c r="AB170" i="2" a="1"/>
  <c r="AB170" i="2" s="1"/>
  <c r="AB171" i="2" a="1"/>
  <c r="AB171" i="2" s="1"/>
  <c r="AB172" i="2" a="1"/>
  <c r="AB172" i="2" s="1"/>
  <c r="AB173" i="2" a="1"/>
  <c r="AB173" i="2" s="1"/>
  <c r="AB174" i="2" a="1"/>
  <c r="AB174" i="2" s="1"/>
  <c r="AB175" i="2" a="1"/>
  <c r="AB175" i="2" s="1"/>
  <c r="AB176" i="2" a="1"/>
  <c r="AB176" i="2" s="1"/>
  <c r="AB177" i="2" a="1"/>
  <c r="AB177" i="2" s="1"/>
  <c r="AB178" i="2" a="1"/>
  <c r="AB178" i="2" s="1"/>
  <c r="AB179" i="2" a="1"/>
  <c r="AB179" i="2" s="1"/>
  <c r="AB180" i="2" a="1"/>
  <c r="AB180" i="2" s="1"/>
  <c r="AB181" i="2" a="1"/>
  <c r="AB181" i="2" s="1"/>
  <c r="AB182" i="2" a="1"/>
  <c r="AB182" i="2" s="1"/>
  <c r="AB183" i="2" a="1"/>
  <c r="AB183" i="2" s="1"/>
  <c r="AB184" i="2" a="1"/>
  <c r="AB184" i="2" s="1"/>
  <c r="AB185" i="2" a="1"/>
  <c r="AB185" i="2" s="1"/>
  <c r="AB186" i="2" a="1"/>
  <c r="AB186" i="2" s="1"/>
  <c r="AB187" i="2" a="1"/>
  <c r="AB187" i="2" s="1"/>
  <c r="AB188" i="2" a="1"/>
  <c r="AB188" i="2" s="1"/>
  <c r="AB189" i="2" a="1"/>
  <c r="AB189" i="2" s="1"/>
  <c r="AB190" i="2" a="1"/>
  <c r="AB190" i="2" s="1"/>
  <c r="AB191" i="2" a="1"/>
  <c r="AB191" i="2" s="1"/>
  <c r="AB192" i="2" a="1"/>
  <c r="AB192" i="2" s="1"/>
  <c r="AB193" i="2" a="1"/>
  <c r="AB193" i="2" s="1"/>
  <c r="AB194" i="2" a="1"/>
  <c r="AB194" i="2" s="1"/>
  <c r="AB195" i="2" a="1"/>
  <c r="AB195" i="2" s="1"/>
  <c r="AB196" i="2" a="1"/>
  <c r="AB196" i="2" s="1"/>
  <c r="AB197" i="2" a="1"/>
  <c r="AB197" i="2" s="1"/>
  <c r="AB198" i="2" a="1"/>
  <c r="AB198" i="2" s="1"/>
  <c r="AB199" i="2" a="1"/>
  <c r="AB199" i="2" s="1"/>
  <c r="AB200" i="2" a="1"/>
  <c r="AB200" i="2" s="1"/>
  <c r="AB201" i="2" a="1"/>
  <c r="AB201" i="2" s="1"/>
  <c r="AB202" i="2" a="1"/>
  <c r="AB202" i="2" s="1"/>
  <c r="AB203" i="2" a="1"/>
  <c r="AB203" i="2" s="1"/>
  <c r="AB204" i="2" a="1"/>
  <c r="AB204" i="2" s="1"/>
  <c r="AB205" i="2" a="1"/>
  <c r="AB205" i="2" s="1"/>
  <c r="AB206" i="2" a="1"/>
  <c r="AB206" i="2" s="1"/>
  <c r="AB207" i="2" a="1"/>
  <c r="AB207" i="2" s="1"/>
  <c r="AB208" i="2" a="1"/>
  <c r="AB208" i="2" s="1"/>
  <c r="AB209" i="2" a="1"/>
  <c r="AB209" i="2" s="1"/>
  <c r="AB210" i="2" a="1"/>
  <c r="AB210" i="2" s="1"/>
  <c r="AB211" i="2" a="1"/>
  <c r="AB211" i="2" s="1"/>
  <c r="AB212" i="2" a="1"/>
  <c r="AB212" i="2" s="1"/>
  <c r="AB213" i="2" a="1"/>
  <c r="AB213" i="2" s="1"/>
  <c r="AB214" i="2" a="1"/>
  <c r="AB214" i="2" s="1"/>
  <c r="AB215" i="2" a="1"/>
  <c r="AB215" i="2" s="1"/>
  <c r="AB216" i="2" a="1"/>
  <c r="AB216" i="2" s="1"/>
  <c r="AB217" i="2" a="1"/>
  <c r="AB217" i="2" s="1"/>
  <c r="AB218" i="2" a="1"/>
  <c r="AB218" i="2" s="1"/>
  <c r="AB219" i="2" a="1"/>
  <c r="AB219" i="2" s="1"/>
  <c r="AB220" i="2" a="1"/>
  <c r="AB220" i="2" s="1"/>
  <c r="AB221" i="2" a="1"/>
  <c r="AB221" i="2" s="1"/>
  <c r="AB222" i="2" a="1"/>
  <c r="AB222" i="2" s="1"/>
  <c r="AB223" i="2" a="1"/>
  <c r="AB223" i="2" s="1"/>
  <c r="AB224" i="2" a="1"/>
  <c r="AB224" i="2" s="1"/>
  <c r="AB225" i="2" a="1"/>
  <c r="AB225" i="2" s="1"/>
  <c r="AB226" i="2" a="1"/>
  <c r="AB226" i="2" s="1"/>
  <c r="AB227" i="2" a="1"/>
  <c r="AB227" i="2" s="1"/>
  <c r="AB228" i="2" a="1"/>
  <c r="AB228" i="2" s="1"/>
  <c r="AB229" i="2" a="1"/>
  <c r="AB229" i="2" s="1"/>
  <c r="AB230" i="2" a="1"/>
  <c r="AB230" i="2" s="1"/>
  <c r="AB231" i="2" a="1"/>
  <c r="AB231" i="2" s="1"/>
  <c r="AB232" i="2" a="1"/>
  <c r="AB232" i="2" s="1"/>
  <c r="AB233" i="2" a="1"/>
  <c r="AB233" i="2" s="1"/>
  <c r="AB234" i="2" a="1"/>
  <c r="AB234" i="2" s="1"/>
  <c r="AB235" i="2" a="1"/>
  <c r="AB235" i="2" s="1"/>
  <c r="AB236" i="2" a="1"/>
  <c r="AB236" i="2" s="1"/>
  <c r="AB237" i="2" a="1"/>
  <c r="AB237" i="2" s="1"/>
  <c r="AB238" i="2" a="1"/>
  <c r="AB238" i="2" s="1"/>
  <c r="AB239" i="2" a="1"/>
  <c r="AB239" i="2" s="1"/>
  <c r="AB240" i="2" a="1"/>
  <c r="AB240" i="2" s="1"/>
  <c r="AB241" i="2" a="1"/>
  <c r="AB241" i="2" s="1"/>
  <c r="AB242" i="2" a="1"/>
  <c r="AB242" i="2" s="1"/>
  <c r="AB243" i="2" a="1"/>
  <c r="AB243" i="2" s="1"/>
  <c r="AB244" i="2" a="1"/>
  <c r="AB244" i="2" s="1"/>
  <c r="AB245" i="2" a="1"/>
  <c r="AB245" i="2" s="1"/>
  <c r="AB246" i="2" a="1"/>
  <c r="AB246" i="2" s="1"/>
  <c r="AB247" i="2" a="1"/>
  <c r="AB247" i="2" s="1"/>
  <c r="AB248" i="2" a="1"/>
  <c r="AB248" i="2" s="1"/>
  <c r="AB249" i="2" a="1"/>
  <c r="AB249" i="2" s="1"/>
  <c r="AB250" i="2" a="1"/>
  <c r="AB250" i="2" s="1"/>
  <c r="AB251" i="2" a="1"/>
  <c r="AB251" i="2" s="1"/>
  <c r="AB252" i="2" a="1"/>
  <c r="AB252" i="2" s="1"/>
  <c r="AB253" i="2" a="1"/>
  <c r="AB253" i="2" s="1"/>
  <c r="AB254" i="2" a="1"/>
  <c r="AB254" i="2" s="1"/>
  <c r="AB255" i="2" a="1"/>
  <c r="AB255" i="2" s="1"/>
  <c r="AB256" i="2" a="1"/>
  <c r="AB256" i="2" s="1"/>
  <c r="AB257" i="2" a="1"/>
  <c r="AB257" i="2" s="1"/>
  <c r="AB258" i="2" a="1"/>
  <c r="AB258" i="2" s="1"/>
  <c r="AB259" i="2" a="1"/>
  <c r="AB259" i="2" s="1"/>
  <c r="AB260" i="2" a="1"/>
  <c r="AB260" i="2" s="1"/>
  <c r="AB261" i="2" a="1"/>
  <c r="AB261" i="2" s="1"/>
  <c r="AB262" i="2" a="1"/>
  <c r="AB262" i="2" s="1"/>
  <c r="AB263" i="2" a="1"/>
  <c r="AB263" i="2" s="1"/>
  <c r="AB264" i="2" a="1"/>
  <c r="AB264" i="2" s="1"/>
  <c r="AB265" i="2" a="1"/>
  <c r="AB265" i="2" s="1"/>
  <c r="AB266" i="2" a="1"/>
  <c r="AB266" i="2" s="1"/>
  <c r="AB267" i="2" a="1"/>
  <c r="AB267" i="2" s="1"/>
  <c r="AB268" i="2" a="1"/>
  <c r="AB268" i="2" s="1"/>
  <c r="AB269" i="2" a="1"/>
  <c r="AB269" i="2" s="1"/>
  <c r="AB270" i="2" a="1"/>
  <c r="AB270" i="2" s="1"/>
  <c r="AB271" i="2" a="1"/>
  <c r="AB271" i="2" s="1"/>
  <c r="AB272" i="2" a="1"/>
  <c r="AB272" i="2" s="1"/>
  <c r="AB273" i="2" a="1"/>
  <c r="AB273" i="2" s="1"/>
  <c r="AB274" i="2" a="1"/>
  <c r="AB274" i="2" s="1"/>
  <c r="AB275" i="2" a="1"/>
  <c r="AB275" i="2" s="1"/>
  <c r="AB276" i="2" a="1"/>
  <c r="AB276" i="2" s="1"/>
  <c r="AB277" i="2" a="1"/>
  <c r="AB277" i="2" s="1"/>
  <c r="AB278" i="2" a="1"/>
  <c r="AB278" i="2" s="1"/>
  <c r="AB279" i="2" a="1"/>
  <c r="AB279" i="2" s="1"/>
  <c r="AB280" i="2" a="1"/>
  <c r="AB280" i="2" s="1"/>
  <c r="AB281" i="2" a="1"/>
  <c r="AB281" i="2" s="1"/>
  <c r="AB282" i="2" a="1"/>
  <c r="AB282" i="2" s="1"/>
  <c r="AB283" i="2" a="1"/>
  <c r="AB283" i="2" s="1"/>
  <c r="AB284" i="2" a="1"/>
  <c r="AB284" i="2" s="1"/>
  <c r="AB285" i="2" a="1"/>
  <c r="AB285" i="2" s="1"/>
  <c r="AB286" i="2" a="1"/>
  <c r="AB286" i="2" s="1"/>
  <c r="AB287" i="2" a="1"/>
  <c r="AB287" i="2" s="1"/>
  <c r="AB288" i="2" a="1"/>
  <c r="AB288" i="2" s="1"/>
  <c r="AB289" i="2" a="1"/>
  <c r="AB289" i="2" s="1"/>
  <c r="AB290" i="2" a="1"/>
  <c r="AB290" i="2" s="1"/>
  <c r="AB291" i="2" a="1"/>
  <c r="AB291" i="2" s="1"/>
  <c r="AB292" i="2" a="1"/>
  <c r="AB292" i="2" s="1"/>
  <c r="AB293" i="2" a="1"/>
  <c r="AB293" i="2" s="1"/>
  <c r="AB294" i="2" a="1"/>
  <c r="AB294" i="2" s="1"/>
  <c r="AB295" i="2" a="1"/>
  <c r="AB295" i="2" s="1"/>
  <c r="AB296" i="2" a="1"/>
  <c r="AB296" i="2" s="1"/>
  <c r="AB297" i="2" a="1"/>
  <c r="AB297" i="2" s="1"/>
  <c r="AB298" i="2" a="1"/>
  <c r="AB298" i="2" s="1"/>
  <c r="AB299" i="2" a="1"/>
  <c r="AB299" i="2" s="1"/>
  <c r="AB300" i="2" a="1"/>
  <c r="AB300" i="2" s="1"/>
  <c r="AB301" i="2" a="1"/>
  <c r="AB301" i="2" s="1"/>
  <c r="AB302" i="2" a="1"/>
  <c r="AB302" i="2" s="1"/>
  <c r="AB303" i="2" a="1"/>
  <c r="AB303" i="2" s="1"/>
  <c r="AB304" i="2" a="1"/>
  <c r="AB304" i="2" s="1"/>
  <c r="AB305" i="2" a="1"/>
  <c r="AB305" i="2" s="1"/>
  <c r="AB306" i="2" a="1"/>
  <c r="AB306" i="2" s="1"/>
  <c r="AB307" i="2" a="1"/>
  <c r="AB307" i="2" s="1"/>
  <c r="AB308" i="2" a="1"/>
  <c r="AB308" i="2" s="1"/>
  <c r="AB309" i="2" a="1"/>
  <c r="AB309" i="2" s="1"/>
  <c r="AB310" i="2" a="1"/>
  <c r="AB310" i="2" s="1"/>
  <c r="AB311" i="2" a="1"/>
  <c r="AB311" i="2" s="1"/>
  <c r="AB312" i="2" a="1"/>
  <c r="AB312" i="2" s="1"/>
  <c r="AB313" i="2" a="1"/>
  <c r="AB313" i="2" s="1"/>
  <c r="AB314" i="2" a="1"/>
  <c r="AB314" i="2" s="1"/>
  <c r="AB315" i="2" a="1"/>
  <c r="AB315" i="2" s="1"/>
  <c r="AB316" i="2" a="1"/>
  <c r="AB316" i="2" s="1"/>
  <c r="AB317" i="2" a="1"/>
  <c r="AB317" i="2" s="1"/>
  <c r="AB318" i="2" a="1"/>
  <c r="AB318" i="2" s="1"/>
  <c r="AB319" i="2" a="1"/>
  <c r="AB319" i="2" s="1"/>
  <c r="AB320" i="2" a="1"/>
  <c r="AB320" i="2" s="1"/>
  <c r="AB321" i="2" a="1"/>
  <c r="AB321" i="2" s="1"/>
  <c r="AB322" i="2" a="1"/>
  <c r="AB322" i="2" s="1"/>
  <c r="AB323" i="2" a="1"/>
  <c r="AB323" i="2" s="1"/>
  <c r="AB324" i="2" a="1"/>
  <c r="AB324" i="2" s="1"/>
  <c r="AB325" i="2" a="1"/>
  <c r="AB325" i="2" s="1"/>
  <c r="AB326" i="2" a="1"/>
  <c r="AB326" i="2" s="1"/>
  <c r="AB327" i="2" a="1"/>
  <c r="AB327" i="2" s="1"/>
  <c r="AB328" i="2" a="1"/>
  <c r="AB328" i="2" s="1"/>
  <c r="AB329" i="2" a="1"/>
  <c r="AB329" i="2" s="1"/>
  <c r="AB330" i="2" a="1"/>
  <c r="AB330" i="2" s="1"/>
  <c r="AB331" i="2" a="1"/>
  <c r="AB331" i="2" s="1"/>
  <c r="AB332" i="2" a="1"/>
  <c r="AB332" i="2" s="1"/>
  <c r="AB333" i="2" a="1"/>
  <c r="AB333" i="2" s="1"/>
  <c r="AB334" i="2" a="1"/>
  <c r="AB334" i="2" s="1"/>
  <c r="AB335" i="2" a="1"/>
  <c r="AB335" i="2" s="1"/>
  <c r="AB336" i="2" a="1"/>
  <c r="AB336" i="2" s="1"/>
  <c r="AB337" i="2" a="1"/>
  <c r="AB337" i="2" s="1"/>
  <c r="AB338" i="2" a="1"/>
  <c r="AB338" i="2" s="1"/>
  <c r="AB339" i="2" a="1"/>
  <c r="AB339" i="2" s="1"/>
  <c r="AB340" i="2" a="1"/>
  <c r="AB340" i="2" s="1"/>
  <c r="AB341" i="2" a="1"/>
  <c r="AB341" i="2" s="1"/>
  <c r="AB342" i="2" a="1"/>
  <c r="AB342" i="2" s="1"/>
  <c r="AB343" i="2" a="1"/>
  <c r="AB343" i="2" s="1"/>
  <c r="AB344" i="2" a="1"/>
  <c r="AB344" i="2" s="1"/>
  <c r="AB345" i="2" a="1"/>
  <c r="AB345" i="2" s="1"/>
  <c r="AB346" i="2" a="1"/>
  <c r="AB346" i="2" s="1"/>
  <c r="AB347" i="2" a="1"/>
  <c r="AB347" i="2" s="1"/>
  <c r="AB348" i="2" a="1"/>
  <c r="AB348" i="2" s="1"/>
  <c r="AB349" i="2" a="1"/>
  <c r="AB349" i="2" s="1"/>
  <c r="AB350" i="2" a="1"/>
  <c r="AB350" i="2" s="1"/>
  <c r="AB351" i="2" a="1"/>
  <c r="AB351" i="2" s="1"/>
  <c r="AB352" i="2" a="1"/>
  <c r="AB352" i="2" s="1"/>
  <c r="AB353" i="2" a="1"/>
  <c r="AB353" i="2" s="1"/>
  <c r="AB354" i="2" a="1"/>
  <c r="AB354" i="2" s="1"/>
  <c r="AB355" i="2" a="1"/>
  <c r="AB355" i="2" s="1"/>
  <c r="AB356" i="2" a="1"/>
  <c r="AB356" i="2" s="1"/>
  <c r="AB357" i="2" a="1"/>
  <c r="AB357" i="2" s="1"/>
  <c r="AB358" i="2" a="1"/>
  <c r="AB358" i="2" s="1"/>
  <c r="AB359" i="2" a="1"/>
  <c r="AB359" i="2" s="1"/>
  <c r="AB360" i="2" a="1"/>
  <c r="AB360" i="2" s="1"/>
  <c r="AB361" i="2" a="1"/>
  <c r="AB361" i="2" s="1"/>
  <c r="AB362" i="2" a="1"/>
  <c r="AB362" i="2" s="1"/>
  <c r="AB363" i="2" a="1"/>
  <c r="AB363" i="2" s="1"/>
  <c r="AB364" i="2" a="1"/>
  <c r="AB364" i="2" s="1"/>
  <c r="AB365" i="2" a="1"/>
  <c r="AB365" i="2" s="1"/>
  <c r="AB366" i="2" a="1"/>
  <c r="AB366" i="2" s="1"/>
  <c r="AB367" i="2" a="1"/>
  <c r="AB367" i="2" s="1"/>
  <c r="AB368" i="2" a="1"/>
  <c r="AB368" i="2" s="1"/>
  <c r="AB369" i="2" a="1"/>
  <c r="AB369" i="2" s="1"/>
  <c r="AB370" i="2" a="1"/>
  <c r="AB370" i="2" s="1"/>
  <c r="AB371" i="2" a="1"/>
  <c r="AB371" i="2" s="1"/>
  <c r="AB372" i="2" a="1"/>
  <c r="AB372" i="2" s="1"/>
  <c r="AB373" i="2" a="1"/>
  <c r="AB373" i="2" s="1"/>
  <c r="AB374" i="2" a="1"/>
  <c r="AB374" i="2" s="1"/>
  <c r="AB375" i="2" a="1"/>
  <c r="AB375" i="2" s="1"/>
  <c r="AB376" i="2" a="1"/>
  <c r="AB376" i="2" s="1"/>
  <c r="AB377" i="2" a="1"/>
  <c r="AB377" i="2" s="1"/>
  <c r="AB378" i="2" a="1"/>
  <c r="AB378" i="2" s="1"/>
  <c r="AB379" i="2" a="1"/>
  <c r="AB379" i="2" s="1"/>
  <c r="AB380" i="2" a="1"/>
  <c r="AB380" i="2" s="1"/>
  <c r="AB381" i="2" a="1"/>
  <c r="AB381" i="2" s="1"/>
  <c r="AB382" i="2" a="1"/>
  <c r="AB382" i="2" s="1"/>
  <c r="AB383" i="2" a="1"/>
  <c r="AB383" i="2" s="1"/>
  <c r="AB384" i="2" a="1"/>
  <c r="AB384" i="2" s="1"/>
  <c r="AB385" i="2" a="1"/>
  <c r="AB385" i="2" s="1"/>
  <c r="AB386" i="2" a="1"/>
  <c r="AB386" i="2" s="1"/>
  <c r="AB387" i="2" a="1"/>
  <c r="AB387" i="2" s="1"/>
  <c r="AB388" i="2" a="1"/>
  <c r="AB388" i="2" s="1"/>
  <c r="AB389" i="2" a="1"/>
  <c r="AB389" i="2" s="1"/>
  <c r="AB390" i="2" a="1"/>
  <c r="AB390" i="2" s="1"/>
  <c r="AB391" i="2" a="1"/>
  <c r="AB391" i="2" s="1"/>
  <c r="AB392" i="2" a="1"/>
  <c r="AB392" i="2" s="1"/>
  <c r="AB393" i="2" a="1"/>
  <c r="AB393" i="2" s="1"/>
  <c r="AB394" i="2" a="1"/>
  <c r="AB394" i="2" s="1"/>
  <c r="AB395" i="2" a="1"/>
  <c r="AB395" i="2" s="1"/>
  <c r="AB396" i="2" a="1"/>
  <c r="AB396" i="2" s="1"/>
  <c r="AB397" i="2" a="1"/>
  <c r="AB397" i="2" s="1"/>
  <c r="AB398" i="2" a="1"/>
  <c r="AB398" i="2" s="1"/>
  <c r="AB399" i="2" a="1"/>
  <c r="AB399" i="2" s="1"/>
  <c r="AB400" i="2" a="1"/>
  <c r="AB400" i="2" s="1"/>
  <c r="AB401" i="2" a="1"/>
  <c r="AB401" i="2" s="1"/>
  <c r="AB402" i="2" a="1"/>
  <c r="AB402" i="2" s="1"/>
  <c r="AB403" i="2" a="1"/>
  <c r="AB403" i="2" s="1"/>
  <c r="AB404" i="2" a="1"/>
  <c r="AB404" i="2" s="1"/>
  <c r="AB405" i="2" a="1"/>
  <c r="AB405" i="2" s="1"/>
  <c r="AB406" i="2" a="1"/>
  <c r="AB406" i="2" s="1"/>
  <c r="AB407" i="2" a="1"/>
  <c r="AB407" i="2" s="1"/>
  <c r="AB408" i="2" a="1"/>
  <c r="AB408" i="2" s="1"/>
  <c r="AB409" i="2" a="1"/>
  <c r="AB409" i="2" s="1"/>
  <c r="AB410" i="2" a="1"/>
  <c r="AB410" i="2" s="1"/>
  <c r="AB411" i="2" a="1"/>
  <c r="AB411" i="2" s="1"/>
  <c r="AB412" i="2" a="1"/>
  <c r="AB412" i="2" s="1"/>
  <c r="AB413" i="2" a="1"/>
  <c r="AB413" i="2" s="1"/>
  <c r="AB414" i="2" a="1"/>
  <c r="AB414" i="2" s="1"/>
  <c r="AB415" i="2" a="1"/>
  <c r="AB415" i="2" s="1"/>
  <c r="AB416" i="2" a="1"/>
  <c r="AB416" i="2" s="1"/>
  <c r="AB417" i="2" a="1"/>
  <c r="AB417" i="2" s="1"/>
  <c r="AB418" i="2" a="1"/>
  <c r="AB418" i="2" s="1"/>
  <c r="AB419" i="2" a="1"/>
  <c r="AB419" i="2" s="1"/>
  <c r="AB420" i="2" a="1"/>
  <c r="AB420" i="2" s="1"/>
  <c r="AB421" i="2" a="1"/>
  <c r="AB421" i="2" s="1"/>
  <c r="AB422" i="2" a="1"/>
  <c r="AB422" i="2" s="1"/>
  <c r="AB423" i="2" a="1"/>
  <c r="AB423" i="2" s="1"/>
  <c r="AB424" i="2" a="1"/>
  <c r="AB424" i="2" s="1"/>
  <c r="AB425" i="2" a="1"/>
  <c r="AB425" i="2" s="1"/>
  <c r="AB426" i="2" a="1"/>
  <c r="AB426" i="2" s="1"/>
  <c r="AB427" i="2" a="1"/>
  <c r="AB427" i="2" s="1"/>
  <c r="AB428" i="2" a="1"/>
  <c r="AB428" i="2" s="1"/>
  <c r="AB429" i="2" a="1"/>
  <c r="AB429" i="2" s="1"/>
  <c r="AB430" i="2" a="1"/>
  <c r="AB430" i="2" s="1"/>
  <c r="AB431" i="2" a="1"/>
  <c r="AB431" i="2" s="1"/>
  <c r="AB432" i="2" a="1"/>
  <c r="AB432" i="2" s="1"/>
  <c r="AB433" i="2" a="1"/>
  <c r="AB433" i="2" s="1"/>
  <c r="AB434" i="2" a="1"/>
  <c r="AB434" i="2" s="1"/>
  <c r="AB435" i="2" a="1"/>
  <c r="AB435" i="2" s="1"/>
  <c r="AB436" i="2" a="1"/>
  <c r="AB436" i="2" s="1"/>
  <c r="AB437" i="2" a="1"/>
  <c r="AB437" i="2" s="1"/>
  <c r="AB438" i="2" a="1"/>
  <c r="AB438" i="2" s="1"/>
  <c r="AB439" i="2" a="1"/>
  <c r="AB439" i="2" s="1"/>
  <c r="AB440" i="2" a="1"/>
  <c r="AB440" i="2" s="1"/>
  <c r="AB441" i="2" a="1"/>
  <c r="AB441" i="2" s="1"/>
  <c r="AB442" i="2" a="1"/>
  <c r="AB442" i="2" s="1"/>
  <c r="AB443" i="2" a="1"/>
  <c r="AB443" i="2" s="1"/>
  <c r="AB444" i="2" a="1"/>
  <c r="AB444" i="2" s="1"/>
  <c r="AB445" i="2" a="1"/>
  <c r="AB445" i="2" s="1"/>
  <c r="AB446" i="2" a="1"/>
  <c r="AB446" i="2" s="1"/>
  <c r="AB447" i="2" a="1"/>
  <c r="AB447" i="2" s="1"/>
  <c r="AB448" i="2" a="1"/>
  <c r="AB448" i="2" s="1"/>
  <c r="AB449" i="2" a="1"/>
  <c r="AB449" i="2" s="1"/>
  <c r="AB450" i="2" a="1"/>
  <c r="AB450" i="2" s="1"/>
  <c r="AB451" i="2" a="1"/>
  <c r="AB451" i="2" s="1"/>
  <c r="AB452" i="2" a="1"/>
  <c r="AB452" i="2" s="1"/>
  <c r="AB453" i="2" a="1"/>
  <c r="AB453" i="2" s="1"/>
  <c r="AB454" i="2" a="1"/>
  <c r="AB454" i="2" s="1"/>
  <c r="AB455" i="2" a="1"/>
  <c r="AB455" i="2" s="1"/>
  <c r="AB456" i="2" a="1"/>
  <c r="AB456" i="2" s="1"/>
  <c r="AB457" i="2" a="1"/>
  <c r="AB457" i="2" s="1"/>
  <c r="AB458" i="2" a="1"/>
  <c r="AB458" i="2" s="1"/>
  <c r="AB459" i="2" a="1"/>
  <c r="AB459" i="2" s="1"/>
  <c r="AB460" i="2" a="1"/>
  <c r="AB460" i="2" s="1"/>
  <c r="AB461" i="2" a="1"/>
  <c r="AB461" i="2" s="1"/>
  <c r="AB462" i="2" a="1"/>
  <c r="AB462" i="2" s="1"/>
  <c r="AB463" i="2" a="1"/>
  <c r="AB463" i="2" s="1"/>
  <c r="AB464" i="2" a="1"/>
  <c r="AB464" i="2" s="1"/>
  <c r="AB465" i="2" a="1"/>
  <c r="AB465" i="2" s="1"/>
  <c r="AB466" i="2" a="1"/>
  <c r="AB466" i="2" s="1"/>
  <c r="AB467" i="2" a="1"/>
  <c r="AB467" i="2" s="1"/>
  <c r="AB468" i="2" a="1"/>
  <c r="AB468" i="2" s="1"/>
  <c r="AB469" i="2" a="1"/>
  <c r="AB469" i="2" s="1"/>
  <c r="AB470" i="2" a="1"/>
  <c r="AB470" i="2" s="1"/>
  <c r="AB471" i="2" a="1"/>
  <c r="AB471" i="2" s="1"/>
  <c r="AB472" i="2" a="1"/>
  <c r="AB472" i="2" s="1"/>
  <c r="AB473" i="2" a="1"/>
  <c r="AB473" i="2" s="1"/>
  <c r="AB474" i="2" a="1"/>
  <c r="AB474" i="2" s="1"/>
  <c r="AB475" i="2" a="1"/>
  <c r="AB475" i="2" s="1"/>
  <c r="AB476" i="2" a="1"/>
  <c r="AB476" i="2" s="1"/>
  <c r="AB477" i="2" a="1"/>
  <c r="AB477" i="2" s="1"/>
  <c r="AB478" i="2" a="1"/>
  <c r="AB478" i="2" s="1"/>
  <c r="AB479" i="2" a="1"/>
  <c r="AB479" i="2" s="1"/>
  <c r="AB480" i="2" a="1"/>
  <c r="AB480" i="2" s="1"/>
  <c r="AB481" i="2" a="1"/>
  <c r="AB481" i="2" s="1"/>
  <c r="AB482" i="2" a="1"/>
  <c r="AB482" i="2" s="1"/>
  <c r="AB483" i="2" a="1"/>
  <c r="AB483" i="2" s="1"/>
  <c r="AB484" i="2" a="1"/>
  <c r="AB484" i="2" s="1"/>
  <c r="AB485" i="2" a="1"/>
  <c r="AB485" i="2" s="1"/>
  <c r="AB486" i="2" a="1"/>
  <c r="AB486" i="2" s="1"/>
  <c r="AB487" i="2" a="1"/>
  <c r="AB487" i="2" s="1"/>
  <c r="AB488" i="2" a="1"/>
  <c r="AB488" i="2" s="1"/>
  <c r="AB489" i="2" a="1"/>
  <c r="AB489" i="2" s="1"/>
  <c r="AB490" i="2" a="1"/>
  <c r="AB490" i="2" s="1"/>
  <c r="AB491" i="2" a="1"/>
  <c r="AB491" i="2" s="1"/>
  <c r="AB492" i="2" a="1"/>
  <c r="AB492" i="2" s="1"/>
  <c r="AB493" i="2" a="1"/>
  <c r="AB493" i="2" s="1"/>
  <c r="AB494" i="2" a="1"/>
  <c r="AB494" i="2" s="1"/>
  <c r="AB495" i="2" a="1"/>
  <c r="AB495" i="2" s="1"/>
  <c r="AB496" i="2" a="1"/>
  <c r="AB496" i="2" s="1"/>
  <c r="AB497" i="2" a="1"/>
  <c r="AB497" i="2" s="1"/>
  <c r="AB498" i="2" a="1"/>
  <c r="AB498" i="2" s="1"/>
  <c r="AB499" i="2" a="1"/>
  <c r="AB499" i="2" s="1"/>
  <c r="AB500" i="2" a="1"/>
  <c r="AB500" i="2" s="1"/>
  <c r="AB501" i="2" a="1"/>
  <c r="AB501" i="2" s="1"/>
  <c r="AB502" i="2" a="1"/>
  <c r="AB502" i="2" s="1"/>
  <c r="AB503" i="2" a="1"/>
  <c r="AB503" i="2" s="1"/>
  <c r="AB504" i="2" a="1"/>
  <c r="AB504" i="2" s="1"/>
  <c r="AB505" i="2" a="1"/>
  <c r="AB505" i="2" s="1"/>
  <c r="AB506" i="2" a="1"/>
  <c r="AB506" i="2" s="1"/>
  <c r="AB507" i="2" a="1"/>
  <c r="AB507" i="2" s="1"/>
  <c r="AB508" i="2" a="1"/>
  <c r="AB508" i="2" s="1"/>
  <c r="AB509" i="2" a="1"/>
  <c r="AB509" i="2" s="1"/>
  <c r="AB510" i="2" a="1"/>
  <c r="AB510" i="2" s="1"/>
  <c r="AB511" i="2" a="1"/>
  <c r="AB511" i="2" s="1"/>
  <c r="AB512" i="2" a="1"/>
  <c r="AB512" i="2" s="1"/>
  <c r="AB513" i="2" a="1"/>
  <c r="AB513" i="2" s="1"/>
  <c r="AB514" i="2" a="1"/>
  <c r="AB514" i="2" s="1"/>
  <c r="AB515" i="2" a="1"/>
  <c r="AB515" i="2" s="1"/>
  <c r="AB516" i="2" a="1"/>
  <c r="AB516" i="2" s="1"/>
  <c r="AB517" i="2" a="1"/>
  <c r="AB517" i="2" s="1"/>
  <c r="AB518" i="2" a="1"/>
  <c r="AB518" i="2" s="1"/>
  <c r="AB519" i="2" a="1"/>
  <c r="AB519" i="2" s="1"/>
  <c r="AB520" i="2" a="1"/>
  <c r="AB520" i="2" s="1"/>
  <c r="AB521" i="2" a="1"/>
  <c r="AB521" i="2" s="1"/>
  <c r="AB522" i="2" a="1"/>
  <c r="AB522" i="2" s="1"/>
  <c r="AB523" i="2" a="1"/>
  <c r="AB523" i="2" s="1"/>
  <c r="AB524" i="2" a="1"/>
  <c r="AB524" i="2" s="1"/>
  <c r="AB525" i="2" a="1"/>
  <c r="AB525" i="2" s="1"/>
  <c r="AB526" i="2" a="1"/>
  <c r="AB526" i="2" s="1"/>
  <c r="AB527" i="2" a="1"/>
  <c r="AB527" i="2" s="1"/>
  <c r="AB528" i="2" a="1"/>
  <c r="AB528" i="2" s="1"/>
  <c r="AB529" i="2" a="1"/>
  <c r="AB529" i="2" s="1"/>
  <c r="AB530" i="2" a="1"/>
  <c r="AB530" i="2" s="1"/>
  <c r="AB531" i="2" a="1"/>
  <c r="AB531" i="2" s="1"/>
  <c r="AB532" i="2" a="1"/>
  <c r="AB532" i="2" s="1"/>
  <c r="AB533" i="2" a="1"/>
  <c r="AB533" i="2" s="1"/>
  <c r="AB534" i="2" a="1"/>
  <c r="AB534" i="2" s="1"/>
  <c r="AB535" i="2" a="1"/>
  <c r="AB535" i="2" s="1"/>
  <c r="AB536" i="2" a="1"/>
  <c r="AB536" i="2" s="1"/>
  <c r="AB537" i="2" a="1"/>
  <c r="AB537" i="2" s="1"/>
  <c r="AB538" i="2" a="1"/>
  <c r="AB538" i="2" s="1"/>
  <c r="AB539" i="2" a="1"/>
  <c r="AB539" i="2" s="1"/>
  <c r="AB540" i="2" a="1"/>
  <c r="AB540" i="2" s="1"/>
  <c r="AB541" i="2" a="1"/>
  <c r="AB541" i="2" s="1"/>
  <c r="AB542" i="2" a="1"/>
  <c r="AB542" i="2" s="1"/>
  <c r="AB543" i="2" a="1"/>
  <c r="AB543" i="2" s="1"/>
  <c r="AB544" i="2" a="1"/>
  <c r="AB544" i="2" s="1"/>
  <c r="AB545" i="2" a="1"/>
  <c r="AB545" i="2" s="1"/>
  <c r="AB546" i="2" a="1"/>
  <c r="AB546" i="2" s="1"/>
  <c r="AB547" i="2" a="1"/>
  <c r="AB547" i="2" s="1"/>
  <c r="AB548" i="2" a="1"/>
  <c r="AB548" i="2" s="1"/>
  <c r="AB549" i="2" a="1"/>
  <c r="AB549" i="2" s="1"/>
  <c r="AB550" i="2" a="1"/>
  <c r="AB550" i="2" s="1"/>
  <c r="AB551" i="2" a="1"/>
  <c r="AB551" i="2" s="1"/>
  <c r="AB552" i="2" a="1"/>
  <c r="AB552" i="2" s="1"/>
  <c r="AB553" i="2" a="1"/>
  <c r="AB553" i="2" s="1"/>
  <c r="AB554" i="2" a="1"/>
  <c r="AB554" i="2" s="1"/>
  <c r="AB555" i="2" a="1"/>
  <c r="AB555" i="2" s="1"/>
  <c r="AB556" i="2" a="1"/>
  <c r="AB556" i="2" s="1"/>
  <c r="AB557" i="2" a="1"/>
  <c r="AB557" i="2" s="1"/>
  <c r="AB558" i="2" a="1"/>
  <c r="AB558" i="2" s="1"/>
  <c r="AB559" i="2" a="1"/>
  <c r="AB559" i="2" s="1"/>
  <c r="AB560" i="2" a="1"/>
  <c r="AB560" i="2" s="1"/>
  <c r="AB561" i="2" a="1"/>
  <c r="AB561" i="2" s="1"/>
  <c r="AB562" i="2" a="1"/>
  <c r="AB562" i="2" s="1"/>
  <c r="AB563" i="2" a="1"/>
  <c r="AB563" i="2" s="1"/>
  <c r="AB564" i="2" a="1"/>
  <c r="AB564" i="2" s="1"/>
  <c r="AB565" i="2" a="1"/>
  <c r="AB565" i="2" s="1"/>
  <c r="AB566" i="2" a="1"/>
  <c r="AB566" i="2" s="1"/>
  <c r="AB567" i="2" a="1"/>
  <c r="AB567" i="2" s="1"/>
  <c r="AB568" i="2" a="1"/>
  <c r="AB568" i="2" s="1"/>
  <c r="AB569" i="2" a="1"/>
  <c r="AB569" i="2" s="1"/>
  <c r="AB570" i="2" a="1"/>
  <c r="AB570" i="2" s="1"/>
  <c r="AB571" i="2" a="1"/>
  <c r="AB571" i="2" s="1"/>
  <c r="AB572" i="2" a="1"/>
  <c r="AB572" i="2" s="1"/>
  <c r="AB573" i="2" a="1"/>
  <c r="AB573" i="2" s="1"/>
  <c r="AB574" i="2" a="1"/>
  <c r="AB574" i="2" s="1"/>
  <c r="AB575" i="2" a="1"/>
  <c r="AB575" i="2" s="1"/>
  <c r="AB576" i="2" a="1"/>
  <c r="AB576" i="2" s="1"/>
  <c r="AB577" i="2" a="1"/>
  <c r="AB577" i="2" s="1"/>
  <c r="AB578" i="2" a="1"/>
  <c r="AB578" i="2" s="1"/>
  <c r="AB579" i="2" a="1"/>
  <c r="AB579" i="2" s="1"/>
  <c r="AB580" i="2" a="1"/>
  <c r="AB580" i="2" s="1"/>
  <c r="AB581" i="2" a="1"/>
  <c r="AB581" i="2" s="1"/>
  <c r="AB582" i="2" a="1"/>
  <c r="AB582" i="2" s="1"/>
  <c r="AB583" i="2" a="1"/>
  <c r="AB583" i="2" s="1"/>
  <c r="AB584" i="2" a="1"/>
  <c r="AB584" i="2" s="1"/>
  <c r="AB585" i="2" a="1"/>
  <c r="AB585" i="2" s="1"/>
  <c r="AB586" i="2" a="1"/>
  <c r="AB586" i="2" s="1"/>
  <c r="AB587" i="2" a="1"/>
  <c r="AB587" i="2" s="1"/>
  <c r="AB588" i="2" a="1"/>
  <c r="AB588" i="2" s="1"/>
  <c r="AB589" i="2" a="1"/>
  <c r="AB589" i="2" s="1"/>
  <c r="AB590" i="2" a="1"/>
  <c r="AB590" i="2" s="1"/>
  <c r="AB591" i="2" a="1"/>
  <c r="AB591" i="2" s="1"/>
  <c r="AB592" i="2" a="1"/>
  <c r="AB592" i="2" s="1"/>
  <c r="AB593" i="2" a="1"/>
  <c r="AB593" i="2" s="1"/>
  <c r="AB594" i="2" a="1"/>
  <c r="AB594" i="2" s="1"/>
  <c r="AB595" i="2" a="1"/>
  <c r="AB595" i="2" s="1"/>
  <c r="AB596" i="2" a="1"/>
  <c r="AB596" i="2" s="1"/>
  <c r="AB597" i="2" a="1"/>
  <c r="AB597" i="2" s="1"/>
  <c r="AB598" i="2" a="1"/>
  <c r="AB598" i="2" s="1"/>
  <c r="AB599" i="2" a="1"/>
  <c r="AB599" i="2" s="1"/>
  <c r="AB600" i="2" a="1"/>
  <c r="AB600" i="2" s="1"/>
  <c r="AB601" i="2" a="1"/>
  <c r="AB601" i="2" s="1"/>
  <c r="AB602" i="2" a="1"/>
  <c r="AB602" i="2" s="1"/>
  <c r="AB603" i="2" a="1"/>
  <c r="AB603" i="2" s="1"/>
  <c r="AB604" i="2" a="1"/>
  <c r="AB604" i="2" s="1"/>
  <c r="AB605" i="2" a="1"/>
  <c r="AB605" i="2" s="1"/>
  <c r="AB606" i="2" a="1"/>
  <c r="AB606" i="2" s="1"/>
  <c r="AB607" i="2" a="1"/>
  <c r="AB607" i="2" s="1"/>
  <c r="AB608" i="2" a="1"/>
  <c r="AB608" i="2" s="1"/>
  <c r="AB609" i="2" a="1"/>
  <c r="AB609" i="2" s="1"/>
  <c r="AB610" i="2" a="1"/>
  <c r="AB610" i="2" s="1"/>
  <c r="AB611" i="2" a="1"/>
  <c r="AB611" i="2" s="1"/>
  <c r="AB612" i="2" a="1"/>
  <c r="AB612" i="2" s="1"/>
  <c r="AB613" i="2" a="1"/>
  <c r="AB613" i="2" s="1"/>
  <c r="AB614" i="2" a="1"/>
  <c r="AB614" i="2" s="1"/>
  <c r="AB615" i="2" a="1"/>
  <c r="AB615" i="2" s="1"/>
  <c r="AB616" i="2" a="1"/>
  <c r="AB616" i="2" s="1"/>
  <c r="AB617" i="2" a="1"/>
  <c r="AB617" i="2" s="1"/>
  <c r="AB618" i="2" a="1"/>
  <c r="AB618" i="2" s="1"/>
  <c r="AB619" i="2" a="1"/>
  <c r="AB619" i="2" s="1"/>
  <c r="AB620" i="2" a="1"/>
  <c r="AB620" i="2" s="1"/>
  <c r="AB621" i="2" a="1"/>
  <c r="AB621" i="2" s="1"/>
  <c r="AB622" i="2" a="1"/>
  <c r="AB622" i="2" s="1"/>
  <c r="AB623" i="2" a="1"/>
  <c r="AB623" i="2" s="1"/>
  <c r="AB624" i="2" a="1"/>
  <c r="AB624" i="2" s="1"/>
  <c r="AB625" i="2" a="1"/>
  <c r="AB625" i="2" s="1"/>
  <c r="AB626" i="2" a="1"/>
  <c r="AB626" i="2" s="1"/>
  <c r="AB627" i="2" a="1"/>
  <c r="AB627" i="2" s="1"/>
  <c r="AB628" i="2" a="1"/>
  <c r="AB628" i="2" s="1"/>
  <c r="AB629" i="2" a="1"/>
  <c r="AB629" i="2" s="1"/>
  <c r="AB630" i="2" a="1"/>
  <c r="AB630" i="2" s="1"/>
  <c r="AB631" i="2" a="1"/>
  <c r="AB631" i="2" s="1"/>
  <c r="AB632" i="2" a="1"/>
  <c r="AB632" i="2" s="1"/>
  <c r="AB633" i="2" a="1"/>
  <c r="AB633" i="2" s="1"/>
  <c r="AB634" i="2" a="1"/>
  <c r="AB634" i="2" s="1"/>
  <c r="AB635" i="2" a="1"/>
  <c r="AB635" i="2" s="1"/>
  <c r="AB636" i="2" a="1"/>
  <c r="AB636" i="2" s="1"/>
  <c r="AB637" i="2" a="1"/>
  <c r="AB637" i="2" s="1"/>
  <c r="AB638" i="2" a="1"/>
  <c r="AB638" i="2" s="1"/>
  <c r="AB639" i="2" a="1"/>
  <c r="AB639" i="2" s="1"/>
  <c r="AB640" i="2" a="1"/>
  <c r="AB640" i="2" s="1"/>
  <c r="AB641" i="2" a="1"/>
  <c r="AB641" i="2" s="1"/>
  <c r="AB642" i="2" a="1"/>
  <c r="AB642" i="2" s="1"/>
  <c r="AB643" i="2" a="1"/>
  <c r="AB643" i="2" s="1"/>
  <c r="AB644" i="2" a="1"/>
  <c r="AB644" i="2" s="1"/>
  <c r="AB645" i="2" a="1"/>
  <c r="AB645" i="2" s="1"/>
  <c r="AB646" i="2" a="1"/>
  <c r="AB646" i="2" s="1"/>
  <c r="AB647" i="2" a="1"/>
  <c r="AB647" i="2" s="1"/>
  <c r="AB648" i="2" a="1"/>
  <c r="AB648" i="2" s="1"/>
  <c r="AB649" i="2" a="1"/>
  <c r="AB649" i="2" s="1"/>
  <c r="AB650" i="2" a="1"/>
  <c r="AB650" i="2" s="1"/>
  <c r="AB651" i="2" a="1"/>
  <c r="AB651" i="2" s="1"/>
  <c r="AB652" i="2" a="1"/>
  <c r="AB652" i="2" s="1"/>
  <c r="AB653" i="2" a="1"/>
  <c r="AB653" i="2" s="1"/>
  <c r="AB654" i="2" a="1"/>
  <c r="AB654" i="2" s="1"/>
  <c r="AB655" i="2" a="1"/>
  <c r="AB655" i="2" s="1"/>
  <c r="AB656" i="2" a="1"/>
  <c r="AB656" i="2" s="1"/>
  <c r="AB657" i="2" a="1"/>
  <c r="AB657" i="2" s="1"/>
  <c r="AB658" i="2" a="1"/>
  <c r="AB658" i="2" s="1"/>
  <c r="AB659" i="2" a="1"/>
  <c r="AB659" i="2" s="1"/>
  <c r="AB660" i="2" a="1"/>
  <c r="AB660" i="2" s="1"/>
  <c r="AB661" i="2" a="1"/>
  <c r="AB661" i="2" s="1"/>
  <c r="AB662" i="2" a="1"/>
  <c r="AB662" i="2" s="1"/>
  <c r="AB663" i="2" a="1"/>
  <c r="AB663" i="2" s="1"/>
  <c r="AB664" i="2" a="1"/>
  <c r="AB664" i="2" s="1"/>
  <c r="AB665" i="2" a="1"/>
  <c r="AB665" i="2" s="1"/>
  <c r="AB666" i="2" a="1"/>
  <c r="AB666" i="2" s="1"/>
  <c r="AB667" i="2" a="1"/>
  <c r="AB667" i="2" s="1"/>
  <c r="AB668" i="2" a="1"/>
  <c r="AB668" i="2" s="1"/>
  <c r="AB669" i="2" a="1"/>
  <c r="AB669" i="2" s="1"/>
  <c r="AB670" i="2" a="1"/>
  <c r="AB670" i="2" s="1"/>
  <c r="AB671" i="2" a="1"/>
  <c r="AB671" i="2" s="1"/>
  <c r="AB672" i="2" a="1"/>
  <c r="AB672" i="2" s="1"/>
  <c r="AB673" i="2" a="1"/>
  <c r="AB673" i="2" s="1"/>
  <c r="AB674" i="2" a="1"/>
  <c r="AB674" i="2" s="1"/>
  <c r="AB675" i="2" a="1"/>
  <c r="AB675" i="2" s="1"/>
  <c r="AB676" i="2" a="1"/>
  <c r="AB676" i="2" s="1"/>
  <c r="AB677" i="2" a="1"/>
  <c r="AB677" i="2" s="1"/>
  <c r="AB678" i="2" a="1"/>
  <c r="AB678" i="2" s="1"/>
  <c r="AB679" i="2" a="1"/>
  <c r="AB679" i="2" s="1"/>
  <c r="AB680" i="2" a="1"/>
  <c r="AB680" i="2" s="1"/>
  <c r="AB681" i="2" a="1"/>
  <c r="AB681" i="2" s="1"/>
  <c r="AB682" i="2" a="1"/>
  <c r="AB682" i="2" s="1"/>
  <c r="AB683" i="2" a="1"/>
  <c r="AB683" i="2" s="1"/>
  <c r="AB684" i="2" a="1"/>
  <c r="AB684" i="2" s="1"/>
  <c r="AB685" i="2" a="1"/>
  <c r="AB685" i="2" s="1"/>
  <c r="AB686" i="2" a="1"/>
  <c r="AB686" i="2" s="1"/>
  <c r="AB687" i="2" a="1"/>
  <c r="AB687" i="2" s="1"/>
  <c r="AB688" i="2" a="1"/>
  <c r="AB688" i="2" s="1"/>
  <c r="AB689" i="2" a="1"/>
  <c r="AB689" i="2" s="1"/>
  <c r="AB690" i="2" a="1"/>
  <c r="AB690" i="2" s="1"/>
  <c r="AB691" i="2" a="1"/>
  <c r="AB691" i="2" s="1"/>
  <c r="AB692" i="2" a="1"/>
  <c r="AB692" i="2" s="1"/>
  <c r="AB693" i="2" a="1"/>
  <c r="AB693" i="2" s="1"/>
  <c r="AB694" i="2" a="1"/>
  <c r="AB694" i="2" s="1"/>
  <c r="AB695" i="2" a="1"/>
  <c r="AB695" i="2" s="1"/>
  <c r="AB696" i="2" a="1"/>
  <c r="AB696" i="2" s="1"/>
  <c r="AB697" i="2" a="1"/>
  <c r="AB697" i="2" s="1"/>
  <c r="AB698" i="2" a="1"/>
  <c r="AB698" i="2" s="1"/>
  <c r="AB699" i="2" a="1"/>
  <c r="AB699" i="2" s="1"/>
  <c r="AB700" i="2" a="1"/>
  <c r="AB700" i="2" s="1"/>
  <c r="AB701" i="2" a="1"/>
  <c r="AB701" i="2" s="1"/>
  <c r="AB702" i="2" a="1"/>
  <c r="AB702" i="2" s="1"/>
  <c r="AB703" i="2" a="1"/>
  <c r="AB703" i="2" s="1"/>
  <c r="AB704" i="2" a="1"/>
  <c r="AB704" i="2" s="1"/>
  <c r="AB705" i="2" a="1"/>
  <c r="AB705" i="2" s="1"/>
  <c r="AB706" i="2" a="1"/>
  <c r="AB706" i="2" s="1"/>
  <c r="AB707" i="2" a="1"/>
  <c r="AB707" i="2" s="1"/>
  <c r="AB708" i="2" a="1"/>
  <c r="AB708" i="2" s="1"/>
  <c r="AB709" i="2" a="1"/>
  <c r="AB709" i="2" s="1"/>
  <c r="AB710" i="2" a="1"/>
  <c r="AB710" i="2" s="1"/>
  <c r="AB711" i="2" a="1"/>
  <c r="AB711" i="2" s="1"/>
  <c r="AB712" i="2" a="1"/>
  <c r="AB712" i="2" s="1"/>
  <c r="AB713" i="2" a="1"/>
  <c r="AB713" i="2" s="1"/>
  <c r="AB714" i="2" a="1"/>
  <c r="AB714" i="2" s="1"/>
  <c r="AB715" i="2" a="1"/>
  <c r="AB715" i="2" s="1"/>
  <c r="AB716" i="2" a="1"/>
  <c r="AB716" i="2" s="1"/>
  <c r="AB717" i="2" a="1"/>
  <c r="AB717" i="2" s="1"/>
  <c r="AB718" i="2" a="1"/>
  <c r="AB718" i="2" s="1"/>
  <c r="AB719" i="2" a="1"/>
  <c r="AB719" i="2" s="1"/>
  <c r="AB720" i="2" a="1"/>
  <c r="AB720" i="2" s="1"/>
  <c r="AB721" i="2" a="1"/>
  <c r="AB721" i="2" s="1"/>
  <c r="AB722" i="2" a="1"/>
  <c r="AB722" i="2" s="1"/>
  <c r="AB723" i="2" a="1"/>
  <c r="AB723" i="2" s="1"/>
  <c r="AB724" i="2" a="1"/>
  <c r="AB724" i="2" s="1"/>
  <c r="AB725" i="2" a="1"/>
  <c r="AB725" i="2" s="1"/>
  <c r="AB726" i="2" a="1"/>
  <c r="AB726" i="2" s="1"/>
  <c r="AB727" i="2" a="1"/>
  <c r="AB727" i="2" s="1"/>
  <c r="AB728" i="2" a="1"/>
  <c r="AB728" i="2" s="1"/>
  <c r="AB729" i="2" a="1"/>
  <c r="AB729" i="2" s="1"/>
  <c r="AB730" i="2" a="1"/>
  <c r="AB730" i="2" s="1"/>
  <c r="AB731" i="2" a="1"/>
  <c r="AB731" i="2" s="1"/>
  <c r="AB732" i="2" a="1"/>
  <c r="AB732" i="2" s="1"/>
  <c r="AB733" i="2" a="1"/>
  <c r="AB733" i="2" s="1"/>
  <c r="AB734" i="2" a="1"/>
  <c r="AB734" i="2" s="1"/>
  <c r="AB735" i="2" a="1"/>
  <c r="AB735" i="2" s="1"/>
  <c r="AB736" i="2" a="1"/>
  <c r="AB736" i="2" s="1"/>
  <c r="AB737" i="2" a="1"/>
  <c r="AB737" i="2" s="1"/>
  <c r="AB738" i="2" a="1"/>
  <c r="AB738" i="2" s="1"/>
  <c r="AB739" i="2" a="1"/>
  <c r="AB739" i="2" s="1"/>
  <c r="AB740" i="2" a="1"/>
  <c r="AB740" i="2" s="1"/>
  <c r="AB741" i="2" a="1"/>
  <c r="AB741" i="2" s="1"/>
  <c r="AB742" i="2" a="1"/>
  <c r="AB742" i="2" s="1"/>
  <c r="AB743" i="2" a="1"/>
  <c r="AB743" i="2" s="1"/>
  <c r="AB744" i="2" a="1"/>
  <c r="AB744" i="2" s="1"/>
  <c r="AB745" i="2" a="1"/>
  <c r="AB745" i="2" s="1"/>
  <c r="AB746" i="2" a="1"/>
  <c r="AB746" i="2" s="1"/>
  <c r="AB747" i="2" a="1"/>
  <c r="AB747" i="2" s="1"/>
  <c r="AB748" i="2" a="1"/>
  <c r="AB748" i="2" s="1"/>
  <c r="AB749" i="2" a="1"/>
  <c r="AB749" i="2" s="1"/>
  <c r="AB750" i="2" a="1"/>
  <c r="AB750" i="2" s="1"/>
  <c r="AB751" i="2" a="1"/>
  <c r="AB751" i="2" s="1"/>
  <c r="AB752" i="2" a="1"/>
  <c r="AB752" i="2" s="1"/>
  <c r="AB753" i="2" a="1"/>
  <c r="AB753" i="2" s="1"/>
  <c r="AB754" i="2" a="1"/>
  <c r="AB754" i="2" s="1"/>
  <c r="AB755" i="2" a="1"/>
  <c r="AB755" i="2" s="1"/>
  <c r="AB756" i="2" a="1"/>
  <c r="AB756" i="2" s="1"/>
  <c r="AB757" i="2" a="1"/>
  <c r="AB757" i="2" s="1"/>
  <c r="AB758" i="2" a="1"/>
  <c r="AB758" i="2" s="1"/>
  <c r="AB759" i="2" a="1"/>
  <c r="AB759" i="2" s="1"/>
  <c r="AB760" i="2" a="1"/>
  <c r="AB760" i="2" s="1"/>
  <c r="AB761" i="2" a="1"/>
  <c r="AB761" i="2" s="1"/>
  <c r="AB762" i="2" a="1"/>
  <c r="AB762" i="2" s="1"/>
  <c r="AB763" i="2" a="1"/>
  <c r="AB763" i="2" s="1"/>
  <c r="AB764" i="2" a="1"/>
  <c r="AB764" i="2" s="1"/>
  <c r="AB765" i="2" a="1"/>
  <c r="AB765" i="2" s="1"/>
  <c r="AB766" i="2" a="1"/>
  <c r="AB766" i="2" s="1"/>
  <c r="AB767" i="2" a="1"/>
  <c r="AB767" i="2" s="1"/>
  <c r="AB768" i="2" a="1"/>
  <c r="AB768" i="2" s="1"/>
  <c r="AB769" i="2" a="1"/>
  <c r="AB769" i="2" s="1"/>
  <c r="AB770" i="2" a="1"/>
  <c r="AB770" i="2" s="1"/>
  <c r="AB771" i="2" a="1"/>
  <c r="AB771" i="2" s="1"/>
  <c r="AB772" i="2" a="1"/>
  <c r="AB772" i="2" s="1"/>
  <c r="AB773" i="2" a="1"/>
  <c r="AB773" i="2" s="1"/>
  <c r="AB774" i="2" a="1"/>
  <c r="AB774" i="2" s="1"/>
  <c r="AB775" i="2" a="1"/>
  <c r="AB775" i="2" s="1"/>
  <c r="AB776" i="2" a="1"/>
  <c r="AB776" i="2" s="1"/>
  <c r="AB777" i="2" a="1"/>
  <c r="AB777" i="2" s="1"/>
  <c r="AB778" i="2" a="1"/>
  <c r="AB778" i="2" s="1"/>
  <c r="AB779" i="2" a="1"/>
  <c r="AB779" i="2" s="1"/>
  <c r="AB780" i="2" a="1"/>
  <c r="AB780" i="2" s="1"/>
  <c r="AB781" i="2" a="1"/>
  <c r="AB781" i="2" s="1"/>
  <c r="AB782" i="2" a="1"/>
  <c r="AB782" i="2" s="1"/>
  <c r="AB783" i="2" a="1"/>
  <c r="AB783" i="2" s="1"/>
  <c r="AB784" i="2" a="1"/>
  <c r="AB784" i="2" s="1"/>
  <c r="AB785" i="2" a="1"/>
  <c r="AB785" i="2" s="1"/>
  <c r="AB786" i="2" a="1"/>
  <c r="AB786" i="2" s="1"/>
  <c r="AB787" i="2" a="1"/>
  <c r="AB787" i="2" s="1"/>
  <c r="AB788" i="2" a="1"/>
  <c r="AB788" i="2" s="1"/>
  <c r="AB789" i="2" a="1"/>
  <c r="AB789" i="2" s="1"/>
  <c r="AB790" i="2" a="1"/>
  <c r="AB790" i="2" s="1"/>
  <c r="AB791" i="2" a="1"/>
  <c r="AB791" i="2" s="1"/>
  <c r="AB792" i="2" a="1"/>
  <c r="AB792" i="2" s="1"/>
  <c r="AB793" i="2" a="1"/>
  <c r="AB793" i="2" s="1"/>
  <c r="AB794" i="2" a="1"/>
  <c r="AB794" i="2" s="1"/>
  <c r="AB795" i="2" a="1"/>
  <c r="AB795" i="2" s="1"/>
  <c r="AB796" i="2" a="1"/>
  <c r="AB796" i="2" s="1"/>
  <c r="AB797" i="2" a="1"/>
  <c r="AB797" i="2" s="1"/>
  <c r="AB798" i="2" a="1"/>
  <c r="AB798" i="2" s="1"/>
  <c r="AB799" i="2" a="1"/>
  <c r="AB799" i="2" s="1"/>
  <c r="AB800" i="2" a="1"/>
  <c r="AB800" i="2" s="1"/>
  <c r="AB801" i="2" a="1"/>
  <c r="AB801" i="2" s="1"/>
  <c r="AB802" i="2" a="1"/>
  <c r="AB802" i="2" s="1"/>
  <c r="AB803" i="2" a="1"/>
  <c r="AB803" i="2" s="1"/>
  <c r="AB804" i="2" a="1"/>
  <c r="AB804" i="2" s="1"/>
  <c r="AB805" i="2" a="1"/>
  <c r="AB805" i="2" s="1"/>
  <c r="AB806" i="2" a="1"/>
  <c r="AB806" i="2" s="1"/>
  <c r="AB807" i="2" a="1"/>
  <c r="AB807" i="2" s="1"/>
  <c r="AB808" i="2" a="1"/>
  <c r="AB808" i="2" s="1"/>
  <c r="AB809" i="2" a="1"/>
  <c r="AB809" i="2" s="1"/>
  <c r="AB810" i="2" a="1"/>
  <c r="AB810" i="2" s="1"/>
  <c r="AB811" i="2" a="1"/>
  <c r="AB811" i="2" s="1"/>
  <c r="AB812" i="2" a="1"/>
  <c r="AB812" i="2" s="1"/>
  <c r="AB813" i="2" a="1"/>
  <c r="AB813" i="2" s="1"/>
  <c r="AB814" i="2" a="1"/>
  <c r="AB814" i="2" s="1"/>
  <c r="AB815" i="2" a="1"/>
  <c r="AB815" i="2" s="1"/>
  <c r="AB816" i="2" a="1"/>
  <c r="AB816" i="2" s="1"/>
  <c r="AB817" i="2" a="1"/>
  <c r="AB817" i="2" s="1"/>
  <c r="AB818" i="2" a="1"/>
  <c r="AB818" i="2" s="1"/>
  <c r="AB819" i="2" a="1"/>
  <c r="AB819" i="2" s="1"/>
  <c r="AB820" i="2" a="1"/>
  <c r="AB820" i="2" s="1"/>
  <c r="AB821" i="2" a="1"/>
  <c r="AB821" i="2" s="1"/>
  <c r="AB822" i="2" a="1"/>
  <c r="AB822" i="2" s="1"/>
  <c r="AB823" i="2" a="1"/>
  <c r="AB823" i="2" s="1"/>
  <c r="AB824" i="2" a="1"/>
  <c r="AB824" i="2" s="1"/>
  <c r="AB825" i="2" a="1"/>
  <c r="AB825" i="2" s="1"/>
  <c r="AB826" i="2" a="1"/>
  <c r="AB826" i="2" s="1"/>
  <c r="AB827" i="2" a="1"/>
  <c r="AB827" i="2" s="1"/>
  <c r="AB828" i="2" a="1"/>
  <c r="AB828" i="2" s="1"/>
  <c r="AB829" i="2" a="1"/>
  <c r="AB829" i="2" s="1"/>
  <c r="AB830" i="2" a="1"/>
  <c r="AB830" i="2" s="1"/>
  <c r="AB831" i="2" a="1"/>
  <c r="AB831" i="2" s="1"/>
  <c r="AB832" i="2" a="1"/>
  <c r="AB832" i="2" s="1"/>
  <c r="AB833" i="2" a="1"/>
  <c r="AB833" i="2" s="1"/>
  <c r="AB834" i="2" a="1"/>
  <c r="AB834" i="2" s="1"/>
  <c r="AB835" i="2" a="1"/>
  <c r="AB835" i="2" s="1"/>
  <c r="AB836" i="2" a="1"/>
  <c r="AB836" i="2" s="1"/>
  <c r="AB837" i="2" a="1"/>
  <c r="AB837" i="2" s="1"/>
  <c r="AB838" i="2" a="1"/>
  <c r="AB838" i="2" s="1"/>
  <c r="AB839" i="2" a="1"/>
  <c r="AB839" i="2" s="1"/>
  <c r="AB840" i="2" a="1"/>
  <c r="AB840" i="2" s="1"/>
  <c r="AB841" i="2" a="1"/>
  <c r="AB841" i="2" s="1"/>
  <c r="AB842" i="2" a="1"/>
  <c r="AB842" i="2" s="1"/>
  <c r="AB843" i="2" a="1"/>
  <c r="AB843" i="2" s="1"/>
  <c r="AB844" i="2" a="1"/>
  <c r="AB844" i="2" s="1"/>
  <c r="AB845" i="2" a="1"/>
  <c r="AB845" i="2" s="1"/>
  <c r="AB846" i="2" a="1"/>
  <c r="AB846" i="2" s="1"/>
  <c r="AB847" i="2" a="1"/>
  <c r="AB847" i="2" s="1"/>
  <c r="AB848" i="2" a="1"/>
  <c r="AB848" i="2" s="1"/>
  <c r="AB849" i="2" a="1"/>
  <c r="AB849" i="2" s="1"/>
  <c r="AB850" i="2" a="1"/>
  <c r="AB850" i="2" s="1"/>
  <c r="AB851" i="2" a="1"/>
  <c r="AB851" i="2" s="1"/>
  <c r="AB852" i="2" a="1"/>
  <c r="AB852" i="2" s="1"/>
  <c r="AB853" i="2" a="1"/>
  <c r="AB853" i="2" s="1"/>
  <c r="AB854" i="2" a="1"/>
  <c r="AB854" i="2" s="1"/>
  <c r="AB855" i="2" a="1"/>
  <c r="AB855" i="2" s="1"/>
  <c r="AB856" i="2" a="1"/>
  <c r="AB856" i="2" s="1"/>
  <c r="AB857" i="2" a="1"/>
  <c r="AB857" i="2" s="1"/>
  <c r="AB858" i="2" a="1"/>
  <c r="AB858" i="2" s="1"/>
  <c r="AB859" i="2" a="1"/>
  <c r="AB859" i="2" s="1"/>
  <c r="AB860" i="2" a="1"/>
  <c r="AB860" i="2" s="1"/>
  <c r="AB861" i="2" a="1"/>
  <c r="AB861" i="2" s="1"/>
  <c r="AB862" i="2" a="1"/>
  <c r="AB862" i="2" s="1"/>
  <c r="AB863" i="2" a="1"/>
  <c r="AB863" i="2" s="1"/>
  <c r="AB864" i="2" a="1"/>
  <c r="AB864" i="2" s="1"/>
  <c r="AB865" i="2" a="1"/>
  <c r="AB865" i="2" s="1"/>
  <c r="AB866" i="2" a="1"/>
  <c r="AB866" i="2" s="1"/>
  <c r="AB867" i="2" a="1"/>
  <c r="AB867" i="2" s="1"/>
  <c r="AB868" i="2" a="1"/>
  <c r="AB868" i="2" s="1"/>
  <c r="AB869" i="2" a="1"/>
  <c r="AB869" i="2" s="1"/>
  <c r="AB870" i="2" a="1"/>
  <c r="AB870" i="2" s="1"/>
  <c r="AB871" i="2" a="1"/>
  <c r="AB871" i="2" s="1"/>
  <c r="AB872" i="2" a="1"/>
  <c r="AB872" i="2" s="1"/>
  <c r="AB873" i="2" a="1"/>
  <c r="AB873" i="2" s="1"/>
  <c r="AB874" i="2" a="1"/>
  <c r="AB874" i="2" s="1"/>
  <c r="AB875" i="2" a="1"/>
  <c r="AB875" i="2" s="1"/>
  <c r="AB876" i="2" a="1"/>
  <c r="AB876" i="2" s="1"/>
  <c r="AB877" i="2" a="1"/>
  <c r="AB877" i="2" s="1"/>
  <c r="AB878" i="2" a="1"/>
  <c r="AB878" i="2" s="1"/>
  <c r="AB879" i="2" a="1"/>
  <c r="AB879" i="2" s="1"/>
  <c r="AB880" i="2" a="1"/>
  <c r="AB880" i="2" s="1"/>
  <c r="AB881" i="2" a="1"/>
  <c r="AB881" i="2" s="1"/>
  <c r="AB882" i="2" a="1"/>
  <c r="AB882" i="2" s="1"/>
  <c r="AB883" i="2" a="1"/>
  <c r="AB883" i="2" s="1"/>
  <c r="AB884" i="2" a="1"/>
  <c r="AB884" i="2" s="1"/>
  <c r="AB885" i="2" a="1"/>
  <c r="AB885" i="2" s="1"/>
  <c r="AB886" i="2" a="1"/>
  <c r="AB886" i="2" s="1"/>
  <c r="AB887" i="2" a="1"/>
  <c r="AB887" i="2" s="1"/>
  <c r="AB888" i="2" a="1"/>
  <c r="AB888" i="2" s="1"/>
  <c r="AB889" i="2" a="1"/>
  <c r="AB889" i="2" s="1"/>
  <c r="AB890" i="2" a="1"/>
  <c r="AB890" i="2" s="1"/>
  <c r="AB891" i="2" a="1"/>
  <c r="AB891" i="2" s="1"/>
  <c r="AB892" i="2" a="1"/>
  <c r="AB892" i="2" s="1"/>
  <c r="AB893" i="2" a="1"/>
  <c r="AB893" i="2" s="1"/>
  <c r="AB894" i="2" a="1"/>
  <c r="AB894" i="2" s="1"/>
  <c r="AB895" i="2" a="1"/>
  <c r="AB895" i="2" s="1"/>
  <c r="AB896" i="2" a="1"/>
  <c r="AB896" i="2" s="1"/>
  <c r="AB897" i="2" a="1"/>
  <c r="AB897" i="2" s="1"/>
  <c r="AB898" i="2" a="1"/>
  <c r="AB898" i="2" s="1"/>
  <c r="AB899" i="2" a="1"/>
  <c r="AB899" i="2" s="1"/>
  <c r="AB900" i="2" a="1"/>
  <c r="AB900" i="2" s="1"/>
  <c r="AB901" i="2" a="1"/>
  <c r="AB901" i="2" s="1"/>
  <c r="AB902" i="2" a="1"/>
  <c r="AB902" i="2" s="1"/>
  <c r="AB903" i="2" a="1"/>
  <c r="AB903" i="2" s="1"/>
  <c r="AB904" i="2" a="1"/>
  <c r="AB904" i="2" s="1"/>
  <c r="AB905" i="2" a="1"/>
  <c r="AB905" i="2" s="1"/>
  <c r="AB906" i="2" a="1"/>
  <c r="AB906" i="2" s="1"/>
  <c r="AB907" i="2" a="1"/>
  <c r="AB907" i="2" s="1"/>
  <c r="AB908" i="2" a="1"/>
  <c r="AB908" i="2" s="1"/>
  <c r="AB909" i="2" a="1"/>
  <c r="AB909" i="2" s="1"/>
  <c r="AB910" i="2" a="1"/>
  <c r="AB910" i="2" s="1"/>
  <c r="AB911" i="2" a="1"/>
  <c r="AB911" i="2" s="1"/>
  <c r="AB912" i="2" a="1"/>
  <c r="AB912" i="2" s="1"/>
  <c r="AB913" i="2" a="1"/>
  <c r="AB913" i="2" s="1"/>
  <c r="AB914" i="2" a="1"/>
  <c r="AB914" i="2" s="1"/>
  <c r="AB915" i="2" a="1"/>
  <c r="AB915" i="2" s="1"/>
  <c r="AB916" i="2" a="1"/>
  <c r="AB916" i="2" s="1"/>
  <c r="AB917" i="2" a="1"/>
  <c r="AB917" i="2" s="1"/>
  <c r="AB918" i="2" a="1"/>
  <c r="AB918" i="2" s="1"/>
  <c r="AB919" i="2" a="1"/>
  <c r="AB919" i="2" s="1"/>
  <c r="AB920" i="2" a="1"/>
  <c r="AB920" i="2" s="1"/>
  <c r="AB921" i="2" a="1"/>
  <c r="AB921" i="2" s="1"/>
  <c r="AB922" i="2" a="1"/>
  <c r="AB922" i="2" s="1"/>
  <c r="AB923" i="2" a="1"/>
  <c r="AB923" i="2" s="1"/>
  <c r="AB924" i="2" a="1"/>
  <c r="AB924" i="2" s="1"/>
  <c r="AB925" i="2" a="1"/>
  <c r="AB925" i="2" s="1"/>
  <c r="AB926" i="2" a="1"/>
  <c r="AB926" i="2" s="1"/>
  <c r="AB927" i="2" a="1"/>
  <c r="AB927" i="2" s="1"/>
  <c r="AB928" i="2" a="1"/>
  <c r="AB928" i="2" s="1"/>
  <c r="AB929" i="2" a="1"/>
  <c r="AB929" i="2" s="1"/>
  <c r="AB930" i="2" a="1"/>
  <c r="AB930" i="2" s="1"/>
  <c r="AB931" i="2" a="1"/>
  <c r="AB931" i="2" s="1"/>
  <c r="AB932" i="2" a="1"/>
  <c r="AB932" i="2" s="1"/>
  <c r="AB933" i="2" a="1"/>
  <c r="AB933" i="2" s="1"/>
  <c r="AB934" i="2" a="1"/>
  <c r="AB934" i="2" s="1"/>
  <c r="AB935" i="2" a="1"/>
  <c r="AB935" i="2" s="1"/>
  <c r="AB936" i="2" a="1"/>
  <c r="AB936" i="2" s="1"/>
  <c r="AB937" i="2" a="1"/>
  <c r="AB937" i="2" s="1"/>
  <c r="AB938" i="2" a="1"/>
  <c r="AB938" i="2" s="1"/>
  <c r="AB939" i="2" a="1"/>
  <c r="AB939" i="2" s="1"/>
  <c r="AB940" i="2" a="1"/>
  <c r="AB940" i="2" s="1"/>
  <c r="AB941" i="2" a="1"/>
  <c r="AB941" i="2" s="1"/>
  <c r="AB942" i="2" a="1"/>
  <c r="AB942" i="2" s="1"/>
  <c r="AB943" i="2" a="1"/>
  <c r="AB943" i="2" s="1"/>
  <c r="AB944" i="2" a="1"/>
  <c r="AB944" i="2" s="1"/>
  <c r="AB945" i="2" a="1"/>
  <c r="AB945" i="2" s="1"/>
  <c r="AB946" i="2" a="1"/>
  <c r="AB946" i="2" s="1"/>
  <c r="AB947" i="2" a="1"/>
  <c r="AB947" i="2" s="1"/>
  <c r="AB948" i="2" a="1"/>
  <c r="AB948" i="2" s="1"/>
  <c r="AB949" i="2" a="1"/>
  <c r="AB949" i="2" s="1"/>
  <c r="AB950" i="2" a="1"/>
  <c r="AB950" i="2" s="1"/>
  <c r="AB951" i="2" a="1"/>
  <c r="AB951" i="2" s="1"/>
  <c r="AB952" i="2" a="1"/>
  <c r="AB952" i="2" s="1"/>
  <c r="AB953" i="2" a="1"/>
  <c r="AB953" i="2" s="1"/>
  <c r="AB954" i="2" a="1"/>
  <c r="AB954" i="2" s="1"/>
  <c r="AB955" i="2" a="1"/>
  <c r="AB955" i="2" s="1"/>
  <c r="AB956" i="2" a="1"/>
  <c r="AB956" i="2" s="1"/>
  <c r="AB957" i="2" a="1"/>
  <c r="AB957" i="2" s="1"/>
  <c r="AB958" i="2" a="1"/>
  <c r="AB958" i="2" s="1"/>
  <c r="AB959" i="2" a="1"/>
  <c r="AB959" i="2" s="1"/>
  <c r="AB960" i="2" a="1"/>
  <c r="AB960" i="2" s="1"/>
  <c r="AB961" i="2" a="1"/>
  <c r="AB961" i="2" s="1"/>
  <c r="AB962" i="2" a="1"/>
  <c r="AB962" i="2" s="1"/>
  <c r="AB963" i="2" a="1"/>
  <c r="AB963" i="2" s="1"/>
  <c r="AB964" i="2" a="1"/>
  <c r="AB964" i="2" s="1"/>
  <c r="AB965" i="2" a="1"/>
  <c r="AB965" i="2" s="1"/>
  <c r="AB966" i="2" a="1"/>
  <c r="AB966" i="2" s="1"/>
  <c r="AB967" i="2" a="1"/>
  <c r="AB967" i="2" s="1"/>
  <c r="AB968" i="2" a="1"/>
  <c r="AB968" i="2" s="1"/>
  <c r="AB969" i="2" a="1"/>
  <c r="AB969" i="2" s="1"/>
  <c r="AB970" i="2" a="1"/>
  <c r="AB970" i="2" s="1"/>
  <c r="AB971" i="2" a="1"/>
  <c r="AB971" i="2" s="1"/>
  <c r="AB972" i="2" a="1"/>
  <c r="AB972" i="2" s="1"/>
  <c r="AB973" i="2" a="1"/>
  <c r="AB973" i="2" s="1"/>
  <c r="AB974" i="2" a="1"/>
  <c r="AB974" i="2" s="1"/>
  <c r="AB975" i="2" a="1"/>
  <c r="AB975" i="2" s="1"/>
  <c r="AB976" i="2" a="1"/>
  <c r="AB976" i="2" s="1"/>
  <c r="AB977" i="2" a="1"/>
  <c r="AB977" i="2" s="1"/>
  <c r="AB978" i="2" a="1"/>
  <c r="AB978" i="2" s="1"/>
  <c r="AB979" i="2" a="1"/>
  <c r="AB979" i="2" s="1"/>
  <c r="AB980" i="2" a="1"/>
  <c r="AB980" i="2" s="1"/>
  <c r="AB981" i="2" a="1"/>
  <c r="AB981" i="2" s="1"/>
  <c r="AB982" i="2" a="1"/>
  <c r="AB982" i="2" s="1"/>
  <c r="AB983" i="2" a="1"/>
  <c r="AB983" i="2" s="1"/>
  <c r="AB984" i="2" a="1"/>
  <c r="AB984" i="2" s="1"/>
  <c r="AB985" i="2" a="1"/>
  <c r="AB985" i="2" s="1"/>
  <c r="AB986" i="2" a="1"/>
  <c r="AB986" i="2" s="1"/>
  <c r="AB987" i="2" a="1"/>
  <c r="AB987" i="2" s="1"/>
  <c r="AB988" i="2" a="1"/>
  <c r="AB988" i="2" s="1"/>
  <c r="AB989" i="2" a="1"/>
  <c r="AB989" i="2" s="1"/>
  <c r="AB990" i="2" a="1"/>
  <c r="AB990" i="2" s="1"/>
  <c r="AB991" i="2" a="1"/>
  <c r="AB991" i="2" s="1"/>
  <c r="AB992" i="2" a="1"/>
  <c r="AB992" i="2" s="1"/>
  <c r="AB993" i="2" a="1"/>
  <c r="AB993" i="2" s="1"/>
  <c r="AB994" i="2" a="1"/>
  <c r="AB994" i="2" s="1"/>
  <c r="AB995" i="2" a="1"/>
  <c r="AB995" i="2" s="1"/>
  <c r="AB996" i="2" a="1"/>
  <c r="AB996" i="2" s="1"/>
  <c r="AB997" i="2" a="1"/>
  <c r="AB997" i="2" s="1"/>
  <c r="AB998" i="2" a="1"/>
  <c r="AB998" i="2" s="1"/>
  <c r="AB999" i="2" a="1"/>
  <c r="AB999" i="2" s="1"/>
  <c r="AB1000" i="2" a="1"/>
  <c r="AB1000" i="2" s="1"/>
  <c r="AB1001" i="2" a="1"/>
  <c r="AB1001" i="2" s="1"/>
  <c r="AB1002" i="2" a="1"/>
  <c r="AB1002" i="2" s="1"/>
  <c r="AB1003" i="2" a="1"/>
  <c r="AB1003" i="2" s="1"/>
  <c r="AB1004" i="2" a="1"/>
  <c r="AB1004" i="2" s="1"/>
  <c r="AB1005" i="2" a="1"/>
  <c r="AB1005" i="2" s="1"/>
  <c r="AB1006" i="2" a="1"/>
  <c r="AB1006" i="2" s="1"/>
  <c r="AB1007" i="2" a="1"/>
  <c r="AB1007" i="2" s="1"/>
  <c r="AB1008" i="2" a="1"/>
  <c r="AB1008" i="2" s="1"/>
  <c r="AB1009" i="2" a="1"/>
  <c r="AB1009" i="2" s="1"/>
  <c r="AB1010" i="2" a="1"/>
  <c r="AB1010" i="2" s="1"/>
  <c r="AB1011" i="2" a="1"/>
  <c r="AB1011" i="2" s="1"/>
  <c r="AB1012" i="2" a="1"/>
  <c r="AB1012" i="2" s="1"/>
  <c r="AB1013" i="2" a="1"/>
  <c r="AB1013" i="2" s="1"/>
  <c r="AB1014" i="2" a="1"/>
  <c r="AB1014" i="2" s="1"/>
  <c r="AB1015" i="2" a="1"/>
  <c r="AB1015" i="2" s="1"/>
  <c r="AB1016" i="2" a="1"/>
  <c r="AB1016" i="2" s="1"/>
  <c r="AB1017" i="2" a="1"/>
  <c r="AB1017" i="2" s="1"/>
  <c r="AB1018" i="2" a="1"/>
  <c r="AB1018" i="2" s="1"/>
  <c r="AB1019" i="2" a="1"/>
  <c r="AB1019" i="2" s="1"/>
  <c r="AB1020" i="2" a="1"/>
  <c r="AB1020" i="2" s="1"/>
  <c r="AB1021" i="2" a="1"/>
  <c r="AB1021" i="2" s="1"/>
  <c r="AB1022" i="2" a="1"/>
  <c r="AB1022" i="2" s="1"/>
  <c r="AB1023" i="2" a="1"/>
  <c r="AB1023" i="2" s="1"/>
  <c r="AB1024" i="2" a="1"/>
  <c r="AB1024" i="2" s="1"/>
  <c r="AB1025" i="2" a="1"/>
  <c r="AB1025" i="2" s="1"/>
  <c r="AB1026" i="2" a="1"/>
  <c r="AB1026" i="2" s="1"/>
  <c r="AB1027" i="2" a="1"/>
  <c r="AB1027" i="2" s="1"/>
  <c r="AB1028" i="2" a="1"/>
  <c r="AB1028" i="2" s="1"/>
  <c r="AB1029" i="2" a="1"/>
  <c r="AB1029" i="2" s="1"/>
  <c r="AB1030" i="2" a="1"/>
  <c r="AB1030" i="2" s="1"/>
  <c r="AB1031" i="2" a="1"/>
  <c r="AB1031" i="2" s="1"/>
  <c r="AB1032" i="2" a="1"/>
  <c r="AB1032" i="2" s="1"/>
  <c r="AB1033" i="2" a="1"/>
  <c r="AB1033" i="2" s="1"/>
  <c r="AB1034" i="2" a="1"/>
  <c r="AB1034" i="2" s="1"/>
  <c r="AB1035" i="2" a="1"/>
  <c r="AB1035" i="2" s="1"/>
  <c r="AB1036" i="2" a="1"/>
  <c r="AB1036" i="2" s="1"/>
  <c r="AB1037" i="2" a="1"/>
  <c r="AB1037" i="2" s="1"/>
  <c r="AB1038" i="2" a="1"/>
  <c r="AB1038" i="2" s="1"/>
  <c r="AB1039" i="2" a="1"/>
  <c r="AB1039" i="2" s="1"/>
  <c r="AB1040" i="2" a="1"/>
  <c r="AB1040" i="2" s="1"/>
  <c r="AB1041" i="2" a="1"/>
  <c r="AB1041" i="2" s="1"/>
  <c r="AB1042" i="2" a="1"/>
  <c r="AB1042" i="2" s="1"/>
  <c r="AB1043" i="2" a="1"/>
  <c r="AB1043" i="2" s="1"/>
  <c r="AB1044" i="2" a="1"/>
  <c r="AB1044" i="2" s="1"/>
  <c r="AB1045" i="2" a="1"/>
  <c r="AB1045" i="2" s="1"/>
  <c r="AB1046" i="2" a="1"/>
  <c r="AB1046" i="2" s="1"/>
  <c r="AB1047" i="2" a="1"/>
  <c r="AB1047" i="2" s="1"/>
  <c r="AB1048" i="2" a="1"/>
  <c r="AB1048" i="2" s="1"/>
  <c r="AB1049" i="2" a="1"/>
  <c r="AB1049" i="2" s="1"/>
  <c r="AB1050" i="2" a="1"/>
  <c r="AB1050" i="2" s="1"/>
  <c r="AB1051" i="2" a="1"/>
  <c r="AB1051" i="2" s="1"/>
  <c r="AB1052" i="2" a="1"/>
  <c r="AB1052" i="2" s="1"/>
  <c r="AB1053" i="2" a="1"/>
  <c r="AB1053" i="2" s="1"/>
  <c r="AB1054" i="2" a="1"/>
  <c r="AB1054" i="2" s="1"/>
  <c r="AB1055" i="2" a="1"/>
  <c r="AB1055" i="2" s="1"/>
  <c r="AB1056" i="2" a="1"/>
  <c r="AB1056" i="2" s="1"/>
  <c r="AB1057" i="2" a="1"/>
  <c r="AB1057" i="2" s="1"/>
  <c r="AB1058" i="2" a="1"/>
  <c r="AB1058" i="2" s="1"/>
  <c r="AB1059" i="2" a="1"/>
  <c r="AB1059" i="2" s="1"/>
  <c r="AB1060" i="2" a="1"/>
  <c r="AB1060" i="2" s="1"/>
  <c r="AB1061" i="2" a="1"/>
  <c r="AB1061" i="2" s="1"/>
  <c r="AB1062" i="2" a="1"/>
  <c r="AB1062" i="2" s="1"/>
  <c r="AB1063" i="2" a="1"/>
  <c r="AB1063" i="2" s="1"/>
  <c r="AB1064" i="2" a="1"/>
  <c r="AB1064" i="2" s="1"/>
  <c r="AB1065" i="2" a="1"/>
  <c r="AB1065" i="2" s="1"/>
  <c r="AB1066" i="2" a="1"/>
  <c r="AB1066" i="2" s="1"/>
  <c r="AB1067" i="2" a="1"/>
  <c r="AB1067" i="2" s="1"/>
  <c r="AB1068" i="2" a="1"/>
  <c r="AB1068" i="2" s="1"/>
  <c r="AB1069" i="2" a="1"/>
  <c r="AB1069" i="2" s="1"/>
  <c r="AB1070" i="2" a="1"/>
  <c r="AB1070" i="2" s="1"/>
  <c r="AB1071" i="2" a="1"/>
  <c r="AB1071" i="2" s="1"/>
  <c r="AB1072" i="2" a="1"/>
  <c r="AB1072" i="2" s="1"/>
  <c r="AB1073" i="2" a="1"/>
  <c r="AB1073" i="2" s="1"/>
  <c r="AB1074" i="2" a="1"/>
  <c r="AB1074" i="2" s="1"/>
  <c r="AB1075" i="2" a="1"/>
  <c r="AB1075" i="2" s="1"/>
  <c r="AB1076" i="2" a="1"/>
  <c r="AB1076" i="2" s="1"/>
  <c r="AB1077" i="2" a="1"/>
  <c r="AB1077" i="2" s="1"/>
  <c r="AB1078" i="2" a="1"/>
  <c r="AB1078" i="2" s="1"/>
  <c r="AB1079" i="2" a="1"/>
  <c r="AB1079" i="2" s="1"/>
  <c r="AB1080" i="2" a="1"/>
  <c r="AB1080" i="2" s="1"/>
  <c r="AB1081" i="2" a="1"/>
  <c r="AB1081" i="2" s="1"/>
  <c r="AB1082" i="2" a="1"/>
  <c r="AB1082" i="2" s="1"/>
  <c r="AB1083" i="2" a="1"/>
  <c r="AB1083" i="2" s="1"/>
  <c r="AB1084" i="2" a="1"/>
  <c r="AB1084" i="2" s="1"/>
  <c r="AB1085" i="2" a="1"/>
  <c r="AB1085" i="2" s="1"/>
  <c r="AB1086" i="2" a="1"/>
  <c r="AB1086" i="2" s="1"/>
  <c r="AB1087" i="2" a="1"/>
  <c r="AB1087" i="2" s="1"/>
  <c r="AB1088" i="2" a="1"/>
  <c r="AB1088" i="2" s="1"/>
  <c r="AB1089" i="2" a="1"/>
  <c r="AB1089" i="2" s="1"/>
  <c r="AB1090" i="2" a="1"/>
  <c r="AB1090" i="2" s="1"/>
  <c r="AB1091" i="2" a="1"/>
  <c r="AB1091" i="2" s="1"/>
  <c r="AB1092" i="2" a="1"/>
  <c r="AB1092" i="2" s="1"/>
  <c r="AB1093" i="2" a="1"/>
  <c r="AB1093" i="2" s="1"/>
  <c r="AB1094" i="2" a="1"/>
  <c r="AB1094" i="2" s="1"/>
  <c r="AB1095" i="2" a="1"/>
  <c r="AB1095" i="2" s="1"/>
  <c r="AB1096" i="2" a="1"/>
  <c r="AB1096" i="2" s="1"/>
  <c r="AB1097" i="2" a="1"/>
  <c r="AB1097" i="2" s="1"/>
  <c r="AB1098" i="2" a="1"/>
  <c r="AB1098" i="2" s="1"/>
  <c r="AB1099" i="2" a="1"/>
  <c r="AB1099" i="2" s="1"/>
  <c r="AB1100" i="2" a="1"/>
  <c r="AB1100" i="2" s="1"/>
  <c r="AB1101" i="2" a="1"/>
  <c r="AB1101" i="2" s="1"/>
  <c r="AB1102" i="2" a="1"/>
  <c r="AB1102" i="2" s="1"/>
  <c r="AB1103" i="2" a="1"/>
  <c r="AB1103" i="2" s="1"/>
  <c r="AB1104" i="2" a="1"/>
  <c r="AB1104" i="2" s="1"/>
  <c r="AB1105" i="2" a="1"/>
  <c r="AB1105" i="2" s="1"/>
  <c r="AB1106" i="2" a="1"/>
  <c r="AB1106" i="2" s="1"/>
  <c r="AB1107" i="2" a="1"/>
  <c r="AB1107" i="2" s="1"/>
  <c r="AB1108" i="2" a="1"/>
  <c r="AB1108" i="2" s="1"/>
  <c r="AB1109" i="2" a="1"/>
  <c r="AB1109" i="2" s="1"/>
  <c r="AB1110" i="2" a="1"/>
  <c r="AB1110" i="2" s="1"/>
  <c r="AB1111" i="2" a="1"/>
  <c r="AB1111" i="2" s="1"/>
  <c r="AB1112" i="2" a="1"/>
  <c r="AB1112" i="2" s="1"/>
  <c r="AB1113" i="2" a="1"/>
  <c r="AB1113" i="2" s="1"/>
  <c r="AB1114" i="2" a="1"/>
  <c r="AB1114" i="2" s="1"/>
  <c r="AB1115" i="2" a="1"/>
  <c r="AB1115" i="2" s="1"/>
  <c r="AB1116" i="2" a="1"/>
  <c r="AB1116" i="2" s="1"/>
  <c r="AB1117" i="2" a="1"/>
  <c r="AB1117" i="2" s="1"/>
  <c r="AB1118" i="2" a="1"/>
  <c r="AB1118" i="2" s="1"/>
  <c r="AB1119" i="2" a="1"/>
  <c r="AB1119" i="2" s="1"/>
  <c r="AB1120" i="2" a="1"/>
  <c r="AB1120" i="2" s="1"/>
  <c r="AB1121" i="2" a="1"/>
  <c r="AB1121" i="2" s="1"/>
  <c r="AB1122" i="2" a="1"/>
  <c r="AB1122" i="2" s="1"/>
  <c r="AB1123" i="2" a="1"/>
  <c r="AB1123" i="2" s="1"/>
  <c r="AB1124" i="2" a="1"/>
  <c r="AB1124" i="2" s="1"/>
  <c r="AB1125" i="2" a="1"/>
  <c r="AB1125" i="2" s="1"/>
  <c r="AB1126" i="2" a="1"/>
  <c r="AB1126" i="2" s="1"/>
  <c r="AB1127" i="2" a="1"/>
  <c r="AB1127" i="2" s="1"/>
  <c r="AB1128" i="2" a="1"/>
  <c r="AB1128" i="2" s="1"/>
  <c r="AB1129" i="2" a="1"/>
  <c r="AB1129" i="2" s="1"/>
  <c r="AB1130" i="2" a="1"/>
  <c r="AB1130" i="2" s="1"/>
  <c r="AB1131" i="2" a="1"/>
  <c r="AB1131" i="2" s="1"/>
  <c r="AB1132" i="2" a="1"/>
  <c r="AB1132" i="2" s="1"/>
  <c r="AB1133" i="2" a="1"/>
  <c r="AB1133" i="2" s="1"/>
  <c r="AB1134" i="2" a="1"/>
  <c r="AB1134" i="2" s="1"/>
  <c r="AB1135" i="2" a="1"/>
  <c r="AB1135" i="2" s="1"/>
  <c r="AB1136" i="2" a="1"/>
  <c r="AB1136" i="2" s="1"/>
  <c r="AB1137" i="2" a="1"/>
  <c r="AB1137" i="2" s="1"/>
  <c r="AB1138" i="2" a="1"/>
  <c r="AB1138" i="2" s="1"/>
  <c r="AB1139" i="2" a="1"/>
  <c r="AB1139" i="2" s="1"/>
  <c r="AB1140" i="2" a="1"/>
  <c r="AB1140" i="2" s="1"/>
  <c r="AB1141" i="2" a="1"/>
  <c r="AB1141" i="2" s="1"/>
  <c r="AB1142" i="2" a="1"/>
  <c r="AB1142" i="2" s="1"/>
  <c r="AB1143" i="2" a="1"/>
  <c r="AB1143" i="2" s="1"/>
  <c r="AB1144" i="2" a="1"/>
  <c r="AB1144" i="2" s="1"/>
  <c r="AB1145" i="2" a="1"/>
  <c r="AB1145" i="2" s="1"/>
  <c r="AB1146" i="2" a="1"/>
  <c r="AB1146" i="2" s="1"/>
  <c r="AB1147" i="2" a="1"/>
  <c r="AB1147" i="2" s="1"/>
  <c r="AB1148" i="2" a="1"/>
  <c r="AB1148" i="2" s="1"/>
  <c r="AB1149" i="2" a="1"/>
  <c r="AB1149" i="2" s="1"/>
  <c r="AB1150" i="2" a="1"/>
  <c r="AB1150" i="2" s="1"/>
  <c r="AB1151" i="2" a="1"/>
  <c r="AB1151" i="2" s="1"/>
  <c r="AB1152" i="2" a="1"/>
  <c r="AB1152" i="2" s="1"/>
  <c r="AB1153" i="2" a="1"/>
  <c r="AB1153" i="2" s="1"/>
  <c r="AB1154" i="2" a="1"/>
  <c r="AB1154" i="2" s="1"/>
  <c r="AB1155" i="2" a="1"/>
  <c r="AB1155" i="2" s="1"/>
  <c r="AB1156" i="2" a="1"/>
  <c r="AB1156" i="2" s="1"/>
  <c r="AB1157" i="2" a="1"/>
  <c r="AB1157" i="2" s="1"/>
  <c r="AB1158" i="2" a="1"/>
  <c r="AB1158" i="2" s="1"/>
  <c r="AB1159" i="2" a="1"/>
  <c r="AB1159" i="2" s="1"/>
  <c r="AB1160" i="2" a="1"/>
  <c r="AB1160" i="2" s="1"/>
  <c r="AB1161" i="2" a="1"/>
  <c r="AB1161" i="2" s="1"/>
  <c r="AB1162" i="2" a="1"/>
  <c r="AB1162" i="2" s="1"/>
  <c r="AB1163" i="2" a="1"/>
  <c r="AB1163" i="2" s="1"/>
  <c r="AB1164" i="2" a="1"/>
  <c r="AB1164" i="2" s="1"/>
  <c r="AB1165" i="2" a="1"/>
  <c r="AB1165" i="2" s="1"/>
  <c r="AB1166" i="2" a="1"/>
  <c r="AB1166" i="2" s="1"/>
  <c r="AB1167" i="2" a="1"/>
  <c r="AB1167" i="2" s="1"/>
  <c r="AB1168" i="2" a="1"/>
  <c r="AB1168" i="2" s="1"/>
  <c r="AB1169" i="2" a="1"/>
  <c r="AB1169" i="2" s="1"/>
  <c r="AB1170" i="2" a="1"/>
  <c r="AB1170" i="2" s="1"/>
  <c r="AB1171" i="2" a="1"/>
  <c r="AB1171" i="2" s="1"/>
  <c r="AB1172" i="2" a="1"/>
  <c r="AB1172" i="2" s="1"/>
  <c r="AB1173" i="2" a="1"/>
  <c r="AB1173" i="2" s="1"/>
  <c r="AB1174" i="2" a="1"/>
  <c r="AB1174" i="2" s="1"/>
  <c r="AB1175" i="2" a="1"/>
  <c r="AB1175" i="2" s="1"/>
  <c r="AB1176" i="2" a="1"/>
  <c r="AB1176" i="2" s="1"/>
  <c r="AB1177" i="2" a="1"/>
  <c r="AB1177" i="2" s="1"/>
  <c r="AB1178" i="2" a="1"/>
  <c r="AB1178" i="2" s="1"/>
  <c r="AB1179" i="2" a="1"/>
  <c r="AB1179" i="2" s="1"/>
  <c r="AB1180" i="2" a="1"/>
  <c r="AB1180" i="2" s="1"/>
  <c r="AB1181" i="2" a="1"/>
  <c r="AB1181" i="2" s="1"/>
  <c r="AB1182" i="2" a="1"/>
  <c r="AB1182" i="2" s="1"/>
  <c r="AB1183" i="2" a="1"/>
  <c r="AB1183" i="2" s="1"/>
  <c r="AB1184" i="2" a="1"/>
  <c r="AB1184" i="2" s="1"/>
  <c r="AB1185" i="2" a="1"/>
  <c r="AB1185" i="2" s="1"/>
  <c r="AB1186" i="2" a="1"/>
  <c r="AB1186" i="2" s="1"/>
  <c r="AB1187" i="2" a="1"/>
  <c r="AB1187" i="2" s="1"/>
  <c r="AB1188" i="2" a="1"/>
  <c r="AB1188" i="2" s="1"/>
  <c r="AB1189" i="2" a="1"/>
  <c r="AB1189" i="2" s="1"/>
  <c r="AB1190" i="2" a="1"/>
  <c r="AB1190" i="2" s="1"/>
  <c r="AB1191" i="2" a="1"/>
  <c r="AB1191" i="2" s="1"/>
  <c r="AB1192" i="2" a="1"/>
  <c r="AB1192" i="2" s="1"/>
  <c r="AB1193" i="2" a="1"/>
  <c r="AB1193" i="2" s="1"/>
  <c r="AB1194" i="2" a="1"/>
  <c r="AB1194" i="2" s="1"/>
  <c r="AB1195" i="2" a="1"/>
  <c r="AB1195" i="2" s="1"/>
  <c r="AB1196" i="2" a="1"/>
  <c r="AB1196" i="2" s="1"/>
  <c r="AB1197" i="2" a="1"/>
  <c r="AB1197" i="2" s="1"/>
  <c r="AB1198" i="2" a="1"/>
  <c r="AB1198" i="2" s="1"/>
  <c r="AB1199" i="2" a="1"/>
  <c r="AB1199" i="2" s="1"/>
  <c r="AB1200" i="2" a="1"/>
  <c r="AB1200" i="2" s="1"/>
  <c r="AB1201" i="2" a="1"/>
  <c r="AB1201" i="2" s="1"/>
  <c r="AB1202" i="2" a="1"/>
  <c r="AB1202" i="2" s="1"/>
  <c r="AB1203" i="2" a="1"/>
  <c r="AB1203" i="2" s="1"/>
  <c r="AB1204" i="2" a="1"/>
  <c r="AB1204" i="2" s="1"/>
  <c r="AB1205" i="2" a="1"/>
  <c r="AB1205" i="2" s="1"/>
  <c r="AB1206" i="2" a="1"/>
  <c r="AB1206" i="2" s="1"/>
  <c r="AB1207" i="2" a="1"/>
  <c r="AB1207" i="2" s="1"/>
  <c r="AB1208" i="2" a="1"/>
  <c r="AB1208" i="2" s="1"/>
  <c r="AB1209" i="2" a="1"/>
  <c r="AB1209" i="2" s="1"/>
  <c r="AB1210" i="2" a="1"/>
  <c r="AB1210" i="2" s="1"/>
  <c r="AB1211" i="2" a="1"/>
  <c r="AB1211" i="2" s="1"/>
  <c r="AB1212" i="2" a="1"/>
  <c r="AB1212" i="2" s="1"/>
  <c r="AB1213" i="2" a="1"/>
  <c r="AB1213" i="2" s="1"/>
  <c r="AB1214" i="2" a="1"/>
  <c r="AB1214" i="2" s="1"/>
  <c r="AB1215" i="2" a="1"/>
  <c r="AB1215" i="2" s="1"/>
  <c r="AB1216" i="2" a="1"/>
  <c r="AB1216" i="2" s="1"/>
  <c r="AB1217" i="2" a="1"/>
  <c r="AB1217" i="2" s="1"/>
  <c r="AB1218" i="2" a="1"/>
  <c r="AB1218" i="2" s="1"/>
  <c r="AB1219" i="2" a="1"/>
  <c r="AB1219" i="2" s="1"/>
  <c r="AB1220" i="2" a="1"/>
  <c r="AB1220" i="2" s="1"/>
  <c r="AB1221" i="2" a="1"/>
  <c r="AB1221" i="2" s="1"/>
  <c r="AB1222" i="2" a="1"/>
  <c r="AB1222" i="2" s="1"/>
  <c r="AB1223" i="2" a="1"/>
  <c r="AB1223" i="2" s="1"/>
  <c r="AB1224" i="2" a="1"/>
  <c r="AB1224" i="2" s="1"/>
  <c r="AB1225" i="2" a="1"/>
  <c r="AB1225" i="2" s="1"/>
  <c r="AB1226" i="2" a="1"/>
  <c r="AB1226" i="2" s="1"/>
  <c r="AB1227" i="2" a="1"/>
  <c r="AB1227" i="2" s="1"/>
  <c r="AB1228" i="2" a="1"/>
  <c r="AB1228" i="2" s="1"/>
  <c r="AB1229" i="2" a="1"/>
  <c r="AB1229" i="2" s="1"/>
  <c r="AB1230" i="2" a="1"/>
  <c r="AB1230" i="2" s="1"/>
  <c r="AB1231" i="2" a="1"/>
  <c r="AB1231" i="2" s="1"/>
  <c r="AB1232" i="2" a="1"/>
  <c r="AB1232" i="2" s="1"/>
  <c r="AB1233" i="2" a="1"/>
  <c r="AB1233" i="2" s="1"/>
  <c r="AB1234" i="2" a="1"/>
  <c r="AB1234" i="2" s="1"/>
  <c r="AB1235" i="2" a="1"/>
  <c r="AB1235" i="2" s="1"/>
  <c r="AB1236" i="2" a="1"/>
  <c r="AB1236" i="2" s="1"/>
  <c r="AB1237" i="2" a="1"/>
  <c r="AB1237" i="2" s="1"/>
  <c r="AB1238" i="2" a="1"/>
  <c r="AB1238" i="2" s="1"/>
  <c r="AB1239" i="2" a="1"/>
  <c r="AB1239" i="2" s="1"/>
  <c r="AB1240" i="2" a="1"/>
  <c r="AB1240" i="2" s="1"/>
  <c r="AB1241" i="2" a="1"/>
  <c r="AB1241" i="2" s="1"/>
  <c r="AB1242" i="2" a="1"/>
  <c r="AB1242" i="2" s="1"/>
  <c r="AB1243" i="2" a="1"/>
  <c r="AB1243" i="2" s="1"/>
  <c r="AB1244" i="2" a="1"/>
  <c r="AB1244" i="2" s="1"/>
  <c r="AB1245" i="2" a="1"/>
  <c r="AB1245" i="2" s="1"/>
  <c r="AB1246" i="2" a="1"/>
  <c r="AB1246" i="2" s="1"/>
  <c r="AB1247" i="2" a="1"/>
  <c r="AB1247" i="2" s="1"/>
  <c r="AB1248" i="2" a="1"/>
  <c r="AB1248" i="2" s="1"/>
  <c r="AB1249" i="2" a="1"/>
  <c r="AB1249" i="2" s="1"/>
  <c r="AB1250" i="2" a="1"/>
  <c r="AB1250" i="2" s="1"/>
  <c r="AB1251" i="2" a="1"/>
  <c r="AB1251" i="2" s="1"/>
  <c r="AB1252" i="2" a="1"/>
  <c r="AB1252" i="2" s="1"/>
  <c r="AB1253" i="2" a="1"/>
  <c r="AB1253" i="2" s="1"/>
  <c r="AB1254" i="2" a="1"/>
  <c r="AB1254" i="2" s="1"/>
  <c r="AB1255" i="2" a="1"/>
  <c r="AB1255" i="2" s="1"/>
  <c r="AB1256" i="2" a="1"/>
  <c r="AB1256" i="2" s="1"/>
  <c r="AB1257" i="2" a="1"/>
  <c r="AB1257" i="2" s="1"/>
  <c r="AB1258" i="2" a="1"/>
  <c r="AB1258" i="2" s="1"/>
  <c r="AB1259" i="2" a="1"/>
  <c r="AB1259" i="2" s="1"/>
  <c r="AB1260" i="2" a="1"/>
  <c r="AB1260" i="2" s="1"/>
  <c r="AB1261" i="2" a="1"/>
  <c r="AB1261" i="2" s="1"/>
  <c r="AB1262" i="2" a="1"/>
  <c r="AB1262" i="2" s="1"/>
  <c r="AB1263" i="2" a="1"/>
  <c r="AB1263" i="2" s="1"/>
  <c r="AB1264" i="2" a="1"/>
  <c r="AB1264" i="2" s="1"/>
  <c r="AB1265" i="2" a="1"/>
  <c r="AB1265" i="2" s="1"/>
  <c r="AB1266" i="2" a="1"/>
  <c r="AB1266" i="2" s="1"/>
  <c r="AB1267" i="2" a="1"/>
  <c r="AB1267" i="2" s="1"/>
  <c r="AB1268" i="2" a="1"/>
  <c r="AB1268" i="2" s="1"/>
  <c r="AB1269" i="2" a="1"/>
  <c r="AB1269" i="2" s="1"/>
  <c r="AB1270" i="2" a="1"/>
  <c r="AB1270" i="2" s="1"/>
  <c r="AB1271" i="2" a="1"/>
  <c r="AB1271" i="2" s="1"/>
  <c r="AB1272" i="2" a="1"/>
  <c r="AB1272" i="2" s="1"/>
  <c r="AB1273" i="2" a="1"/>
  <c r="AB1273" i="2" s="1"/>
  <c r="AB1274" i="2" a="1"/>
  <c r="AB1274" i="2" s="1"/>
  <c r="AB1275" i="2" a="1"/>
  <c r="AB1275" i="2" s="1"/>
  <c r="AB1276" i="2" a="1"/>
  <c r="AB1276" i="2" s="1"/>
  <c r="AB1277" i="2" a="1"/>
  <c r="AB1277" i="2" s="1"/>
  <c r="AB1278" i="2" a="1"/>
  <c r="AB1278" i="2" s="1"/>
  <c r="AB1279" i="2" a="1"/>
  <c r="AB1279" i="2" s="1"/>
  <c r="AB1280" i="2" a="1"/>
  <c r="AB1280" i="2" s="1"/>
  <c r="AB1281" i="2" a="1"/>
  <c r="AB1281" i="2" s="1"/>
  <c r="AB1282" i="2" a="1"/>
  <c r="AB1282" i="2" s="1"/>
  <c r="AB1283" i="2" a="1"/>
  <c r="AB1283" i="2" s="1"/>
  <c r="AB1284" i="2" a="1"/>
  <c r="AB1284" i="2" s="1"/>
  <c r="AB1285" i="2" a="1"/>
  <c r="AB1285" i="2" s="1"/>
  <c r="AB1286" i="2" a="1"/>
  <c r="AB1286" i="2" s="1"/>
  <c r="AB1287" i="2" a="1"/>
  <c r="AB1287" i="2" s="1"/>
  <c r="AB1288" i="2" a="1"/>
  <c r="AB1288" i="2" s="1"/>
  <c r="AB1289" i="2" a="1"/>
  <c r="AB1289" i="2" s="1"/>
  <c r="AB1290" i="2" a="1"/>
  <c r="AB1290" i="2" s="1"/>
  <c r="AB1291" i="2" a="1"/>
  <c r="AB1291" i="2" s="1"/>
  <c r="AB1292" i="2" a="1"/>
  <c r="AB1292" i="2" s="1"/>
  <c r="AB1293" i="2" a="1"/>
  <c r="AB1293" i="2" s="1"/>
  <c r="AB1294" i="2" a="1"/>
  <c r="AB1294" i="2" s="1"/>
  <c r="AB1295" i="2" a="1"/>
  <c r="AB1295" i="2" s="1"/>
  <c r="AB1296" i="2" a="1"/>
  <c r="AB1296" i="2" s="1"/>
  <c r="AB1297" i="2" a="1"/>
  <c r="AB1297" i="2" s="1"/>
  <c r="AB1298" i="2" a="1"/>
  <c r="AB1298" i="2" s="1"/>
  <c r="AB1299" i="2" a="1"/>
  <c r="AB1299" i="2" s="1"/>
  <c r="AB1300" i="2" a="1"/>
  <c r="AB1300" i="2" s="1"/>
  <c r="AB1301" i="2" a="1"/>
  <c r="AB1301" i="2" s="1"/>
  <c r="AB1302" i="2" a="1"/>
  <c r="AB1302" i="2" s="1"/>
  <c r="AB1303" i="2" a="1"/>
  <c r="AB1303" i="2" s="1"/>
  <c r="AB1304" i="2" a="1"/>
  <c r="AB1304" i="2" s="1"/>
  <c r="AB1305" i="2" a="1"/>
  <c r="AB1305" i="2" s="1"/>
  <c r="AB1306" i="2" a="1"/>
  <c r="AB1306" i="2" s="1"/>
  <c r="AB1307" i="2" a="1"/>
  <c r="AB1307" i="2" s="1"/>
  <c r="AB1308" i="2" a="1"/>
  <c r="AB1308" i="2" s="1"/>
  <c r="AB1309" i="2" a="1"/>
  <c r="AB1309" i="2" s="1"/>
  <c r="AB1310" i="2" a="1"/>
  <c r="AB1310" i="2" s="1"/>
  <c r="AB1311" i="2" a="1"/>
  <c r="AB1311" i="2" s="1"/>
  <c r="AB1312" i="2" a="1"/>
  <c r="AB1312" i="2" s="1"/>
  <c r="AB1313" i="2" a="1"/>
  <c r="AB1313" i="2" s="1"/>
  <c r="AB1314" i="2" a="1"/>
  <c r="AB1314" i="2" s="1"/>
  <c r="AB1315" i="2" a="1"/>
  <c r="AB1315" i="2" s="1"/>
  <c r="AB1316" i="2" a="1"/>
  <c r="AB1316" i="2" s="1"/>
  <c r="AB1317" i="2" a="1"/>
  <c r="AB1317" i="2" s="1"/>
  <c r="AB1318" i="2" a="1"/>
  <c r="AB1318" i="2" s="1"/>
  <c r="AB1319" i="2" a="1"/>
  <c r="AB1319" i="2" s="1"/>
  <c r="AB1320" i="2" a="1"/>
  <c r="AB1320" i="2" s="1"/>
  <c r="AB1321" i="2" a="1"/>
  <c r="AB1321" i="2" s="1"/>
  <c r="AB1322" i="2" a="1"/>
  <c r="AB1322" i="2" s="1"/>
  <c r="AB1323" i="2" a="1"/>
  <c r="AB1323" i="2" s="1"/>
  <c r="AB1324" i="2" a="1"/>
  <c r="AB1324" i="2" s="1"/>
  <c r="AB1325" i="2" a="1"/>
  <c r="AB1325" i="2" s="1"/>
  <c r="AB1326" i="2" a="1"/>
  <c r="AB1326" i="2" s="1"/>
  <c r="AB1327" i="2" a="1"/>
  <c r="AB1327" i="2" s="1"/>
  <c r="AB1328" i="2" a="1"/>
  <c r="AB1328" i="2" s="1"/>
  <c r="AB1329" i="2" a="1"/>
  <c r="AB1329" i="2" s="1"/>
  <c r="AB1330" i="2" a="1"/>
  <c r="AB1330" i="2" s="1"/>
  <c r="AB1331" i="2" a="1"/>
  <c r="AB1331" i="2" s="1"/>
  <c r="AB1332" i="2" a="1"/>
  <c r="AB1332" i="2" s="1"/>
  <c r="AB1333" i="2" a="1"/>
  <c r="AB1333" i="2" s="1"/>
  <c r="AB1334" i="2" a="1"/>
  <c r="AB1334" i="2" s="1"/>
  <c r="AB1335" i="2" a="1"/>
  <c r="AB1335" i="2" s="1"/>
  <c r="AB1336" i="2" a="1"/>
  <c r="AB1336" i="2" s="1"/>
  <c r="AB1337" i="2" a="1"/>
  <c r="AB1337" i="2" s="1"/>
  <c r="AB1338" i="2" a="1"/>
  <c r="AB1338" i="2" s="1"/>
  <c r="AB1339" i="2" a="1"/>
  <c r="AB1339" i="2" s="1"/>
  <c r="AB1340" i="2" a="1"/>
  <c r="AB1340" i="2" s="1"/>
  <c r="AB1341" i="2" a="1"/>
  <c r="AB1341" i="2" s="1"/>
  <c r="AB1342" i="2" a="1"/>
  <c r="AB1342" i="2" s="1"/>
  <c r="AB1343" i="2" a="1"/>
  <c r="AB1343" i="2" s="1"/>
  <c r="AB1344" i="2" a="1"/>
  <c r="AB1344" i="2" s="1"/>
  <c r="AB1345" i="2" a="1"/>
  <c r="AB1345" i="2" s="1"/>
  <c r="AB1346" i="2" a="1"/>
  <c r="AB1346" i="2" s="1"/>
  <c r="AB1347" i="2" a="1"/>
  <c r="AB1347" i="2" s="1"/>
  <c r="AB1348" i="2" a="1"/>
  <c r="AB1348" i="2" s="1"/>
  <c r="AB1349" i="2" a="1"/>
  <c r="AB1349" i="2" s="1"/>
  <c r="AB1350" i="2" a="1"/>
  <c r="AB1350" i="2" s="1"/>
  <c r="AB1351" i="2" a="1"/>
  <c r="AB1351" i="2" s="1"/>
  <c r="AB1352" i="2" a="1"/>
  <c r="AB1352" i="2" s="1"/>
  <c r="AB1353" i="2" a="1"/>
  <c r="AB1353" i="2" s="1"/>
  <c r="AB1354" i="2" a="1"/>
  <c r="AB1354" i="2" s="1"/>
  <c r="AB1355" i="2" a="1"/>
  <c r="AB1355" i="2" s="1"/>
  <c r="AB1356" i="2" a="1"/>
  <c r="AB1356" i="2" s="1"/>
  <c r="AB1357" i="2" a="1"/>
  <c r="AB1357" i="2" s="1"/>
  <c r="AB1358" i="2" a="1"/>
  <c r="AB1358" i="2" s="1"/>
  <c r="AB1359" i="2" a="1"/>
  <c r="AB1359" i="2" s="1"/>
  <c r="AB1360" i="2" a="1"/>
  <c r="AB1360" i="2" s="1"/>
  <c r="AB1361" i="2" a="1"/>
  <c r="AB1361" i="2" s="1"/>
  <c r="AB1362" i="2" a="1"/>
  <c r="AB1362" i="2" s="1"/>
  <c r="AB1363" i="2" a="1"/>
  <c r="AB1363" i="2" s="1"/>
  <c r="AB1364" i="2" a="1"/>
  <c r="AB1364" i="2" s="1"/>
  <c r="AB1365" i="2" a="1"/>
  <c r="AB1365" i="2" s="1"/>
  <c r="AB1366" i="2" a="1"/>
  <c r="AB1366" i="2" s="1"/>
  <c r="AB1367" i="2" a="1"/>
  <c r="AB1367" i="2" s="1"/>
  <c r="AB1368" i="2" a="1"/>
  <c r="AB1368" i="2" s="1"/>
  <c r="AB1369" i="2" a="1"/>
  <c r="AB1369" i="2" s="1"/>
  <c r="AB1370" i="2" a="1"/>
  <c r="AB1370" i="2" s="1"/>
  <c r="AB1371" i="2" a="1"/>
  <c r="AB1371" i="2" s="1"/>
  <c r="AB1372" i="2" a="1"/>
  <c r="AB1372" i="2" s="1"/>
  <c r="AB1373" i="2" a="1"/>
  <c r="AB1373" i="2" s="1"/>
  <c r="AB1374" i="2" a="1"/>
  <c r="AB1374" i="2" s="1"/>
  <c r="AB1375" i="2" a="1"/>
  <c r="AB1375" i="2" s="1"/>
  <c r="AB1376" i="2" a="1"/>
  <c r="AB1376" i="2" s="1"/>
  <c r="AB1377" i="2" a="1"/>
  <c r="AB1377" i="2" s="1"/>
  <c r="AB1378" i="2" a="1"/>
  <c r="AB1378" i="2" s="1"/>
  <c r="AB1379" i="2" a="1"/>
  <c r="AB1379" i="2" s="1"/>
  <c r="AB1380" i="2" a="1"/>
  <c r="AB1380" i="2" s="1"/>
  <c r="AB1381" i="2" a="1"/>
  <c r="AB1381" i="2" s="1"/>
  <c r="AB1382" i="2" a="1"/>
  <c r="AB1382" i="2" s="1"/>
  <c r="AB1383" i="2" a="1"/>
  <c r="AB1383" i="2" s="1"/>
  <c r="AB1384" i="2" a="1"/>
  <c r="AB1384" i="2" s="1"/>
  <c r="AB1385" i="2" a="1"/>
  <c r="AB1385" i="2" s="1"/>
  <c r="AB1386" i="2" a="1"/>
  <c r="AB1386" i="2" s="1"/>
  <c r="AB1387" i="2" a="1"/>
  <c r="AB1387" i="2" s="1"/>
  <c r="AB1388" i="2" a="1"/>
  <c r="AB1388" i="2" s="1"/>
  <c r="AB1389" i="2" a="1"/>
  <c r="AB1389" i="2" s="1"/>
  <c r="AB1390" i="2" a="1"/>
  <c r="AB1390" i="2" s="1"/>
  <c r="AB1391" i="2" a="1"/>
  <c r="AB1391" i="2" s="1"/>
  <c r="AB1392" i="2" a="1"/>
  <c r="AB1392" i="2" s="1"/>
  <c r="AB1393" i="2" a="1"/>
  <c r="AB1393" i="2" s="1"/>
  <c r="AB1394" i="2" a="1"/>
  <c r="AB1394" i="2" s="1"/>
  <c r="AB1395" i="2" a="1"/>
  <c r="AB1395" i="2" s="1"/>
  <c r="AB1396" i="2" a="1"/>
  <c r="AB1396" i="2" s="1"/>
  <c r="AB1397" i="2" a="1"/>
  <c r="AB1397" i="2" s="1"/>
  <c r="AB1398" i="2" a="1"/>
  <c r="AB1398" i="2" s="1"/>
  <c r="AB1399" i="2" a="1"/>
  <c r="AB1399" i="2" s="1"/>
  <c r="AB1400" i="2" a="1"/>
  <c r="AB1400" i="2" s="1"/>
  <c r="AB1401" i="2" a="1"/>
  <c r="AB1401" i="2" s="1"/>
  <c r="AB1402" i="2" a="1"/>
  <c r="AB1402" i="2" s="1"/>
  <c r="AB1403" i="2" a="1"/>
  <c r="AB1403" i="2" s="1"/>
  <c r="AB1404" i="2" a="1"/>
  <c r="AB1404" i="2" s="1"/>
  <c r="AB1405" i="2" a="1"/>
  <c r="AB1405" i="2" s="1"/>
  <c r="AB1406" i="2" a="1"/>
  <c r="AB1406" i="2" s="1"/>
  <c r="AB1407" i="2" a="1"/>
  <c r="AB1407" i="2" s="1"/>
  <c r="AB1408" i="2" a="1"/>
  <c r="AB1408" i="2" s="1"/>
  <c r="AB1409" i="2" a="1"/>
  <c r="AB1409" i="2" s="1"/>
  <c r="AB1410" i="2" a="1"/>
  <c r="AB1410" i="2" s="1"/>
  <c r="AB1411" i="2" a="1"/>
  <c r="AB1411" i="2" s="1"/>
  <c r="AB1412" i="2" a="1"/>
  <c r="AB1412" i="2" s="1"/>
  <c r="AB1413" i="2" a="1"/>
  <c r="AB1413" i="2" s="1"/>
  <c r="AB1414" i="2" a="1"/>
  <c r="AB1414" i="2" s="1"/>
  <c r="AB1415" i="2" a="1"/>
  <c r="AB1415" i="2" s="1"/>
  <c r="AB1416" i="2" a="1"/>
  <c r="AB1416" i="2" s="1"/>
  <c r="AB1417" i="2" a="1"/>
  <c r="AB1417" i="2" s="1"/>
  <c r="AB1418" i="2" a="1"/>
  <c r="AB1418" i="2" s="1"/>
  <c r="AB1419" i="2" a="1"/>
  <c r="AB1419" i="2" s="1"/>
  <c r="AB1420" i="2" a="1"/>
  <c r="AB1420" i="2" s="1"/>
  <c r="AB1421" i="2" a="1"/>
  <c r="AB1421" i="2" s="1"/>
  <c r="AB1422" i="2" a="1"/>
  <c r="AB1422" i="2" s="1"/>
  <c r="AB1423" i="2" a="1"/>
  <c r="AB1423" i="2" s="1"/>
  <c r="AB1424" i="2" a="1"/>
  <c r="AB1424" i="2" s="1"/>
  <c r="AB1425" i="2" a="1"/>
  <c r="AB1425" i="2" s="1"/>
  <c r="AB1426" i="2" a="1"/>
  <c r="AB1426" i="2" s="1"/>
  <c r="AB1427" i="2" a="1"/>
  <c r="AB1427" i="2" s="1"/>
  <c r="AB1428" i="2" a="1"/>
  <c r="AB1428" i="2" s="1"/>
  <c r="AB1429" i="2" a="1"/>
  <c r="AB1429" i="2" s="1"/>
  <c r="AB1430" i="2" a="1"/>
  <c r="AB1430" i="2" s="1"/>
  <c r="AB1431" i="2" a="1"/>
  <c r="AB1431" i="2" s="1"/>
  <c r="AB1432" i="2" a="1"/>
  <c r="AB1432" i="2" s="1"/>
  <c r="AB1433" i="2" a="1"/>
  <c r="AB1433" i="2" s="1"/>
  <c r="AB1434" i="2" a="1"/>
  <c r="AB1434" i="2" s="1"/>
  <c r="AB1435" i="2" a="1"/>
  <c r="AB1435" i="2" s="1"/>
  <c r="AB1436" i="2" a="1"/>
  <c r="AB1436" i="2" s="1"/>
  <c r="AB1437" i="2" a="1"/>
  <c r="AB1437" i="2" s="1"/>
  <c r="AB1438" i="2" a="1"/>
  <c r="AB1438" i="2" s="1"/>
  <c r="AB1439" i="2" a="1"/>
  <c r="AB1439" i="2" s="1"/>
  <c r="AB1440" i="2" a="1"/>
  <c r="AB1440" i="2" s="1"/>
  <c r="AB1441" i="2" a="1"/>
  <c r="AB1441" i="2" s="1"/>
  <c r="AB1442" i="2" a="1"/>
  <c r="AB1442" i="2" s="1"/>
  <c r="AB1443" i="2" a="1"/>
  <c r="AB1443" i="2" s="1"/>
  <c r="AB1444" i="2" a="1"/>
  <c r="AB1444" i="2" s="1"/>
  <c r="AB1445" i="2" a="1"/>
  <c r="AB1445" i="2" s="1"/>
  <c r="AB1446" i="2" a="1"/>
  <c r="AB1446" i="2" s="1"/>
  <c r="AB1447" i="2" a="1"/>
  <c r="AB1447" i="2" s="1"/>
  <c r="AB1448" i="2" a="1"/>
  <c r="AB1448" i="2" s="1"/>
  <c r="AB1449" i="2" a="1"/>
  <c r="AB1449" i="2" s="1"/>
  <c r="AB1450" i="2" a="1"/>
  <c r="AB1450" i="2" s="1"/>
  <c r="AB1451" i="2" a="1"/>
  <c r="AB1451" i="2" s="1"/>
  <c r="AB1452" i="2" a="1"/>
  <c r="AB1452" i="2" s="1"/>
  <c r="AB1453" i="2" a="1"/>
  <c r="AB1453" i="2" s="1"/>
  <c r="AB1454" i="2" a="1"/>
  <c r="AB1454" i="2" s="1"/>
  <c r="AB1455" i="2" a="1"/>
  <c r="AB1455" i="2" s="1"/>
  <c r="AB1456" i="2" a="1"/>
  <c r="AB1456" i="2" s="1"/>
  <c r="AB1457" i="2" a="1"/>
  <c r="AB1457" i="2" s="1"/>
  <c r="AB1458" i="2" a="1"/>
  <c r="AB1458" i="2" s="1"/>
  <c r="AB1459" i="2" a="1"/>
  <c r="AB1459" i="2" s="1"/>
  <c r="AB1460" i="2" a="1"/>
  <c r="AB1460" i="2" s="1"/>
  <c r="AB1461" i="2" a="1"/>
  <c r="AB1461" i="2" s="1"/>
  <c r="AB1462" i="2" a="1"/>
  <c r="AB1462" i="2" s="1"/>
  <c r="AB1463" i="2" a="1"/>
  <c r="AB1463" i="2" s="1"/>
  <c r="AB1464" i="2" a="1"/>
  <c r="AB1464" i="2" s="1"/>
  <c r="AB1465" i="2" a="1"/>
  <c r="AB1465" i="2" s="1"/>
  <c r="AB1466" i="2" a="1"/>
  <c r="AB1466" i="2" s="1"/>
  <c r="AB1467" i="2" a="1"/>
  <c r="AB1467" i="2" s="1"/>
  <c r="AB1468" i="2" a="1"/>
  <c r="AB1468" i="2" s="1"/>
  <c r="AB1469" i="2" a="1"/>
  <c r="AB1469" i="2" s="1"/>
  <c r="AB1470" i="2" a="1"/>
  <c r="AB1470" i="2" s="1"/>
  <c r="AB1471" i="2" a="1"/>
  <c r="AB1471" i="2" s="1"/>
  <c r="AL2" i="2" a="1"/>
  <c r="AL2" i="2" s="1"/>
  <c r="AL3" i="2" a="1"/>
  <c r="AL3" i="2" s="1"/>
  <c r="AL4" i="2" a="1"/>
  <c r="AL4" i="2" s="1"/>
  <c r="AL5" i="2" a="1"/>
  <c r="AL5" i="2" s="1"/>
  <c r="AL6" i="2" a="1"/>
  <c r="AL6" i="2" s="1"/>
  <c r="AL7" i="2" a="1"/>
  <c r="AL7" i="2" s="1"/>
  <c r="AL8" i="2" a="1"/>
  <c r="AL8" i="2" s="1"/>
  <c r="AL9" i="2" a="1"/>
  <c r="AL9" i="2" s="1"/>
  <c r="AL10" i="2" a="1"/>
  <c r="AL10" i="2" s="1"/>
  <c r="AL11" i="2" a="1"/>
  <c r="AL11" i="2" s="1"/>
  <c r="AL12" i="2" a="1"/>
  <c r="AL12" i="2" s="1"/>
  <c r="AL13" i="2" a="1"/>
  <c r="AL13" i="2" s="1"/>
  <c r="AL14" i="2" a="1"/>
  <c r="AL14" i="2" s="1"/>
  <c r="AL15" i="2" a="1"/>
  <c r="AL15" i="2" s="1"/>
  <c r="AL16" i="2" a="1"/>
  <c r="AL16" i="2" s="1"/>
  <c r="AL17" i="2" a="1"/>
  <c r="AL17" i="2" s="1"/>
  <c r="AL18" i="2" a="1"/>
  <c r="AL18" i="2" s="1"/>
  <c r="AL19" i="2" a="1"/>
  <c r="AL19" i="2" s="1"/>
  <c r="AL20" i="2" a="1"/>
  <c r="AL20" i="2" s="1"/>
  <c r="AL21" i="2" a="1"/>
  <c r="AL21" i="2" s="1"/>
  <c r="AL22" i="2" a="1"/>
  <c r="AL22" i="2" s="1"/>
  <c r="AL23" i="2" a="1"/>
  <c r="AL23" i="2" s="1"/>
  <c r="AL24" i="2" a="1"/>
  <c r="AL24" i="2" s="1"/>
  <c r="AL25" i="2" a="1"/>
  <c r="AL25" i="2" s="1"/>
  <c r="AL26" i="2" a="1"/>
  <c r="AL26" i="2" s="1"/>
  <c r="AL27" i="2" a="1"/>
  <c r="AL27" i="2" s="1"/>
  <c r="AL28" i="2" a="1"/>
  <c r="AL28" i="2" s="1"/>
  <c r="AL29" i="2" a="1"/>
  <c r="AL29" i="2" s="1"/>
  <c r="AL30" i="2" a="1"/>
  <c r="AL30" i="2" s="1"/>
  <c r="AL31" i="2" a="1"/>
  <c r="AL31" i="2" s="1"/>
  <c r="AL32" i="2" a="1"/>
  <c r="AL32" i="2" s="1"/>
  <c r="AL33" i="2" a="1"/>
  <c r="AL33" i="2" s="1"/>
  <c r="AL34" i="2" a="1"/>
  <c r="AL34" i="2" s="1"/>
  <c r="AL35" i="2" a="1"/>
  <c r="AL35" i="2" s="1"/>
  <c r="AL36" i="2" a="1"/>
  <c r="AL36" i="2" s="1"/>
  <c r="AL37" i="2" a="1"/>
  <c r="AL37" i="2" s="1"/>
  <c r="AL38" i="2" a="1"/>
  <c r="AL38" i="2" s="1"/>
  <c r="AL39" i="2" a="1"/>
  <c r="AL39" i="2" s="1"/>
  <c r="AL40" i="2" a="1"/>
  <c r="AL40" i="2" s="1"/>
  <c r="AL41" i="2" a="1"/>
  <c r="AL41" i="2" s="1"/>
  <c r="AL42" i="2" a="1"/>
  <c r="AL42" i="2" s="1"/>
  <c r="AL43" i="2" a="1"/>
  <c r="AL43" i="2" s="1"/>
  <c r="AL44" i="2" a="1"/>
  <c r="AL44" i="2" s="1"/>
  <c r="AL45" i="2" a="1"/>
  <c r="AL45" i="2" s="1"/>
  <c r="AL46" i="2" a="1"/>
  <c r="AL46" i="2" s="1"/>
  <c r="AL47" i="2" a="1"/>
  <c r="AL47" i="2" s="1"/>
  <c r="AL48" i="2" a="1"/>
  <c r="AL48" i="2" s="1"/>
  <c r="AL49" i="2" a="1"/>
  <c r="AL49" i="2" s="1"/>
  <c r="AL50" i="2" a="1"/>
  <c r="AL50" i="2" s="1"/>
  <c r="AL51" i="2" a="1"/>
  <c r="AL51" i="2" s="1"/>
  <c r="AL52" i="2" a="1"/>
  <c r="AL52" i="2" s="1"/>
  <c r="AL53" i="2" a="1"/>
  <c r="AL53" i="2" s="1"/>
  <c r="AL54" i="2" a="1"/>
  <c r="AL54" i="2" s="1"/>
  <c r="AL55" i="2" a="1"/>
  <c r="AL55" i="2" s="1"/>
  <c r="AL56" i="2" a="1"/>
  <c r="AL56" i="2" s="1"/>
  <c r="AL57" i="2" a="1"/>
  <c r="AL57" i="2" s="1"/>
  <c r="AL58" i="2" a="1"/>
  <c r="AL58" i="2" s="1"/>
  <c r="AL59" i="2" a="1"/>
  <c r="AL59" i="2" s="1"/>
  <c r="AL60" i="2" a="1"/>
  <c r="AL60" i="2" s="1"/>
  <c r="AL61" i="2" a="1"/>
  <c r="AL61" i="2" s="1"/>
  <c r="AL62" i="2" a="1"/>
  <c r="AL62" i="2" s="1"/>
  <c r="AL63" i="2" a="1"/>
  <c r="AL63" i="2" s="1"/>
  <c r="AL64" i="2" a="1"/>
  <c r="AL64" i="2" s="1"/>
  <c r="AL65" i="2" a="1"/>
  <c r="AL65" i="2" s="1"/>
  <c r="AL66" i="2" a="1"/>
  <c r="AL66" i="2" s="1"/>
  <c r="AL67" i="2" a="1"/>
  <c r="AL67" i="2" s="1"/>
  <c r="AL68" i="2" a="1"/>
  <c r="AL68" i="2" s="1"/>
  <c r="AL69" i="2" a="1"/>
  <c r="AL69" i="2" s="1"/>
  <c r="AL70" i="2" a="1"/>
  <c r="AL70" i="2" s="1"/>
  <c r="AL71" i="2" a="1"/>
  <c r="AL71" i="2" s="1"/>
  <c r="AL72" i="2" a="1"/>
  <c r="AL72" i="2" s="1"/>
  <c r="AL73" i="2" a="1"/>
  <c r="AL73" i="2" s="1"/>
  <c r="AL74" i="2" a="1"/>
  <c r="AL74" i="2" s="1"/>
  <c r="AL75" i="2" a="1"/>
  <c r="AL75" i="2" s="1"/>
  <c r="AL76" i="2" a="1"/>
  <c r="AL76" i="2" s="1"/>
  <c r="AL77" i="2" a="1"/>
  <c r="AL77" i="2" s="1"/>
  <c r="AL78" i="2" a="1"/>
  <c r="AL78" i="2" s="1"/>
  <c r="AL79" i="2" a="1"/>
  <c r="AL79" i="2" s="1"/>
  <c r="AL80" i="2" a="1"/>
  <c r="AL80" i="2" s="1"/>
  <c r="AL81" i="2" a="1"/>
  <c r="AL81" i="2" s="1"/>
  <c r="AL82" i="2" a="1"/>
  <c r="AL82" i="2" s="1"/>
  <c r="AL83" i="2" a="1"/>
  <c r="AL83" i="2" s="1"/>
  <c r="AL84" i="2" a="1"/>
  <c r="AL84" i="2" s="1"/>
  <c r="AL85" i="2" a="1"/>
  <c r="AL85" i="2" s="1"/>
  <c r="AL86" i="2" a="1"/>
  <c r="AL86" i="2" s="1"/>
  <c r="AL87" i="2" a="1"/>
  <c r="AL87" i="2" s="1"/>
  <c r="AL88" i="2" a="1"/>
  <c r="AL88" i="2" s="1"/>
  <c r="AL89" i="2" a="1"/>
  <c r="AL89" i="2" s="1"/>
  <c r="AL90" i="2" a="1"/>
  <c r="AL90" i="2" s="1"/>
  <c r="AL91" i="2" a="1"/>
  <c r="AL91" i="2" s="1"/>
  <c r="AL92" i="2" a="1"/>
  <c r="AL92" i="2" s="1"/>
  <c r="AL93" i="2" a="1"/>
  <c r="AL93" i="2" s="1"/>
  <c r="AL94" i="2" a="1"/>
  <c r="AL94" i="2" s="1"/>
  <c r="AL95" i="2" a="1"/>
  <c r="AL95" i="2" s="1"/>
  <c r="AL96" i="2" a="1"/>
  <c r="AL96" i="2" s="1"/>
  <c r="AL97" i="2" a="1"/>
  <c r="AL97" i="2" s="1"/>
  <c r="AL98" i="2" a="1"/>
  <c r="AL98" i="2" s="1"/>
  <c r="AL99" i="2" a="1"/>
  <c r="AL99" i="2" s="1"/>
  <c r="AL100" i="2" a="1"/>
  <c r="AL100" i="2" s="1"/>
  <c r="AL101" i="2" a="1"/>
  <c r="AL101" i="2" s="1"/>
  <c r="AL102" i="2" a="1"/>
  <c r="AL102" i="2" s="1"/>
  <c r="AL103" i="2" a="1"/>
  <c r="AL103" i="2" s="1"/>
  <c r="AL104" i="2" a="1"/>
  <c r="AL104" i="2" s="1"/>
  <c r="AL105" i="2" a="1"/>
  <c r="AL105" i="2" s="1"/>
  <c r="AL106" i="2" a="1"/>
  <c r="AL106" i="2" s="1"/>
  <c r="AL107" i="2" a="1"/>
  <c r="AL107" i="2" s="1"/>
  <c r="AL108" i="2" a="1"/>
  <c r="AL108" i="2" s="1"/>
  <c r="AL109" i="2" a="1"/>
  <c r="AL109" i="2" s="1"/>
  <c r="AL110" i="2" a="1"/>
  <c r="AL110" i="2" s="1"/>
  <c r="AL111" i="2" a="1"/>
  <c r="AL111" i="2" s="1"/>
  <c r="AL112" i="2" a="1"/>
  <c r="AL112" i="2" s="1"/>
  <c r="AL113" i="2" a="1"/>
  <c r="AL113" i="2" s="1"/>
  <c r="AL114" i="2" a="1"/>
  <c r="AL114" i="2" s="1"/>
  <c r="AL115" i="2" a="1"/>
  <c r="AL115" i="2" s="1"/>
  <c r="AL116" i="2" a="1"/>
  <c r="AL116" i="2" s="1"/>
  <c r="AL117" i="2" a="1"/>
  <c r="AL117" i="2" s="1"/>
  <c r="AL118" i="2" a="1"/>
  <c r="AL118" i="2" s="1"/>
  <c r="AL119" i="2" a="1"/>
  <c r="AL119" i="2" s="1"/>
  <c r="AL120" i="2" a="1"/>
  <c r="AL120" i="2" s="1"/>
  <c r="AL121" i="2" a="1"/>
  <c r="AL121" i="2" s="1"/>
  <c r="AL122" i="2" a="1"/>
  <c r="AL122" i="2" s="1"/>
  <c r="AL123" i="2" a="1"/>
  <c r="AL123" i="2" s="1"/>
  <c r="AL124" i="2" a="1"/>
  <c r="AL124" i="2" s="1"/>
  <c r="AL125" i="2" a="1"/>
  <c r="AL125" i="2" s="1"/>
  <c r="AL126" i="2" a="1"/>
  <c r="AL126" i="2" s="1"/>
  <c r="AL127" i="2" a="1"/>
  <c r="AL127" i="2" s="1"/>
  <c r="AL128" i="2" a="1"/>
  <c r="AL128" i="2" s="1"/>
  <c r="AL129" i="2" a="1"/>
  <c r="AL129" i="2" s="1"/>
  <c r="AL130" i="2" a="1"/>
  <c r="AL130" i="2" s="1"/>
  <c r="AL131" i="2" a="1"/>
  <c r="AL131" i="2" s="1"/>
  <c r="AL132" i="2" a="1"/>
  <c r="AL132" i="2" s="1"/>
  <c r="AL133" i="2" a="1"/>
  <c r="AL133" i="2" s="1"/>
  <c r="AL134" i="2" a="1"/>
  <c r="AL134" i="2" s="1"/>
  <c r="AL135" i="2" a="1"/>
  <c r="AL135" i="2" s="1"/>
  <c r="AL136" i="2" a="1"/>
  <c r="AL136" i="2" s="1"/>
  <c r="AL137" i="2" a="1"/>
  <c r="AL137" i="2" s="1"/>
  <c r="AL138" i="2" a="1"/>
  <c r="AL138" i="2" s="1"/>
  <c r="AL139" i="2" a="1"/>
  <c r="AL139" i="2" s="1"/>
  <c r="AL140" i="2" a="1"/>
  <c r="AL140" i="2" s="1"/>
  <c r="AL141" i="2" a="1"/>
  <c r="AL141" i="2" s="1"/>
  <c r="AL142" i="2" a="1"/>
  <c r="AL142" i="2" s="1"/>
  <c r="AL143" i="2" a="1"/>
  <c r="AL143" i="2" s="1"/>
  <c r="AL144" i="2" a="1"/>
  <c r="AL144" i="2" s="1"/>
  <c r="AL145" i="2" a="1"/>
  <c r="AL145" i="2" s="1"/>
  <c r="AL146" i="2" a="1"/>
  <c r="AL146" i="2" s="1"/>
  <c r="AL147" i="2" a="1"/>
  <c r="AL147" i="2" s="1"/>
  <c r="AL148" i="2" a="1"/>
  <c r="AL148" i="2" s="1"/>
  <c r="AL149" i="2" a="1"/>
  <c r="AL149" i="2" s="1"/>
  <c r="AL150" i="2" a="1"/>
  <c r="AL150" i="2" s="1"/>
  <c r="AL151" i="2" a="1"/>
  <c r="AL151" i="2" s="1"/>
  <c r="AL152" i="2" a="1"/>
  <c r="AL152" i="2" s="1"/>
  <c r="AL153" i="2" a="1"/>
  <c r="AL153" i="2" s="1"/>
  <c r="AL154" i="2" a="1"/>
  <c r="AL154" i="2" s="1"/>
  <c r="AL155" i="2" a="1"/>
  <c r="AL155" i="2" s="1"/>
  <c r="AL156" i="2" a="1"/>
  <c r="AL156" i="2" s="1"/>
  <c r="AL157" i="2" a="1"/>
  <c r="AL157" i="2" s="1"/>
  <c r="AL158" i="2" a="1"/>
  <c r="AL158" i="2" s="1"/>
  <c r="AL159" i="2" a="1"/>
  <c r="AL159" i="2" s="1"/>
  <c r="AL160" i="2" a="1"/>
  <c r="AL160" i="2" s="1"/>
  <c r="AL161" i="2" a="1"/>
  <c r="AL161" i="2" s="1"/>
  <c r="AL162" i="2" a="1"/>
  <c r="AL162" i="2" s="1"/>
  <c r="AL163" i="2" a="1"/>
  <c r="AL163" i="2" s="1"/>
  <c r="AL164" i="2" a="1"/>
  <c r="AL164" i="2" s="1"/>
  <c r="AL165" i="2" a="1"/>
  <c r="AL165" i="2" s="1"/>
  <c r="AL166" i="2" a="1"/>
  <c r="AL166" i="2" s="1"/>
  <c r="AL167" i="2" a="1"/>
  <c r="AL167" i="2" s="1"/>
  <c r="AL168" i="2" a="1"/>
  <c r="AL168" i="2" s="1"/>
  <c r="AL169" i="2" a="1"/>
  <c r="AL169" i="2" s="1"/>
  <c r="AL170" i="2" a="1"/>
  <c r="AL170" i="2" s="1"/>
  <c r="AL171" i="2" a="1"/>
  <c r="AL171" i="2" s="1"/>
  <c r="AL172" i="2" a="1"/>
  <c r="AL172" i="2" s="1"/>
  <c r="AL173" i="2" a="1"/>
  <c r="AL173" i="2" s="1"/>
  <c r="AL174" i="2" a="1"/>
  <c r="AL174" i="2" s="1"/>
  <c r="AL175" i="2" a="1"/>
  <c r="AL175" i="2" s="1"/>
  <c r="AL176" i="2" a="1"/>
  <c r="AL176" i="2" s="1"/>
  <c r="AL177" i="2" a="1"/>
  <c r="AL177" i="2" s="1"/>
  <c r="AL178" i="2" a="1"/>
  <c r="AL178" i="2" s="1"/>
  <c r="AL179" i="2" a="1"/>
  <c r="AL179" i="2" s="1"/>
  <c r="AL180" i="2" a="1"/>
  <c r="AL180" i="2" s="1"/>
  <c r="AL181" i="2" a="1"/>
  <c r="AL181" i="2" s="1"/>
  <c r="AL182" i="2" a="1"/>
  <c r="AL182" i="2" s="1"/>
  <c r="AL183" i="2" a="1"/>
  <c r="AL183" i="2" s="1"/>
  <c r="AL184" i="2" a="1"/>
  <c r="AL184" i="2" s="1"/>
  <c r="AL185" i="2" a="1"/>
  <c r="AL185" i="2" s="1"/>
  <c r="AL186" i="2" a="1"/>
  <c r="AL186" i="2" s="1"/>
  <c r="AL187" i="2" a="1"/>
  <c r="AL187" i="2" s="1"/>
  <c r="AL188" i="2" a="1"/>
  <c r="AL188" i="2" s="1"/>
  <c r="AL189" i="2" a="1"/>
  <c r="AL189" i="2" s="1"/>
  <c r="AL190" i="2" a="1"/>
  <c r="AL190" i="2" s="1"/>
  <c r="AL191" i="2" a="1"/>
  <c r="AL191" i="2" s="1"/>
  <c r="AL192" i="2" a="1"/>
  <c r="AL192" i="2" s="1"/>
  <c r="AL193" i="2" a="1"/>
  <c r="AL193" i="2" s="1"/>
  <c r="AL194" i="2" a="1"/>
  <c r="AL194" i="2" s="1"/>
  <c r="AL195" i="2" a="1"/>
  <c r="AL195" i="2" s="1"/>
  <c r="AL196" i="2" a="1"/>
  <c r="AL196" i="2" s="1"/>
  <c r="AL197" i="2" a="1"/>
  <c r="AL197" i="2" s="1"/>
  <c r="AL198" i="2" a="1"/>
  <c r="AL198" i="2" s="1"/>
  <c r="AL199" i="2" a="1"/>
  <c r="AL199" i="2" s="1"/>
  <c r="AL200" i="2" a="1"/>
  <c r="AL200" i="2" s="1"/>
  <c r="AL201" i="2" a="1"/>
  <c r="AL201" i="2" s="1"/>
  <c r="AL202" i="2" a="1"/>
  <c r="AL202" i="2" s="1"/>
  <c r="AL203" i="2" a="1"/>
  <c r="AL203" i="2" s="1"/>
  <c r="AL204" i="2" a="1"/>
  <c r="AL204" i="2" s="1"/>
  <c r="AL205" i="2" a="1"/>
  <c r="AL205" i="2" s="1"/>
  <c r="AL206" i="2" a="1"/>
  <c r="AL206" i="2" s="1"/>
  <c r="AL207" i="2" a="1"/>
  <c r="AL207" i="2" s="1"/>
  <c r="AL208" i="2" a="1"/>
  <c r="AL208" i="2" s="1"/>
  <c r="AL209" i="2" a="1"/>
  <c r="AL209" i="2" s="1"/>
  <c r="AL210" i="2" a="1"/>
  <c r="AL210" i="2" s="1"/>
  <c r="AL211" i="2" a="1"/>
  <c r="AL211" i="2" s="1"/>
  <c r="AL212" i="2" a="1"/>
  <c r="AL212" i="2" s="1"/>
  <c r="AL213" i="2" a="1"/>
  <c r="AL213" i="2" s="1"/>
  <c r="AL214" i="2" a="1"/>
  <c r="AL214" i="2" s="1"/>
  <c r="AL215" i="2" a="1"/>
  <c r="AL215" i="2" s="1"/>
  <c r="AL216" i="2" a="1"/>
  <c r="AL216" i="2" s="1"/>
  <c r="AL217" i="2" a="1"/>
  <c r="AL217" i="2" s="1"/>
  <c r="AL218" i="2" a="1"/>
  <c r="AL218" i="2" s="1"/>
  <c r="AL219" i="2" a="1"/>
  <c r="AL219" i="2" s="1"/>
  <c r="AL220" i="2" a="1"/>
  <c r="AL220" i="2" s="1"/>
  <c r="AL221" i="2" a="1"/>
  <c r="AL221" i="2" s="1"/>
  <c r="AL222" i="2" a="1"/>
  <c r="AL222" i="2" s="1"/>
  <c r="AL223" i="2" a="1"/>
  <c r="AL223" i="2" s="1"/>
  <c r="AL224" i="2" a="1"/>
  <c r="AL224" i="2" s="1"/>
  <c r="AL225" i="2" a="1"/>
  <c r="AL225" i="2" s="1"/>
  <c r="AL226" i="2" a="1"/>
  <c r="AL226" i="2" s="1"/>
  <c r="AL227" i="2" a="1"/>
  <c r="AL227" i="2" s="1"/>
  <c r="AL228" i="2" a="1"/>
  <c r="AL228" i="2" s="1"/>
  <c r="AL229" i="2" a="1"/>
  <c r="AL229" i="2" s="1"/>
  <c r="AL230" i="2" a="1"/>
  <c r="AL230" i="2" s="1"/>
  <c r="AL231" i="2" a="1"/>
  <c r="AL231" i="2" s="1"/>
  <c r="AL232" i="2" a="1"/>
  <c r="AL232" i="2" s="1"/>
  <c r="AL233" i="2" a="1"/>
  <c r="AL233" i="2" s="1"/>
  <c r="AL234" i="2" a="1"/>
  <c r="AL234" i="2" s="1"/>
  <c r="AL235" i="2" a="1"/>
  <c r="AL235" i="2" s="1"/>
  <c r="AL236" i="2" a="1"/>
  <c r="AL236" i="2" s="1"/>
  <c r="AL237" i="2" a="1"/>
  <c r="AL237" i="2" s="1"/>
  <c r="AL238" i="2" a="1"/>
  <c r="AL238" i="2" s="1"/>
  <c r="AL239" i="2" a="1"/>
  <c r="AL239" i="2" s="1"/>
  <c r="AL240" i="2" a="1"/>
  <c r="AL240" i="2" s="1"/>
  <c r="AL241" i="2" a="1"/>
  <c r="AL241" i="2" s="1"/>
  <c r="AL242" i="2" a="1"/>
  <c r="AL242" i="2" s="1"/>
  <c r="AL243" i="2" a="1"/>
  <c r="AL243" i="2" s="1"/>
  <c r="AL244" i="2" a="1"/>
  <c r="AL244" i="2" s="1"/>
  <c r="AL245" i="2" a="1"/>
  <c r="AL245" i="2" s="1"/>
  <c r="AL246" i="2" a="1"/>
  <c r="AL246" i="2" s="1"/>
  <c r="AL247" i="2" a="1"/>
  <c r="AL247" i="2" s="1"/>
  <c r="AL248" i="2" a="1"/>
  <c r="AL248" i="2" s="1"/>
  <c r="AL249" i="2" a="1"/>
  <c r="AL249" i="2" s="1"/>
  <c r="AL250" i="2" a="1"/>
  <c r="AL250" i="2" s="1"/>
  <c r="AL251" i="2" a="1"/>
  <c r="AL251" i="2" s="1"/>
  <c r="AL252" i="2" a="1"/>
  <c r="AL252" i="2" s="1"/>
  <c r="AL253" i="2" a="1"/>
  <c r="AL253" i="2" s="1"/>
  <c r="AL254" i="2" a="1"/>
  <c r="AL254" i="2" s="1"/>
  <c r="AL255" i="2" a="1"/>
  <c r="AL255" i="2" s="1"/>
  <c r="AL256" i="2" a="1"/>
  <c r="AL256" i="2" s="1"/>
  <c r="AL257" i="2" a="1"/>
  <c r="AL257" i="2" s="1"/>
  <c r="AL258" i="2" a="1"/>
  <c r="AL258" i="2" s="1"/>
  <c r="AL259" i="2" a="1"/>
  <c r="AL259" i="2" s="1"/>
  <c r="AL260" i="2" a="1"/>
  <c r="AL260" i="2" s="1"/>
  <c r="AL261" i="2" a="1"/>
  <c r="AL261" i="2" s="1"/>
  <c r="AL262" i="2" a="1"/>
  <c r="AL262" i="2" s="1"/>
  <c r="AL263" i="2" a="1"/>
  <c r="AL263" i="2" s="1"/>
  <c r="AL264" i="2" a="1"/>
  <c r="AL264" i="2" s="1"/>
  <c r="AL265" i="2" a="1"/>
  <c r="AL265" i="2" s="1"/>
  <c r="AL266" i="2" a="1"/>
  <c r="AL266" i="2" s="1"/>
  <c r="AL267" i="2" a="1"/>
  <c r="AL267" i="2" s="1"/>
  <c r="AL268" i="2" a="1"/>
  <c r="AL268" i="2" s="1"/>
  <c r="AL269" i="2" a="1"/>
  <c r="AL269" i="2" s="1"/>
  <c r="AL270" i="2" a="1"/>
  <c r="AL270" i="2" s="1"/>
  <c r="AL271" i="2" a="1"/>
  <c r="AL271" i="2" s="1"/>
  <c r="AL272" i="2" a="1"/>
  <c r="AL272" i="2" s="1"/>
  <c r="AL273" i="2" a="1"/>
  <c r="AL273" i="2" s="1"/>
  <c r="AL274" i="2" a="1"/>
  <c r="AL274" i="2" s="1"/>
  <c r="AL275" i="2" a="1"/>
  <c r="AL275" i="2" s="1"/>
  <c r="AL276" i="2" a="1"/>
  <c r="AL276" i="2" s="1"/>
  <c r="AL277" i="2" a="1"/>
  <c r="AL277" i="2" s="1"/>
  <c r="AL278" i="2" a="1"/>
  <c r="AL278" i="2" s="1"/>
  <c r="AL279" i="2" a="1"/>
  <c r="AL279" i="2" s="1"/>
  <c r="AL280" i="2" a="1"/>
  <c r="AL280" i="2" s="1"/>
  <c r="AL281" i="2" a="1"/>
  <c r="AL281" i="2" s="1"/>
  <c r="AL282" i="2" a="1"/>
  <c r="AL282" i="2" s="1"/>
  <c r="AL283" i="2" a="1"/>
  <c r="AL283" i="2" s="1"/>
  <c r="AL284" i="2" a="1"/>
  <c r="AL284" i="2" s="1"/>
  <c r="AL285" i="2" a="1"/>
  <c r="AL285" i="2" s="1"/>
  <c r="AL286" i="2" a="1"/>
  <c r="AL286" i="2" s="1"/>
  <c r="AL287" i="2" a="1"/>
  <c r="AL287" i="2" s="1"/>
  <c r="AL288" i="2" a="1"/>
  <c r="AL288" i="2" s="1"/>
  <c r="AL289" i="2" a="1"/>
  <c r="AL289" i="2" s="1"/>
  <c r="AL290" i="2" a="1"/>
  <c r="AL290" i="2" s="1"/>
  <c r="AL291" i="2" a="1"/>
  <c r="AL291" i="2" s="1"/>
  <c r="AL292" i="2" a="1"/>
  <c r="AL292" i="2" s="1"/>
  <c r="AL293" i="2" a="1"/>
  <c r="AL293" i="2" s="1"/>
  <c r="AL294" i="2" a="1"/>
  <c r="AL294" i="2" s="1"/>
  <c r="AL295" i="2" a="1"/>
  <c r="AL295" i="2" s="1"/>
  <c r="AL296" i="2" a="1"/>
  <c r="AL296" i="2" s="1"/>
  <c r="AL297" i="2" a="1"/>
  <c r="AL297" i="2" s="1"/>
  <c r="AL298" i="2" a="1"/>
  <c r="AL298" i="2" s="1"/>
  <c r="AL299" i="2" a="1"/>
  <c r="AL299" i="2" s="1"/>
  <c r="AL300" i="2" a="1"/>
  <c r="AL300" i="2" s="1"/>
  <c r="AL301" i="2" a="1"/>
  <c r="AL301" i="2" s="1"/>
  <c r="AL302" i="2" a="1"/>
  <c r="AL302" i="2" s="1"/>
  <c r="AL303" i="2" a="1"/>
  <c r="AL303" i="2" s="1"/>
  <c r="AL304" i="2" a="1"/>
  <c r="AL304" i="2" s="1"/>
  <c r="AL305" i="2" a="1"/>
  <c r="AL305" i="2" s="1"/>
  <c r="AL306" i="2" a="1"/>
  <c r="AL306" i="2" s="1"/>
  <c r="AL307" i="2" a="1"/>
  <c r="AL307" i="2" s="1"/>
  <c r="AL308" i="2" a="1"/>
  <c r="AL308" i="2" s="1"/>
  <c r="AL309" i="2" a="1"/>
  <c r="AL309" i="2" s="1"/>
  <c r="AL310" i="2" a="1"/>
  <c r="AL310" i="2" s="1"/>
  <c r="AL311" i="2" a="1"/>
  <c r="AL311" i="2" s="1"/>
  <c r="AL312" i="2" a="1"/>
  <c r="AL312" i="2" s="1"/>
  <c r="AL313" i="2" a="1"/>
  <c r="AL313" i="2" s="1"/>
  <c r="AL314" i="2" a="1"/>
  <c r="AL314" i="2" s="1"/>
  <c r="AL315" i="2" a="1"/>
  <c r="AL315" i="2" s="1"/>
  <c r="AL316" i="2" a="1"/>
  <c r="AL316" i="2" s="1"/>
  <c r="AL317" i="2" a="1"/>
  <c r="AL317" i="2" s="1"/>
  <c r="AL318" i="2" a="1"/>
  <c r="AL318" i="2" s="1"/>
  <c r="AL319" i="2" a="1"/>
  <c r="AL319" i="2" s="1"/>
  <c r="AL320" i="2" a="1"/>
  <c r="AL320" i="2" s="1"/>
  <c r="AL321" i="2" a="1"/>
  <c r="AL321" i="2" s="1"/>
  <c r="AL322" i="2" a="1"/>
  <c r="AL322" i="2" s="1"/>
  <c r="AL323" i="2" a="1"/>
  <c r="AL323" i="2" s="1"/>
  <c r="AL324" i="2" a="1"/>
  <c r="AL324" i="2" s="1"/>
  <c r="AL325" i="2" a="1"/>
  <c r="AL325" i="2" s="1"/>
  <c r="AL326" i="2" a="1"/>
  <c r="AL326" i="2" s="1"/>
  <c r="AL327" i="2" a="1"/>
  <c r="AL327" i="2" s="1"/>
  <c r="AL328" i="2" a="1"/>
  <c r="AL328" i="2" s="1"/>
  <c r="AL329" i="2" a="1"/>
  <c r="AL329" i="2" s="1"/>
  <c r="AL330" i="2" a="1"/>
  <c r="AL330" i="2" s="1"/>
  <c r="AL331" i="2" a="1"/>
  <c r="AL331" i="2" s="1"/>
  <c r="AL332" i="2" a="1"/>
  <c r="AL332" i="2" s="1"/>
  <c r="AL333" i="2" a="1"/>
  <c r="AL333" i="2" s="1"/>
  <c r="AL334" i="2" a="1"/>
  <c r="AL334" i="2" s="1"/>
  <c r="AL335" i="2" a="1"/>
  <c r="AL335" i="2" s="1"/>
  <c r="AL336" i="2" a="1"/>
  <c r="AL336" i="2" s="1"/>
  <c r="AL337" i="2" a="1"/>
  <c r="AL337" i="2" s="1"/>
  <c r="AL338" i="2" a="1"/>
  <c r="AL338" i="2" s="1"/>
  <c r="AL339" i="2" a="1"/>
  <c r="AL339" i="2" s="1"/>
  <c r="AL340" i="2" a="1"/>
  <c r="AL340" i="2" s="1"/>
  <c r="AL341" i="2" a="1"/>
  <c r="AL341" i="2" s="1"/>
  <c r="AL342" i="2" a="1"/>
  <c r="AL342" i="2" s="1"/>
  <c r="AL343" i="2" a="1"/>
  <c r="AL343" i="2" s="1"/>
  <c r="AL344" i="2" a="1"/>
  <c r="AL344" i="2" s="1"/>
  <c r="AL345" i="2" a="1"/>
  <c r="AL345" i="2" s="1"/>
  <c r="AL346" i="2" a="1"/>
  <c r="AL346" i="2" s="1"/>
  <c r="AL347" i="2" a="1"/>
  <c r="AL347" i="2" s="1"/>
  <c r="AL348" i="2" a="1"/>
  <c r="AL348" i="2" s="1"/>
  <c r="AL349" i="2" a="1"/>
  <c r="AL349" i="2" s="1"/>
  <c r="AL350" i="2" a="1"/>
  <c r="AL350" i="2" s="1"/>
  <c r="AL351" i="2" a="1"/>
  <c r="AL351" i="2" s="1"/>
  <c r="AL352" i="2" a="1"/>
  <c r="AL352" i="2" s="1"/>
  <c r="AL353" i="2" a="1"/>
  <c r="AL353" i="2" s="1"/>
  <c r="AL354" i="2" a="1"/>
  <c r="AL354" i="2" s="1"/>
  <c r="AL355" i="2" a="1"/>
  <c r="AL355" i="2" s="1"/>
  <c r="AL356" i="2" a="1"/>
  <c r="AL356" i="2" s="1"/>
  <c r="AL357" i="2" a="1"/>
  <c r="AL357" i="2" s="1"/>
  <c r="AL358" i="2" a="1"/>
  <c r="AL358" i="2" s="1"/>
  <c r="AL359" i="2" a="1"/>
  <c r="AL359" i="2" s="1"/>
  <c r="AL360" i="2" a="1"/>
  <c r="AL360" i="2" s="1"/>
  <c r="AL361" i="2" a="1"/>
  <c r="AL361" i="2" s="1"/>
  <c r="AL362" i="2" a="1"/>
  <c r="AL362" i="2" s="1"/>
  <c r="AL363" i="2" a="1"/>
  <c r="AL363" i="2" s="1"/>
  <c r="AL364" i="2" a="1"/>
  <c r="AL364" i="2" s="1"/>
  <c r="AL365" i="2" a="1"/>
  <c r="AL365" i="2" s="1"/>
  <c r="AL366" i="2" a="1"/>
  <c r="AL366" i="2" s="1"/>
  <c r="AL367" i="2" a="1"/>
  <c r="AL367" i="2" s="1"/>
  <c r="AL368" i="2" a="1"/>
  <c r="AL368" i="2" s="1"/>
  <c r="AL369" i="2" a="1"/>
  <c r="AL369" i="2" s="1"/>
  <c r="AL370" i="2" a="1"/>
  <c r="AL370" i="2" s="1"/>
  <c r="AL371" i="2" a="1"/>
  <c r="AL371" i="2" s="1"/>
  <c r="AL372" i="2" a="1"/>
  <c r="AL372" i="2" s="1"/>
  <c r="AL373" i="2" a="1"/>
  <c r="AL373" i="2" s="1"/>
  <c r="AL374" i="2" a="1"/>
  <c r="AL374" i="2" s="1"/>
  <c r="AL375" i="2" a="1"/>
  <c r="AL375" i="2" s="1"/>
  <c r="AL376" i="2" a="1"/>
  <c r="AL376" i="2" s="1"/>
  <c r="AL377" i="2" a="1"/>
  <c r="AL377" i="2" s="1"/>
  <c r="AL378" i="2" a="1"/>
  <c r="AL378" i="2" s="1"/>
  <c r="AL379" i="2" a="1"/>
  <c r="AL379" i="2" s="1"/>
  <c r="AL380" i="2" a="1"/>
  <c r="AL380" i="2" s="1"/>
  <c r="AL381" i="2" a="1"/>
  <c r="AL381" i="2" s="1"/>
  <c r="AL382" i="2" a="1"/>
  <c r="AL382" i="2" s="1"/>
  <c r="AL383" i="2" a="1"/>
  <c r="AL383" i="2" s="1"/>
  <c r="AL384" i="2" a="1"/>
  <c r="AL384" i="2" s="1"/>
  <c r="AL385" i="2" a="1"/>
  <c r="AL385" i="2" s="1"/>
  <c r="AL386" i="2" a="1"/>
  <c r="AL386" i="2" s="1"/>
  <c r="AL387" i="2" a="1"/>
  <c r="AL387" i="2" s="1"/>
  <c r="AL388" i="2" a="1"/>
  <c r="AL388" i="2" s="1"/>
  <c r="AL389" i="2" a="1"/>
  <c r="AL389" i="2" s="1"/>
  <c r="AL390" i="2" a="1"/>
  <c r="AL390" i="2" s="1"/>
  <c r="AL391" i="2" a="1"/>
  <c r="AL391" i="2" s="1"/>
  <c r="AL392" i="2" a="1"/>
  <c r="AL392" i="2" s="1"/>
  <c r="AL393" i="2" a="1"/>
  <c r="AL393" i="2" s="1"/>
  <c r="AL394" i="2" a="1"/>
  <c r="AL394" i="2" s="1"/>
  <c r="AL395" i="2" a="1"/>
  <c r="AL395" i="2" s="1"/>
  <c r="AL396" i="2" a="1"/>
  <c r="AL396" i="2" s="1"/>
  <c r="AL397" i="2" a="1"/>
  <c r="AL397" i="2" s="1"/>
  <c r="AL398" i="2" a="1"/>
  <c r="AL398" i="2" s="1"/>
  <c r="AL399" i="2" a="1"/>
  <c r="AL399" i="2" s="1"/>
  <c r="AL400" i="2" a="1"/>
  <c r="AL400" i="2" s="1"/>
  <c r="AL401" i="2" a="1"/>
  <c r="AL401" i="2" s="1"/>
  <c r="AL402" i="2" a="1"/>
  <c r="AL402" i="2" s="1"/>
  <c r="AL403" i="2" a="1"/>
  <c r="AL403" i="2" s="1"/>
  <c r="AL404" i="2" a="1"/>
  <c r="AL404" i="2" s="1"/>
  <c r="AL405" i="2" a="1"/>
  <c r="AL405" i="2" s="1"/>
  <c r="AL406" i="2" a="1"/>
  <c r="AL406" i="2" s="1"/>
  <c r="AL407" i="2" a="1"/>
  <c r="AL407" i="2" s="1"/>
  <c r="AL408" i="2" a="1"/>
  <c r="AL408" i="2" s="1"/>
  <c r="AL409" i="2" a="1"/>
  <c r="AL409" i="2" s="1"/>
  <c r="AL410" i="2" a="1"/>
  <c r="AL410" i="2" s="1"/>
  <c r="AL411" i="2" a="1"/>
  <c r="AL411" i="2" s="1"/>
  <c r="AL412" i="2" a="1"/>
  <c r="AL412" i="2" s="1"/>
  <c r="AL413" i="2" a="1"/>
  <c r="AL413" i="2" s="1"/>
  <c r="AL414" i="2" a="1"/>
  <c r="AL414" i="2" s="1"/>
  <c r="AL415" i="2" a="1"/>
  <c r="AL415" i="2" s="1"/>
  <c r="AL416" i="2" a="1"/>
  <c r="AL416" i="2" s="1"/>
  <c r="AL417" i="2" a="1"/>
  <c r="AL417" i="2" s="1"/>
  <c r="AL418" i="2" a="1"/>
  <c r="AL418" i="2" s="1"/>
  <c r="AL419" i="2" a="1"/>
  <c r="AL419" i="2" s="1"/>
  <c r="AL420" i="2" a="1"/>
  <c r="AL420" i="2" s="1"/>
  <c r="AL421" i="2" a="1"/>
  <c r="AL421" i="2" s="1"/>
  <c r="AL422" i="2" a="1"/>
  <c r="AL422" i="2" s="1"/>
  <c r="AL423" i="2" a="1"/>
  <c r="AL423" i="2" s="1"/>
  <c r="AL424" i="2" a="1"/>
  <c r="AL424" i="2" s="1"/>
  <c r="AL425" i="2" a="1"/>
  <c r="AL425" i="2" s="1"/>
  <c r="AL426" i="2" a="1"/>
  <c r="AL426" i="2" s="1"/>
  <c r="AL427" i="2" a="1"/>
  <c r="AL427" i="2" s="1"/>
  <c r="AL428" i="2" a="1"/>
  <c r="AL428" i="2" s="1"/>
  <c r="AL429" i="2" a="1"/>
  <c r="AL429" i="2" s="1"/>
  <c r="AL430" i="2" a="1"/>
  <c r="AL430" i="2" s="1"/>
  <c r="AL431" i="2" a="1"/>
  <c r="AL431" i="2" s="1"/>
  <c r="AL432" i="2" a="1"/>
  <c r="AL432" i="2" s="1"/>
  <c r="AL433" i="2" a="1"/>
  <c r="AL433" i="2" s="1"/>
  <c r="AL434" i="2" a="1"/>
  <c r="AL434" i="2" s="1"/>
  <c r="AL435" i="2" a="1"/>
  <c r="AL435" i="2" s="1"/>
  <c r="AL436" i="2" a="1"/>
  <c r="AL436" i="2" s="1"/>
  <c r="AL437" i="2" a="1"/>
  <c r="AL437" i="2" s="1"/>
  <c r="AL438" i="2" a="1"/>
  <c r="AL438" i="2" s="1"/>
  <c r="AL439" i="2" a="1"/>
  <c r="AL439" i="2" s="1"/>
  <c r="AL440" i="2" a="1"/>
  <c r="AL440" i="2" s="1"/>
  <c r="AL441" i="2" a="1"/>
  <c r="AL441" i="2" s="1"/>
  <c r="AL442" i="2" a="1"/>
  <c r="AL442" i="2" s="1"/>
  <c r="AL443" i="2" a="1"/>
  <c r="AL443" i="2" s="1"/>
  <c r="AL444" i="2" a="1"/>
  <c r="AL444" i="2" s="1"/>
  <c r="AL445" i="2" a="1"/>
  <c r="AL445" i="2" s="1"/>
  <c r="AL446" i="2" a="1"/>
  <c r="AL446" i="2" s="1"/>
  <c r="AL447" i="2" a="1"/>
  <c r="AL447" i="2" s="1"/>
  <c r="AL448" i="2" a="1"/>
  <c r="AL448" i="2" s="1"/>
  <c r="AL449" i="2" a="1"/>
  <c r="AL449" i="2" s="1"/>
  <c r="AL450" i="2" a="1"/>
  <c r="AL450" i="2" s="1"/>
  <c r="AL451" i="2" a="1"/>
  <c r="AL451" i="2" s="1"/>
  <c r="AL452" i="2" a="1"/>
  <c r="AL452" i="2" s="1"/>
  <c r="AL453" i="2" a="1"/>
  <c r="AL453" i="2" s="1"/>
  <c r="AL454" i="2" a="1"/>
  <c r="AL454" i="2" s="1"/>
  <c r="AL455" i="2" a="1"/>
  <c r="AL455" i="2" s="1"/>
  <c r="AL456" i="2" a="1"/>
  <c r="AL456" i="2" s="1"/>
  <c r="AL457" i="2" a="1"/>
  <c r="AL457" i="2" s="1"/>
  <c r="AL458" i="2" a="1"/>
  <c r="AL458" i="2" s="1"/>
  <c r="AL459" i="2" a="1"/>
  <c r="AL459" i="2" s="1"/>
  <c r="AL460" i="2" a="1"/>
  <c r="AL460" i="2" s="1"/>
  <c r="AL461" i="2" a="1"/>
  <c r="AL461" i="2" s="1"/>
  <c r="AL462" i="2" a="1"/>
  <c r="AL462" i="2" s="1"/>
  <c r="AL463" i="2" a="1"/>
  <c r="AL463" i="2" s="1"/>
  <c r="AL464" i="2" a="1"/>
  <c r="AL464" i="2" s="1"/>
  <c r="AL465" i="2" a="1"/>
  <c r="AL465" i="2" s="1"/>
  <c r="AL466" i="2" a="1"/>
  <c r="AL466" i="2" s="1"/>
  <c r="AL467" i="2" a="1"/>
  <c r="AL467" i="2" s="1"/>
  <c r="AL468" i="2" a="1"/>
  <c r="AL468" i="2" s="1"/>
  <c r="AL469" i="2" a="1"/>
  <c r="AL469" i="2" s="1"/>
  <c r="AL470" i="2" a="1"/>
  <c r="AL470" i="2" s="1"/>
  <c r="AL471" i="2" a="1"/>
  <c r="AL471" i="2" s="1"/>
  <c r="AL472" i="2" a="1"/>
  <c r="AL472" i="2" s="1"/>
  <c r="AL473" i="2" a="1"/>
  <c r="AL473" i="2" s="1"/>
  <c r="AL474" i="2" a="1"/>
  <c r="AL474" i="2" s="1"/>
  <c r="AL475" i="2" a="1"/>
  <c r="AL475" i="2" s="1"/>
  <c r="AL476" i="2" a="1"/>
  <c r="AL476" i="2" s="1"/>
  <c r="AL477" i="2" a="1"/>
  <c r="AL477" i="2" s="1"/>
  <c r="AL478" i="2" a="1"/>
  <c r="AL478" i="2" s="1"/>
  <c r="AL479" i="2" a="1"/>
  <c r="AL479" i="2" s="1"/>
  <c r="AL480" i="2" a="1"/>
  <c r="AL480" i="2" s="1"/>
  <c r="AL481" i="2" a="1"/>
  <c r="AL481" i="2" s="1"/>
  <c r="AL482" i="2" a="1"/>
  <c r="AL482" i="2" s="1"/>
  <c r="AL483" i="2" a="1"/>
  <c r="AL483" i="2" s="1"/>
  <c r="AL484" i="2" a="1"/>
  <c r="AL484" i="2" s="1"/>
  <c r="AL485" i="2" a="1"/>
  <c r="AL485" i="2" s="1"/>
  <c r="AL486" i="2" a="1"/>
  <c r="AL486" i="2" s="1"/>
  <c r="AL487" i="2" a="1"/>
  <c r="AL487" i="2" s="1"/>
  <c r="AL488" i="2" a="1"/>
  <c r="AL488" i="2" s="1"/>
  <c r="AL489" i="2" a="1"/>
  <c r="AL489" i="2" s="1"/>
  <c r="AL490" i="2" a="1"/>
  <c r="AL490" i="2" s="1"/>
  <c r="AL491" i="2" a="1"/>
  <c r="AL491" i="2" s="1"/>
  <c r="AL492" i="2" a="1"/>
  <c r="AL492" i="2" s="1"/>
  <c r="AL493" i="2" a="1"/>
  <c r="AL493" i="2" s="1"/>
  <c r="AL494" i="2" a="1"/>
  <c r="AL494" i="2" s="1"/>
  <c r="AL495" i="2" a="1"/>
  <c r="AL495" i="2" s="1"/>
  <c r="AL496" i="2" a="1"/>
  <c r="AL496" i="2" s="1"/>
  <c r="AL497" i="2" a="1"/>
  <c r="AL497" i="2" s="1"/>
  <c r="AL498" i="2" a="1"/>
  <c r="AL498" i="2" s="1"/>
  <c r="AL499" i="2" a="1"/>
  <c r="AL499" i="2" s="1"/>
  <c r="AL500" i="2" a="1"/>
  <c r="AL500" i="2" s="1"/>
  <c r="AL501" i="2" a="1"/>
  <c r="AL501" i="2" s="1"/>
  <c r="AL502" i="2" a="1"/>
  <c r="AL502" i="2" s="1"/>
  <c r="AL503" i="2" a="1"/>
  <c r="AL503" i="2" s="1"/>
  <c r="AL504" i="2" a="1"/>
  <c r="AL504" i="2" s="1"/>
  <c r="AL505" i="2" a="1"/>
  <c r="AL505" i="2" s="1"/>
  <c r="AL506" i="2" a="1"/>
  <c r="AL506" i="2" s="1"/>
  <c r="AL507" i="2" a="1"/>
  <c r="AL507" i="2" s="1"/>
  <c r="AL508" i="2" a="1"/>
  <c r="AL508" i="2" s="1"/>
  <c r="AL509" i="2" a="1"/>
  <c r="AL509" i="2" s="1"/>
  <c r="AL510" i="2" a="1"/>
  <c r="AL510" i="2" s="1"/>
  <c r="AL511" i="2" a="1"/>
  <c r="AL511" i="2" s="1"/>
  <c r="AL512" i="2" a="1"/>
  <c r="AL512" i="2" s="1"/>
  <c r="AL513" i="2" a="1"/>
  <c r="AL513" i="2" s="1"/>
  <c r="AL514" i="2" a="1"/>
  <c r="AL514" i="2" s="1"/>
  <c r="AL515" i="2" a="1"/>
  <c r="AL515" i="2" s="1"/>
  <c r="AL516" i="2" a="1"/>
  <c r="AL516" i="2" s="1"/>
  <c r="AL517" i="2" a="1"/>
  <c r="AL517" i="2" s="1"/>
  <c r="AL518" i="2" a="1"/>
  <c r="AL518" i="2" s="1"/>
  <c r="AL519" i="2" a="1"/>
  <c r="AL519" i="2" s="1"/>
  <c r="AL520" i="2" a="1"/>
  <c r="AL520" i="2" s="1"/>
  <c r="AL521" i="2" a="1"/>
  <c r="AL521" i="2" s="1"/>
  <c r="AL522" i="2" a="1"/>
  <c r="AL522" i="2" s="1"/>
  <c r="AL523" i="2" a="1"/>
  <c r="AL523" i="2" s="1"/>
  <c r="AL524" i="2" a="1"/>
  <c r="AL524" i="2" s="1"/>
  <c r="AL525" i="2" a="1"/>
  <c r="AL525" i="2" s="1"/>
  <c r="AL526" i="2" a="1"/>
  <c r="AL526" i="2" s="1"/>
  <c r="AL527" i="2" a="1"/>
  <c r="AL527" i="2" s="1"/>
  <c r="AL528" i="2" a="1"/>
  <c r="AL528" i="2" s="1"/>
  <c r="AL529" i="2" a="1"/>
  <c r="AL529" i="2" s="1"/>
  <c r="AL530" i="2" a="1"/>
  <c r="AL530" i="2" s="1"/>
  <c r="AL531" i="2" a="1"/>
  <c r="AL531" i="2" s="1"/>
  <c r="AL532" i="2" a="1"/>
  <c r="AL532" i="2" s="1"/>
  <c r="AL533" i="2" a="1"/>
  <c r="AL533" i="2" s="1"/>
  <c r="AL534" i="2" a="1"/>
  <c r="AL534" i="2" s="1"/>
  <c r="AL535" i="2" a="1"/>
  <c r="AL535" i="2" s="1"/>
  <c r="AL536" i="2" a="1"/>
  <c r="AL536" i="2" s="1"/>
  <c r="AL537" i="2" a="1"/>
  <c r="AL537" i="2" s="1"/>
  <c r="AL538" i="2" a="1"/>
  <c r="AL538" i="2" s="1"/>
  <c r="AL539" i="2" a="1"/>
  <c r="AL539" i="2" s="1"/>
  <c r="AL540" i="2" a="1"/>
  <c r="AL540" i="2" s="1"/>
  <c r="AL541" i="2" a="1"/>
  <c r="AL541" i="2" s="1"/>
  <c r="AL542" i="2" a="1"/>
  <c r="AL542" i="2" s="1"/>
  <c r="AL543" i="2" a="1"/>
  <c r="AL543" i="2" s="1"/>
  <c r="AL544" i="2" a="1"/>
  <c r="AL544" i="2" s="1"/>
  <c r="AL545" i="2" a="1"/>
  <c r="AL545" i="2" s="1"/>
  <c r="AL546" i="2" a="1"/>
  <c r="AL546" i="2" s="1"/>
  <c r="AL547" i="2" a="1"/>
  <c r="AL547" i="2" s="1"/>
  <c r="AL548" i="2" a="1"/>
  <c r="AL548" i="2" s="1"/>
  <c r="AL549" i="2" a="1"/>
  <c r="AL549" i="2" s="1"/>
  <c r="AL550" i="2" a="1"/>
  <c r="AL550" i="2" s="1"/>
  <c r="AL551" i="2" a="1"/>
  <c r="AL551" i="2" s="1"/>
  <c r="AL552" i="2" a="1"/>
  <c r="AL552" i="2" s="1"/>
  <c r="AL553" i="2" a="1"/>
  <c r="AL553" i="2" s="1"/>
  <c r="AL554" i="2" a="1"/>
  <c r="AL554" i="2" s="1"/>
  <c r="AL555" i="2" a="1"/>
  <c r="AL555" i="2" s="1"/>
  <c r="AL556" i="2" a="1"/>
  <c r="AL556" i="2" s="1"/>
  <c r="AL557" i="2" a="1"/>
  <c r="AL557" i="2" s="1"/>
  <c r="AL558" i="2" a="1"/>
  <c r="AL558" i="2" s="1"/>
  <c r="AL559" i="2" a="1"/>
  <c r="AL559" i="2" s="1"/>
  <c r="AL560" i="2" a="1"/>
  <c r="AL560" i="2" s="1"/>
  <c r="AL561" i="2" a="1"/>
  <c r="AL561" i="2" s="1"/>
  <c r="AL562" i="2" a="1"/>
  <c r="AL562" i="2" s="1"/>
  <c r="AL563" i="2" a="1"/>
  <c r="AL563" i="2" s="1"/>
  <c r="AL564" i="2" a="1"/>
  <c r="AL564" i="2" s="1"/>
  <c r="AL565" i="2" a="1"/>
  <c r="AL565" i="2" s="1"/>
  <c r="AL566" i="2" a="1"/>
  <c r="AL566" i="2" s="1"/>
  <c r="AL567" i="2" a="1"/>
  <c r="AL567" i="2" s="1"/>
  <c r="AL568" i="2" a="1"/>
  <c r="AL568" i="2" s="1"/>
  <c r="AL569" i="2" a="1"/>
  <c r="AL569" i="2" s="1"/>
  <c r="AL570" i="2" a="1"/>
  <c r="AL570" i="2" s="1"/>
  <c r="AL571" i="2" a="1"/>
  <c r="AL571" i="2" s="1"/>
  <c r="AL572" i="2" a="1"/>
  <c r="AL572" i="2" s="1"/>
  <c r="AL573" i="2" a="1"/>
  <c r="AL573" i="2" s="1"/>
  <c r="AL574" i="2" a="1"/>
  <c r="AL574" i="2" s="1"/>
  <c r="AL575" i="2" a="1"/>
  <c r="AL575" i="2" s="1"/>
  <c r="AL576" i="2" a="1"/>
  <c r="AL576" i="2" s="1"/>
  <c r="AL577" i="2" a="1"/>
  <c r="AL577" i="2" s="1"/>
  <c r="AL578" i="2" a="1"/>
  <c r="AL578" i="2" s="1"/>
  <c r="AL579" i="2" a="1"/>
  <c r="AL579" i="2" s="1"/>
  <c r="AL580" i="2" a="1"/>
  <c r="AL580" i="2" s="1"/>
  <c r="AL581" i="2" a="1"/>
  <c r="AL581" i="2" s="1"/>
  <c r="AL582" i="2" a="1"/>
  <c r="AL582" i="2" s="1"/>
  <c r="AL583" i="2" a="1"/>
  <c r="AL583" i="2" s="1"/>
  <c r="AL584" i="2" a="1"/>
  <c r="AL584" i="2" s="1"/>
  <c r="AL585" i="2" a="1"/>
  <c r="AL585" i="2" s="1"/>
  <c r="AL586" i="2" a="1"/>
  <c r="AL586" i="2" s="1"/>
  <c r="AL587" i="2" a="1"/>
  <c r="AL587" i="2" s="1"/>
  <c r="AL588" i="2" a="1"/>
  <c r="AL588" i="2" s="1"/>
  <c r="AL589" i="2" a="1"/>
  <c r="AL589" i="2" s="1"/>
  <c r="AL590" i="2" a="1"/>
  <c r="AL590" i="2" s="1"/>
  <c r="AL591" i="2" a="1"/>
  <c r="AL591" i="2" s="1"/>
  <c r="AL592" i="2" a="1"/>
  <c r="AL592" i="2" s="1"/>
  <c r="AL593" i="2" a="1"/>
  <c r="AL593" i="2" s="1"/>
  <c r="AL594" i="2" a="1"/>
  <c r="AL594" i="2" s="1"/>
  <c r="AL595" i="2" a="1"/>
  <c r="AL595" i="2" s="1"/>
  <c r="AL596" i="2" a="1"/>
  <c r="AL596" i="2" s="1"/>
  <c r="AL597" i="2" a="1"/>
  <c r="AL597" i="2" s="1"/>
  <c r="AL598" i="2" a="1"/>
  <c r="AL598" i="2" s="1"/>
  <c r="AL599" i="2" a="1"/>
  <c r="AL599" i="2" s="1"/>
  <c r="AL600" i="2" a="1"/>
  <c r="AL600" i="2" s="1"/>
  <c r="AL601" i="2" a="1"/>
  <c r="AL601" i="2" s="1"/>
  <c r="AL602" i="2" a="1"/>
  <c r="AL602" i="2" s="1"/>
  <c r="AL603" i="2" a="1"/>
  <c r="AL603" i="2" s="1"/>
  <c r="AL604" i="2" a="1"/>
  <c r="AL604" i="2" s="1"/>
  <c r="AL605" i="2" a="1"/>
  <c r="AL605" i="2" s="1"/>
  <c r="AL606" i="2" a="1"/>
  <c r="AL606" i="2" s="1"/>
  <c r="AL607" i="2" a="1"/>
  <c r="AL607" i="2" s="1"/>
  <c r="AL608" i="2" a="1"/>
  <c r="AL608" i="2" s="1"/>
  <c r="AL609" i="2" a="1"/>
  <c r="AL609" i="2" s="1"/>
  <c r="AL610" i="2" a="1"/>
  <c r="AL610" i="2" s="1"/>
  <c r="AL611" i="2" a="1"/>
  <c r="AL611" i="2" s="1"/>
  <c r="AL612" i="2" a="1"/>
  <c r="AL612" i="2" s="1"/>
  <c r="AL613" i="2" a="1"/>
  <c r="AL613" i="2" s="1"/>
  <c r="AL614" i="2" a="1"/>
  <c r="AL614" i="2" s="1"/>
  <c r="AL615" i="2" a="1"/>
  <c r="AL615" i="2" s="1"/>
  <c r="AL616" i="2" a="1"/>
  <c r="AL616" i="2" s="1"/>
  <c r="AL617" i="2" a="1"/>
  <c r="AL617" i="2" s="1"/>
  <c r="AL618" i="2" a="1"/>
  <c r="AL618" i="2" s="1"/>
  <c r="AL619" i="2" a="1"/>
  <c r="AL619" i="2" s="1"/>
  <c r="AL620" i="2" a="1"/>
  <c r="AL620" i="2" s="1"/>
  <c r="AL621" i="2" a="1"/>
  <c r="AL621" i="2" s="1"/>
  <c r="AL622" i="2" a="1"/>
  <c r="AL622" i="2" s="1"/>
  <c r="AL623" i="2" a="1"/>
  <c r="AL623" i="2" s="1"/>
  <c r="AL624" i="2" a="1"/>
  <c r="AL624" i="2" s="1"/>
  <c r="AL625" i="2" a="1"/>
  <c r="AL625" i="2" s="1"/>
  <c r="AL626" i="2" a="1"/>
  <c r="AL626" i="2" s="1"/>
  <c r="AL627" i="2" a="1"/>
  <c r="AL627" i="2" s="1"/>
  <c r="AL628" i="2" a="1"/>
  <c r="AL628" i="2" s="1"/>
  <c r="AL629" i="2" a="1"/>
  <c r="AL629" i="2" s="1"/>
  <c r="AL630" i="2" a="1"/>
  <c r="AL630" i="2" s="1"/>
  <c r="AL631" i="2" a="1"/>
  <c r="AL631" i="2" s="1"/>
  <c r="AL632" i="2" a="1"/>
  <c r="AL632" i="2" s="1"/>
  <c r="AL633" i="2" a="1"/>
  <c r="AL633" i="2" s="1"/>
  <c r="AL634" i="2" a="1"/>
  <c r="AL634" i="2" s="1"/>
  <c r="AL635" i="2" a="1"/>
  <c r="AL635" i="2" s="1"/>
  <c r="AL636" i="2" a="1"/>
  <c r="AL636" i="2" s="1"/>
  <c r="AL637" i="2" a="1"/>
  <c r="AL637" i="2" s="1"/>
  <c r="AL638" i="2" a="1"/>
  <c r="AL638" i="2" s="1"/>
  <c r="AL639" i="2" a="1"/>
  <c r="AL639" i="2" s="1"/>
  <c r="AL640" i="2" a="1"/>
  <c r="AL640" i="2" s="1"/>
  <c r="AL641" i="2" a="1"/>
  <c r="AL641" i="2" s="1"/>
  <c r="AL642" i="2" a="1"/>
  <c r="AL642" i="2" s="1"/>
  <c r="AL643" i="2" a="1"/>
  <c r="AL643" i="2" s="1"/>
  <c r="AL644" i="2" a="1"/>
  <c r="AL644" i="2" s="1"/>
  <c r="AL645" i="2" a="1"/>
  <c r="AL645" i="2" s="1"/>
  <c r="AL646" i="2" a="1"/>
  <c r="AL646" i="2" s="1"/>
  <c r="AL647" i="2" a="1"/>
  <c r="AL647" i="2" s="1"/>
  <c r="AL648" i="2" a="1"/>
  <c r="AL648" i="2" s="1"/>
  <c r="AL649" i="2" a="1"/>
  <c r="AL649" i="2" s="1"/>
  <c r="AL650" i="2" a="1"/>
  <c r="AL650" i="2" s="1"/>
  <c r="AL651" i="2" a="1"/>
  <c r="AL651" i="2" s="1"/>
  <c r="AL652" i="2" a="1"/>
  <c r="AL652" i="2" s="1"/>
  <c r="AL653" i="2" a="1"/>
  <c r="AL653" i="2" s="1"/>
  <c r="AL654" i="2" a="1"/>
  <c r="AL654" i="2" s="1"/>
  <c r="AL655" i="2" a="1"/>
  <c r="AL655" i="2" s="1"/>
  <c r="AL656" i="2" a="1"/>
  <c r="AL656" i="2" s="1"/>
  <c r="AL657" i="2" a="1"/>
  <c r="AL657" i="2" s="1"/>
  <c r="AL658" i="2" a="1"/>
  <c r="AL658" i="2" s="1"/>
  <c r="AL659" i="2" a="1"/>
  <c r="AL659" i="2" s="1"/>
  <c r="AL660" i="2" a="1"/>
  <c r="AL660" i="2" s="1"/>
  <c r="AL661" i="2" a="1"/>
  <c r="AL661" i="2" s="1"/>
  <c r="AL662" i="2" a="1"/>
  <c r="AL662" i="2" s="1"/>
  <c r="AL663" i="2" a="1"/>
  <c r="AL663" i="2" s="1"/>
  <c r="AL664" i="2" a="1"/>
  <c r="AL664" i="2" s="1"/>
  <c r="AL665" i="2" a="1"/>
  <c r="AL665" i="2" s="1"/>
  <c r="AL666" i="2" a="1"/>
  <c r="AL666" i="2" s="1"/>
  <c r="AL667" i="2" a="1"/>
  <c r="AL667" i="2" s="1"/>
  <c r="AL668" i="2" a="1"/>
  <c r="AL668" i="2" s="1"/>
  <c r="AL669" i="2" a="1"/>
  <c r="AL669" i="2" s="1"/>
  <c r="AL670" i="2" a="1"/>
  <c r="AL670" i="2" s="1"/>
  <c r="AL671" i="2" a="1"/>
  <c r="AL671" i="2" s="1"/>
  <c r="AL672" i="2" a="1"/>
  <c r="AL672" i="2" s="1"/>
  <c r="AL673" i="2" a="1"/>
  <c r="AL673" i="2" s="1"/>
  <c r="AL674" i="2" a="1"/>
  <c r="AL674" i="2" s="1"/>
  <c r="AL675" i="2" a="1"/>
  <c r="AL675" i="2" s="1"/>
  <c r="AL676" i="2" a="1"/>
  <c r="AL676" i="2" s="1"/>
  <c r="AL677" i="2" a="1"/>
  <c r="AL677" i="2" s="1"/>
  <c r="AL678" i="2" a="1"/>
  <c r="AL678" i="2" s="1"/>
  <c r="AL679" i="2" a="1"/>
  <c r="AL679" i="2" s="1"/>
  <c r="AL680" i="2" a="1"/>
  <c r="AL680" i="2" s="1"/>
  <c r="AL681" i="2" a="1"/>
  <c r="AL681" i="2" s="1"/>
  <c r="AL682" i="2" a="1"/>
  <c r="AL682" i="2" s="1"/>
  <c r="AL683" i="2" a="1"/>
  <c r="AL683" i="2" s="1"/>
  <c r="AL684" i="2" a="1"/>
  <c r="AL684" i="2" s="1"/>
  <c r="AL685" i="2" a="1"/>
  <c r="AL685" i="2" s="1"/>
  <c r="AL686" i="2" a="1"/>
  <c r="AL686" i="2" s="1"/>
  <c r="AL687" i="2" a="1"/>
  <c r="AL687" i="2" s="1"/>
  <c r="AL688" i="2" a="1"/>
  <c r="AL688" i="2" s="1"/>
  <c r="AL689" i="2" a="1"/>
  <c r="AL689" i="2" s="1"/>
  <c r="AL690" i="2" a="1"/>
  <c r="AL690" i="2" s="1"/>
  <c r="AL691" i="2" a="1"/>
  <c r="AL691" i="2" s="1"/>
  <c r="AL692" i="2" a="1"/>
  <c r="AL692" i="2" s="1"/>
  <c r="AL693" i="2" a="1"/>
  <c r="AL693" i="2" s="1"/>
  <c r="AL694" i="2" a="1"/>
  <c r="AL694" i="2" s="1"/>
  <c r="AL695" i="2" a="1"/>
  <c r="AL695" i="2" s="1"/>
  <c r="AL696" i="2" a="1"/>
  <c r="AL696" i="2" s="1"/>
  <c r="AL697" i="2" a="1"/>
  <c r="AL697" i="2" s="1"/>
  <c r="AL698" i="2" a="1"/>
  <c r="AL698" i="2" s="1"/>
  <c r="AL699" i="2" a="1"/>
  <c r="AL699" i="2" s="1"/>
  <c r="AL700" i="2" a="1"/>
  <c r="AL700" i="2" s="1"/>
  <c r="AL701" i="2" a="1"/>
  <c r="AL701" i="2" s="1"/>
  <c r="AL702" i="2" a="1"/>
  <c r="AL702" i="2" s="1"/>
  <c r="AL703" i="2" a="1"/>
  <c r="AL703" i="2" s="1"/>
  <c r="AL704" i="2" a="1"/>
  <c r="AL704" i="2" s="1"/>
  <c r="AL705" i="2" a="1"/>
  <c r="AL705" i="2" s="1"/>
  <c r="AL706" i="2" a="1"/>
  <c r="AL706" i="2" s="1"/>
  <c r="AL707" i="2" a="1"/>
  <c r="AL707" i="2" s="1"/>
  <c r="AL708" i="2" a="1"/>
  <c r="AL708" i="2" s="1"/>
  <c r="AL709" i="2" a="1"/>
  <c r="AL709" i="2" s="1"/>
  <c r="AL710" i="2" a="1"/>
  <c r="AL710" i="2" s="1"/>
  <c r="AL711" i="2" a="1"/>
  <c r="AL711" i="2" s="1"/>
  <c r="AL712" i="2" a="1"/>
  <c r="AL712" i="2" s="1"/>
  <c r="AL713" i="2" a="1"/>
  <c r="AL713" i="2" s="1"/>
  <c r="AL714" i="2" a="1"/>
  <c r="AL714" i="2" s="1"/>
  <c r="AL715" i="2" a="1"/>
  <c r="AL715" i="2" s="1"/>
  <c r="AL716" i="2" a="1"/>
  <c r="AL716" i="2" s="1"/>
  <c r="AL717" i="2" a="1"/>
  <c r="AL717" i="2" s="1"/>
  <c r="AL718" i="2" a="1"/>
  <c r="AL718" i="2" s="1"/>
  <c r="AL719" i="2" a="1"/>
  <c r="AL719" i="2" s="1"/>
  <c r="AL720" i="2" a="1"/>
  <c r="AL720" i="2" s="1"/>
  <c r="AL721" i="2" a="1"/>
  <c r="AL721" i="2" s="1"/>
  <c r="AL722" i="2" a="1"/>
  <c r="AL722" i="2" s="1"/>
  <c r="AL723" i="2" a="1"/>
  <c r="AL723" i="2" s="1"/>
  <c r="AL724" i="2" a="1"/>
  <c r="AL724" i="2" s="1"/>
  <c r="AL725" i="2" a="1"/>
  <c r="AL725" i="2" s="1"/>
  <c r="AL726" i="2" a="1"/>
  <c r="AL726" i="2" s="1"/>
  <c r="AL727" i="2" a="1"/>
  <c r="AL727" i="2" s="1"/>
  <c r="AL728" i="2" a="1"/>
  <c r="AL728" i="2" s="1"/>
  <c r="AL729" i="2" a="1"/>
  <c r="AL729" i="2" s="1"/>
  <c r="AL730" i="2" a="1"/>
  <c r="AL730" i="2" s="1"/>
  <c r="AL731" i="2" a="1"/>
  <c r="AL731" i="2" s="1"/>
  <c r="AL732" i="2" a="1"/>
  <c r="AL732" i="2" s="1"/>
  <c r="AL733" i="2" a="1"/>
  <c r="AL733" i="2" s="1"/>
  <c r="AL734" i="2" a="1"/>
  <c r="AL734" i="2" s="1"/>
  <c r="AL735" i="2" a="1"/>
  <c r="AL735" i="2" s="1"/>
  <c r="AL736" i="2" a="1"/>
  <c r="AL736" i="2" s="1"/>
  <c r="AL737" i="2" a="1"/>
  <c r="AL737" i="2" s="1"/>
  <c r="AL738" i="2" a="1"/>
  <c r="AL738" i="2" s="1"/>
  <c r="AL739" i="2" a="1"/>
  <c r="AL739" i="2" s="1"/>
  <c r="AL740" i="2" a="1"/>
  <c r="AL740" i="2" s="1"/>
  <c r="AL741" i="2" a="1"/>
  <c r="AL741" i="2" s="1"/>
  <c r="AL742" i="2" a="1"/>
  <c r="AL742" i="2" s="1"/>
  <c r="AL743" i="2" a="1"/>
  <c r="AL743" i="2" s="1"/>
  <c r="AL744" i="2" a="1"/>
  <c r="AL744" i="2" s="1"/>
  <c r="AL745" i="2" a="1"/>
  <c r="AL745" i="2" s="1"/>
  <c r="AL746" i="2" a="1"/>
  <c r="AL746" i="2" s="1"/>
  <c r="AL747" i="2" a="1"/>
  <c r="AL747" i="2" s="1"/>
  <c r="AL748" i="2" a="1"/>
  <c r="AL748" i="2" s="1"/>
  <c r="AL749" i="2" a="1"/>
  <c r="AL749" i="2" s="1"/>
  <c r="AL750" i="2" a="1"/>
  <c r="AL750" i="2" s="1"/>
  <c r="AL751" i="2" a="1"/>
  <c r="AL751" i="2" s="1"/>
  <c r="AL752" i="2" a="1"/>
  <c r="AL752" i="2" s="1"/>
  <c r="AL753" i="2" a="1"/>
  <c r="AL753" i="2" s="1"/>
  <c r="AL754" i="2" a="1"/>
  <c r="AL754" i="2" s="1"/>
  <c r="AL755" i="2" a="1"/>
  <c r="AL755" i="2" s="1"/>
  <c r="AL756" i="2" a="1"/>
  <c r="AL756" i="2" s="1"/>
  <c r="AL757" i="2" a="1"/>
  <c r="AL757" i="2" s="1"/>
  <c r="AL758" i="2" a="1"/>
  <c r="AL758" i="2" s="1"/>
  <c r="AL759" i="2" a="1"/>
  <c r="AL759" i="2" s="1"/>
  <c r="AL760" i="2" a="1"/>
  <c r="AL760" i="2" s="1"/>
  <c r="AL761" i="2" a="1"/>
  <c r="AL761" i="2" s="1"/>
  <c r="AL762" i="2" a="1"/>
  <c r="AL762" i="2" s="1"/>
  <c r="AL763" i="2" a="1"/>
  <c r="AL763" i="2" s="1"/>
  <c r="AL764" i="2" a="1"/>
  <c r="AL764" i="2" s="1"/>
  <c r="AL765" i="2" a="1"/>
  <c r="AL765" i="2" s="1"/>
  <c r="AL766" i="2" a="1"/>
  <c r="AL766" i="2" s="1"/>
  <c r="AL767" i="2" a="1"/>
  <c r="AL767" i="2" s="1"/>
  <c r="AL768" i="2" a="1"/>
  <c r="AL768" i="2" s="1"/>
  <c r="AL769" i="2" a="1"/>
  <c r="AL769" i="2" s="1"/>
  <c r="AL770" i="2" a="1"/>
  <c r="AL770" i="2" s="1"/>
  <c r="AL771" i="2" a="1"/>
  <c r="AL771" i="2" s="1"/>
  <c r="AL772" i="2" a="1"/>
  <c r="AL772" i="2" s="1"/>
  <c r="AL773" i="2" a="1"/>
  <c r="AL773" i="2" s="1"/>
  <c r="AL774" i="2" a="1"/>
  <c r="AL774" i="2" s="1"/>
  <c r="AL775" i="2" a="1"/>
  <c r="AL775" i="2" s="1"/>
  <c r="AL776" i="2" a="1"/>
  <c r="AL776" i="2" s="1"/>
  <c r="AL777" i="2" a="1"/>
  <c r="AL777" i="2" s="1"/>
  <c r="AL778" i="2" a="1"/>
  <c r="AL778" i="2" s="1"/>
  <c r="AL779" i="2" a="1"/>
  <c r="AL779" i="2" s="1"/>
  <c r="AL780" i="2" a="1"/>
  <c r="AL780" i="2" s="1"/>
  <c r="AL781" i="2" a="1"/>
  <c r="AL781" i="2" s="1"/>
  <c r="AL782" i="2" a="1"/>
  <c r="AL782" i="2" s="1"/>
  <c r="AL783" i="2" a="1"/>
  <c r="AL783" i="2" s="1"/>
  <c r="AL784" i="2" a="1"/>
  <c r="AL784" i="2" s="1"/>
  <c r="AL785" i="2" a="1"/>
  <c r="AL785" i="2" s="1"/>
  <c r="AL786" i="2" a="1"/>
  <c r="AL786" i="2" s="1"/>
  <c r="AL787" i="2" a="1"/>
  <c r="AL787" i="2" s="1"/>
  <c r="AL788" i="2" a="1"/>
  <c r="AL788" i="2" s="1"/>
  <c r="AL789" i="2" a="1"/>
  <c r="AL789" i="2" s="1"/>
  <c r="AL790" i="2" a="1"/>
  <c r="AL790" i="2" s="1"/>
  <c r="AL791" i="2" a="1"/>
  <c r="AL791" i="2" s="1"/>
  <c r="AL792" i="2" a="1"/>
  <c r="AL792" i="2" s="1"/>
  <c r="AL793" i="2" a="1"/>
  <c r="AL793" i="2" s="1"/>
  <c r="AL794" i="2" a="1"/>
  <c r="AL794" i="2" s="1"/>
  <c r="AL795" i="2" a="1"/>
  <c r="AL795" i="2" s="1"/>
  <c r="AL796" i="2" a="1"/>
  <c r="AL796" i="2" s="1"/>
  <c r="AL797" i="2" a="1"/>
  <c r="AL797" i="2" s="1"/>
  <c r="AL798" i="2" a="1"/>
  <c r="AL798" i="2" s="1"/>
  <c r="AL799" i="2" a="1"/>
  <c r="AL799" i="2" s="1"/>
  <c r="AL800" i="2" a="1"/>
  <c r="AL800" i="2" s="1"/>
  <c r="AL801" i="2" a="1"/>
  <c r="AL801" i="2" s="1"/>
  <c r="AL802" i="2" a="1"/>
  <c r="AL802" i="2" s="1"/>
  <c r="AL803" i="2" a="1"/>
  <c r="AL803" i="2" s="1"/>
  <c r="AL804" i="2" a="1"/>
  <c r="AL804" i="2" s="1"/>
  <c r="AL805" i="2" a="1"/>
  <c r="AL805" i="2" s="1"/>
  <c r="AL806" i="2" a="1"/>
  <c r="AL806" i="2" s="1"/>
  <c r="AL807" i="2" a="1"/>
  <c r="AL807" i="2" s="1"/>
  <c r="AL808" i="2" a="1"/>
  <c r="AL808" i="2" s="1"/>
  <c r="AL809" i="2" a="1"/>
  <c r="AL809" i="2" s="1"/>
  <c r="AL810" i="2" a="1"/>
  <c r="AL810" i="2" s="1"/>
  <c r="AL811" i="2" a="1"/>
  <c r="AL811" i="2" s="1"/>
  <c r="AL812" i="2" a="1"/>
  <c r="AL812" i="2" s="1"/>
  <c r="AL813" i="2" a="1"/>
  <c r="AL813" i="2" s="1"/>
  <c r="AL814" i="2" a="1"/>
  <c r="AL814" i="2" s="1"/>
  <c r="AL815" i="2" a="1"/>
  <c r="AL815" i="2" s="1"/>
  <c r="AL816" i="2" a="1"/>
  <c r="AL816" i="2" s="1"/>
  <c r="AL817" i="2" a="1"/>
  <c r="AL817" i="2" s="1"/>
  <c r="AL818" i="2" a="1"/>
  <c r="AL818" i="2" s="1"/>
  <c r="AL819" i="2" a="1"/>
  <c r="AL819" i="2" s="1"/>
  <c r="AL820" i="2" a="1"/>
  <c r="AL820" i="2" s="1"/>
  <c r="AL821" i="2" a="1"/>
  <c r="AL821" i="2" s="1"/>
  <c r="AL822" i="2" a="1"/>
  <c r="AL822" i="2" s="1"/>
  <c r="AL823" i="2" a="1"/>
  <c r="AL823" i="2" s="1"/>
  <c r="AL824" i="2" a="1"/>
  <c r="AL824" i="2" s="1"/>
  <c r="AL825" i="2" a="1"/>
  <c r="AL825" i="2" s="1"/>
  <c r="AL826" i="2" a="1"/>
  <c r="AL826" i="2" s="1"/>
  <c r="AL827" i="2" a="1"/>
  <c r="AL827" i="2" s="1"/>
  <c r="AL828" i="2" a="1"/>
  <c r="AL828" i="2" s="1"/>
  <c r="AL829" i="2" a="1"/>
  <c r="AL829" i="2" s="1"/>
  <c r="AL830" i="2" a="1"/>
  <c r="AL830" i="2" s="1"/>
  <c r="AL831" i="2" a="1"/>
  <c r="AL831" i="2" s="1"/>
  <c r="AL832" i="2" a="1"/>
  <c r="AL832" i="2" s="1"/>
  <c r="AL833" i="2" a="1"/>
  <c r="AL833" i="2" s="1"/>
  <c r="AL834" i="2" a="1"/>
  <c r="AL834" i="2" s="1"/>
  <c r="AL835" i="2" a="1"/>
  <c r="AL835" i="2" s="1"/>
  <c r="AL836" i="2" a="1"/>
  <c r="AL836" i="2" s="1"/>
  <c r="AL837" i="2" a="1"/>
  <c r="AL837" i="2" s="1"/>
  <c r="AL838" i="2" a="1"/>
  <c r="AL838" i="2" s="1"/>
  <c r="AL839" i="2" a="1"/>
  <c r="AL839" i="2" s="1"/>
  <c r="AL840" i="2" a="1"/>
  <c r="AL840" i="2" s="1"/>
  <c r="AL841" i="2" a="1"/>
  <c r="AL841" i="2" s="1"/>
  <c r="AL842" i="2" a="1"/>
  <c r="AL842" i="2" s="1"/>
  <c r="AL843" i="2" a="1"/>
  <c r="AL843" i="2" s="1"/>
  <c r="AL844" i="2" a="1"/>
  <c r="AL844" i="2" s="1"/>
  <c r="AL845" i="2" a="1"/>
  <c r="AL845" i="2" s="1"/>
  <c r="AL846" i="2" a="1"/>
  <c r="AL846" i="2" s="1"/>
  <c r="AL847" i="2" a="1"/>
  <c r="AL847" i="2" s="1"/>
  <c r="AL848" i="2" a="1"/>
  <c r="AL848" i="2" s="1"/>
  <c r="AL849" i="2" a="1"/>
  <c r="AL849" i="2" s="1"/>
  <c r="AL850" i="2" a="1"/>
  <c r="AL850" i="2" s="1"/>
  <c r="AL851" i="2" a="1"/>
  <c r="AL851" i="2" s="1"/>
  <c r="AL852" i="2" a="1"/>
  <c r="AL852" i="2" s="1"/>
  <c r="AL853" i="2" a="1"/>
  <c r="AL853" i="2" s="1"/>
  <c r="AL854" i="2" a="1"/>
  <c r="AL854" i="2" s="1"/>
  <c r="AL855" i="2" a="1"/>
  <c r="AL855" i="2" s="1"/>
  <c r="AL856" i="2" a="1"/>
  <c r="AL856" i="2" s="1"/>
  <c r="AL857" i="2" a="1"/>
  <c r="AL857" i="2" s="1"/>
  <c r="AL858" i="2" a="1"/>
  <c r="AL858" i="2" s="1"/>
  <c r="AL859" i="2" a="1"/>
  <c r="AL859" i="2" s="1"/>
  <c r="AL860" i="2" a="1"/>
  <c r="AL860" i="2" s="1"/>
  <c r="AL861" i="2" a="1"/>
  <c r="AL861" i="2" s="1"/>
  <c r="AL862" i="2" a="1"/>
  <c r="AL862" i="2" s="1"/>
  <c r="AL863" i="2" a="1"/>
  <c r="AL863" i="2" s="1"/>
  <c r="AL864" i="2" a="1"/>
  <c r="AL864" i="2" s="1"/>
  <c r="AL865" i="2" a="1"/>
  <c r="AL865" i="2" s="1"/>
  <c r="AL866" i="2" a="1"/>
  <c r="AL866" i="2" s="1"/>
  <c r="AL867" i="2" a="1"/>
  <c r="AL867" i="2" s="1"/>
  <c r="AL868" i="2" a="1"/>
  <c r="AL868" i="2" s="1"/>
  <c r="AL869" i="2" a="1"/>
  <c r="AL869" i="2" s="1"/>
  <c r="AL870" i="2" a="1"/>
  <c r="AL870" i="2" s="1"/>
  <c r="AL871" i="2" a="1"/>
  <c r="AL871" i="2" s="1"/>
  <c r="AL872" i="2" a="1"/>
  <c r="AL872" i="2" s="1"/>
  <c r="AL873" i="2" a="1"/>
  <c r="AL873" i="2" s="1"/>
  <c r="AL874" i="2" a="1"/>
  <c r="AL874" i="2" s="1"/>
  <c r="AL875" i="2" a="1"/>
  <c r="AL875" i="2" s="1"/>
  <c r="AL876" i="2" a="1"/>
  <c r="AL876" i="2" s="1"/>
  <c r="AL877" i="2" a="1"/>
  <c r="AL877" i="2" s="1"/>
  <c r="AL878" i="2" a="1"/>
  <c r="AL878" i="2" s="1"/>
  <c r="AL879" i="2" a="1"/>
  <c r="AL879" i="2" s="1"/>
  <c r="AL880" i="2" a="1"/>
  <c r="AL880" i="2" s="1"/>
  <c r="AL881" i="2" a="1"/>
  <c r="AL881" i="2" s="1"/>
  <c r="AL882" i="2" a="1"/>
  <c r="AL882" i="2" s="1"/>
  <c r="AL883" i="2" a="1"/>
  <c r="AL883" i="2" s="1"/>
  <c r="AL884" i="2" a="1"/>
  <c r="AL884" i="2" s="1"/>
  <c r="AL885" i="2" a="1"/>
  <c r="AL885" i="2" s="1"/>
  <c r="AL886" i="2" a="1"/>
  <c r="AL886" i="2" s="1"/>
  <c r="AL887" i="2" a="1"/>
  <c r="AL887" i="2" s="1"/>
  <c r="AL888" i="2" a="1"/>
  <c r="AL888" i="2" s="1"/>
  <c r="AL889" i="2" a="1"/>
  <c r="AL889" i="2" s="1"/>
  <c r="AL890" i="2" a="1"/>
  <c r="AL890" i="2" s="1"/>
  <c r="AL891" i="2" a="1"/>
  <c r="AL891" i="2" s="1"/>
  <c r="AL892" i="2" a="1"/>
  <c r="AL892" i="2" s="1"/>
  <c r="AL893" i="2" a="1"/>
  <c r="AL893" i="2" s="1"/>
  <c r="AL894" i="2" a="1"/>
  <c r="AL894" i="2" s="1"/>
  <c r="AL895" i="2" a="1"/>
  <c r="AL895" i="2" s="1"/>
  <c r="AL896" i="2" a="1"/>
  <c r="AL896" i="2" s="1"/>
  <c r="AL897" i="2" a="1"/>
  <c r="AL897" i="2" s="1"/>
  <c r="AL898" i="2" a="1"/>
  <c r="AL898" i="2" s="1"/>
  <c r="AL899" i="2" a="1"/>
  <c r="AL899" i="2" s="1"/>
  <c r="AL900" i="2" a="1"/>
  <c r="AL900" i="2" s="1"/>
  <c r="AL901" i="2" a="1"/>
  <c r="AL901" i="2" s="1"/>
  <c r="AL902" i="2" a="1"/>
  <c r="AL902" i="2" s="1"/>
  <c r="AL903" i="2" a="1"/>
  <c r="AL903" i="2" s="1"/>
  <c r="AL904" i="2" a="1"/>
  <c r="AL904" i="2" s="1"/>
  <c r="AL905" i="2" a="1"/>
  <c r="AL905" i="2" s="1"/>
  <c r="AL906" i="2" a="1"/>
  <c r="AL906" i="2" s="1"/>
  <c r="AL907" i="2" a="1"/>
  <c r="AL907" i="2" s="1"/>
  <c r="AL908" i="2" a="1"/>
  <c r="AL908" i="2" s="1"/>
  <c r="AL909" i="2" a="1"/>
  <c r="AL909" i="2" s="1"/>
  <c r="AL910" i="2" a="1"/>
  <c r="AL910" i="2" s="1"/>
  <c r="AL911" i="2" a="1"/>
  <c r="AL911" i="2" s="1"/>
  <c r="AL912" i="2" a="1"/>
  <c r="AL912" i="2" s="1"/>
  <c r="AL913" i="2" a="1"/>
  <c r="AL913" i="2" s="1"/>
  <c r="AL914" i="2" a="1"/>
  <c r="AL914" i="2" s="1"/>
  <c r="AL915" i="2" a="1"/>
  <c r="AL915" i="2" s="1"/>
  <c r="AL916" i="2" a="1"/>
  <c r="AL916" i="2" s="1"/>
  <c r="AL917" i="2" a="1"/>
  <c r="AL917" i="2" s="1"/>
  <c r="AL918" i="2" a="1"/>
  <c r="AL918" i="2" s="1"/>
  <c r="AL919" i="2" a="1"/>
  <c r="AL919" i="2" s="1"/>
  <c r="AL920" i="2" a="1"/>
  <c r="AL920" i="2" s="1"/>
  <c r="AL921" i="2" a="1"/>
  <c r="AL921" i="2" s="1"/>
  <c r="AL922" i="2" a="1"/>
  <c r="AL922" i="2" s="1"/>
  <c r="AL923" i="2" a="1"/>
  <c r="AL923" i="2" s="1"/>
  <c r="AL924" i="2" a="1"/>
  <c r="AL924" i="2" s="1"/>
  <c r="AL925" i="2" a="1"/>
  <c r="AL925" i="2" s="1"/>
  <c r="AL926" i="2" a="1"/>
  <c r="AL926" i="2" s="1"/>
  <c r="AL927" i="2" a="1"/>
  <c r="AL927" i="2" s="1"/>
  <c r="AL928" i="2" a="1"/>
  <c r="AL928" i="2" s="1"/>
  <c r="AL929" i="2" a="1"/>
  <c r="AL929" i="2" s="1"/>
  <c r="AL930" i="2" a="1"/>
  <c r="AL930" i="2" s="1"/>
  <c r="AL931" i="2" a="1"/>
  <c r="AL931" i="2" s="1"/>
  <c r="AL932" i="2" a="1"/>
  <c r="AL932" i="2" s="1"/>
  <c r="AL933" i="2" a="1"/>
  <c r="AL933" i="2" s="1"/>
  <c r="AL934" i="2" a="1"/>
  <c r="AL934" i="2" s="1"/>
  <c r="AL935" i="2" a="1"/>
  <c r="AL935" i="2" s="1"/>
  <c r="AL936" i="2" a="1"/>
  <c r="AL936" i="2" s="1"/>
  <c r="AL937" i="2" a="1"/>
  <c r="AL937" i="2" s="1"/>
  <c r="AL938" i="2" a="1"/>
  <c r="AL938" i="2" s="1"/>
  <c r="AL939" i="2" a="1"/>
  <c r="AL939" i="2" s="1"/>
  <c r="AL940" i="2" a="1"/>
  <c r="AL940" i="2" s="1"/>
  <c r="AL941" i="2" a="1"/>
  <c r="AL941" i="2" s="1"/>
  <c r="AL942" i="2" a="1"/>
  <c r="AL942" i="2" s="1"/>
  <c r="AL943" i="2" a="1"/>
  <c r="AL943" i="2" s="1"/>
  <c r="AL944" i="2" a="1"/>
  <c r="AL944" i="2" s="1"/>
  <c r="AL945" i="2" a="1"/>
  <c r="AL945" i="2" s="1"/>
  <c r="AL946" i="2" a="1"/>
  <c r="AL946" i="2" s="1"/>
  <c r="AL947" i="2" a="1"/>
  <c r="AL947" i="2" s="1"/>
  <c r="AL948" i="2" a="1"/>
  <c r="AL948" i="2" s="1"/>
  <c r="AL949" i="2" a="1"/>
  <c r="AL949" i="2" s="1"/>
  <c r="AL950" i="2" a="1"/>
  <c r="AL950" i="2" s="1"/>
  <c r="AL951" i="2" a="1"/>
  <c r="AL951" i="2" s="1"/>
  <c r="AL952" i="2" a="1"/>
  <c r="AL952" i="2" s="1"/>
  <c r="AL953" i="2" a="1"/>
  <c r="AL953" i="2" s="1"/>
  <c r="AL954" i="2" a="1"/>
  <c r="AL954" i="2" s="1"/>
  <c r="AL955" i="2" a="1"/>
  <c r="AL955" i="2" s="1"/>
  <c r="AL956" i="2" a="1"/>
  <c r="AL956" i="2" s="1"/>
  <c r="AL957" i="2" a="1"/>
  <c r="AL957" i="2" s="1"/>
  <c r="AL958" i="2" a="1"/>
  <c r="AL958" i="2" s="1"/>
  <c r="AL959" i="2" a="1"/>
  <c r="AL959" i="2" s="1"/>
  <c r="AL960" i="2" a="1"/>
  <c r="AL960" i="2" s="1"/>
  <c r="AL961" i="2" a="1"/>
  <c r="AL961" i="2" s="1"/>
  <c r="AL962" i="2" a="1"/>
  <c r="AL962" i="2" s="1"/>
  <c r="AL963" i="2" a="1"/>
  <c r="AL963" i="2" s="1"/>
  <c r="AL964" i="2" a="1"/>
  <c r="AL964" i="2" s="1"/>
  <c r="AL965" i="2" a="1"/>
  <c r="AL965" i="2" s="1"/>
  <c r="AL966" i="2" a="1"/>
  <c r="AL966" i="2" s="1"/>
  <c r="AL967" i="2" a="1"/>
  <c r="AL967" i="2" s="1"/>
  <c r="AL968" i="2" a="1"/>
  <c r="AL968" i="2" s="1"/>
  <c r="AL969" i="2" a="1"/>
  <c r="AL969" i="2" s="1"/>
  <c r="AL970" i="2" a="1"/>
  <c r="AL970" i="2" s="1"/>
  <c r="AL971" i="2" a="1"/>
  <c r="AL971" i="2" s="1"/>
  <c r="AL972" i="2" a="1"/>
  <c r="AL972" i="2" s="1"/>
  <c r="AL973" i="2" a="1"/>
  <c r="AL973" i="2" s="1"/>
  <c r="AL974" i="2" a="1"/>
  <c r="AL974" i="2" s="1"/>
  <c r="AL975" i="2" a="1"/>
  <c r="AL975" i="2" s="1"/>
  <c r="AL976" i="2" a="1"/>
  <c r="AL976" i="2" s="1"/>
  <c r="AL977" i="2" a="1"/>
  <c r="AL977" i="2" s="1"/>
  <c r="AL978" i="2" a="1"/>
  <c r="AL978" i="2" s="1"/>
  <c r="AL979" i="2" a="1"/>
  <c r="AL979" i="2" s="1"/>
  <c r="AL980" i="2" a="1"/>
  <c r="AL980" i="2" s="1"/>
  <c r="AL981" i="2" a="1"/>
  <c r="AL981" i="2" s="1"/>
  <c r="AL982" i="2" a="1"/>
  <c r="AL982" i="2" s="1"/>
  <c r="AL983" i="2" a="1"/>
  <c r="AL983" i="2" s="1"/>
  <c r="AL984" i="2" a="1"/>
  <c r="AL984" i="2" s="1"/>
  <c r="AL985" i="2" a="1"/>
  <c r="AL985" i="2" s="1"/>
  <c r="AL986" i="2" a="1"/>
  <c r="AL986" i="2" s="1"/>
  <c r="AL987" i="2" a="1"/>
  <c r="AL987" i="2" s="1"/>
  <c r="AL988" i="2" a="1"/>
  <c r="AL988" i="2" s="1"/>
  <c r="AL989" i="2" a="1"/>
  <c r="AL989" i="2" s="1"/>
  <c r="AL990" i="2" a="1"/>
  <c r="AL990" i="2" s="1"/>
  <c r="AL991" i="2" a="1"/>
  <c r="AL991" i="2" s="1"/>
  <c r="AL992" i="2" a="1"/>
  <c r="AL992" i="2" s="1"/>
  <c r="AL993" i="2" a="1"/>
  <c r="AL993" i="2" s="1"/>
  <c r="AL994" i="2" a="1"/>
  <c r="AL994" i="2" s="1"/>
  <c r="AL995" i="2" a="1"/>
  <c r="AL995" i="2" s="1"/>
  <c r="AL996" i="2" a="1"/>
  <c r="AL996" i="2" s="1"/>
  <c r="AL997" i="2" a="1"/>
  <c r="AL997" i="2" s="1"/>
  <c r="AL998" i="2" a="1"/>
  <c r="AL998" i="2" s="1"/>
  <c r="AL999" i="2" a="1"/>
  <c r="AL999" i="2" s="1"/>
  <c r="AL1000" i="2" a="1"/>
  <c r="AL1000" i="2" s="1"/>
  <c r="AL1001" i="2" a="1"/>
  <c r="AL1001" i="2" s="1"/>
  <c r="AL1002" i="2" a="1"/>
  <c r="AL1002" i="2" s="1"/>
  <c r="AL1003" i="2" a="1"/>
  <c r="AL1003" i="2" s="1"/>
  <c r="AL1004" i="2" a="1"/>
  <c r="AL1004" i="2" s="1"/>
  <c r="AL1005" i="2" a="1"/>
  <c r="AL1005" i="2" s="1"/>
  <c r="AL1006" i="2" a="1"/>
  <c r="AL1006" i="2" s="1"/>
  <c r="AL1007" i="2" a="1"/>
  <c r="AL1007" i="2" s="1"/>
  <c r="AL1008" i="2" a="1"/>
  <c r="AL1008" i="2" s="1"/>
  <c r="AL1009" i="2" a="1"/>
  <c r="AL1009" i="2" s="1"/>
  <c r="AL1010" i="2" a="1"/>
  <c r="AL1010" i="2" s="1"/>
  <c r="AL1011" i="2" a="1"/>
  <c r="AL1011" i="2" s="1"/>
  <c r="AL1012" i="2" a="1"/>
  <c r="AL1012" i="2" s="1"/>
  <c r="AL1013" i="2" a="1"/>
  <c r="AL1013" i="2" s="1"/>
  <c r="AL1014" i="2" a="1"/>
  <c r="AL1014" i="2" s="1"/>
  <c r="AL1015" i="2" a="1"/>
  <c r="AL1015" i="2" s="1"/>
  <c r="AL1016" i="2" a="1"/>
  <c r="AL1016" i="2" s="1"/>
  <c r="AL1017" i="2" a="1"/>
  <c r="AL1017" i="2" s="1"/>
  <c r="AL1018" i="2" a="1"/>
  <c r="AL1018" i="2" s="1"/>
  <c r="AL1019" i="2" a="1"/>
  <c r="AL1019" i="2" s="1"/>
  <c r="AL1020" i="2" a="1"/>
  <c r="AL1020" i="2" s="1"/>
  <c r="AL1021" i="2" a="1"/>
  <c r="AL1021" i="2" s="1"/>
  <c r="AL1022" i="2" a="1"/>
  <c r="AL1022" i="2" s="1"/>
  <c r="AL1023" i="2" a="1"/>
  <c r="AL1023" i="2" s="1"/>
  <c r="AL1024" i="2" a="1"/>
  <c r="AL1024" i="2" s="1"/>
  <c r="AL1025" i="2" a="1"/>
  <c r="AL1025" i="2" s="1"/>
  <c r="AL1026" i="2" a="1"/>
  <c r="AL1026" i="2" s="1"/>
  <c r="AL1027" i="2" a="1"/>
  <c r="AL1027" i="2" s="1"/>
  <c r="AL1028" i="2" a="1"/>
  <c r="AL1028" i="2" s="1"/>
  <c r="AL1029" i="2" a="1"/>
  <c r="AL1029" i="2" s="1"/>
  <c r="AL1030" i="2" a="1"/>
  <c r="AL1030" i="2" s="1"/>
  <c r="AL1031" i="2" a="1"/>
  <c r="AL1031" i="2" s="1"/>
  <c r="AL1032" i="2" a="1"/>
  <c r="AL1032" i="2" s="1"/>
  <c r="AL1033" i="2" a="1"/>
  <c r="AL1033" i="2" s="1"/>
  <c r="AL1034" i="2" a="1"/>
  <c r="AL1034" i="2" s="1"/>
  <c r="AL1035" i="2" a="1"/>
  <c r="AL1035" i="2" s="1"/>
  <c r="AL1036" i="2" a="1"/>
  <c r="AL1036" i="2" s="1"/>
  <c r="AL1037" i="2" a="1"/>
  <c r="AL1037" i="2" s="1"/>
  <c r="AL1038" i="2" a="1"/>
  <c r="AL1038" i="2" s="1"/>
  <c r="AL1039" i="2" a="1"/>
  <c r="AL1039" i="2" s="1"/>
  <c r="AL1040" i="2" a="1"/>
  <c r="AL1040" i="2" s="1"/>
  <c r="AL1041" i="2" a="1"/>
  <c r="AL1041" i="2" s="1"/>
  <c r="AL1042" i="2" a="1"/>
  <c r="AL1042" i="2" s="1"/>
  <c r="AL1043" i="2" a="1"/>
  <c r="AL1043" i="2" s="1"/>
  <c r="AL1044" i="2" a="1"/>
  <c r="AL1044" i="2" s="1"/>
  <c r="AL1045" i="2" a="1"/>
  <c r="AL1045" i="2" s="1"/>
  <c r="AL1046" i="2" a="1"/>
  <c r="AL1046" i="2" s="1"/>
  <c r="AL1047" i="2" a="1"/>
  <c r="AL1047" i="2" s="1"/>
  <c r="AL1048" i="2" a="1"/>
  <c r="AL1048" i="2" s="1"/>
  <c r="AL1049" i="2" a="1"/>
  <c r="AL1049" i="2" s="1"/>
  <c r="AL1050" i="2" a="1"/>
  <c r="AL1050" i="2" s="1"/>
  <c r="AL1051" i="2" a="1"/>
  <c r="AL1051" i="2" s="1"/>
  <c r="AL1052" i="2" a="1"/>
  <c r="AL1052" i="2" s="1"/>
  <c r="AL1053" i="2" a="1"/>
  <c r="AL1053" i="2" s="1"/>
  <c r="AL1054" i="2" a="1"/>
  <c r="AL1054" i="2" s="1"/>
  <c r="AL1055" i="2" a="1"/>
  <c r="AL1055" i="2" s="1"/>
  <c r="AL1056" i="2" a="1"/>
  <c r="AL1056" i="2" s="1"/>
  <c r="AL1057" i="2" a="1"/>
  <c r="AL1057" i="2" s="1"/>
  <c r="AL1058" i="2" a="1"/>
  <c r="AL1058" i="2" s="1"/>
  <c r="AL1059" i="2" a="1"/>
  <c r="AL1059" i="2" s="1"/>
  <c r="AL1060" i="2" a="1"/>
  <c r="AL1060" i="2" s="1"/>
  <c r="AL1061" i="2" a="1"/>
  <c r="AL1061" i="2" s="1"/>
  <c r="AL1062" i="2" a="1"/>
  <c r="AL1062" i="2" s="1"/>
  <c r="AL1063" i="2" a="1"/>
  <c r="AL1063" i="2" s="1"/>
  <c r="AL1064" i="2" a="1"/>
  <c r="AL1064" i="2" s="1"/>
  <c r="AL1065" i="2" a="1"/>
  <c r="AL1065" i="2" s="1"/>
  <c r="AL1066" i="2" a="1"/>
  <c r="AL1066" i="2" s="1"/>
  <c r="AL1067" i="2" a="1"/>
  <c r="AL1067" i="2" s="1"/>
  <c r="AL1068" i="2" a="1"/>
  <c r="AL1068" i="2" s="1"/>
  <c r="AL1069" i="2" a="1"/>
  <c r="AL1069" i="2" s="1"/>
  <c r="AL1070" i="2" a="1"/>
  <c r="AL1070" i="2" s="1"/>
  <c r="AL1071" i="2" a="1"/>
  <c r="AL1071" i="2" s="1"/>
  <c r="AL1072" i="2" a="1"/>
  <c r="AL1072" i="2" s="1"/>
  <c r="AL1073" i="2" a="1"/>
  <c r="AL1073" i="2" s="1"/>
  <c r="AL1074" i="2" a="1"/>
  <c r="AL1074" i="2" s="1"/>
  <c r="AL1075" i="2" a="1"/>
  <c r="AL1075" i="2" s="1"/>
  <c r="AL1076" i="2" a="1"/>
  <c r="AL1076" i="2" s="1"/>
  <c r="AL1077" i="2" a="1"/>
  <c r="AL1077" i="2" s="1"/>
  <c r="AL1078" i="2" a="1"/>
  <c r="AL1078" i="2" s="1"/>
  <c r="AL1079" i="2" a="1"/>
  <c r="AL1079" i="2" s="1"/>
  <c r="AL1080" i="2" a="1"/>
  <c r="AL1080" i="2" s="1"/>
  <c r="AL1081" i="2" a="1"/>
  <c r="AL1081" i="2" s="1"/>
  <c r="AL1082" i="2" a="1"/>
  <c r="AL1082" i="2" s="1"/>
  <c r="AL1083" i="2" a="1"/>
  <c r="AL1083" i="2" s="1"/>
  <c r="AL1084" i="2" a="1"/>
  <c r="AL1084" i="2" s="1"/>
  <c r="AL1085" i="2" a="1"/>
  <c r="AL1085" i="2" s="1"/>
  <c r="AL1086" i="2" a="1"/>
  <c r="AL1086" i="2" s="1"/>
  <c r="AL1087" i="2" a="1"/>
  <c r="AL1087" i="2" s="1"/>
  <c r="AL1088" i="2" a="1"/>
  <c r="AL1088" i="2" s="1"/>
  <c r="AL1089" i="2" a="1"/>
  <c r="AL1089" i="2" s="1"/>
  <c r="AL1090" i="2" a="1"/>
  <c r="AL1090" i="2" s="1"/>
  <c r="AL1091" i="2" a="1"/>
  <c r="AL1091" i="2" s="1"/>
  <c r="AL1092" i="2" a="1"/>
  <c r="AL1092" i="2" s="1"/>
  <c r="AL1093" i="2" a="1"/>
  <c r="AL1093" i="2" s="1"/>
  <c r="AL1094" i="2" a="1"/>
  <c r="AL1094" i="2" s="1"/>
  <c r="AL1095" i="2" a="1"/>
  <c r="AL1095" i="2" s="1"/>
  <c r="AL1096" i="2" a="1"/>
  <c r="AL1096" i="2" s="1"/>
  <c r="AL1097" i="2" a="1"/>
  <c r="AL1097" i="2" s="1"/>
  <c r="AL1098" i="2" a="1"/>
  <c r="AL1098" i="2" s="1"/>
  <c r="AL1099" i="2" a="1"/>
  <c r="AL1099" i="2" s="1"/>
  <c r="AL1100" i="2" a="1"/>
  <c r="AL1100" i="2" s="1"/>
  <c r="AL1101" i="2" a="1"/>
  <c r="AL1101" i="2" s="1"/>
  <c r="AL1102" i="2" a="1"/>
  <c r="AL1102" i="2" s="1"/>
  <c r="AL1103" i="2" a="1"/>
  <c r="AL1103" i="2" s="1"/>
  <c r="AL1104" i="2" a="1"/>
  <c r="AL1104" i="2" s="1"/>
  <c r="AL1105" i="2" a="1"/>
  <c r="AL1105" i="2" s="1"/>
  <c r="AL1106" i="2" a="1"/>
  <c r="AL1106" i="2" s="1"/>
  <c r="AL1107" i="2" a="1"/>
  <c r="AL1107" i="2" s="1"/>
  <c r="AL1108" i="2" a="1"/>
  <c r="AL1108" i="2" s="1"/>
  <c r="AL1109" i="2" a="1"/>
  <c r="AL1109" i="2" s="1"/>
  <c r="AL1110" i="2" a="1"/>
  <c r="AL1110" i="2" s="1"/>
  <c r="AL1111" i="2" a="1"/>
  <c r="AL1111" i="2" s="1"/>
  <c r="AL1112" i="2" a="1"/>
  <c r="AL1112" i="2" s="1"/>
  <c r="AL1113" i="2" a="1"/>
  <c r="AL1113" i="2" s="1"/>
  <c r="AL1114" i="2" a="1"/>
  <c r="AL1114" i="2" s="1"/>
  <c r="AL1115" i="2" a="1"/>
  <c r="AL1115" i="2" s="1"/>
  <c r="AL1116" i="2" a="1"/>
  <c r="AL1116" i="2" s="1"/>
  <c r="AL1117" i="2" a="1"/>
  <c r="AL1117" i="2" s="1"/>
  <c r="AL1118" i="2" a="1"/>
  <c r="AL1118" i="2" s="1"/>
  <c r="AL1119" i="2" a="1"/>
  <c r="AL1119" i="2" s="1"/>
  <c r="AL1120" i="2" a="1"/>
  <c r="AL1120" i="2" s="1"/>
  <c r="AL1121" i="2" a="1"/>
  <c r="AL1121" i="2" s="1"/>
  <c r="AL1122" i="2" a="1"/>
  <c r="AL1122" i="2" s="1"/>
  <c r="AL1123" i="2" a="1"/>
  <c r="AL1123" i="2" s="1"/>
  <c r="AL1124" i="2" a="1"/>
  <c r="AL1124" i="2" s="1"/>
  <c r="AL1125" i="2" a="1"/>
  <c r="AL1125" i="2" s="1"/>
  <c r="AL1126" i="2" a="1"/>
  <c r="AL1126" i="2" s="1"/>
  <c r="AL1127" i="2" a="1"/>
  <c r="AL1127" i="2" s="1"/>
  <c r="AL1128" i="2" a="1"/>
  <c r="AL1128" i="2" s="1"/>
  <c r="AL1129" i="2" a="1"/>
  <c r="AL1129" i="2" s="1"/>
  <c r="AL1130" i="2" a="1"/>
  <c r="AL1130" i="2" s="1"/>
  <c r="AL1131" i="2" a="1"/>
  <c r="AL1131" i="2" s="1"/>
  <c r="AL1132" i="2" a="1"/>
  <c r="AL1132" i="2" s="1"/>
  <c r="AL1133" i="2" a="1"/>
  <c r="AL1133" i="2" s="1"/>
  <c r="AL1134" i="2" a="1"/>
  <c r="AL1134" i="2" s="1"/>
  <c r="AL1135" i="2" a="1"/>
  <c r="AL1135" i="2" s="1"/>
  <c r="AL1136" i="2" a="1"/>
  <c r="AL1136" i="2" s="1"/>
  <c r="AL1137" i="2" a="1"/>
  <c r="AL1137" i="2" s="1"/>
  <c r="AL1138" i="2" a="1"/>
  <c r="AL1138" i="2" s="1"/>
  <c r="AL1139" i="2" a="1"/>
  <c r="AL1139" i="2" s="1"/>
  <c r="AL1140" i="2" a="1"/>
  <c r="AL1140" i="2" s="1"/>
  <c r="AL1141" i="2" a="1"/>
  <c r="AL1141" i="2" s="1"/>
  <c r="AL1142" i="2" a="1"/>
  <c r="AL1142" i="2" s="1"/>
  <c r="AL1143" i="2" a="1"/>
  <c r="AL1143" i="2" s="1"/>
  <c r="AL1144" i="2" a="1"/>
  <c r="AL1144" i="2" s="1"/>
  <c r="AL1145" i="2" a="1"/>
  <c r="AL1145" i="2" s="1"/>
  <c r="AL1146" i="2" a="1"/>
  <c r="AL1146" i="2" s="1"/>
  <c r="AL1147" i="2" a="1"/>
  <c r="AL1147" i="2" s="1"/>
  <c r="AL1148" i="2" a="1"/>
  <c r="AL1148" i="2" s="1"/>
  <c r="AL1149" i="2" a="1"/>
  <c r="AL1149" i="2" s="1"/>
  <c r="AL1150" i="2" a="1"/>
  <c r="AL1150" i="2" s="1"/>
  <c r="AL1151" i="2" a="1"/>
  <c r="AL1151" i="2" s="1"/>
  <c r="AL1152" i="2" a="1"/>
  <c r="AL1152" i="2" s="1"/>
  <c r="AL1153" i="2" a="1"/>
  <c r="AL1153" i="2" s="1"/>
  <c r="AL1154" i="2" a="1"/>
  <c r="AL1154" i="2" s="1"/>
  <c r="AL1155" i="2" a="1"/>
  <c r="AL1155" i="2" s="1"/>
  <c r="AL1156" i="2" a="1"/>
  <c r="AL1156" i="2" s="1"/>
  <c r="AL1157" i="2" a="1"/>
  <c r="AL1157" i="2" s="1"/>
  <c r="AL1158" i="2" a="1"/>
  <c r="AL1158" i="2" s="1"/>
  <c r="AL1159" i="2" a="1"/>
  <c r="AL1159" i="2" s="1"/>
  <c r="AL1160" i="2" a="1"/>
  <c r="AL1160" i="2" s="1"/>
  <c r="AL1161" i="2" a="1"/>
  <c r="AL1161" i="2" s="1"/>
  <c r="AL1162" i="2" a="1"/>
  <c r="AL1162" i="2" s="1"/>
  <c r="AL1163" i="2" a="1"/>
  <c r="AL1163" i="2" s="1"/>
  <c r="AL1164" i="2" a="1"/>
  <c r="AL1164" i="2" s="1"/>
  <c r="AL1165" i="2" a="1"/>
  <c r="AL1165" i="2" s="1"/>
  <c r="AL1166" i="2" a="1"/>
  <c r="AL1166" i="2" s="1"/>
  <c r="AL1167" i="2" a="1"/>
  <c r="AL1167" i="2" s="1"/>
  <c r="AL1168" i="2" a="1"/>
  <c r="AL1168" i="2" s="1"/>
  <c r="AL1169" i="2" a="1"/>
  <c r="AL1169" i="2" s="1"/>
  <c r="AL1170" i="2" a="1"/>
  <c r="AL1170" i="2" s="1"/>
  <c r="AL1171" i="2" a="1"/>
  <c r="AL1171" i="2" s="1"/>
  <c r="AL1172" i="2" a="1"/>
  <c r="AL1172" i="2" s="1"/>
  <c r="AL1173" i="2" a="1"/>
  <c r="AL1173" i="2" s="1"/>
  <c r="AL1174" i="2" a="1"/>
  <c r="AL1174" i="2" s="1"/>
  <c r="AL1175" i="2" a="1"/>
  <c r="AL1175" i="2" s="1"/>
  <c r="AL1176" i="2" a="1"/>
  <c r="AL1176" i="2" s="1"/>
  <c r="AL1177" i="2" a="1"/>
  <c r="AL1177" i="2" s="1"/>
  <c r="AL1178" i="2" a="1"/>
  <c r="AL1178" i="2" s="1"/>
  <c r="AL1179" i="2" a="1"/>
  <c r="AL1179" i="2" s="1"/>
  <c r="AL1180" i="2" a="1"/>
  <c r="AL1180" i="2" s="1"/>
  <c r="AL1181" i="2" a="1"/>
  <c r="AL1181" i="2" s="1"/>
  <c r="AL1182" i="2" a="1"/>
  <c r="AL1182" i="2" s="1"/>
  <c r="AL1183" i="2" a="1"/>
  <c r="AL1183" i="2" s="1"/>
  <c r="AL1184" i="2" a="1"/>
  <c r="AL1184" i="2" s="1"/>
  <c r="AL1185" i="2" a="1"/>
  <c r="AL1185" i="2" s="1"/>
  <c r="AL1186" i="2" a="1"/>
  <c r="AL1186" i="2" s="1"/>
  <c r="AL1187" i="2" a="1"/>
  <c r="AL1187" i="2" s="1"/>
  <c r="AL1188" i="2" a="1"/>
  <c r="AL1188" i="2" s="1"/>
  <c r="AL1189" i="2" a="1"/>
  <c r="AL1189" i="2" s="1"/>
  <c r="AL1190" i="2" a="1"/>
  <c r="AL1190" i="2" s="1"/>
  <c r="AL1191" i="2" a="1"/>
  <c r="AL1191" i="2" s="1"/>
  <c r="AL1192" i="2" a="1"/>
  <c r="AL1192" i="2" s="1"/>
  <c r="AL1193" i="2" a="1"/>
  <c r="AL1193" i="2" s="1"/>
  <c r="AL1194" i="2" a="1"/>
  <c r="AL1194" i="2" s="1"/>
  <c r="AL1195" i="2" a="1"/>
  <c r="AL1195" i="2" s="1"/>
  <c r="AL1196" i="2" a="1"/>
  <c r="AL1196" i="2" s="1"/>
  <c r="AL1197" i="2" a="1"/>
  <c r="AL1197" i="2" s="1"/>
  <c r="AL1198" i="2" a="1"/>
  <c r="AL1198" i="2" s="1"/>
  <c r="AL1199" i="2" a="1"/>
  <c r="AL1199" i="2" s="1"/>
  <c r="AL1200" i="2" a="1"/>
  <c r="AL1200" i="2" s="1"/>
  <c r="AL1201" i="2" a="1"/>
  <c r="AL1201" i="2" s="1"/>
  <c r="AL1202" i="2" a="1"/>
  <c r="AL1202" i="2" s="1"/>
  <c r="AL1203" i="2" a="1"/>
  <c r="AL1203" i="2" s="1"/>
  <c r="AL1204" i="2" a="1"/>
  <c r="AL1204" i="2" s="1"/>
  <c r="AL1205" i="2" a="1"/>
  <c r="AL1205" i="2" s="1"/>
  <c r="AL1206" i="2" a="1"/>
  <c r="AL1206" i="2" s="1"/>
  <c r="AL1207" i="2" a="1"/>
  <c r="AL1207" i="2" s="1"/>
  <c r="AL1208" i="2" a="1"/>
  <c r="AL1208" i="2" s="1"/>
  <c r="AL1209" i="2" a="1"/>
  <c r="AL1209" i="2" s="1"/>
  <c r="AL1210" i="2" a="1"/>
  <c r="AL1210" i="2" s="1"/>
  <c r="AL1211" i="2" a="1"/>
  <c r="AL1211" i="2" s="1"/>
  <c r="AL1212" i="2" a="1"/>
  <c r="AL1212" i="2" s="1"/>
  <c r="AL1213" i="2" a="1"/>
  <c r="AL1213" i="2" s="1"/>
  <c r="AL1214" i="2" a="1"/>
  <c r="AL1214" i="2" s="1"/>
  <c r="AL1215" i="2" a="1"/>
  <c r="AL1215" i="2" s="1"/>
  <c r="AL1216" i="2" a="1"/>
  <c r="AL1216" i="2" s="1"/>
  <c r="AL1217" i="2" a="1"/>
  <c r="AL1217" i="2" s="1"/>
  <c r="AL1218" i="2" a="1"/>
  <c r="AL1218" i="2" s="1"/>
  <c r="AL1219" i="2" a="1"/>
  <c r="AL1219" i="2" s="1"/>
  <c r="AL1220" i="2" a="1"/>
  <c r="AL1220" i="2" s="1"/>
  <c r="AL1221" i="2" a="1"/>
  <c r="AL1221" i="2" s="1"/>
  <c r="AL1222" i="2" a="1"/>
  <c r="AL1222" i="2" s="1"/>
  <c r="AL1223" i="2" a="1"/>
  <c r="AL1223" i="2" s="1"/>
  <c r="AL1224" i="2" a="1"/>
  <c r="AL1224" i="2" s="1"/>
  <c r="AL1225" i="2" a="1"/>
  <c r="AL1225" i="2" s="1"/>
  <c r="AL1226" i="2" a="1"/>
  <c r="AL1226" i="2" s="1"/>
  <c r="AL1227" i="2" a="1"/>
  <c r="AL1227" i="2" s="1"/>
  <c r="AL1228" i="2" a="1"/>
  <c r="AL1228" i="2" s="1"/>
  <c r="AL1229" i="2" a="1"/>
  <c r="AL1229" i="2" s="1"/>
  <c r="AL1230" i="2" a="1"/>
  <c r="AL1230" i="2" s="1"/>
  <c r="AL1231" i="2" a="1"/>
  <c r="AL1231" i="2" s="1"/>
  <c r="AL1232" i="2" a="1"/>
  <c r="AL1232" i="2" s="1"/>
  <c r="AL1233" i="2" a="1"/>
  <c r="AL1233" i="2" s="1"/>
  <c r="AL1234" i="2" a="1"/>
  <c r="AL1234" i="2" s="1"/>
  <c r="AL1235" i="2" a="1"/>
  <c r="AL1235" i="2" s="1"/>
  <c r="AL1236" i="2" a="1"/>
  <c r="AL1236" i="2" s="1"/>
  <c r="AL1237" i="2" a="1"/>
  <c r="AL1237" i="2" s="1"/>
  <c r="AL1238" i="2" a="1"/>
  <c r="AL1238" i="2" s="1"/>
  <c r="AL1239" i="2" a="1"/>
  <c r="AL1239" i="2" s="1"/>
  <c r="AL1240" i="2" a="1"/>
  <c r="AL1240" i="2" s="1"/>
  <c r="AL1241" i="2" a="1"/>
  <c r="AL1241" i="2" s="1"/>
  <c r="AL1242" i="2" a="1"/>
  <c r="AL1242" i="2" s="1"/>
  <c r="AL1243" i="2" a="1"/>
  <c r="AL1243" i="2" s="1"/>
  <c r="AL1244" i="2" a="1"/>
  <c r="AL1244" i="2" s="1"/>
  <c r="AL1245" i="2" a="1"/>
  <c r="AL1245" i="2" s="1"/>
  <c r="AL1246" i="2" a="1"/>
  <c r="AL1246" i="2" s="1"/>
  <c r="AL1247" i="2" a="1"/>
  <c r="AL1247" i="2" s="1"/>
  <c r="AL1248" i="2" a="1"/>
  <c r="AL1248" i="2" s="1"/>
  <c r="AL1249" i="2" a="1"/>
  <c r="AL1249" i="2" s="1"/>
  <c r="AL1250" i="2" a="1"/>
  <c r="AL1250" i="2" s="1"/>
  <c r="AL1251" i="2" a="1"/>
  <c r="AL1251" i="2" s="1"/>
  <c r="AL1252" i="2" a="1"/>
  <c r="AL1252" i="2" s="1"/>
  <c r="AL1253" i="2" a="1"/>
  <c r="AL1253" i="2" s="1"/>
  <c r="AL1254" i="2" a="1"/>
  <c r="AL1254" i="2" s="1"/>
  <c r="AL1255" i="2" a="1"/>
  <c r="AL1255" i="2" s="1"/>
  <c r="AL1256" i="2" a="1"/>
  <c r="AL1256" i="2" s="1"/>
  <c r="AL1257" i="2" a="1"/>
  <c r="AL1257" i="2" s="1"/>
  <c r="AL1258" i="2" a="1"/>
  <c r="AL1258" i="2" s="1"/>
  <c r="AL1259" i="2" a="1"/>
  <c r="AL1259" i="2" s="1"/>
  <c r="AL1260" i="2" a="1"/>
  <c r="AL1260" i="2" s="1"/>
  <c r="AL1261" i="2" a="1"/>
  <c r="AL1261" i="2" s="1"/>
  <c r="AL1262" i="2" a="1"/>
  <c r="AL1262" i="2" s="1"/>
  <c r="AL1263" i="2" a="1"/>
  <c r="AL1263" i="2" s="1"/>
  <c r="AL1264" i="2" a="1"/>
  <c r="AL1264" i="2" s="1"/>
  <c r="AL1265" i="2" a="1"/>
  <c r="AL1265" i="2" s="1"/>
  <c r="AL1266" i="2" a="1"/>
  <c r="AL1266" i="2" s="1"/>
  <c r="AL1267" i="2" a="1"/>
  <c r="AL1267" i="2" s="1"/>
  <c r="AL1268" i="2" a="1"/>
  <c r="AL1268" i="2" s="1"/>
  <c r="AL1269" i="2" a="1"/>
  <c r="AL1269" i="2" s="1"/>
  <c r="AL1270" i="2" a="1"/>
  <c r="AL1270" i="2" s="1"/>
  <c r="AL1271" i="2" a="1"/>
  <c r="AL1271" i="2" s="1"/>
  <c r="AL1272" i="2" a="1"/>
  <c r="AL1272" i="2" s="1"/>
  <c r="AL1273" i="2" a="1"/>
  <c r="AL1273" i="2" s="1"/>
  <c r="AL1274" i="2" a="1"/>
  <c r="AL1274" i="2" s="1"/>
  <c r="AL1275" i="2" a="1"/>
  <c r="AL1275" i="2" s="1"/>
  <c r="AL1276" i="2" a="1"/>
  <c r="AL1276" i="2" s="1"/>
  <c r="AL1277" i="2" a="1"/>
  <c r="AL1277" i="2" s="1"/>
  <c r="AL1278" i="2" a="1"/>
  <c r="AL1278" i="2" s="1"/>
  <c r="AL1279" i="2" a="1"/>
  <c r="AL1279" i="2" s="1"/>
  <c r="AL1280" i="2" a="1"/>
  <c r="AL1280" i="2" s="1"/>
  <c r="AL1281" i="2" a="1"/>
  <c r="AL1281" i="2" s="1"/>
  <c r="AL1282" i="2" a="1"/>
  <c r="AL1282" i="2" s="1"/>
  <c r="AL1283" i="2" a="1"/>
  <c r="AL1283" i="2" s="1"/>
  <c r="AL1284" i="2" a="1"/>
  <c r="AL1284" i="2" s="1"/>
  <c r="AL1285" i="2" a="1"/>
  <c r="AL1285" i="2" s="1"/>
  <c r="AL1286" i="2" a="1"/>
  <c r="AL1286" i="2" s="1"/>
  <c r="AL1287" i="2" a="1"/>
  <c r="AL1287" i="2" s="1"/>
  <c r="AL1288" i="2" a="1"/>
  <c r="AL1288" i="2" s="1"/>
  <c r="AL1289" i="2" a="1"/>
  <c r="AL1289" i="2" s="1"/>
  <c r="AL1290" i="2" a="1"/>
  <c r="AL1290" i="2" s="1"/>
  <c r="AL1291" i="2" a="1"/>
  <c r="AL1291" i="2" s="1"/>
  <c r="AL1292" i="2" a="1"/>
  <c r="AL1292" i="2" s="1"/>
  <c r="AL1293" i="2" a="1"/>
  <c r="AL1293" i="2" s="1"/>
  <c r="AL1294" i="2" a="1"/>
  <c r="AL1294" i="2" s="1"/>
  <c r="AL1295" i="2" a="1"/>
  <c r="AL1295" i="2" s="1"/>
  <c r="AL1296" i="2" a="1"/>
  <c r="AL1296" i="2" s="1"/>
  <c r="AL1297" i="2" a="1"/>
  <c r="AL1297" i="2" s="1"/>
  <c r="AL1298" i="2" a="1"/>
  <c r="AL1298" i="2" s="1"/>
  <c r="AL1299" i="2" a="1"/>
  <c r="AL1299" i="2" s="1"/>
  <c r="AL1300" i="2" a="1"/>
  <c r="AL1300" i="2" s="1"/>
  <c r="AL1301" i="2" a="1"/>
  <c r="AL1301" i="2" s="1"/>
  <c r="AL1302" i="2" a="1"/>
  <c r="AL1302" i="2" s="1"/>
  <c r="AL1303" i="2" a="1"/>
  <c r="AL1303" i="2" s="1"/>
  <c r="AL1304" i="2" a="1"/>
  <c r="AL1304" i="2" s="1"/>
  <c r="AL1305" i="2" a="1"/>
  <c r="AL1305" i="2" s="1"/>
  <c r="AL1306" i="2" a="1"/>
  <c r="AL1306" i="2" s="1"/>
  <c r="AL1307" i="2" a="1"/>
  <c r="AL1307" i="2" s="1"/>
  <c r="AL1308" i="2" a="1"/>
  <c r="AL1308" i="2" s="1"/>
  <c r="AL1309" i="2" a="1"/>
  <c r="AL1309" i="2" s="1"/>
  <c r="AL1310" i="2" a="1"/>
  <c r="AL1310" i="2" s="1"/>
  <c r="AL1311" i="2" a="1"/>
  <c r="AL1311" i="2" s="1"/>
  <c r="AL1312" i="2" a="1"/>
  <c r="AL1312" i="2" s="1"/>
  <c r="AL1313" i="2" a="1"/>
  <c r="AL1313" i="2" s="1"/>
  <c r="AL1314" i="2" a="1"/>
  <c r="AL1314" i="2" s="1"/>
  <c r="AL1315" i="2" a="1"/>
  <c r="AL1315" i="2" s="1"/>
  <c r="AL1316" i="2" a="1"/>
  <c r="AL1316" i="2" s="1"/>
  <c r="AL1317" i="2" a="1"/>
  <c r="AL1317" i="2" s="1"/>
  <c r="AL1318" i="2" a="1"/>
  <c r="AL1318" i="2" s="1"/>
  <c r="AL1319" i="2" a="1"/>
  <c r="AL1319" i="2" s="1"/>
  <c r="AL1320" i="2" a="1"/>
  <c r="AL1320" i="2" s="1"/>
  <c r="AL1321" i="2" a="1"/>
  <c r="AL1321" i="2" s="1"/>
  <c r="AL1322" i="2" a="1"/>
  <c r="AL1322" i="2" s="1"/>
  <c r="AL1323" i="2" a="1"/>
  <c r="AL1323" i="2" s="1"/>
  <c r="AL1324" i="2" a="1"/>
  <c r="AL1324" i="2" s="1"/>
  <c r="AL1325" i="2" a="1"/>
  <c r="AL1325" i="2" s="1"/>
  <c r="AL1326" i="2" a="1"/>
  <c r="AL1326" i="2" s="1"/>
  <c r="AL1327" i="2" a="1"/>
  <c r="AL1327" i="2" s="1"/>
  <c r="AL1328" i="2" a="1"/>
  <c r="AL1328" i="2" s="1"/>
  <c r="AL1329" i="2" a="1"/>
  <c r="AL1329" i="2" s="1"/>
  <c r="AL1330" i="2" a="1"/>
  <c r="AL1330" i="2" s="1"/>
  <c r="AL1331" i="2" a="1"/>
  <c r="AL1331" i="2" s="1"/>
  <c r="AL1332" i="2" a="1"/>
  <c r="AL1332" i="2" s="1"/>
  <c r="AL1333" i="2" a="1"/>
  <c r="AL1333" i="2" s="1"/>
  <c r="AL1334" i="2" a="1"/>
  <c r="AL1334" i="2" s="1"/>
  <c r="AL1335" i="2" a="1"/>
  <c r="AL1335" i="2" s="1"/>
  <c r="AL1336" i="2" a="1"/>
  <c r="AL1336" i="2" s="1"/>
  <c r="AL1337" i="2" a="1"/>
  <c r="AL1337" i="2" s="1"/>
  <c r="AL1338" i="2" a="1"/>
  <c r="AL1338" i="2" s="1"/>
  <c r="AL1339" i="2" a="1"/>
  <c r="AL1339" i="2" s="1"/>
  <c r="AL1340" i="2" a="1"/>
  <c r="AL1340" i="2" s="1"/>
  <c r="AL1341" i="2" a="1"/>
  <c r="AL1341" i="2" s="1"/>
  <c r="AL1342" i="2" a="1"/>
  <c r="AL1342" i="2" s="1"/>
  <c r="AL1343" i="2" a="1"/>
  <c r="AL1343" i="2" s="1"/>
  <c r="AL1344" i="2" a="1"/>
  <c r="AL1344" i="2" s="1"/>
  <c r="AL1345" i="2" a="1"/>
  <c r="AL1345" i="2" s="1"/>
  <c r="AL1346" i="2" a="1"/>
  <c r="AL1346" i="2" s="1"/>
  <c r="AL1347" i="2" a="1"/>
  <c r="AL1347" i="2" s="1"/>
  <c r="AL1348" i="2" a="1"/>
  <c r="AL1348" i="2" s="1"/>
  <c r="AL1349" i="2" a="1"/>
  <c r="AL1349" i="2" s="1"/>
  <c r="AL1350" i="2" a="1"/>
  <c r="AL1350" i="2" s="1"/>
  <c r="AL1351" i="2" a="1"/>
  <c r="AL1351" i="2" s="1"/>
  <c r="AL1352" i="2" a="1"/>
  <c r="AL1352" i="2" s="1"/>
  <c r="AL1353" i="2" a="1"/>
  <c r="AL1353" i="2" s="1"/>
  <c r="AL1354" i="2" a="1"/>
  <c r="AL1354" i="2" s="1"/>
  <c r="AL1355" i="2" a="1"/>
  <c r="AL1355" i="2" s="1"/>
  <c r="AL1356" i="2" a="1"/>
  <c r="AL1356" i="2" s="1"/>
  <c r="AL1357" i="2" a="1"/>
  <c r="AL1357" i="2" s="1"/>
  <c r="AL1358" i="2" a="1"/>
  <c r="AL1358" i="2" s="1"/>
  <c r="AL1359" i="2" a="1"/>
  <c r="AL1359" i="2" s="1"/>
  <c r="AL1360" i="2" a="1"/>
  <c r="AL1360" i="2" s="1"/>
  <c r="AL1361" i="2" a="1"/>
  <c r="AL1361" i="2" s="1"/>
  <c r="AL1362" i="2" a="1"/>
  <c r="AL1362" i="2" s="1"/>
  <c r="AL1363" i="2" a="1"/>
  <c r="AL1363" i="2" s="1"/>
  <c r="AL1364" i="2" a="1"/>
  <c r="AL1364" i="2" s="1"/>
  <c r="AL1365" i="2" a="1"/>
  <c r="AL1365" i="2" s="1"/>
  <c r="AL1366" i="2" a="1"/>
  <c r="AL1366" i="2" s="1"/>
  <c r="AL1367" i="2" a="1"/>
  <c r="AL1367" i="2" s="1"/>
  <c r="AL1368" i="2" a="1"/>
  <c r="AL1368" i="2" s="1"/>
  <c r="AL1369" i="2" a="1"/>
  <c r="AL1369" i="2" s="1"/>
  <c r="AL1370" i="2" a="1"/>
  <c r="AL1370" i="2" s="1"/>
  <c r="AL1371" i="2" a="1"/>
  <c r="AL1371" i="2" s="1"/>
  <c r="AL1372" i="2" a="1"/>
  <c r="AL1372" i="2" s="1"/>
  <c r="AL1373" i="2" a="1"/>
  <c r="AL1373" i="2" s="1"/>
  <c r="AL1374" i="2" a="1"/>
  <c r="AL1374" i="2" s="1"/>
  <c r="AL1375" i="2" a="1"/>
  <c r="AL1375" i="2" s="1"/>
  <c r="AL1376" i="2" a="1"/>
  <c r="AL1376" i="2" s="1"/>
  <c r="AL1377" i="2" a="1"/>
  <c r="AL1377" i="2" s="1"/>
  <c r="AL1378" i="2" a="1"/>
  <c r="AL1378" i="2" s="1"/>
  <c r="AL1379" i="2" a="1"/>
  <c r="AL1379" i="2" s="1"/>
  <c r="AL1380" i="2" a="1"/>
  <c r="AL1380" i="2" s="1"/>
  <c r="AL1381" i="2" a="1"/>
  <c r="AL1381" i="2" s="1"/>
  <c r="AL1382" i="2" a="1"/>
  <c r="AL1382" i="2" s="1"/>
  <c r="AL1383" i="2" a="1"/>
  <c r="AL1383" i="2" s="1"/>
  <c r="AL1384" i="2" a="1"/>
  <c r="AL1384" i="2" s="1"/>
  <c r="AL1385" i="2" a="1"/>
  <c r="AL1385" i="2" s="1"/>
  <c r="AL1386" i="2" a="1"/>
  <c r="AL1386" i="2" s="1"/>
  <c r="AL1387" i="2" a="1"/>
  <c r="AL1387" i="2" s="1"/>
  <c r="AL1388" i="2" a="1"/>
  <c r="AL1388" i="2" s="1"/>
  <c r="AL1389" i="2" a="1"/>
  <c r="AL1389" i="2" s="1"/>
  <c r="AL1390" i="2" a="1"/>
  <c r="AL1390" i="2" s="1"/>
  <c r="AL1391" i="2" a="1"/>
  <c r="AL1391" i="2" s="1"/>
  <c r="AL1392" i="2" a="1"/>
  <c r="AL1392" i="2" s="1"/>
  <c r="AL1393" i="2" a="1"/>
  <c r="AL1393" i="2" s="1"/>
  <c r="AL1394" i="2" a="1"/>
  <c r="AL1394" i="2" s="1"/>
  <c r="AL1395" i="2" a="1"/>
  <c r="AL1395" i="2" s="1"/>
  <c r="AL1396" i="2" a="1"/>
  <c r="AL1396" i="2" s="1"/>
  <c r="AL1397" i="2" a="1"/>
  <c r="AL1397" i="2" s="1"/>
  <c r="AL1398" i="2" a="1"/>
  <c r="AL1398" i="2" s="1"/>
  <c r="AL1399" i="2" a="1"/>
  <c r="AL1399" i="2" s="1"/>
  <c r="AL1400" i="2" a="1"/>
  <c r="AL1400" i="2" s="1"/>
  <c r="AL1401" i="2" a="1"/>
  <c r="AL1401" i="2" s="1"/>
  <c r="AL1402" i="2" a="1"/>
  <c r="AL1402" i="2" s="1"/>
  <c r="AL1403" i="2" a="1"/>
  <c r="AL1403" i="2" s="1"/>
  <c r="AL1404" i="2" a="1"/>
  <c r="AL1404" i="2" s="1"/>
  <c r="AL1405" i="2" a="1"/>
  <c r="AL1405" i="2" s="1"/>
  <c r="AL1406" i="2" a="1"/>
  <c r="AL1406" i="2" s="1"/>
  <c r="AL1407" i="2" a="1"/>
  <c r="AL1407" i="2" s="1"/>
  <c r="AL1408" i="2" a="1"/>
  <c r="AL1408" i="2" s="1"/>
  <c r="AL1409" i="2" a="1"/>
  <c r="AL1409" i="2" s="1"/>
  <c r="AL1410" i="2" a="1"/>
  <c r="AL1410" i="2" s="1"/>
  <c r="AL1411" i="2" a="1"/>
  <c r="AL1411" i="2" s="1"/>
  <c r="AL1412" i="2" a="1"/>
  <c r="AL1412" i="2" s="1"/>
  <c r="AL1413" i="2" a="1"/>
  <c r="AL1413" i="2" s="1"/>
  <c r="AL1414" i="2" a="1"/>
  <c r="AL1414" i="2" s="1"/>
  <c r="AL1415" i="2" a="1"/>
  <c r="AL1415" i="2" s="1"/>
  <c r="AL1416" i="2" a="1"/>
  <c r="AL1416" i="2" s="1"/>
  <c r="AL1417" i="2" a="1"/>
  <c r="AL1417" i="2" s="1"/>
  <c r="AL1418" i="2" a="1"/>
  <c r="AL1418" i="2" s="1"/>
  <c r="AL1419" i="2" a="1"/>
  <c r="AL1419" i="2" s="1"/>
  <c r="AL1420" i="2" a="1"/>
  <c r="AL1420" i="2" s="1"/>
  <c r="AL1421" i="2" a="1"/>
  <c r="AL1421" i="2" s="1"/>
  <c r="AL1422" i="2" a="1"/>
  <c r="AL1422" i="2" s="1"/>
  <c r="AL1423" i="2" a="1"/>
  <c r="AL1423" i="2" s="1"/>
  <c r="AL1424" i="2" a="1"/>
  <c r="AL1424" i="2" s="1"/>
  <c r="AL1425" i="2" a="1"/>
  <c r="AL1425" i="2" s="1"/>
  <c r="AL1426" i="2" a="1"/>
  <c r="AL1426" i="2" s="1"/>
  <c r="AL1427" i="2" a="1"/>
  <c r="AL1427" i="2" s="1"/>
  <c r="AL1428" i="2" a="1"/>
  <c r="AL1428" i="2" s="1"/>
  <c r="AL1429" i="2" a="1"/>
  <c r="AL1429" i="2" s="1"/>
  <c r="AL1430" i="2" a="1"/>
  <c r="AL1430" i="2" s="1"/>
  <c r="AL1431" i="2" a="1"/>
  <c r="AL1431" i="2" s="1"/>
  <c r="AL1432" i="2" a="1"/>
  <c r="AL1432" i="2" s="1"/>
  <c r="AL1433" i="2" a="1"/>
  <c r="AL1433" i="2" s="1"/>
  <c r="AL1434" i="2" a="1"/>
  <c r="AL1434" i="2" s="1"/>
  <c r="AL1435" i="2" a="1"/>
  <c r="AL1435" i="2" s="1"/>
  <c r="AL1436" i="2" a="1"/>
  <c r="AL1436" i="2" s="1"/>
  <c r="AL1437" i="2" a="1"/>
  <c r="AL1437" i="2" s="1"/>
  <c r="AL1438" i="2" a="1"/>
  <c r="AL1438" i="2" s="1"/>
  <c r="AL1439" i="2" a="1"/>
  <c r="AL1439" i="2" s="1"/>
  <c r="AL1440" i="2" a="1"/>
  <c r="AL1440" i="2" s="1"/>
  <c r="AL1441" i="2" a="1"/>
  <c r="AL1441" i="2" s="1"/>
  <c r="AL1442" i="2" a="1"/>
  <c r="AL1442" i="2" s="1"/>
  <c r="AL1443" i="2" a="1"/>
  <c r="AL1443" i="2" s="1"/>
  <c r="AL1444" i="2" a="1"/>
  <c r="AL1444" i="2" s="1"/>
  <c r="AL1445" i="2" a="1"/>
  <c r="AL1445" i="2" s="1"/>
  <c r="AL1446" i="2" a="1"/>
  <c r="AL1446" i="2" s="1"/>
  <c r="AL1447" i="2" a="1"/>
  <c r="AL1447" i="2" s="1"/>
  <c r="AL1448" i="2" a="1"/>
  <c r="AL1448" i="2" s="1"/>
  <c r="AL1449" i="2" a="1"/>
  <c r="AL1449" i="2" s="1"/>
  <c r="AL1450" i="2" a="1"/>
  <c r="AL1450" i="2" s="1"/>
  <c r="AL1451" i="2" a="1"/>
  <c r="AL1451" i="2" s="1"/>
  <c r="AL1452" i="2" a="1"/>
  <c r="AL1452" i="2" s="1"/>
  <c r="AL1453" i="2" a="1"/>
  <c r="AL1453" i="2" s="1"/>
  <c r="AL1454" i="2" a="1"/>
  <c r="AL1454" i="2" s="1"/>
  <c r="AL1455" i="2" a="1"/>
  <c r="AL1455" i="2" s="1"/>
  <c r="AL1456" i="2" a="1"/>
  <c r="AL1456" i="2" s="1"/>
  <c r="AL1457" i="2" a="1"/>
  <c r="AL1457" i="2" s="1"/>
  <c r="AL1458" i="2" a="1"/>
  <c r="AL1458" i="2" s="1"/>
  <c r="AL1459" i="2" a="1"/>
  <c r="AL1459" i="2" s="1"/>
  <c r="AL1460" i="2" a="1"/>
  <c r="AL1460" i="2" s="1"/>
  <c r="AL1461" i="2" a="1"/>
  <c r="AL1461" i="2" s="1"/>
  <c r="AL1462" i="2" a="1"/>
  <c r="AL1462" i="2" s="1"/>
  <c r="AL1463" i="2" a="1"/>
  <c r="AL1463" i="2" s="1"/>
  <c r="AL1464" i="2" a="1"/>
  <c r="AL1464" i="2" s="1"/>
  <c r="AL1465" i="2" a="1"/>
  <c r="AL1465" i="2" s="1"/>
  <c r="AL1466" i="2" a="1"/>
  <c r="AL1466" i="2" s="1"/>
  <c r="AL1467" i="2" a="1"/>
  <c r="AL1467" i="2" s="1"/>
  <c r="AL1468" i="2" a="1"/>
  <c r="AL1468" i="2" s="1"/>
  <c r="AL1469" i="2" a="1"/>
  <c r="AL1469" i="2" s="1"/>
  <c r="AL1470" i="2" a="1"/>
  <c r="AL1470" i="2" s="1"/>
  <c r="AL1471" i="2" a="1"/>
  <c r="AL1471" i="2" s="1"/>
  <c r="AN2" i="2" a="1"/>
  <c r="AN2" i="2" s="1"/>
  <c r="AN3" i="2" a="1"/>
  <c r="AN3" i="2" s="1"/>
  <c r="AN4" i="2" a="1"/>
  <c r="AN4" i="2" s="1"/>
  <c r="AN5" i="2" a="1"/>
  <c r="AN5" i="2" s="1"/>
  <c r="AN6" i="2" a="1"/>
  <c r="AN6" i="2" s="1"/>
  <c r="AN7" i="2" a="1"/>
  <c r="AN7" i="2" s="1"/>
  <c r="AN8" i="2" a="1"/>
  <c r="AN8" i="2" s="1"/>
  <c r="AN9" i="2" a="1"/>
  <c r="AN9" i="2" s="1"/>
  <c r="AN10" i="2" a="1"/>
  <c r="AN10" i="2" s="1"/>
  <c r="AN11" i="2" a="1"/>
  <c r="AN11" i="2" s="1"/>
  <c r="AN12" i="2" a="1"/>
  <c r="AN12" i="2" s="1"/>
  <c r="AN13" i="2" a="1"/>
  <c r="AN13" i="2" s="1"/>
  <c r="AN14" i="2" a="1"/>
  <c r="AN14" i="2" s="1"/>
  <c r="AN15" i="2" a="1"/>
  <c r="AN15" i="2" s="1"/>
  <c r="AN16" i="2" a="1"/>
  <c r="AN16" i="2" s="1"/>
  <c r="AN17" i="2" a="1"/>
  <c r="AN17" i="2" s="1"/>
  <c r="AN18" i="2" a="1"/>
  <c r="AN18" i="2" s="1"/>
  <c r="AN19" i="2" a="1"/>
  <c r="AN19" i="2" s="1"/>
  <c r="AN20" i="2" a="1"/>
  <c r="AN20" i="2" s="1"/>
  <c r="AN21" i="2" a="1"/>
  <c r="AN21" i="2" s="1"/>
  <c r="AN22" i="2" a="1"/>
  <c r="AN22" i="2" s="1"/>
  <c r="AN23" i="2" a="1"/>
  <c r="AN23" i="2" s="1"/>
  <c r="AN24" i="2" a="1"/>
  <c r="AN24" i="2" s="1"/>
  <c r="AN25" i="2" a="1"/>
  <c r="AN25" i="2" s="1"/>
  <c r="AN26" i="2" a="1"/>
  <c r="AN26" i="2" s="1"/>
  <c r="AN27" i="2" a="1"/>
  <c r="AN27" i="2" s="1"/>
  <c r="AN28" i="2" a="1"/>
  <c r="AN28" i="2" s="1"/>
  <c r="AN29" i="2" a="1"/>
  <c r="AN29" i="2" s="1"/>
  <c r="AN30" i="2" a="1"/>
  <c r="AN30" i="2" s="1"/>
  <c r="AN31" i="2" a="1"/>
  <c r="AN31" i="2" s="1"/>
  <c r="AN32" i="2" a="1"/>
  <c r="AN32" i="2" s="1"/>
  <c r="AN33" i="2" a="1"/>
  <c r="AN33" i="2" s="1"/>
  <c r="AN34" i="2" a="1"/>
  <c r="AN34" i="2" s="1"/>
  <c r="AN35" i="2" a="1"/>
  <c r="AN35" i="2" s="1"/>
  <c r="AN36" i="2" a="1"/>
  <c r="AN36" i="2" s="1"/>
  <c r="AN37" i="2" a="1"/>
  <c r="AN37" i="2" s="1"/>
  <c r="AN38" i="2" a="1"/>
  <c r="AN38" i="2" s="1"/>
  <c r="AN39" i="2" a="1"/>
  <c r="AN39" i="2" s="1"/>
  <c r="AN40" i="2" a="1"/>
  <c r="AN40" i="2" s="1"/>
  <c r="AN41" i="2" a="1"/>
  <c r="AN41" i="2" s="1"/>
  <c r="AN42" i="2" a="1"/>
  <c r="AN42" i="2" s="1"/>
  <c r="AN43" i="2" a="1"/>
  <c r="AN43" i="2" s="1"/>
  <c r="AN44" i="2" a="1"/>
  <c r="AN44" i="2" s="1"/>
  <c r="AN45" i="2" a="1"/>
  <c r="AN45" i="2" s="1"/>
  <c r="AN46" i="2" a="1"/>
  <c r="AN46" i="2" s="1"/>
  <c r="AN47" i="2" a="1"/>
  <c r="AN47" i="2" s="1"/>
  <c r="AN48" i="2" a="1"/>
  <c r="AN48" i="2" s="1"/>
  <c r="AN49" i="2" a="1"/>
  <c r="AN49" i="2" s="1"/>
  <c r="AN50" i="2" a="1"/>
  <c r="AN50" i="2" s="1"/>
  <c r="AN51" i="2" a="1"/>
  <c r="AN51" i="2" s="1"/>
  <c r="AN52" i="2" a="1"/>
  <c r="AN52" i="2" s="1"/>
  <c r="AN53" i="2" a="1"/>
  <c r="AN53" i="2" s="1"/>
  <c r="AN54" i="2" a="1"/>
  <c r="AN54" i="2" s="1"/>
  <c r="AN55" i="2" a="1"/>
  <c r="AN55" i="2" s="1"/>
  <c r="AN56" i="2" a="1"/>
  <c r="AN56" i="2" s="1"/>
  <c r="AN57" i="2" a="1"/>
  <c r="AN57" i="2" s="1"/>
  <c r="AN58" i="2" a="1"/>
  <c r="AN58" i="2" s="1"/>
  <c r="AN59" i="2" a="1"/>
  <c r="AN59" i="2" s="1"/>
  <c r="AN60" i="2" a="1"/>
  <c r="AN60" i="2" s="1"/>
  <c r="AN61" i="2" a="1"/>
  <c r="AN61" i="2" s="1"/>
  <c r="AN62" i="2" a="1"/>
  <c r="AN62" i="2" s="1"/>
  <c r="AN63" i="2" a="1"/>
  <c r="AN63" i="2" s="1"/>
  <c r="AN64" i="2" a="1"/>
  <c r="AN64" i="2" s="1"/>
  <c r="AN65" i="2" a="1"/>
  <c r="AN65" i="2" s="1"/>
  <c r="AN66" i="2" a="1"/>
  <c r="AN66" i="2" s="1"/>
  <c r="AN67" i="2" a="1"/>
  <c r="AN67" i="2" s="1"/>
  <c r="AN68" i="2" a="1"/>
  <c r="AN68" i="2" s="1"/>
  <c r="AN69" i="2" a="1"/>
  <c r="AN69" i="2" s="1"/>
  <c r="AN70" i="2" a="1"/>
  <c r="AN70" i="2" s="1"/>
  <c r="AN71" i="2" a="1"/>
  <c r="AN71" i="2" s="1"/>
  <c r="AN72" i="2" a="1"/>
  <c r="AN72" i="2" s="1"/>
  <c r="AN73" i="2" a="1"/>
  <c r="AN73" i="2" s="1"/>
  <c r="AN74" i="2" a="1"/>
  <c r="AN74" i="2" s="1"/>
  <c r="AN75" i="2" a="1"/>
  <c r="AN75" i="2" s="1"/>
  <c r="AN76" i="2" a="1"/>
  <c r="AN76" i="2" s="1"/>
  <c r="AN77" i="2" a="1"/>
  <c r="AN77" i="2" s="1"/>
  <c r="AN78" i="2" a="1"/>
  <c r="AN78" i="2" s="1"/>
  <c r="AN79" i="2" a="1"/>
  <c r="AN79" i="2" s="1"/>
  <c r="AN80" i="2" a="1"/>
  <c r="AN80" i="2" s="1"/>
  <c r="AN81" i="2" a="1"/>
  <c r="AN81" i="2" s="1"/>
  <c r="AN82" i="2" a="1"/>
  <c r="AN82" i="2" s="1"/>
  <c r="AN83" i="2" a="1"/>
  <c r="AN83" i="2" s="1"/>
  <c r="AN84" i="2" a="1"/>
  <c r="AN84" i="2" s="1"/>
  <c r="AN85" i="2" a="1"/>
  <c r="AN85" i="2" s="1"/>
  <c r="AN86" i="2" a="1"/>
  <c r="AN86" i="2" s="1"/>
  <c r="AN87" i="2" a="1"/>
  <c r="AN87" i="2" s="1"/>
  <c r="AN88" i="2" a="1"/>
  <c r="AN88" i="2" s="1"/>
  <c r="AN89" i="2" a="1"/>
  <c r="AN89" i="2" s="1"/>
  <c r="AN90" i="2" a="1"/>
  <c r="AN90" i="2" s="1"/>
  <c r="AN91" i="2" a="1"/>
  <c r="AN91" i="2" s="1"/>
  <c r="AN92" i="2" a="1"/>
  <c r="AN92" i="2" s="1"/>
  <c r="AN93" i="2" a="1"/>
  <c r="AN93" i="2" s="1"/>
  <c r="AN94" i="2" a="1"/>
  <c r="AN94" i="2" s="1"/>
  <c r="AN95" i="2" a="1"/>
  <c r="AN95" i="2" s="1"/>
  <c r="AN96" i="2" a="1"/>
  <c r="AN96" i="2" s="1"/>
  <c r="AN97" i="2" a="1"/>
  <c r="AN97" i="2" s="1"/>
  <c r="AN98" i="2" a="1"/>
  <c r="AN98" i="2" s="1"/>
  <c r="AN99" i="2" a="1"/>
  <c r="AN99" i="2" s="1"/>
  <c r="AN100" i="2" a="1"/>
  <c r="AN100" i="2" s="1"/>
  <c r="AN101" i="2" a="1"/>
  <c r="AN101" i="2" s="1"/>
  <c r="AN102" i="2" a="1"/>
  <c r="AN102" i="2" s="1"/>
  <c r="AN103" i="2" a="1"/>
  <c r="AN103" i="2" s="1"/>
  <c r="AN104" i="2" a="1"/>
  <c r="AN104" i="2" s="1"/>
  <c r="AN105" i="2" a="1"/>
  <c r="AN105" i="2" s="1"/>
  <c r="AN106" i="2" a="1"/>
  <c r="AN106" i="2" s="1"/>
  <c r="AN107" i="2" a="1"/>
  <c r="AN107" i="2" s="1"/>
  <c r="AN108" i="2" a="1"/>
  <c r="AN108" i="2" s="1"/>
  <c r="AN109" i="2" a="1"/>
  <c r="AN109" i="2" s="1"/>
  <c r="AN110" i="2" a="1"/>
  <c r="AN110" i="2" s="1"/>
  <c r="AN111" i="2" a="1"/>
  <c r="AN111" i="2" s="1"/>
  <c r="AN112" i="2" a="1"/>
  <c r="AN112" i="2" s="1"/>
  <c r="AN113" i="2" a="1"/>
  <c r="AN113" i="2" s="1"/>
  <c r="AN114" i="2" a="1"/>
  <c r="AN114" i="2" s="1"/>
  <c r="AN115" i="2" a="1"/>
  <c r="AN115" i="2" s="1"/>
  <c r="AN116" i="2" a="1"/>
  <c r="AN116" i="2" s="1"/>
  <c r="AN117" i="2" a="1"/>
  <c r="AN117" i="2" s="1"/>
  <c r="AN118" i="2" a="1"/>
  <c r="AN118" i="2" s="1"/>
  <c r="AN119" i="2" a="1"/>
  <c r="AN119" i="2" s="1"/>
  <c r="AN120" i="2" a="1"/>
  <c r="AN120" i="2" s="1"/>
  <c r="AN121" i="2" a="1"/>
  <c r="AN121" i="2" s="1"/>
  <c r="AN122" i="2" a="1"/>
  <c r="AN122" i="2" s="1"/>
  <c r="AN123" i="2" a="1"/>
  <c r="AN123" i="2" s="1"/>
  <c r="AN124" i="2" a="1"/>
  <c r="AN124" i="2" s="1"/>
  <c r="AN125" i="2" a="1"/>
  <c r="AN125" i="2" s="1"/>
  <c r="AN126" i="2" a="1"/>
  <c r="AN126" i="2" s="1"/>
  <c r="AN127" i="2" a="1"/>
  <c r="AN127" i="2" s="1"/>
  <c r="AN128" i="2" a="1"/>
  <c r="AN128" i="2" s="1"/>
  <c r="AN129" i="2" a="1"/>
  <c r="AN129" i="2" s="1"/>
  <c r="AN130" i="2" a="1"/>
  <c r="AN130" i="2" s="1"/>
  <c r="AN131" i="2" a="1"/>
  <c r="AN131" i="2" s="1"/>
  <c r="AN132" i="2" a="1"/>
  <c r="AN132" i="2" s="1"/>
  <c r="AN133" i="2" a="1"/>
  <c r="AN133" i="2" s="1"/>
  <c r="AN134" i="2" a="1"/>
  <c r="AN134" i="2" s="1"/>
  <c r="AN135" i="2" a="1"/>
  <c r="AN135" i="2" s="1"/>
  <c r="AN136" i="2" a="1"/>
  <c r="AN136" i="2" s="1"/>
  <c r="AN137" i="2" a="1"/>
  <c r="AN137" i="2" s="1"/>
  <c r="AN138" i="2" a="1"/>
  <c r="AN138" i="2" s="1"/>
  <c r="AN139" i="2" a="1"/>
  <c r="AN139" i="2" s="1"/>
  <c r="AN140" i="2" a="1"/>
  <c r="AN140" i="2" s="1"/>
  <c r="AN141" i="2" a="1"/>
  <c r="AN141" i="2" s="1"/>
  <c r="AN142" i="2" a="1"/>
  <c r="AN142" i="2" s="1"/>
  <c r="AN143" i="2" a="1"/>
  <c r="AN143" i="2" s="1"/>
  <c r="AN144" i="2" a="1"/>
  <c r="AN144" i="2" s="1"/>
  <c r="AN145" i="2" a="1"/>
  <c r="AN145" i="2" s="1"/>
  <c r="AN146" i="2" a="1"/>
  <c r="AN146" i="2" s="1"/>
  <c r="AN147" i="2" a="1"/>
  <c r="AN147" i="2" s="1"/>
  <c r="AN148" i="2" a="1"/>
  <c r="AN148" i="2" s="1"/>
  <c r="AN149" i="2" a="1"/>
  <c r="AN149" i="2" s="1"/>
  <c r="AN150" i="2" a="1"/>
  <c r="AN150" i="2" s="1"/>
  <c r="AN151" i="2" a="1"/>
  <c r="AN151" i="2" s="1"/>
  <c r="AN152" i="2" a="1"/>
  <c r="AN152" i="2" s="1"/>
  <c r="AN153" i="2" a="1"/>
  <c r="AN153" i="2" s="1"/>
  <c r="AN154" i="2" a="1"/>
  <c r="AN154" i="2" s="1"/>
  <c r="AN155" i="2" a="1"/>
  <c r="AN155" i="2" s="1"/>
  <c r="AN156" i="2" a="1"/>
  <c r="AN156" i="2" s="1"/>
  <c r="AN157" i="2" a="1"/>
  <c r="AN157" i="2" s="1"/>
  <c r="AN158" i="2" a="1"/>
  <c r="AN158" i="2" s="1"/>
  <c r="AN159" i="2" a="1"/>
  <c r="AN159" i="2" s="1"/>
  <c r="AN160" i="2" a="1"/>
  <c r="AN160" i="2" s="1"/>
  <c r="AN161" i="2" a="1"/>
  <c r="AN161" i="2" s="1"/>
  <c r="AN162" i="2" a="1"/>
  <c r="AN162" i="2" s="1"/>
  <c r="AN163" i="2" a="1"/>
  <c r="AN163" i="2" s="1"/>
  <c r="AN164" i="2" a="1"/>
  <c r="AN164" i="2" s="1"/>
  <c r="AN165" i="2" a="1"/>
  <c r="AN165" i="2" s="1"/>
  <c r="AN166" i="2" a="1"/>
  <c r="AN166" i="2" s="1"/>
  <c r="AN167" i="2" a="1"/>
  <c r="AN167" i="2" s="1"/>
  <c r="AN168" i="2" a="1"/>
  <c r="AN168" i="2" s="1"/>
  <c r="AN169" i="2" a="1"/>
  <c r="AN169" i="2" s="1"/>
  <c r="AN170" i="2" a="1"/>
  <c r="AN170" i="2" s="1"/>
  <c r="AN171" i="2" a="1"/>
  <c r="AN171" i="2" s="1"/>
  <c r="AN172" i="2" a="1"/>
  <c r="AN172" i="2" s="1"/>
  <c r="AN173" i="2" a="1"/>
  <c r="AN173" i="2" s="1"/>
  <c r="AN174" i="2" a="1"/>
  <c r="AN174" i="2" s="1"/>
  <c r="AN175" i="2" a="1"/>
  <c r="AN175" i="2" s="1"/>
  <c r="AN176" i="2" a="1"/>
  <c r="AN176" i="2" s="1"/>
  <c r="AN177" i="2" a="1"/>
  <c r="AN177" i="2" s="1"/>
  <c r="AN178" i="2" a="1"/>
  <c r="AN178" i="2" s="1"/>
  <c r="AN179" i="2" a="1"/>
  <c r="AN179" i="2" s="1"/>
  <c r="AN180" i="2" a="1"/>
  <c r="AN180" i="2" s="1"/>
  <c r="AN181" i="2" a="1"/>
  <c r="AN181" i="2" s="1"/>
  <c r="AN182" i="2" a="1"/>
  <c r="AN182" i="2" s="1"/>
  <c r="AN183" i="2" a="1"/>
  <c r="AN183" i="2" s="1"/>
  <c r="AN184" i="2" a="1"/>
  <c r="AN184" i="2" s="1"/>
  <c r="AN185" i="2" a="1"/>
  <c r="AN185" i="2" s="1"/>
  <c r="AN186" i="2" a="1"/>
  <c r="AN186" i="2" s="1"/>
  <c r="AN187" i="2" a="1"/>
  <c r="AN187" i="2" s="1"/>
  <c r="AN188" i="2" a="1"/>
  <c r="AN188" i="2" s="1"/>
  <c r="AN189" i="2" a="1"/>
  <c r="AN189" i="2" s="1"/>
  <c r="AN190" i="2" a="1"/>
  <c r="AN190" i="2" s="1"/>
  <c r="AN191" i="2" a="1"/>
  <c r="AN191" i="2" s="1"/>
  <c r="AN192" i="2" a="1"/>
  <c r="AN192" i="2" s="1"/>
  <c r="AN193" i="2" a="1"/>
  <c r="AN193" i="2" s="1"/>
  <c r="AN194" i="2" a="1"/>
  <c r="AN194" i="2" s="1"/>
  <c r="AN195" i="2" a="1"/>
  <c r="AN195" i="2" s="1"/>
  <c r="AN196" i="2" a="1"/>
  <c r="AN196" i="2" s="1"/>
  <c r="AN197" i="2" a="1"/>
  <c r="AN197" i="2" s="1"/>
  <c r="AN198" i="2" a="1"/>
  <c r="AN198" i="2" s="1"/>
  <c r="AN199" i="2" a="1"/>
  <c r="AN199" i="2" s="1"/>
  <c r="AN200" i="2" a="1"/>
  <c r="AN200" i="2" s="1"/>
  <c r="AN201" i="2" a="1"/>
  <c r="AN201" i="2" s="1"/>
  <c r="AN202" i="2" a="1"/>
  <c r="AN202" i="2" s="1"/>
  <c r="AN203" i="2" a="1"/>
  <c r="AN203" i="2" s="1"/>
  <c r="AN204" i="2" a="1"/>
  <c r="AN204" i="2" s="1"/>
  <c r="AN205" i="2" a="1"/>
  <c r="AN205" i="2" s="1"/>
  <c r="AN206" i="2" a="1"/>
  <c r="AN206" i="2" s="1"/>
  <c r="AN207" i="2" a="1"/>
  <c r="AN207" i="2" s="1"/>
  <c r="AN208" i="2" a="1"/>
  <c r="AN208" i="2" s="1"/>
  <c r="AN209" i="2" a="1"/>
  <c r="AN209" i="2" s="1"/>
  <c r="AN210" i="2" a="1"/>
  <c r="AN210" i="2" s="1"/>
  <c r="AN211" i="2" a="1"/>
  <c r="AN211" i="2" s="1"/>
  <c r="AN212" i="2" a="1"/>
  <c r="AN212" i="2" s="1"/>
  <c r="AN213" i="2" a="1"/>
  <c r="AN213" i="2" s="1"/>
  <c r="AN214" i="2" a="1"/>
  <c r="AN214" i="2" s="1"/>
  <c r="AN215" i="2" a="1"/>
  <c r="AN215" i="2" s="1"/>
  <c r="AN216" i="2" a="1"/>
  <c r="AN216" i="2" s="1"/>
  <c r="AN217" i="2" a="1"/>
  <c r="AN217" i="2" s="1"/>
  <c r="AN218" i="2" a="1"/>
  <c r="AN218" i="2" s="1"/>
  <c r="AN219" i="2" a="1"/>
  <c r="AN219" i="2" s="1"/>
  <c r="AN220" i="2" a="1"/>
  <c r="AN220" i="2" s="1"/>
  <c r="AN221" i="2" a="1"/>
  <c r="AN221" i="2" s="1"/>
  <c r="AN222" i="2" a="1"/>
  <c r="AN222" i="2" s="1"/>
  <c r="AN223" i="2" a="1"/>
  <c r="AN223" i="2" s="1"/>
  <c r="AN224" i="2" a="1"/>
  <c r="AN224" i="2" s="1"/>
  <c r="AN225" i="2" a="1"/>
  <c r="AN225" i="2" s="1"/>
  <c r="AN226" i="2" a="1"/>
  <c r="AN226" i="2" s="1"/>
  <c r="AN227" i="2" a="1"/>
  <c r="AN227" i="2" s="1"/>
  <c r="AN228" i="2" a="1"/>
  <c r="AN228" i="2" s="1"/>
  <c r="AN229" i="2" a="1"/>
  <c r="AN229" i="2" s="1"/>
  <c r="AN230" i="2" a="1"/>
  <c r="AN230" i="2" s="1"/>
  <c r="AN231" i="2" a="1"/>
  <c r="AN231" i="2" s="1"/>
  <c r="AN232" i="2" a="1"/>
  <c r="AN232" i="2" s="1"/>
  <c r="AN233" i="2" a="1"/>
  <c r="AN233" i="2" s="1"/>
  <c r="AN234" i="2" a="1"/>
  <c r="AN234" i="2" s="1"/>
  <c r="AN235" i="2" a="1"/>
  <c r="AN235" i="2" s="1"/>
  <c r="AN236" i="2" a="1"/>
  <c r="AN236" i="2" s="1"/>
  <c r="AN237" i="2" a="1"/>
  <c r="AN237" i="2" s="1"/>
  <c r="AN238" i="2" a="1"/>
  <c r="AN238" i="2" s="1"/>
  <c r="AN239" i="2" a="1"/>
  <c r="AN239" i="2" s="1"/>
  <c r="AN240" i="2" a="1"/>
  <c r="AN240" i="2" s="1"/>
  <c r="AN241" i="2" a="1"/>
  <c r="AN241" i="2" s="1"/>
  <c r="AN242" i="2" a="1"/>
  <c r="AN242" i="2" s="1"/>
  <c r="AN243" i="2" a="1"/>
  <c r="AN243" i="2" s="1"/>
  <c r="AN244" i="2" a="1"/>
  <c r="AN244" i="2" s="1"/>
  <c r="AN245" i="2" a="1"/>
  <c r="AN245" i="2" s="1"/>
  <c r="AN246" i="2" a="1"/>
  <c r="AN246" i="2" s="1"/>
  <c r="AN247" i="2" a="1"/>
  <c r="AN247" i="2" s="1"/>
  <c r="AN248" i="2" a="1"/>
  <c r="AN248" i="2" s="1"/>
  <c r="AN249" i="2" a="1"/>
  <c r="AN249" i="2" s="1"/>
  <c r="AN250" i="2" a="1"/>
  <c r="AN250" i="2" s="1"/>
  <c r="AN251" i="2" a="1"/>
  <c r="AN251" i="2" s="1"/>
  <c r="AN252" i="2" a="1"/>
  <c r="AN252" i="2" s="1"/>
  <c r="AN253" i="2" a="1"/>
  <c r="AN253" i="2" s="1"/>
  <c r="AN254" i="2" a="1"/>
  <c r="AN254" i="2" s="1"/>
  <c r="AN255" i="2" a="1"/>
  <c r="AN255" i="2" s="1"/>
  <c r="AN256" i="2" a="1"/>
  <c r="AN256" i="2" s="1"/>
  <c r="AN257" i="2" a="1"/>
  <c r="AN257" i="2" s="1"/>
  <c r="AN258" i="2" a="1"/>
  <c r="AN258" i="2" s="1"/>
  <c r="AN259" i="2" a="1"/>
  <c r="AN259" i="2" s="1"/>
  <c r="AN260" i="2" a="1"/>
  <c r="AN260" i="2" s="1"/>
  <c r="AN261" i="2" a="1"/>
  <c r="AN261" i="2" s="1"/>
  <c r="AN262" i="2" a="1"/>
  <c r="AN262" i="2" s="1"/>
  <c r="AN263" i="2" a="1"/>
  <c r="AN263" i="2" s="1"/>
  <c r="AN264" i="2" a="1"/>
  <c r="AN264" i="2" s="1"/>
  <c r="AN265" i="2" a="1"/>
  <c r="AN265" i="2" s="1"/>
  <c r="AN266" i="2" a="1"/>
  <c r="AN266" i="2" s="1"/>
  <c r="AN267" i="2" a="1"/>
  <c r="AN267" i="2" s="1"/>
  <c r="AN268" i="2" a="1"/>
  <c r="AN268" i="2" s="1"/>
  <c r="AN269" i="2" a="1"/>
  <c r="AN269" i="2" s="1"/>
  <c r="AN270" i="2" a="1"/>
  <c r="AN270" i="2" s="1"/>
  <c r="AN271" i="2" a="1"/>
  <c r="AN271" i="2" s="1"/>
  <c r="AN272" i="2" a="1"/>
  <c r="AN272" i="2" s="1"/>
  <c r="AN273" i="2" a="1"/>
  <c r="AN273" i="2" s="1"/>
  <c r="AN274" i="2" a="1"/>
  <c r="AN274" i="2" s="1"/>
  <c r="AN275" i="2" a="1"/>
  <c r="AN275" i="2" s="1"/>
  <c r="AN276" i="2" a="1"/>
  <c r="AN276" i="2" s="1"/>
  <c r="AN277" i="2" a="1"/>
  <c r="AN277" i="2" s="1"/>
  <c r="AN278" i="2" a="1"/>
  <c r="AN278" i="2" s="1"/>
  <c r="AN279" i="2" a="1"/>
  <c r="AN279" i="2" s="1"/>
  <c r="AN280" i="2" a="1"/>
  <c r="AN280" i="2" s="1"/>
  <c r="AN281" i="2" a="1"/>
  <c r="AN281" i="2" s="1"/>
  <c r="AN282" i="2" a="1"/>
  <c r="AN282" i="2" s="1"/>
  <c r="AN283" i="2" a="1"/>
  <c r="AN283" i="2" s="1"/>
  <c r="AN284" i="2" a="1"/>
  <c r="AN284" i="2" s="1"/>
  <c r="AN285" i="2" a="1"/>
  <c r="AN285" i="2" s="1"/>
  <c r="AN286" i="2" a="1"/>
  <c r="AN286" i="2" s="1"/>
  <c r="AN287" i="2" a="1"/>
  <c r="AN287" i="2" s="1"/>
  <c r="AN288" i="2" a="1"/>
  <c r="AN288" i="2" s="1"/>
  <c r="AN289" i="2" a="1"/>
  <c r="AN289" i="2" s="1"/>
  <c r="AN290" i="2" a="1"/>
  <c r="AN290" i="2" s="1"/>
  <c r="AN291" i="2" a="1"/>
  <c r="AN291" i="2" s="1"/>
  <c r="AN292" i="2" a="1"/>
  <c r="AN292" i="2" s="1"/>
  <c r="AN293" i="2" a="1"/>
  <c r="AN293" i="2" s="1"/>
  <c r="AN294" i="2" a="1"/>
  <c r="AN294" i="2" s="1"/>
  <c r="AN295" i="2" a="1"/>
  <c r="AN295" i="2" s="1"/>
  <c r="AN296" i="2" a="1"/>
  <c r="AN296" i="2" s="1"/>
  <c r="AN297" i="2" a="1"/>
  <c r="AN297" i="2" s="1"/>
  <c r="AN298" i="2" a="1"/>
  <c r="AN298" i="2" s="1"/>
  <c r="AN299" i="2" a="1"/>
  <c r="AN299" i="2" s="1"/>
  <c r="AN300" i="2" a="1"/>
  <c r="AN300" i="2" s="1"/>
  <c r="AN301" i="2" a="1"/>
  <c r="AN301" i="2" s="1"/>
  <c r="AN302" i="2" a="1"/>
  <c r="AN302" i="2" s="1"/>
  <c r="AN303" i="2" a="1"/>
  <c r="AN303" i="2" s="1"/>
  <c r="AN304" i="2" a="1"/>
  <c r="AN304" i="2" s="1"/>
  <c r="AN305" i="2" a="1"/>
  <c r="AN305" i="2" s="1"/>
  <c r="AN306" i="2" a="1"/>
  <c r="AN306" i="2" s="1"/>
  <c r="AN307" i="2" a="1"/>
  <c r="AN307" i="2" s="1"/>
  <c r="AN308" i="2" a="1"/>
  <c r="AN308" i="2" s="1"/>
  <c r="AN309" i="2" a="1"/>
  <c r="AN309" i="2" s="1"/>
  <c r="AN310" i="2" a="1"/>
  <c r="AN310" i="2" s="1"/>
  <c r="AN311" i="2" a="1"/>
  <c r="AN311" i="2" s="1"/>
  <c r="AN312" i="2" a="1"/>
  <c r="AN312" i="2" s="1"/>
  <c r="AN313" i="2" a="1"/>
  <c r="AN313" i="2" s="1"/>
  <c r="AN314" i="2" a="1"/>
  <c r="AN314" i="2" s="1"/>
  <c r="AN315" i="2" a="1"/>
  <c r="AN315" i="2" s="1"/>
  <c r="AN316" i="2" a="1"/>
  <c r="AN316" i="2" s="1"/>
  <c r="AN317" i="2" a="1"/>
  <c r="AN317" i="2" s="1"/>
  <c r="AN318" i="2" a="1"/>
  <c r="AN318" i="2" s="1"/>
  <c r="AN319" i="2" a="1"/>
  <c r="AN319" i="2" s="1"/>
  <c r="AN320" i="2" a="1"/>
  <c r="AN320" i="2" s="1"/>
  <c r="AN321" i="2" a="1"/>
  <c r="AN321" i="2" s="1"/>
  <c r="AN322" i="2" a="1"/>
  <c r="AN322" i="2" s="1"/>
  <c r="AN323" i="2" a="1"/>
  <c r="AN323" i="2" s="1"/>
  <c r="AN324" i="2" a="1"/>
  <c r="AN324" i="2" s="1"/>
  <c r="AN325" i="2" a="1"/>
  <c r="AN325" i="2" s="1"/>
  <c r="AN326" i="2" a="1"/>
  <c r="AN326" i="2" s="1"/>
  <c r="AN327" i="2" a="1"/>
  <c r="AN327" i="2" s="1"/>
  <c r="AN328" i="2" a="1"/>
  <c r="AN328" i="2" s="1"/>
  <c r="AN329" i="2" a="1"/>
  <c r="AN329" i="2" s="1"/>
  <c r="AN330" i="2" a="1"/>
  <c r="AN330" i="2" s="1"/>
  <c r="AN331" i="2" a="1"/>
  <c r="AN331" i="2" s="1"/>
  <c r="AN332" i="2" a="1"/>
  <c r="AN332" i="2" s="1"/>
  <c r="AN333" i="2" a="1"/>
  <c r="AN333" i="2" s="1"/>
  <c r="AN334" i="2" a="1"/>
  <c r="AN334" i="2" s="1"/>
  <c r="AN335" i="2" a="1"/>
  <c r="AN335" i="2" s="1"/>
  <c r="AN336" i="2" a="1"/>
  <c r="AN336" i="2" s="1"/>
  <c r="AN337" i="2" a="1"/>
  <c r="AN337" i="2" s="1"/>
  <c r="AN338" i="2" a="1"/>
  <c r="AN338" i="2" s="1"/>
  <c r="AN339" i="2" a="1"/>
  <c r="AN339" i="2" s="1"/>
  <c r="AN340" i="2" a="1"/>
  <c r="AN340" i="2" s="1"/>
  <c r="AN341" i="2" a="1"/>
  <c r="AN341" i="2" s="1"/>
  <c r="AN342" i="2" a="1"/>
  <c r="AN342" i="2" s="1"/>
  <c r="AN343" i="2" a="1"/>
  <c r="AN343" i="2" s="1"/>
  <c r="AN344" i="2" a="1"/>
  <c r="AN344" i="2" s="1"/>
  <c r="AN345" i="2" a="1"/>
  <c r="AN345" i="2" s="1"/>
  <c r="AN346" i="2" a="1"/>
  <c r="AN346" i="2" s="1"/>
  <c r="AN347" i="2" a="1"/>
  <c r="AN347" i="2" s="1"/>
  <c r="AN348" i="2" a="1"/>
  <c r="AN348" i="2" s="1"/>
  <c r="AN349" i="2" a="1"/>
  <c r="AN349" i="2" s="1"/>
  <c r="AN350" i="2" a="1"/>
  <c r="AN350" i="2" s="1"/>
  <c r="AN351" i="2" a="1"/>
  <c r="AN351" i="2" s="1"/>
  <c r="AN352" i="2" a="1"/>
  <c r="AN352" i="2" s="1"/>
  <c r="AN353" i="2" a="1"/>
  <c r="AN353" i="2" s="1"/>
  <c r="AN354" i="2" a="1"/>
  <c r="AN354" i="2" s="1"/>
  <c r="AN355" i="2" a="1"/>
  <c r="AN355" i="2" s="1"/>
  <c r="AN356" i="2" a="1"/>
  <c r="AN356" i="2" s="1"/>
  <c r="AN357" i="2" a="1"/>
  <c r="AN357" i="2" s="1"/>
  <c r="AN358" i="2" a="1"/>
  <c r="AN358" i="2" s="1"/>
  <c r="AN359" i="2" a="1"/>
  <c r="AN359" i="2" s="1"/>
  <c r="AN360" i="2" a="1"/>
  <c r="AN360" i="2" s="1"/>
  <c r="AN361" i="2" a="1"/>
  <c r="AN361" i="2" s="1"/>
  <c r="AN362" i="2" a="1"/>
  <c r="AN362" i="2" s="1"/>
  <c r="AN363" i="2" a="1"/>
  <c r="AN363" i="2" s="1"/>
  <c r="AN364" i="2" a="1"/>
  <c r="AN364" i="2" s="1"/>
  <c r="AN365" i="2" a="1"/>
  <c r="AN365" i="2" s="1"/>
  <c r="AN366" i="2" a="1"/>
  <c r="AN366" i="2" s="1"/>
  <c r="AN367" i="2" a="1"/>
  <c r="AN367" i="2" s="1"/>
  <c r="AN368" i="2" a="1"/>
  <c r="AN368" i="2" s="1"/>
  <c r="AN369" i="2" a="1"/>
  <c r="AN369" i="2" s="1"/>
  <c r="AN370" i="2" a="1"/>
  <c r="AN370" i="2" s="1"/>
  <c r="AN371" i="2" a="1"/>
  <c r="AN371" i="2" s="1"/>
  <c r="AN372" i="2" a="1"/>
  <c r="AN372" i="2" s="1"/>
  <c r="AN373" i="2" a="1"/>
  <c r="AN373" i="2" s="1"/>
  <c r="AN374" i="2" a="1"/>
  <c r="AN374" i="2" s="1"/>
  <c r="AN375" i="2" a="1"/>
  <c r="AN375" i="2" s="1"/>
  <c r="AN376" i="2" a="1"/>
  <c r="AN376" i="2" s="1"/>
  <c r="AN377" i="2" a="1"/>
  <c r="AN377" i="2" s="1"/>
  <c r="AN378" i="2" a="1"/>
  <c r="AN378" i="2" s="1"/>
  <c r="AN379" i="2" a="1"/>
  <c r="AN379" i="2" s="1"/>
  <c r="AN380" i="2" a="1"/>
  <c r="AN380" i="2" s="1"/>
  <c r="AN381" i="2" a="1"/>
  <c r="AN381" i="2" s="1"/>
  <c r="AN382" i="2" a="1"/>
  <c r="AN382" i="2" s="1"/>
  <c r="AN383" i="2" a="1"/>
  <c r="AN383" i="2" s="1"/>
  <c r="AN384" i="2" a="1"/>
  <c r="AN384" i="2" s="1"/>
  <c r="AN385" i="2" a="1"/>
  <c r="AN385" i="2" s="1"/>
  <c r="AN386" i="2" a="1"/>
  <c r="AN386" i="2" s="1"/>
  <c r="AN387" i="2" a="1"/>
  <c r="AN387" i="2" s="1"/>
  <c r="AN388" i="2" a="1"/>
  <c r="AN388" i="2" s="1"/>
  <c r="AN389" i="2" a="1"/>
  <c r="AN389" i="2" s="1"/>
  <c r="AN390" i="2" a="1"/>
  <c r="AN390" i="2" s="1"/>
  <c r="AN391" i="2" a="1"/>
  <c r="AN391" i="2" s="1"/>
  <c r="AN392" i="2" a="1"/>
  <c r="AN392" i="2" s="1"/>
  <c r="AN393" i="2" a="1"/>
  <c r="AN393" i="2" s="1"/>
  <c r="AN394" i="2" a="1"/>
  <c r="AN394" i="2" s="1"/>
  <c r="AN395" i="2" a="1"/>
  <c r="AN395" i="2" s="1"/>
  <c r="AN396" i="2" a="1"/>
  <c r="AN396" i="2" s="1"/>
  <c r="AN397" i="2" a="1"/>
  <c r="AN397" i="2" s="1"/>
  <c r="AN398" i="2" a="1"/>
  <c r="AN398" i="2" s="1"/>
  <c r="AN399" i="2" a="1"/>
  <c r="AN399" i="2" s="1"/>
  <c r="AN400" i="2" a="1"/>
  <c r="AN400" i="2" s="1"/>
  <c r="AN401" i="2" a="1"/>
  <c r="AN401" i="2" s="1"/>
  <c r="AN402" i="2" a="1"/>
  <c r="AN402" i="2" s="1"/>
  <c r="AN403" i="2" a="1"/>
  <c r="AN403" i="2" s="1"/>
  <c r="AN404" i="2" a="1"/>
  <c r="AN404" i="2" s="1"/>
  <c r="AN405" i="2" a="1"/>
  <c r="AN405" i="2" s="1"/>
  <c r="AN406" i="2" a="1"/>
  <c r="AN406" i="2" s="1"/>
  <c r="AN407" i="2" a="1"/>
  <c r="AN407" i="2" s="1"/>
  <c r="AN408" i="2" a="1"/>
  <c r="AN408" i="2" s="1"/>
  <c r="AN409" i="2" a="1"/>
  <c r="AN409" i="2" s="1"/>
  <c r="AN410" i="2" a="1"/>
  <c r="AN410" i="2" s="1"/>
  <c r="AN411" i="2" a="1"/>
  <c r="AN411" i="2" s="1"/>
  <c r="AN412" i="2" a="1"/>
  <c r="AN412" i="2" s="1"/>
  <c r="AN413" i="2" a="1"/>
  <c r="AN413" i="2" s="1"/>
  <c r="AN414" i="2" a="1"/>
  <c r="AN414" i="2" s="1"/>
  <c r="AN415" i="2" a="1"/>
  <c r="AN415" i="2" s="1"/>
  <c r="AN416" i="2" a="1"/>
  <c r="AN416" i="2" s="1"/>
  <c r="AN417" i="2" a="1"/>
  <c r="AN417" i="2" s="1"/>
  <c r="AN418" i="2" a="1"/>
  <c r="AN418" i="2" s="1"/>
  <c r="AN419" i="2" a="1"/>
  <c r="AN419" i="2" s="1"/>
  <c r="AN420" i="2" a="1"/>
  <c r="AN420" i="2" s="1"/>
  <c r="AN421" i="2" a="1"/>
  <c r="AN421" i="2" s="1"/>
  <c r="AN422" i="2" a="1"/>
  <c r="AN422" i="2" s="1"/>
  <c r="AN423" i="2" a="1"/>
  <c r="AN423" i="2" s="1"/>
  <c r="AN424" i="2" a="1"/>
  <c r="AN424" i="2" s="1"/>
  <c r="AN425" i="2" a="1"/>
  <c r="AN425" i="2" s="1"/>
  <c r="AN426" i="2" a="1"/>
  <c r="AN426" i="2" s="1"/>
  <c r="AN427" i="2" a="1"/>
  <c r="AN427" i="2" s="1"/>
  <c r="AN428" i="2" a="1"/>
  <c r="AN428" i="2" s="1"/>
  <c r="AN429" i="2" a="1"/>
  <c r="AN429" i="2" s="1"/>
  <c r="AN430" i="2" a="1"/>
  <c r="AN430" i="2" s="1"/>
  <c r="AN431" i="2" a="1"/>
  <c r="AN431" i="2" s="1"/>
  <c r="AN432" i="2" a="1"/>
  <c r="AN432" i="2" s="1"/>
  <c r="AN433" i="2" a="1"/>
  <c r="AN433" i="2" s="1"/>
  <c r="AN434" i="2" a="1"/>
  <c r="AN434" i="2" s="1"/>
  <c r="AN435" i="2" a="1"/>
  <c r="AN435" i="2" s="1"/>
  <c r="AN436" i="2" a="1"/>
  <c r="AN436" i="2" s="1"/>
  <c r="AN437" i="2" a="1"/>
  <c r="AN437" i="2" s="1"/>
  <c r="AN438" i="2" a="1"/>
  <c r="AN438" i="2" s="1"/>
  <c r="AN439" i="2" a="1"/>
  <c r="AN439" i="2" s="1"/>
  <c r="AN440" i="2" a="1"/>
  <c r="AN440" i="2" s="1"/>
  <c r="AN441" i="2" a="1"/>
  <c r="AN441" i="2" s="1"/>
  <c r="AN442" i="2" a="1"/>
  <c r="AN442" i="2" s="1"/>
  <c r="AN443" i="2" a="1"/>
  <c r="AN443" i="2" s="1"/>
  <c r="AN444" i="2" a="1"/>
  <c r="AN444" i="2" s="1"/>
  <c r="AN445" i="2" a="1"/>
  <c r="AN445" i="2" s="1"/>
  <c r="AN446" i="2" a="1"/>
  <c r="AN446" i="2" s="1"/>
  <c r="AN447" i="2" a="1"/>
  <c r="AN447" i="2" s="1"/>
  <c r="AN448" i="2" a="1"/>
  <c r="AN448" i="2" s="1"/>
  <c r="AN449" i="2" a="1"/>
  <c r="AN449" i="2" s="1"/>
  <c r="AN450" i="2" a="1"/>
  <c r="AN450" i="2" s="1"/>
  <c r="AN451" i="2" a="1"/>
  <c r="AN451" i="2" s="1"/>
  <c r="AN452" i="2" a="1"/>
  <c r="AN452" i="2" s="1"/>
  <c r="AN453" i="2" a="1"/>
  <c r="AN453" i="2" s="1"/>
  <c r="AN454" i="2" a="1"/>
  <c r="AN454" i="2" s="1"/>
  <c r="AN455" i="2" a="1"/>
  <c r="AN455" i="2" s="1"/>
  <c r="AN456" i="2" a="1"/>
  <c r="AN456" i="2" s="1"/>
  <c r="AN457" i="2" a="1"/>
  <c r="AN457" i="2" s="1"/>
  <c r="AN458" i="2" a="1"/>
  <c r="AN458" i="2" s="1"/>
  <c r="AN459" i="2" a="1"/>
  <c r="AN459" i="2" s="1"/>
  <c r="AN460" i="2" a="1"/>
  <c r="AN460" i="2" s="1"/>
  <c r="AN461" i="2" a="1"/>
  <c r="AN461" i="2" s="1"/>
  <c r="AN462" i="2" a="1"/>
  <c r="AN462" i="2" s="1"/>
  <c r="AN463" i="2" a="1"/>
  <c r="AN463" i="2" s="1"/>
  <c r="AN464" i="2" a="1"/>
  <c r="AN464" i="2" s="1"/>
  <c r="AN465" i="2" a="1"/>
  <c r="AN465" i="2" s="1"/>
  <c r="AN466" i="2" a="1"/>
  <c r="AN466" i="2" s="1"/>
  <c r="AN467" i="2" a="1"/>
  <c r="AN467" i="2" s="1"/>
  <c r="AN468" i="2" a="1"/>
  <c r="AN468" i="2" s="1"/>
  <c r="AN469" i="2" a="1"/>
  <c r="AN469" i="2" s="1"/>
  <c r="AN470" i="2" a="1"/>
  <c r="AN470" i="2" s="1"/>
  <c r="AN471" i="2" a="1"/>
  <c r="AN471" i="2" s="1"/>
  <c r="AN472" i="2" a="1"/>
  <c r="AN472" i="2" s="1"/>
  <c r="AN473" i="2" a="1"/>
  <c r="AN473" i="2" s="1"/>
  <c r="AN474" i="2" a="1"/>
  <c r="AN474" i="2" s="1"/>
  <c r="AN475" i="2" a="1"/>
  <c r="AN475" i="2" s="1"/>
  <c r="AN476" i="2" a="1"/>
  <c r="AN476" i="2" s="1"/>
  <c r="AN477" i="2" a="1"/>
  <c r="AN477" i="2" s="1"/>
  <c r="AN478" i="2" a="1"/>
  <c r="AN478" i="2" s="1"/>
  <c r="AN479" i="2" a="1"/>
  <c r="AN479" i="2" s="1"/>
  <c r="AN480" i="2" a="1"/>
  <c r="AN480" i="2" s="1"/>
  <c r="AN481" i="2" a="1"/>
  <c r="AN481" i="2" s="1"/>
  <c r="AN482" i="2" a="1"/>
  <c r="AN482" i="2" s="1"/>
  <c r="AN483" i="2" a="1"/>
  <c r="AN483" i="2" s="1"/>
  <c r="AN484" i="2" a="1"/>
  <c r="AN484" i="2" s="1"/>
  <c r="AN485" i="2" a="1"/>
  <c r="AN485" i="2" s="1"/>
  <c r="AN486" i="2" a="1"/>
  <c r="AN486" i="2" s="1"/>
  <c r="AN487" i="2" a="1"/>
  <c r="AN487" i="2" s="1"/>
  <c r="AN488" i="2" a="1"/>
  <c r="AN488" i="2" s="1"/>
  <c r="AN489" i="2" a="1"/>
  <c r="AN489" i="2" s="1"/>
  <c r="AN490" i="2" a="1"/>
  <c r="AN490" i="2" s="1"/>
  <c r="AN491" i="2" a="1"/>
  <c r="AN491" i="2" s="1"/>
  <c r="AN492" i="2" a="1"/>
  <c r="AN492" i="2" s="1"/>
  <c r="AN493" i="2" a="1"/>
  <c r="AN493" i="2" s="1"/>
  <c r="AN494" i="2" a="1"/>
  <c r="AN494" i="2" s="1"/>
  <c r="AN495" i="2" a="1"/>
  <c r="AN495" i="2" s="1"/>
  <c r="AN496" i="2" a="1"/>
  <c r="AN496" i="2" s="1"/>
  <c r="AN497" i="2" a="1"/>
  <c r="AN497" i="2" s="1"/>
  <c r="AN498" i="2" a="1"/>
  <c r="AN498" i="2" s="1"/>
  <c r="AN499" i="2" a="1"/>
  <c r="AN499" i="2" s="1"/>
  <c r="AN500" i="2" a="1"/>
  <c r="AN500" i="2" s="1"/>
  <c r="AN501" i="2" a="1"/>
  <c r="AN501" i="2" s="1"/>
  <c r="AN502" i="2" a="1"/>
  <c r="AN502" i="2" s="1"/>
  <c r="AN503" i="2" a="1"/>
  <c r="AN503" i="2" s="1"/>
  <c r="AN504" i="2" a="1"/>
  <c r="AN504" i="2" s="1"/>
  <c r="AN505" i="2" a="1"/>
  <c r="AN505" i="2" s="1"/>
  <c r="AN506" i="2" a="1"/>
  <c r="AN506" i="2" s="1"/>
  <c r="AN507" i="2" a="1"/>
  <c r="AN507" i="2" s="1"/>
  <c r="AN508" i="2" a="1"/>
  <c r="AN508" i="2" s="1"/>
  <c r="AN509" i="2" a="1"/>
  <c r="AN509" i="2" s="1"/>
  <c r="AN510" i="2" a="1"/>
  <c r="AN510" i="2" s="1"/>
  <c r="AN511" i="2" a="1"/>
  <c r="AN511" i="2" s="1"/>
  <c r="AN512" i="2" a="1"/>
  <c r="AN512" i="2" s="1"/>
  <c r="AN513" i="2" a="1"/>
  <c r="AN513" i="2" s="1"/>
  <c r="AN514" i="2" a="1"/>
  <c r="AN514" i="2" s="1"/>
  <c r="AN515" i="2" a="1"/>
  <c r="AN515" i="2" s="1"/>
  <c r="AN516" i="2" a="1"/>
  <c r="AN516" i="2" s="1"/>
  <c r="AN517" i="2" a="1"/>
  <c r="AN517" i="2" s="1"/>
  <c r="AN518" i="2" a="1"/>
  <c r="AN518" i="2" s="1"/>
  <c r="AN519" i="2" a="1"/>
  <c r="AN519" i="2" s="1"/>
  <c r="AN520" i="2" a="1"/>
  <c r="AN520" i="2" s="1"/>
  <c r="AN521" i="2" a="1"/>
  <c r="AN521" i="2" s="1"/>
  <c r="AN522" i="2" a="1"/>
  <c r="AN522" i="2" s="1"/>
  <c r="AN523" i="2" a="1"/>
  <c r="AN523" i="2" s="1"/>
  <c r="AN524" i="2" a="1"/>
  <c r="AN524" i="2" s="1"/>
  <c r="AN525" i="2" a="1"/>
  <c r="AN525" i="2" s="1"/>
  <c r="AN526" i="2" a="1"/>
  <c r="AN526" i="2" s="1"/>
  <c r="AN527" i="2" a="1"/>
  <c r="AN527" i="2" s="1"/>
  <c r="AN528" i="2" a="1"/>
  <c r="AN528" i="2" s="1"/>
  <c r="AN529" i="2" a="1"/>
  <c r="AN529" i="2" s="1"/>
  <c r="AN530" i="2" a="1"/>
  <c r="AN530" i="2" s="1"/>
  <c r="AN531" i="2" a="1"/>
  <c r="AN531" i="2" s="1"/>
  <c r="AN532" i="2" a="1"/>
  <c r="AN532" i="2" s="1"/>
  <c r="AN533" i="2" a="1"/>
  <c r="AN533" i="2" s="1"/>
  <c r="AN534" i="2" a="1"/>
  <c r="AN534" i="2" s="1"/>
  <c r="AN535" i="2" a="1"/>
  <c r="AN535" i="2" s="1"/>
  <c r="AN536" i="2" a="1"/>
  <c r="AN536" i="2" s="1"/>
  <c r="AN537" i="2" a="1"/>
  <c r="AN537" i="2" s="1"/>
  <c r="AN538" i="2" a="1"/>
  <c r="AN538" i="2" s="1"/>
  <c r="AN539" i="2" a="1"/>
  <c r="AN539" i="2" s="1"/>
  <c r="AN540" i="2" a="1"/>
  <c r="AN540" i="2" s="1"/>
  <c r="AN541" i="2" a="1"/>
  <c r="AN541" i="2" s="1"/>
  <c r="AN542" i="2" a="1"/>
  <c r="AN542" i="2" s="1"/>
  <c r="AN543" i="2" a="1"/>
  <c r="AN543" i="2" s="1"/>
  <c r="AN544" i="2" a="1"/>
  <c r="AN544" i="2" s="1"/>
  <c r="AN545" i="2" a="1"/>
  <c r="AN545" i="2" s="1"/>
  <c r="AN546" i="2" a="1"/>
  <c r="AN546" i="2" s="1"/>
  <c r="AN547" i="2" a="1"/>
  <c r="AN547" i="2" s="1"/>
  <c r="AN548" i="2" a="1"/>
  <c r="AN548" i="2" s="1"/>
  <c r="AN549" i="2" a="1"/>
  <c r="AN549" i="2" s="1"/>
  <c r="AN550" i="2" a="1"/>
  <c r="AN550" i="2" s="1"/>
  <c r="AN551" i="2" a="1"/>
  <c r="AN551" i="2" s="1"/>
  <c r="AN552" i="2" a="1"/>
  <c r="AN552" i="2" s="1"/>
  <c r="AN553" i="2" a="1"/>
  <c r="AN553" i="2" s="1"/>
  <c r="AN554" i="2" a="1"/>
  <c r="AN554" i="2" s="1"/>
  <c r="AN555" i="2" a="1"/>
  <c r="AN555" i="2" s="1"/>
  <c r="AN556" i="2" a="1"/>
  <c r="AN556" i="2" s="1"/>
  <c r="AN557" i="2" a="1"/>
  <c r="AN557" i="2" s="1"/>
  <c r="AN558" i="2" a="1"/>
  <c r="AN558" i="2" s="1"/>
  <c r="AN559" i="2" a="1"/>
  <c r="AN559" i="2" s="1"/>
  <c r="AN560" i="2" a="1"/>
  <c r="AN560" i="2" s="1"/>
  <c r="AN561" i="2" a="1"/>
  <c r="AN561" i="2" s="1"/>
  <c r="AN562" i="2" a="1"/>
  <c r="AN562" i="2" s="1"/>
  <c r="AN563" i="2" a="1"/>
  <c r="AN563" i="2" s="1"/>
  <c r="AN564" i="2" a="1"/>
  <c r="AN564" i="2" s="1"/>
  <c r="AN565" i="2" a="1"/>
  <c r="AN565" i="2" s="1"/>
  <c r="AN566" i="2" a="1"/>
  <c r="AN566" i="2" s="1"/>
  <c r="AN567" i="2" a="1"/>
  <c r="AN567" i="2" s="1"/>
  <c r="AN568" i="2" a="1"/>
  <c r="AN568" i="2" s="1"/>
  <c r="AN569" i="2" a="1"/>
  <c r="AN569" i="2" s="1"/>
  <c r="AN570" i="2" a="1"/>
  <c r="AN570" i="2" s="1"/>
  <c r="AN571" i="2" a="1"/>
  <c r="AN571" i="2" s="1"/>
  <c r="AN572" i="2" a="1"/>
  <c r="AN572" i="2" s="1"/>
  <c r="AN573" i="2" a="1"/>
  <c r="AN573" i="2" s="1"/>
  <c r="AN574" i="2" a="1"/>
  <c r="AN574" i="2" s="1"/>
  <c r="AN575" i="2" a="1"/>
  <c r="AN575" i="2" s="1"/>
  <c r="AN576" i="2" a="1"/>
  <c r="AN576" i="2" s="1"/>
  <c r="AN577" i="2" a="1"/>
  <c r="AN577" i="2" s="1"/>
  <c r="AN578" i="2" a="1"/>
  <c r="AN578" i="2" s="1"/>
  <c r="AN579" i="2" a="1"/>
  <c r="AN579" i="2" s="1"/>
  <c r="AN580" i="2" a="1"/>
  <c r="AN580" i="2" s="1"/>
  <c r="AN581" i="2" a="1"/>
  <c r="AN581" i="2" s="1"/>
  <c r="AN582" i="2" a="1"/>
  <c r="AN582" i="2" s="1"/>
  <c r="AN583" i="2" a="1"/>
  <c r="AN583" i="2" s="1"/>
  <c r="AN584" i="2" a="1"/>
  <c r="AN584" i="2" s="1"/>
  <c r="AN585" i="2" a="1"/>
  <c r="AN585" i="2" s="1"/>
  <c r="AN586" i="2" a="1"/>
  <c r="AN586" i="2" s="1"/>
  <c r="AN587" i="2" a="1"/>
  <c r="AN587" i="2" s="1"/>
  <c r="AN588" i="2" a="1"/>
  <c r="AN588" i="2" s="1"/>
  <c r="AN589" i="2" a="1"/>
  <c r="AN589" i="2" s="1"/>
  <c r="AN590" i="2" a="1"/>
  <c r="AN590" i="2" s="1"/>
  <c r="AN591" i="2" a="1"/>
  <c r="AN591" i="2" s="1"/>
  <c r="AN592" i="2" a="1"/>
  <c r="AN592" i="2" s="1"/>
  <c r="AN593" i="2" a="1"/>
  <c r="AN593" i="2" s="1"/>
  <c r="AN594" i="2" a="1"/>
  <c r="AN594" i="2" s="1"/>
  <c r="AN595" i="2" a="1"/>
  <c r="AN595" i="2" s="1"/>
  <c r="AN596" i="2" a="1"/>
  <c r="AN596" i="2" s="1"/>
  <c r="AN597" i="2" a="1"/>
  <c r="AN597" i="2" s="1"/>
  <c r="AN598" i="2" a="1"/>
  <c r="AN598" i="2" s="1"/>
  <c r="AN599" i="2" a="1"/>
  <c r="AN599" i="2" s="1"/>
  <c r="AN600" i="2" a="1"/>
  <c r="AN600" i="2" s="1"/>
  <c r="AN601" i="2" a="1"/>
  <c r="AN601" i="2" s="1"/>
  <c r="AN602" i="2" a="1"/>
  <c r="AN602" i="2" s="1"/>
  <c r="AN603" i="2" a="1"/>
  <c r="AN603" i="2" s="1"/>
  <c r="AN604" i="2" a="1"/>
  <c r="AN604" i="2" s="1"/>
  <c r="AN605" i="2" a="1"/>
  <c r="AN605" i="2" s="1"/>
  <c r="AN606" i="2" a="1"/>
  <c r="AN606" i="2" s="1"/>
  <c r="AN607" i="2" a="1"/>
  <c r="AN607" i="2" s="1"/>
  <c r="AN608" i="2" a="1"/>
  <c r="AN608" i="2" s="1"/>
  <c r="AN609" i="2" a="1"/>
  <c r="AN609" i="2" s="1"/>
  <c r="AN610" i="2" a="1"/>
  <c r="AN610" i="2" s="1"/>
  <c r="AN611" i="2" a="1"/>
  <c r="AN611" i="2" s="1"/>
  <c r="AN612" i="2" a="1"/>
  <c r="AN612" i="2" s="1"/>
  <c r="AN613" i="2" a="1"/>
  <c r="AN613" i="2" s="1"/>
  <c r="AN614" i="2" a="1"/>
  <c r="AN614" i="2" s="1"/>
  <c r="AN615" i="2" a="1"/>
  <c r="AN615" i="2" s="1"/>
  <c r="AN616" i="2" a="1"/>
  <c r="AN616" i="2" s="1"/>
  <c r="AN617" i="2" a="1"/>
  <c r="AN617" i="2" s="1"/>
  <c r="AN618" i="2" a="1"/>
  <c r="AN618" i="2" s="1"/>
  <c r="AN619" i="2" a="1"/>
  <c r="AN619" i="2" s="1"/>
  <c r="AN620" i="2" a="1"/>
  <c r="AN620" i="2" s="1"/>
  <c r="AN621" i="2" a="1"/>
  <c r="AN621" i="2" s="1"/>
  <c r="AN622" i="2" a="1"/>
  <c r="AN622" i="2" s="1"/>
  <c r="AN623" i="2" a="1"/>
  <c r="AN623" i="2" s="1"/>
  <c r="AN624" i="2" a="1"/>
  <c r="AN624" i="2" s="1"/>
  <c r="AN625" i="2" a="1"/>
  <c r="AN625" i="2" s="1"/>
  <c r="AN626" i="2" a="1"/>
  <c r="AN626" i="2" s="1"/>
  <c r="AN627" i="2" a="1"/>
  <c r="AN627" i="2" s="1"/>
  <c r="AN628" i="2" a="1"/>
  <c r="AN628" i="2" s="1"/>
  <c r="AN629" i="2" a="1"/>
  <c r="AN629" i="2" s="1"/>
  <c r="AN630" i="2" a="1"/>
  <c r="AN630" i="2" s="1"/>
  <c r="AN631" i="2" a="1"/>
  <c r="AN631" i="2" s="1"/>
  <c r="AN632" i="2" a="1"/>
  <c r="AN632" i="2" s="1"/>
  <c r="AN633" i="2" a="1"/>
  <c r="AN633" i="2" s="1"/>
  <c r="AN634" i="2" a="1"/>
  <c r="AN634" i="2" s="1"/>
  <c r="AN635" i="2" a="1"/>
  <c r="AN635" i="2" s="1"/>
  <c r="AN636" i="2" a="1"/>
  <c r="AN636" i="2" s="1"/>
  <c r="AN637" i="2" a="1"/>
  <c r="AN637" i="2" s="1"/>
  <c r="AN638" i="2" a="1"/>
  <c r="AN638" i="2" s="1"/>
  <c r="AN639" i="2" a="1"/>
  <c r="AN639" i="2" s="1"/>
  <c r="AN640" i="2" a="1"/>
  <c r="AN640" i="2" s="1"/>
  <c r="AN641" i="2" a="1"/>
  <c r="AN641" i="2" s="1"/>
  <c r="AN642" i="2" a="1"/>
  <c r="AN642" i="2" s="1"/>
  <c r="AN643" i="2" a="1"/>
  <c r="AN643" i="2" s="1"/>
  <c r="AN644" i="2" a="1"/>
  <c r="AN644" i="2" s="1"/>
  <c r="AN645" i="2" a="1"/>
  <c r="AN645" i="2" s="1"/>
  <c r="AN646" i="2" a="1"/>
  <c r="AN646" i="2" s="1"/>
  <c r="AN647" i="2" a="1"/>
  <c r="AN647" i="2" s="1"/>
  <c r="AN648" i="2" a="1"/>
  <c r="AN648" i="2" s="1"/>
  <c r="AN649" i="2" a="1"/>
  <c r="AN649" i="2" s="1"/>
  <c r="AN650" i="2" a="1"/>
  <c r="AN650" i="2" s="1"/>
  <c r="AN651" i="2" a="1"/>
  <c r="AN651" i="2" s="1"/>
  <c r="AN652" i="2" a="1"/>
  <c r="AN652" i="2" s="1"/>
  <c r="AN653" i="2" a="1"/>
  <c r="AN653" i="2" s="1"/>
  <c r="AN654" i="2" a="1"/>
  <c r="AN654" i="2" s="1"/>
  <c r="AN655" i="2" a="1"/>
  <c r="AN655" i="2" s="1"/>
  <c r="AN656" i="2" a="1"/>
  <c r="AN656" i="2" s="1"/>
  <c r="AN657" i="2" a="1"/>
  <c r="AN657" i="2" s="1"/>
  <c r="AN658" i="2" a="1"/>
  <c r="AN658" i="2" s="1"/>
  <c r="AN659" i="2" a="1"/>
  <c r="AN659" i="2" s="1"/>
  <c r="AN660" i="2" a="1"/>
  <c r="AN660" i="2" s="1"/>
  <c r="AN661" i="2" a="1"/>
  <c r="AN661" i="2" s="1"/>
  <c r="AN662" i="2" a="1"/>
  <c r="AN662" i="2" s="1"/>
  <c r="AN663" i="2" a="1"/>
  <c r="AN663" i="2" s="1"/>
  <c r="AN664" i="2" a="1"/>
  <c r="AN664" i="2" s="1"/>
  <c r="AN665" i="2" a="1"/>
  <c r="AN665" i="2" s="1"/>
  <c r="AN666" i="2" a="1"/>
  <c r="AN666" i="2" s="1"/>
  <c r="AN667" i="2" a="1"/>
  <c r="AN667" i="2" s="1"/>
  <c r="AN668" i="2" a="1"/>
  <c r="AN668" i="2" s="1"/>
  <c r="AN669" i="2" a="1"/>
  <c r="AN669" i="2" s="1"/>
  <c r="AN670" i="2" a="1"/>
  <c r="AN670" i="2" s="1"/>
  <c r="AN671" i="2" a="1"/>
  <c r="AN671" i="2" s="1"/>
  <c r="AN672" i="2" a="1"/>
  <c r="AN672" i="2" s="1"/>
  <c r="AN673" i="2" a="1"/>
  <c r="AN673" i="2" s="1"/>
  <c r="AN674" i="2" a="1"/>
  <c r="AN674" i="2" s="1"/>
  <c r="AN675" i="2" a="1"/>
  <c r="AN675" i="2" s="1"/>
  <c r="AN676" i="2" a="1"/>
  <c r="AN676" i="2" s="1"/>
  <c r="AN677" i="2" a="1"/>
  <c r="AN677" i="2" s="1"/>
  <c r="AN678" i="2" a="1"/>
  <c r="AN678" i="2" s="1"/>
  <c r="AN679" i="2" a="1"/>
  <c r="AN679" i="2" s="1"/>
  <c r="AN680" i="2" a="1"/>
  <c r="AN680" i="2" s="1"/>
  <c r="AN681" i="2" a="1"/>
  <c r="AN681" i="2" s="1"/>
  <c r="AN682" i="2" a="1"/>
  <c r="AN682" i="2" s="1"/>
  <c r="AN683" i="2" a="1"/>
  <c r="AN683" i="2" s="1"/>
  <c r="AN684" i="2" a="1"/>
  <c r="AN684" i="2" s="1"/>
  <c r="AN685" i="2" a="1"/>
  <c r="AN685" i="2" s="1"/>
  <c r="AN686" i="2" a="1"/>
  <c r="AN686" i="2" s="1"/>
  <c r="AN687" i="2" a="1"/>
  <c r="AN687" i="2" s="1"/>
  <c r="AN688" i="2" a="1"/>
  <c r="AN688" i="2" s="1"/>
  <c r="AN689" i="2" a="1"/>
  <c r="AN689" i="2" s="1"/>
  <c r="AN690" i="2" a="1"/>
  <c r="AN690" i="2" s="1"/>
  <c r="AN691" i="2" a="1"/>
  <c r="AN691" i="2" s="1"/>
  <c r="AN692" i="2" a="1"/>
  <c r="AN692" i="2" s="1"/>
  <c r="AN693" i="2" a="1"/>
  <c r="AN693" i="2" s="1"/>
  <c r="AN694" i="2" a="1"/>
  <c r="AN694" i="2" s="1"/>
  <c r="AN695" i="2" a="1"/>
  <c r="AN695" i="2" s="1"/>
  <c r="AN696" i="2" a="1"/>
  <c r="AN696" i="2" s="1"/>
  <c r="AN697" i="2" a="1"/>
  <c r="AN697" i="2" s="1"/>
  <c r="AN698" i="2" a="1"/>
  <c r="AN698" i="2" s="1"/>
  <c r="AN699" i="2" a="1"/>
  <c r="AN699" i="2" s="1"/>
  <c r="AN700" i="2" a="1"/>
  <c r="AN700" i="2" s="1"/>
  <c r="AN701" i="2" a="1"/>
  <c r="AN701" i="2" s="1"/>
  <c r="AN702" i="2" a="1"/>
  <c r="AN702" i="2" s="1"/>
  <c r="AN703" i="2" a="1"/>
  <c r="AN703" i="2" s="1"/>
  <c r="AN704" i="2" a="1"/>
  <c r="AN704" i="2" s="1"/>
  <c r="AN705" i="2" a="1"/>
  <c r="AN705" i="2" s="1"/>
  <c r="AN706" i="2" a="1"/>
  <c r="AN706" i="2" s="1"/>
  <c r="AN707" i="2" a="1"/>
  <c r="AN707" i="2" s="1"/>
  <c r="AN708" i="2" a="1"/>
  <c r="AN708" i="2" s="1"/>
  <c r="AN709" i="2" a="1"/>
  <c r="AN709" i="2" s="1"/>
  <c r="AN710" i="2" a="1"/>
  <c r="AN710" i="2" s="1"/>
  <c r="AN711" i="2" a="1"/>
  <c r="AN711" i="2" s="1"/>
  <c r="AN712" i="2" a="1"/>
  <c r="AN712" i="2" s="1"/>
  <c r="AN713" i="2" a="1"/>
  <c r="AN713" i="2" s="1"/>
  <c r="AN714" i="2" a="1"/>
  <c r="AN714" i="2" s="1"/>
  <c r="AN715" i="2" a="1"/>
  <c r="AN715" i="2" s="1"/>
  <c r="AN716" i="2" a="1"/>
  <c r="AN716" i="2" s="1"/>
  <c r="AN717" i="2" a="1"/>
  <c r="AN717" i="2" s="1"/>
  <c r="AN718" i="2" a="1"/>
  <c r="AN718" i="2" s="1"/>
  <c r="AN719" i="2" a="1"/>
  <c r="AN719" i="2" s="1"/>
  <c r="AN720" i="2" a="1"/>
  <c r="AN720" i="2" s="1"/>
  <c r="AN721" i="2" a="1"/>
  <c r="AN721" i="2" s="1"/>
  <c r="AN722" i="2" a="1"/>
  <c r="AN722" i="2" s="1"/>
  <c r="AN723" i="2" a="1"/>
  <c r="AN723" i="2" s="1"/>
  <c r="AN724" i="2" a="1"/>
  <c r="AN724" i="2" s="1"/>
  <c r="AN725" i="2" a="1"/>
  <c r="AN725" i="2" s="1"/>
  <c r="AN726" i="2" a="1"/>
  <c r="AN726" i="2" s="1"/>
  <c r="AN727" i="2" a="1"/>
  <c r="AN727" i="2" s="1"/>
  <c r="AN728" i="2" a="1"/>
  <c r="AN728" i="2" s="1"/>
  <c r="AN729" i="2" a="1"/>
  <c r="AN729" i="2" s="1"/>
  <c r="AN730" i="2" a="1"/>
  <c r="AN730" i="2" s="1"/>
  <c r="AN731" i="2" a="1"/>
  <c r="AN731" i="2" s="1"/>
  <c r="AN732" i="2" a="1"/>
  <c r="AN732" i="2" s="1"/>
  <c r="AN733" i="2" a="1"/>
  <c r="AN733" i="2" s="1"/>
  <c r="AN734" i="2" a="1"/>
  <c r="AN734" i="2" s="1"/>
  <c r="AN735" i="2" a="1"/>
  <c r="AN735" i="2" s="1"/>
  <c r="AN736" i="2" a="1"/>
  <c r="AN736" i="2" s="1"/>
  <c r="AN737" i="2" a="1"/>
  <c r="AN737" i="2" s="1"/>
  <c r="AN738" i="2" a="1"/>
  <c r="AN738" i="2" s="1"/>
  <c r="AN739" i="2" a="1"/>
  <c r="AN739" i="2" s="1"/>
  <c r="AN740" i="2" a="1"/>
  <c r="AN740" i="2" s="1"/>
  <c r="AN741" i="2" a="1"/>
  <c r="AN741" i="2" s="1"/>
  <c r="AN742" i="2" a="1"/>
  <c r="AN742" i="2" s="1"/>
  <c r="AN743" i="2" a="1"/>
  <c r="AN743" i="2" s="1"/>
  <c r="AN744" i="2" a="1"/>
  <c r="AN744" i="2" s="1"/>
  <c r="AN745" i="2" a="1"/>
  <c r="AN745" i="2" s="1"/>
  <c r="AN746" i="2" a="1"/>
  <c r="AN746" i="2" s="1"/>
  <c r="AN747" i="2" a="1"/>
  <c r="AN747" i="2" s="1"/>
  <c r="AN748" i="2" a="1"/>
  <c r="AN748" i="2" s="1"/>
  <c r="AN749" i="2" a="1"/>
  <c r="AN749" i="2" s="1"/>
  <c r="AN750" i="2" a="1"/>
  <c r="AN750" i="2" s="1"/>
  <c r="AN751" i="2" a="1"/>
  <c r="AN751" i="2" s="1"/>
  <c r="AN752" i="2" a="1"/>
  <c r="AN752" i="2" s="1"/>
  <c r="AN753" i="2" a="1"/>
  <c r="AN753" i="2" s="1"/>
  <c r="AN754" i="2" a="1"/>
  <c r="AN754" i="2" s="1"/>
  <c r="AN755" i="2" a="1"/>
  <c r="AN755" i="2" s="1"/>
  <c r="AN756" i="2" a="1"/>
  <c r="AN756" i="2" s="1"/>
  <c r="AN757" i="2" a="1"/>
  <c r="AN757" i="2" s="1"/>
  <c r="AN758" i="2" a="1"/>
  <c r="AN758" i="2" s="1"/>
  <c r="AN759" i="2" a="1"/>
  <c r="AN759" i="2" s="1"/>
  <c r="AN760" i="2" a="1"/>
  <c r="AN760" i="2" s="1"/>
  <c r="AN761" i="2" a="1"/>
  <c r="AN761" i="2" s="1"/>
  <c r="AN762" i="2" a="1"/>
  <c r="AN762" i="2" s="1"/>
  <c r="AN763" i="2" a="1"/>
  <c r="AN763" i="2" s="1"/>
  <c r="AN764" i="2" a="1"/>
  <c r="AN764" i="2" s="1"/>
  <c r="AN765" i="2" a="1"/>
  <c r="AN765" i="2" s="1"/>
  <c r="AN766" i="2" a="1"/>
  <c r="AN766" i="2" s="1"/>
  <c r="AN767" i="2" a="1"/>
  <c r="AN767" i="2" s="1"/>
  <c r="AN768" i="2" a="1"/>
  <c r="AN768" i="2" s="1"/>
  <c r="AN769" i="2" a="1"/>
  <c r="AN769" i="2" s="1"/>
  <c r="AN770" i="2" a="1"/>
  <c r="AN770" i="2" s="1"/>
  <c r="AN771" i="2" a="1"/>
  <c r="AN771" i="2" s="1"/>
  <c r="AN772" i="2" a="1"/>
  <c r="AN772" i="2" s="1"/>
  <c r="AN773" i="2" a="1"/>
  <c r="AN773" i="2" s="1"/>
  <c r="AN774" i="2" a="1"/>
  <c r="AN774" i="2" s="1"/>
  <c r="AN775" i="2" a="1"/>
  <c r="AN775" i="2" s="1"/>
  <c r="AN776" i="2" a="1"/>
  <c r="AN776" i="2" s="1"/>
  <c r="AN777" i="2" a="1"/>
  <c r="AN777" i="2" s="1"/>
  <c r="AN778" i="2" a="1"/>
  <c r="AN778" i="2" s="1"/>
  <c r="AN779" i="2" a="1"/>
  <c r="AN779" i="2" s="1"/>
  <c r="AN780" i="2" a="1"/>
  <c r="AN780" i="2" s="1"/>
  <c r="AN781" i="2" a="1"/>
  <c r="AN781" i="2" s="1"/>
  <c r="AN782" i="2" a="1"/>
  <c r="AN782" i="2" s="1"/>
  <c r="AN783" i="2" a="1"/>
  <c r="AN783" i="2" s="1"/>
  <c r="AN784" i="2" a="1"/>
  <c r="AN784" i="2" s="1"/>
  <c r="AN785" i="2" a="1"/>
  <c r="AN785" i="2" s="1"/>
  <c r="AN786" i="2" a="1"/>
  <c r="AN786" i="2" s="1"/>
  <c r="AN787" i="2" a="1"/>
  <c r="AN787" i="2" s="1"/>
  <c r="AN788" i="2" a="1"/>
  <c r="AN788" i="2" s="1"/>
  <c r="AN789" i="2" a="1"/>
  <c r="AN789" i="2" s="1"/>
  <c r="AN790" i="2" a="1"/>
  <c r="AN790" i="2" s="1"/>
  <c r="AN791" i="2" a="1"/>
  <c r="AN791" i="2" s="1"/>
  <c r="AN792" i="2" a="1"/>
  <c r="AN792" i="2" s="1"/>
  <c r="AN793" i="2" a="1"/>
  <c r="AN793" i="2" s="1"/>
  <c r="AN794" i="2" a="1"/>
  <c r="AN794" i="2" s="1"/>
  <c r="AN795" i="2" a="1"/>
  <c r="AN795" i="2" s="1"/>
  <c r="AN796" i="2" a="1"/>
  <c r="AN796" i="2" s="1"/>
  <c r="AN797" i="2" a="1"/>
  <c r="AN797" i="2" s="1"/>
  <c r="AN798" i="2" a="1"/>
  <c r="AN798" i="2" s="1"/>
  <c r="AN799" i="2" a="1"/>
  <c r="AN799" i="2" s="1"/>
  <c r="AN800" i="2" a="1"/>
  <c r="AN800" i="2" s="1"/>
  <c r="AN801" i="2" a="1"/>
  <c r="AN801" i="2" s="1"/>
  <c r="AN802" i="2" a="1"/>
  <c r="AN802" i="2" s="1"/>
  <c r="AN803" i="2" a="1"/>
  <c r="AN803" i="2" s="1"/>
  <c r="AN804" i="2" a="1"/>
  <c r="AN804" i="2" s="1"/>
  <c r="AN805" i="2" a="1"/>
  <c r="AN805" i="2" s="1"/>
  <c r="AN806" i="2" a="1"/>
  <c r="AN806" i="2" s="1"/>
  <c r="AN807" i="2" a="1"/>
  <c r="AN807" i="2" s="1"/>
  <c r="AN808" i="2" a="1"/>
  <c r="AN808" i="2" s="1"/>
  <c r="AN809" i="2" a="1"/>
  <c r="AN809" i="2" s="1"/>
  <c r="AN810" i="2" a="1"/>
  <c r="AN810" i="2" s="1"/>
  <c r="AN811" i="2" a="1"/>
  <c r="AN811" i="2" s="1"/>
  <c r="AN812" i="2" a="1"/>
  <c r="AN812" i="2" s="1"/>
  <c r="AN813" i="2" a="1"/>
  <c r="AN813" i="2" s="1"/>
  <c r="AN814" i="2" a="1"/>
  <c r="AN814" i="2" s="1"/>
  <c r="AN815" i="2" a="1"/>
  <c r="AN815" i="2" s="1"/>
  <c r="AN816" i="2" a="1"/>
  <c r="AN816" i="2" s="1"/>
  <c r="AN817" i="2" a="1"/>
  <c r="AN817" i="2" s="1"/>
  <c r="AN818" i="2" a="1"/>
  <c r="AN818" i="2" s="1"/>
  <c r="AN819" i="2" a="1"/>
  <c r="AN819" i="2" s="1"/>
  <c r="AN820" i="2" a="1"/>
  <c r="AN820" i="2" s="1"/>
  <c r="AN821" i="2" a="1"/>
  <c r="AN821" i="2" s="1"/>
  <c r="AN822" i="2" a="1"/>
  <c r="AN822" i="2" s="1"/>
  <c r="AN823" i="2" a="1"/>
  <c r="AN823" i="2" s="1"/>
  <c r="AN824" i="2" a="1"/>
  <c r="AN824" i="2" s="1"/>
  <c r="AN825" i="2" a="1"/>
  <c r="AN825" i="2" s="1"/>
  <c r="AN826" i="2" a="1"/>
  <c r="AN826" i="2" s="1"/>
  <c r="AN827" i="2" a="1"/>
  <c r="AN827" i="2" s="1"/>
  <c r="AN828" i="2" a="1"/>
  <c r="AN828" i="2" s="1"/>
  <c r="AN829" i="2" a="1"/>
  <c r="AN829" i="2" s="1"/>
  <c r="AN830" i="2" a="1"/>
  <c r="AN830" i="2" s="1"/>
  <c r="AN831" i="2" a="1"/>
  <c r="AN831" i="2" s="1"/>
  <c r="AN832" i="2" a="1"/>
  <c r="AN832" i="2" s="1"/>
  <c r="AN833" i="2" a="1"/>
  <c r="AN833" i="2" s="1"/>
  <c r="AN834" i="2" a="1"/>
  <c r="AN834" i="2" s="1"/>
  <c r="AN835" i="2" a="1"/>
  <c r="AN835" i="2" s="1"/>
  <c r="AN836" i="2" a="1"/>
  <c r="AN836" i="2" s="1"/>
  <c r="AN837" i="2" a="1"/>
  <c r="AN837" i="2" s="1"/>
  <c r="AN838" i="2" a="1"/>
  <c r="AN838" i="2" s="1"/>
  <c r="AN839" i="2" a="1"/>
  <c r="AN839" i="2" s="1"/>
  <c r="AN840" i="2" a="1"/>
  <c r="AN840" i="2" s="1"/>
  <c r="AN841" i="2" a="1"/>
  <c r="AN841" i="2" s="1"/>
  <c r="AN842" i="2" a="1"/>
  <c r="AN842" i="2" s="1"/>
  <c r="AN843" i="2" a="1"/>
  <c r="AN843" i="2" s="1"/>
  <c r="AN844" i="2" a="1"/>
  <c r="AN844" i="2" s="1"/>
  <c r="AN845" i="2" a="1"/>
  <c r="AN845" i="2" s="1"/>
  <c r="AN846" i="2" a="1"/>
  <c r="AN846" i="2" s="1"/>
  <c r="AN847" i="2" a="1"/>
  <c r="AN847" i="2" s="1"/>
  <c r="AN848" i="2" a="1"/>
  <c r="AN848" i="2" s="1"/>
  <c r="AN849" i="2" a="1"/>
  <c r="AN849" i="2" s="1"/>
  <c r="AN850" i="2" a="1"/>
  <c r="AN850" i="2" s="1"/>
  <c r="AN851" i="2" a="1"/>
  <c r="AN851" i="2" s="1"/>
  <c r="AN852" i="2" a="1"/>
  <c r="AN852" i="2" s="1"/>
  <c r="AN853" i="2" a="1"/>
  <c r="AN853" i="2" s="1"/>
  <c r="AN854" i="2" a="1"/>
  <c r="AN854" i="2" s="1"/>
  <c r="AN855" i="2" a="1"/>
  <c r="AN855" i="2" s="1"/>
  <c r="AN856" i="2" a="1"/>
  <c r="AN856" i="2" s="1"/>
  <c r="AN857" i="2" a="1"/>
  <c r="AN857" i="2" s="1"/>
  <c r="AN858" i="2" a="1"/>
  <c r="AN858" i="2" s="1"/>
  <c r="AN859" i="2" a="1"/>
  <c r="AN859" i="2" s="1"/>
  <c r="AN860" i="2" a="1"/>
  <c r="AN860" i="2" s="1"/>
  <c r="AN861" i="2" a="1"/>
  <c r="AN861" i="2" s="1"/>
  <c r="AN862" i="2" a="1"/>
  <c r="AN862" i="2" s="1"/>
  <c r="AN863" i="2" a="1"/>
  <c r="AN863" i="2" s="1"/>
  <c r="AN864" i="2" a="1"/>
  <c r="AN864" i="2" s="1"/>
  <c r="AN865" i="2" a="1"/>
  <c r="AN865" i="2" s="1"/>
  <c r="AN866" i="2" a="1"/>
  <c r="AN866" i="2" s="1"/>
  <c r="AN867" i="2" a="1"/>
  <c r="AN867" i="2" s="1"/>
  <c r="AN868" i="2" a="1"/>
  <c r="AN868" i="2" s="1"/>
  <c r="AN869" i="2" a="1"/>
  <c r="AN869" i="2" s="1"/>
  <c r="AN870" i="2" a="1"/>
  <c r="AN870" i="2" s="1"/>
  <c r="AN871" i="2" a="1"/>
  <c r="AN871" i="2" s="1"/>
  <c r="AN872" i="2" a="1"/>
  <c r="AN872" i="2" s="1"/>
  <c r="AN873" i="2" a="1"/>
  <c r="AN873" i="2" s="1"/>
  <c r="AN874" i="2" a="1"/>
  <c r="AN874" i="2" s="1"/>
  <c r="AN875" i="2" a="1"/>
  <c r="AN875" i="2" s="1"/>
  <c r="AN876" i="2" a="1"/>
  <c r="AN876" i="2" s="1"/>
  <c r="AN877" i="2" a="1"/>
  <c r="AN877" i="2" s="1"/>
  <c r="AN878" i="2" a="1"/>
  <c r="AN878" i="2" s="1"/>
  <c r="AN879" i="2" a="1"/>
  <c r="AN879" i="2" s="1"/>
  <c r="AN880" i="2" a="1"/>
  <c r="AN880" i="2" s="1"/>
  <c r="AN881" i="2" a="1"/>
  <c r="AN881" i="2" s="1"/>
  <c r="AN882" i="2" a="1"/>
  <c r="AN882" i="2" s="1"/>
  <c r="AN883" i="2" a="1"/>
  <c r="AN883" i="2" s="1"/>
  <c r="AN884" i="2" a="1"/>
  <c r="AN884" i="2" s="1"/>
  <c r="AN885" i="2" a="1"/>
  <c r="AN885" i="2" s="1"/>
  <c r="AN886" i="2" a="1"/>
  <c r="AN886" i="2" s="1"/>
  <c r="AN887" i="2" a="1"/>
  <c r="AN887" i="2" s="1"/>
  <c r="AN888" i="2" a="1"/>
  <c r="AN888" i="2" s="1"/>
  <c r="AN889" i="2" a="1"/>
  <c r="AN889" i="2" s="1"/>
  <c r="AN890" i="2" a="1"/>
  <c r="AN890" i="2" s="1"/>
  <c r="AN891" i="2" a="1"/>
  <c r="AN891" i="2" s="1"/>
  <c r="AN892" i="2" a="1"/>
  <c r="AN892" i="2" s="1"/>
  <c r="AN893" i="2" a="1"/>
  <c r="AN893" i="2" s="1"/>
  <c r="AN894" i="2" a="1"/>
  <c r="AN894" i="2" s="1"/>
  <c r="AN895" i="2" a="1"/>
  <c r="AN895" i="2" s="1"/>
  <c r="AN896" i="2" a="1"/>
  <c r="AN896" i="2" s="1"/>
  <c r="AN897" i="2" a="1"/>
  <c r="AN897" i="2" s="1"/>
  <c r="AN898" i="2" a="1"/>
  <c r="AN898" i="2" s="1"/>
  <c r="AN899" i="2" a="1"/>
  <c r="AN899" i="2" s="1"/>
  <c r="AN900" i="2" a="1"/>
  <c r="AN900" i="2" s="1"/>
  <c r="AN901" i="2" a="1"/>
  <c r="AN901" i="2" s="1"/>
  <c r="AN902" i="2" a="1"/>
  <c r="AN902" i="2" s="1"/>
  <c r="AN903" i="2" a="1"/>
  <c r="AN903" i="2" s="1"/>
  <c r="AN904" i="2" a="1"/>
  <c r="AN904" i="2" s="1"/>
  <c r="AN905" i="2" a="1"/>
  <c r="AN905" i="2" s="1"/>
  <c r="AN906" i="2" a="1"/>
  <c r="AN906" i="2" s="1"/>
  <c r="AN907" i="2" a="1"/>
  <c r="AN907" i="2" s="1"/>
  <c r="AN908" i="2" a="1"/>
  <c r="AN908" i="2" s="1"/>
  <c r="AN909" i="2" a="1"/>
  <c r="AN909" i="2" s="1"/>
  <c r="AN910" i="2" a="1"/>
  <c r="AN910" i="2" s="1"/>
  <c r="AN911" i="2" a="1"/>
  <c r="AN911" i="2" s="1"/>
  <c r="AN912" i="2" a="1"/>
  <c r="AN912" i="2" s="1"/>
  <c r="AN913" i="2" a="1"/>
  <c r="AN913" i="2" s="1"/>
  <c r="AN914" i="2" a="1"/>
  <c r="AN914" i="2" s="1"/>
  <c r="AN915" i="2" a="1"/>
  <c r="AN915" i="2" s="1"/>
  <c r="AN916" i="2" a="1"/>
  <c r="AN916" i="2" s="1"/>
  <c r="AN917" i="2" a="1"/>
  <c r="AN917" i="2" s="1"/>
  <c r="AN918" i="2" a="1"/>
  <c r="AN918" i="2" s="1"/>
  <c r="AN919" i="2" a="1"/>
  <c r="AN919" i="2" s="1"/>
  <c r="AN920" i="2" a="1"/>
  <c r="AN920" i="2" s="1"/>
  <c r="AN921" i="2" a="1"/>
  <c r="AN921" i="2" s="1"/>
  <c r="AN922" i="2" a="1"/>
  <c r="AN922" i="2" s="1"/>
  <c r="AN923" i="2" a="1"/>
  <c r="AN923" i="2" s="1"/>
  <c r="AN924" i="2" a="1"/>
  <c r="AN924" i="2" s="1"/>
  <c r="AN925" i="2" a="1"/>
  <c r="AN925" i="2" s="1"/>
  <c r="AN926" i="2" a="1"/>
  <c r="AN926" i="2" s="1"/>
  <c r="AN927" i="2" a="1"/>
  <c r="AN927" i="2" s="1"/>
  <c r="AN928" i="2" a="1"/>
  <c r="AN928" i="2" s="1"/>
  <c r="AN929" i="2" a="1"/>
  <c r="AN929" i="2" s="1"/>
  <c r="AN930" i="2" a="1"/>
  <c r="AN930" i="2" s="1"/>
  <c r="AN931" i="2" a="1"/>
  <c r="AN931" i="2" s="1"/>
  <c r="AN932" i="2" a="1"/>
  <c r="AN932" i="2" s="1"/>
  <c r="AN933" i="2" a="1"/>
  <c r="AN933" i="2" s="1"/>
  <c r="AN934" i="2" a="1"/>
  <c r="AN934" i="2" s="1"/>
  <c r="AN935" i="2" a="1"/>
  <c r="AN935" i="2" s="1"/>
  <c r="AN936" i="2" a="1"/>
  <c r="AN936" i="2" s="1"/>
  <c r="AN937" i="2" a="1"/>
  <c r="AN937" i="2" s="1"/>
  <c r="AN938" i="2" a="1"/>
  <c r="AN938" i="2" s="1"/>
  <c r="AN939" i="2" a="1"/>
  <c r="AN939" i="2" s="1"/>
  <c r="AN940" i="2" a="1"/>
  <c r="AN940" i="2" s="1"/>
  <c r="AN941" i="2" a="1"/>
  <c r="AN941" i="2" s="1"/>
  <c r="AN942" i="2" a="1"/>
  <c r="AN942" i="2" s="1"/>
  <c r="AN943" i="2" a="1"/>
  <c r="AN943" i="2" s="1"/>
  <c r="AN944" i="2" a="1"/>
  <c r="AN944" i="2" s="1"/>
  <c r="AN945" i="2" a="1"/>
  <c r="AN945" i="2" s="1"/>
  <c r="AN946" i="2" a="1"/>
  <c r="AN946" i="2" s="1"/>
  <c r="AN947" i="2" a="1"/>
  <c r="AN947" i="2" s="1"/>
  <c r="AN948" i="2" a="1"/>
  <c r="AN948" i="2" s="1"/>
  <c r="AN949" i="2" a="1"/>
  <c r="AN949" i="2" s="1"/>
  <c r="AN950" i="2" a="1"/>
  <c r="AN950" i="2" s="1"/>
  <c r="AN951" i="2" a="1"/>
  <c r="AN951" i="2" s="1"/>
  <c r="AN952" i="2" a="1"/>
  <c r="AN952" i="2" s="1"/>
  <c r="AN953" i="2" a="1"/>
  <c r="AN953" i="2" s="1"/>
  <c r="AN954" i="2" a="1"/>
  <c r="AN954" i="2" s="1"/>
  <c r="AN955" i="2" a="1"/>
  <c r="AN955" i="2" s="1"/>
  <c r="AN956" i="2" a="1"/>
  <c r="AN956" i="2" s="1"/>
  <c r="AN957" i="2" a="1"/>
  <c r="AN957" i="2" s="1"/>
  <c r="AN958" i="2" a="1"/>
  <c r="AN958" i="2" s="1"/>
  <c r="AN959" i="2" a="1"/>
  <c r="AN959" i="2" s="1"/>
  <c r="AN960" i="2" a="1"/>
  <c r="AN960" i="2" s="1"/>
  <c r="AN961" i="2" a="1"/>
  <c r="AN961" i="2" s="1"/>
  <c r="AN962" i="2" a="1"/>
  <c r="AN962" i="2" s="1"/>
  <c r="AN963" i="2" a="1"/>
  <c r="AN963" i="2" s="1"/>
  <c r="AN964" i="2" a="1"/>
  <c r="AN964" i="2" s="1"/>
  <c r="AN965" i="2" a="1"/>
  <c r="AN965" i="2" s="1"/>
  <c r="AN966" i="2" a="1"/>
  <c r="AN966" i="2" s="1"/>
  <c r="AN967" i="2" a="1"/>
  <c r="AN967" i="2" s="1"/>
  <c r="AN968" i="2" a="1"/>
  <c r="AN968" i="2" s="1"/>
  <c r="AN969" i="2" a="1"/>
  <c r="AN969" i="2" s="1"/>
  <c r="AN970" i="2" a="1"/>
  <c r="AN970" i="2" s="1"/>
  <c r="AN971" i="2" a="1"/>
  <c r="AN971" i="2" s="1"/>
  <c r="AN972" i="2" a="1"/>
  <c r="AN972" i="2" s="1"/>
  <c r="AN973" i="2" a="1"/>
  <c r="AN973" i="2" s="1"/>
  <c r="AN974" i="2" a="1"/>
  <c r="AN974" i="2" s="1"/>
  <c r="AN975" i="2" a="1"/>
  <c r="AN975" i="2" s="1"/>
  <c r="AN976" i="2" a="1"/>
  <c r="AN976" i="2" s="1"/>
  <c r="AN977" i="2" a="1"/>
  <c r="AN977" i="2" s="1"/>
  <c r="AN978" i="2" a="1"/>
  <c r="AN978" i="2" s="1"/>
  <c r="AN979" i="2" a="1"/>
  <c r="AN979" i="2" s="1"/>
  <c r="AN980" i="2" a="1"/>
  <c r="AN980" i="2" s="1"/>
  <c r="AN981" i="2" a="1"/>
  <c r="AN981" i="2" s="1"/>
  <c r="AN982" i="2" a="1"/>
  <c r="AN982" i="2" s="1"/>
  <c r="AN983" i="2" a="1"/>
  <c r="AN983" i="2" s="1"/>
  <c r="AN984" i="2" a="1"/>
  <c r="AN984" i="2" s="1"/>
  <c r="AN985" i="2" a="1"/>
  <c r="AN985" i="2" s="1"/>
  <c r="AN986" i="2" a="1"/>
  <c r="AN986" i="2" s="1"/>
  <c r="AN987" i="2" a="1"/>
  <c r="AN987" i="2" s="1"/>
  <c r="AN988" i="2" a="1"/>
  <c r="AN988" i="2" s="1"/>
  <c r="AN989" i="2" a="1"/>
  <c r="AN989" i="2" s="1"/>
  <c r="AN990" i="2" a="1"/>
  <c r="AN990" i="2" s="1"/>
  <c r="AN991" i="2" a="1"/>
  <c r="AN991" i="2" s="1"/>
  <c r="AN992" i="2" a="1"/>
  <c r="AN992" i="2" s="1"/>
  <c r="AN993" i="2" a="1"/>
  <c r="AN993" i="2" s="1"/>
  <c r="AN994" i="2" a="1"/>
  <c r="AN994" i="2" s="1"/>
  <c r="AN995" i="2" a="1"/>
  <c r="AN995" i="2" s="1"/>
  <c r="AN996" i="2" a="1"/>
  <c r="AN996" i="2" s="1"/>
  <c r="AN997" i="2" a="1"/>
  <c r="AN997" i="2" s="1"/>
  <c r="AN998" i="2" a="1"/>
  <c r="AN998" i="2" s="1"/>
  <c r="AN999" i="2" a="1"/>
  <c r="AN999" i="2" s="1"/>
  <c r="AN1000" i="2" a="1"/>
  <c r="AN1000" i="2" s="1"/>
  <c r="AN1001" i="2" a="1"/>
  <c r="AN1001" i="2" s="1"/>
  <c r="AN1002" i="2" a="1"/>
  <c r="AN1002" i="2" s="1"/>
  <c r="AN1003" i="2" a="1"/>
  <c r="AN1003" i="2" s="1"/>
  <c r="AN1004" i="2" a="1"/>
  <c r="AN1004" i="2" s="1"/>
  <c r="AN1005" i="2" a="1"/>
  <c r="AN1005" i="2" s="1"/>
  <c r="AN1006" i="2" a="1"/>
  <c r="AN1006" i="2" s="1"/>
  <c r="AN1007" i="2" a="1"/>
  <c r="AN1007" i="2" s="1"/>
  <c r="AN1008" i="2" a="1"/>
  <c r="AN1008" i="2" s="1"/>
  <c r="AN1009" i="2" a="1"/>
  <c r="AN1009" i="2" s="1"/>
  <c r="AN1010" i="2" a="1"/>
  <c r="AN1010" i="2" s="1"/>
  <c r="AN1011" i="2" a="1"/>
  <c r="AN1011" i="2" s="1"/>
  <c r="AN1012" i="2" a="1"/>
  <c r="AN1012" i="2" s="1"/>
  <c r="AN1013" i="2" a="1"/>
  <c r="AN1013" i="2" s="1"/>
  <c r="AN1014" i="2" a="1"/>
  <c r="AN1014" i="2" s="1"/>
  <c r="AN1015" i="2" a="1"/>
  <c r="AN1015" i="2" s="1"/>
  <c r="AN1016" i="2" a="1"/>
  <c r="AN1016" i="2" s="1"/>
  <c r="AN1017" i="2" a="1"/>
  <c r="AN1017" i="2" s="1"/>
  <c r="AN1018" i="2" a="1"/>
  <c r="AN1018" i="2" s="1"/>
  <c r="AN1019" i="2" a="1"/>
  <c r="AN1019" i="2" s="1"/>
  <c r="AN1020" i="2" a="1"/>
  <c r="AN1020" i="2" s="1"/>
  <c r="AN1021" i="2" a="1"/>
  <c r="AN1021" i="2" s="1"/>
  <c r="AN1022" i="2" a="1"/>
  <c r="AN1022" i="2" s="1"/>
  <c r="AN1023" i="2" a="1"/>
  <c r="AN1023" i="2" s="1"/>
  <c r="AN1024" i="2" a="1"/>
  <c r="AN1024" i="2" s="1"/>
  <c r="AN1025" i="2" a="1"/>
  <c r="AN1025" i="2" s="1"/>
  <c r="AN1026" i="2" a="1"/>
  <c r="AN1026" i="2" s="1"/>
  <c r="AN1027" i="2" a="1"/>
  <c r="AN1027" i="2" s="1"/>
  <c r="AN1028" i="2" a="1"/>
  <c r="AN1028" i="2" s="1"/>
  <c r="AN1029" i="2" a="1"/>
  <c r="AN1029" i="2" s="1"/>
  <c r="AN1030" i="2" a="1"/>
  <c r="AN1030" i="2" s="1"/>
  <c r="AN1031" i="2" a="1"/>
  <c r="AN1031" i="2" s="1"/>
  <c r="AN1032" i="2" a="1"/>
  <c r="AN1032" i="2" s="1"/>
  <c r="AN1033" i="2" a="1"/>
  <c r="AN1033" i="2" s="1"/>
  <c r="AN1034" i="2" a="1"/>
  <c r="AN1034" i="2" s="1"/>
  <c r="AN1035" i="2" a="1"/>
  <c r="AN1035" i="2" s="1"/>
  <c r="AN1036" i="2" a="1"/>
  <c r="AN1036" i="2" s="1"/>
  <c r="AN1037" i="2" a="1"/>
  <c r="AN1037" i="2" s="1"/>
  <c r="AN1038" i="2" a="1"/>
  <c r="AN1038" i="2" s="1"/>
  <c r="AN1039" i="2" a="1"/>
  <c r="AN1039" i="2" s="1"/>
  <c r="AN1040" i="2" a="1"/>
  <c r="AN1040" i="2" s="1"/>
  <c r="AN1041" i="2" a="1"/>
  <c r="AN1041" i="2" s="1"/>
  <c r="AN1042" i="2" a="1"/>
  <c r="AN1042" i="2" s="1"/>
  <c r="AN1043" i="2" a="1"/>
  <c r="AN1043" i="2" s="1"/>
  <c r="AN1044" i="2" a="1"/>
  <c r="AN1044" i="2" s="1"/>
  <c r="AN1045" i="2" a="1"/>
  <c r="AN1045" i="2" s="1"/>
  <c r="AN1046" i="2" a="1"/>
  <c r="AN1046" i="2" s="1"/>
  <c r="AN1047" i="2" a="1"/>
  <c r="AN1047" i="2" s="1"/>
  <c r="AN1048" i="2" a="1"/>
  <c r="AN1048" i="2" s="1"/>
  <c r="AN1049" i="2" a="1"/>
  <c r="AN1049" i="2" s="1"/>
  <c r="AN1050" i="2" a="1"/>
  <c r="AN1050" i="2" s="1"/>
  <c r="AN1051" i="2" a="1"/>
  <c r="AN1051" i="2" s="1"/>
  <c r="AN1052" i="2" a="1"/>
  <c r="AN1052" i="2" s="1"/>
  <c r="AN1053" i="2" a="1"/>
  <c r="AN1053" i="2" s="1"/>
  <c r="AN1054" i="2" a="1"/>
  <c r="AN1054" i="2" s="1"/>
  <c r="AN1055" i="2" a="1"/>
  <c r="AN1055" i="2" s="1"/>
  <c r="AN1056" i="2" a="1"/>
  <c r="AN1056" i="2" s="1"/>
  <c r="AN1057" i="2" a="1"/>
  <c r="AN1057" i="2" s="1"/>
  <c r="AN1058" i="2" a="1"/>
  <c r="AN1058" i="2" s="1"/>
  <c r="AN1059" i="2" a="1"/>
  <c r="AN1059" i="2" s="1"/>
  <c r="AN1060" i="2" a="1"/>
  <c r="AN1060" i="2" s="1"/>
  <c r="AN1061" i="2" a="1"/>
  <c r="AN1061" i="2" s="1"/>
  <c r="AN1062" i="2" a="1"/>
  <c r="AN1062" i="2" s="1"/>
  <c r="AN1063" i="2" a="1"/>
  <c r="AN1063" i="2" s="1"/>
  <c r="AN1064" i="2" a="1"/>
  <c r="AN1064" i="2" s="1"/>
  <c r="AN1065" i="2" a="1"/>
  <c r="AN1065" i="2" s="1"/>
  <c r="AN1066" i="2" a="1"/>
  <c r="AN1066" i="2" s="1"/>
  <c r="AN1067" i="2" a="1"/>
  <c r="AN1067" i="2" s="1"/>
  <c r="AN1068" i="2" a="1"/>
  <c r="AN1068" i="2" s="1"/>
  <c r="AN1069" i="2" a="1"/>
  <c r="AN1069" i="2" s="1"/>
  <c r="AN1070" i="2" a="1"/>
  <c r="AN1070" i="2" s="1"/>
  <c r="AN1071" i="2" a="1"/>
  <c r="AN1071" i="2" s="1"/>
  <c r="AN1072" i="2" a="1"/>
  <c r="AN1072" i="2" s="1"/>
  <c r="AN1073" i="2" a="1"/>
  <c r="AN1073" i="2" s="1"/>
  <c r="AN1074" i="2" a="1"/>
  <c r="AN1074" i="2" s="1"/>
  <c r="AN1075" i="2" a="1"/>
  <c r="AN1075" i="2" s="1"/>
  <c r="AN1076" i="2" a="1"/>
  <c r="AN1076" i="2" s="1"/>
  <c r="AN1077" i="2" a="1"/>
  <c r="AN1077" i="2" s="1"/>
  <c r="AN1078" i="2" a="1"/>
  <c r="AN1078" i="2" s="1"/>
  <c r="AN1079" i="2" a="1"/>
  <c r="AN1079" i="2" s="1"/>
  <c r="AN1080" i="2" a="1"/>
  <c r="AN1080" i="2" s="1"/>
  <c r="AN1081" i="2" a="1"/>
  <c r="AN1081" i="2" s="1"/>
  <c r="AN1082" i="2" a="1"/>
  <c r="AN1082" i="2" s="1"/>
  <c r="AN1083" i="2" a="1"/>
  <c r="AN1083" i="2" s="1"/>
  <c r="AN1084" i="2" a="1"/>
  <c r="AN1084" i="2" s="1"/>
  <c r="AN1085" i="2" a="1"/>
  <c r="AN1085" i="2" s="1"/>
  <c r="AN1086" i="2" a="1"/>
  <c r="AN1086" i="2" s="1"/>
  <c r="AN1087" i="2" a="1"/>
  <c r="AN1087" i="2" s="1"/>
  <c r="AN1088" i="2" a="1"/>
  <c r="AN1088" i="2" s="1"/>
  <c r="AN1089" i="2" a="1"/>
  <c r="AN1089" i="2" s="1"/>
  <c r="AN1090" i="2" a="1"/>
  <c r="AN1090" i="2" s="1"/>
  <c r="AN1091" i="2" a="1"/>
  <c r="AN1091" i="2" s="1"/>
  <c r="AN1092" i="2" a="1"/>
  <c r="AN1092" i="2" s="1"/>
  <c r="AN1093" i="2" a="1"/>
  <c r="AN1093" i="2" s="1"/>
  <c r="AN1094" i="2" a="1"/>
  <c r="AN1094" i="2" s="1"/>
  <c r="AN1095" i="2" a="1"/>
  <c r="AN1095" i="2" s="1"/>
  <c r="AN1096" i="2" a="1"/>
  <c r="AN1096" i="2" s="1"/>
  <c r="AN1097" i="2" a="1"/>
  <c r="AN1097" i="2" s="1"/>
  <c r="AN1098" i="2" a="1"/>
  <c r="AN1098" i="2" s="1"/>
  <c r="AN1099" i="2" a="1"/>
  <c r="AN1099" i="2" s="1"/>
  <c r="AN1100" i="2" a="1"/>
  <c r="AN1100" i="2" s="1"/>
  <c r="AN1101" i="2" a="1"/>
  <c r="AN1101" i="2" s="1"/>
  <c r="AN1102" i="2" a="1"/>
  <c r="AN1102" i="2" s="1"/>
  <c r="AN1103" i="2" a="1"/>
  <c r="AN1103" i="2" s="1"/>
  <c r="AN1104" i="2" a="1"/>
  <c r="AN1104" i="2" s="1"/>
  <c r="AN1105" i="2" a="1"/>
  <c r="AN1105" i="2" s="1"/>
  <c r="AN1106" i="2" a="1"/>
  <c r="AN1106" i="2" s="1"/>
  <c r="AN1107" i="2" a="1"/>
  <c r="AN1107" i="2" s="1"/>
  <c r="AN1108" i="2" a="1"/>
  <c r="AN1108" i="2" s="1"/>
  <c r="AN1109" i="2" a="1"/>
  <c r="AN1109" i="2" s="1"/>
  <c r="AN1110" i="2" a="1"/>
  <c r="AN1110" i="2" s="1"/>
  <c r="AN1111" i="2" a="1"/>
  <c r="AN1111" i="2" s="1"/>
  <c r="AN1112" i="2" a="1"/>
  <c r="AN1112" i="2" s="1"/>
  <c r="AN1113" i="2" a="1"/>
  <c r="AN1113" i="2" s="1"/>
  <c r="AN1114" i="2" a="1"/>
  <c r="AN1114" i="2" s="1"/>
  <c r="AN1115" i="2" a="1"/>
  <c r="AN1115" i="2" s="1"/>
  <c r="AN1116" i="2" a="1"/>
  <c r="AN1116" i="2" s="1"/>
  <c r="AN1117" i="2" a="1"/>
  <c r="AN1117" i="2" s="1"/>
  <c r="AN1118" i="2" a="1"/>
  <c r="AN1118" i="2" s="1"/>
  <c r="AN1119" i="2" a="1"/>
  <c r="AN1119" i="2" s="1"/>
  <c r="AN1120" i="2" a="1"/>
  <c r="AN1120" i="2" s="1"/>
  <c r="AN1121" i="2" a="1"/>
  <c r="AN1121" i="2" s="1"/>
  <c r="AN1122" i="2" a="1"/>
  <c r="AN1122" i="2" s="1"/>
  <c r="AN1123" i="2" a="1"/>
  <c r="AN1123" i="2" s="1"/>
  <c r="AN1124" i="2" a="1"/>
  <c r="AN1124" i="2" s="1"/>
  <c r="AN1125" i="2" a="1"/>
  <c r="AN1125" i="2" s="1"/>
  <c r="AN1126" i="2" a="1"/>
  <c r="AN1126" i="2" s="1"/>
  <c r="AN1127" i="2" a="1"/>
  <c r="AN1127" i="2" s="1"/>
  <c r="AN1128" i="2" a="1"/>
  <c r="AN1128" i="2" s="1"/>
  <c r="AN1129" i="2" a="1"/>
  <c r="AN1129" i="2" s="1"/>
  <c r="AN1130" i="2" a="1"/>
  <c r="AN1130" i="2" s="1"/>
  <c r="AN1131" i="2" a="1"/>
  <c r="AN1131" i="2" s="1"/>
  <c r="AN1132" i="2" a="1"/>
  <c r="AN1132" i="2" s="1"/>
  <c r="AN1133" i="2" a="1"/>
  <c r="AN1133" i="2" s="1"/>
  <c r="AN1134" i="2" a="1"/>
  <c r="AN1134" i="2" s="1"/>
  <c r="AN1135" i="2" a="1"/>
  <c r="AN1135" i="2" s="1"/>
  <c r="AN1136" i="2" a="1"/>
  <c r="AN1136" i="2" s="1"/>
  <c r="AN1137" i="2" a="1"/>
  <c r="AN1137" i="2" s="1"/>
  <c r="AN1138" i="2" a="1"/>
  <c r="AN1138" i="2" s="1"/>
  <c r="AN1139" i="2" a="1"/>
  <c r="AN1139" i="2" s="1"/>
  <c r="AN1140" i="2" a="1"/>
  <c r="AN1140" i="2" s="1"/>
  <c r="AN1141" i="2" a="1"/>
  <c r="AN1141" i="2" s="1"/>
  <c r="AN1142" i="2" a="1"/>
  <c r="AN1142" i="2" s="1"/>
  <c r="AN1143" i="2" a="1"/>
  <c r="AN1143" i="2" s="1"/>
  <c r="AN1144" i="2" a="1"/>
  <c r="AN1144" i="2" s="1"/>
  <c r="AN1145" i="2" a="1"/>
  <c r="AN1145" i="2" s="1"/>
  <c r="AN1146" i="2" a="1"/>
  <c r="AN1146" i="2" s="1"/>
  <c r="AN1147" i="2" a="1"/>
  <c r="AN1147" i="2" s="1"/>
  <c r="AN1148" i="2" a="1"/>
  <c r="AN1148" i="2" s="1"/>
  <c r="AN1149" i="2" a="1"/>
  <c r="AN1149" i="2" s="1"/>
  <c r="AN1150" i="2" a="1"/>
  <c r="AN1150" i="2" s="1"/>
  <c r="AN1151" i="2" a="1"/>
  <c r="AN1151" i="2" s="1"/>
  <c r="AN1152" i="2" a="1"/>
  <c r="AN1152" i="2" s="1"/>
  <c r="AN1153" i="2" a="1"/>
  <c r="AN1153" i="2" s="1"/>
  <c r="AN1154" i="2" a="1"/>
  <c r="AN1154" i="2" s="1"/>
  <c r="AN1155" i="2" a="1"/>
  <c r="AN1155" i="2" s="1"/>
  <c r="AN1156" i="2" a="1"/>
  <c r="AN1156" i="2" s="1"/>
  <c r="AN1157" i="2" a="1"/>
  <c r="AN1157" i="2" s="1"/>
  <c r="AN1158" i="2" a="1"/>
  <c r="AN1158" i="2" s="1"/>
  <c r="AN1159" i="2" a="1"/>
  <c r="AN1159" i="2" s="1"/>
  <c r="AN1160" i="2" a="1"/>
  <c r="AN1160" i="2" s="1"/>
  <c r="AN1161" i="2" a="1"/>
  <c r="AN1161" i="2" s="1"/>
  <c r="AN1162" i="2" a="1"/>
  <c r="AN1162" i="2" s="1"/>
  <c r="AN1163" i="2" a="1"/>
  <c r="AN1163" i="2" s="1"/>
  <c r="AN1164" i="2" a="1"/>
  <c r="AN1164" i="2" s="1"/>
  <c r="AN1165" i="2" a="1"/>
  <c r="AN1165" i="2" s="1"/>
  <c r="AN1166" i="2" a="1"/>
  <c r="AN1166" i="2" s="1"/>
  <c r="AN1167" i="2" a="1"/>
  <c r="AN1167" i="2" s="1"/>
  <c r="AN1168" i="2" a="1"/>
  <c r="AN1168" i="2" s="1"/>
  <c r="AN1169" i="2" a="1"/>
  <c r="AN1169" i="2" s="1"/>
  <c r="AN1170" i="2" a="1"/>
  <c r="AN1170" i="2" s="1"/>
  <c r="AN1171" i="2" a="1"/>
  <c r="AN1171" i="2" s="1"/>
  <c r="AN1172" i="2" a="1"/>
  <c r="AN1172" i="2" s="1"/>
  <c r="AN1173" i="2" a="1"/>
  <c r="AN1173" i="2" s="1"/>
  <c r="AN1174" i="2" a="1"/>
  <c r="AN1174" i="2" s="1"/>
  <c r="AN1175" i="2" a="1"/>
  <c r="AN1175" i="2" s="1"/>
  <c r="AN1176" i="2" a="1"/>
  <c r="AN1176" i="2" s="1"/>
  <c r="AN1177" i="2" a="1"/>
  <c r="AN1177" i="2" s="1"/>
  <c r="AN1178" i="2" a="1"/>
  <c r="AN1178" i="2" s="1"/>
  <c r="AN1179" i="2" a="1"/>
  <c r="AN1179" i="2" s="1"/>
  <c r="AN1180" i="2" a="1"/>
  <c r="AN1180" i="2" s="1"/>
  <c r="AN1181" i="2" a="1"/>
  <c r="AN1181" i="2" s="1"/>
  <c r="AN1182" i="2" a="1"/>
  <c r="AN1182" i="2" s="1"/>
  <c r="AN1183" i="2" a="1"/>
  <c r="AN1183" i="2" s="1"/>
  <c r="AN1184" i="2" a="1"/>
  <c r="AN1184" i="2" s="1"/>
  <c r="AN1185" i="2" a="1"/>
  <c r="AN1185" i="2" s="1"/>
  <c r="AN1186" i="2" a="1"/>
  <c r="AN1186" i="2" s="1"/>
  <c r="AN1187" i="2" a="1"/>
  <c r="AN1187" i="2" s="1"/>
  <c r="AN1188" i="2" a="1"/>
  <c r="AN1188" i="2" s="1"/>
  <c r="AN1189" i="2" a="1"/>
  <c r="AN1189" i="2" s="1"/>
  <c r="AN1190" i="2" a="1"/>
  <c r="AN1190" i="2" s="1"/>
  <c r="AN1191" i="2" a="1"/>
  <c r="AN1191" i="2" s="1"/>
  <c r="AN1192" i="2" a="1"/>
  <c r="AN1192" i="2" s="1"/>
  <c r="AN1193" i="2" a="1"/>
  <c r="AN1193" i="2" s="1"/>
  <c r="AN1194" i="2" a="1"/>
  <c r="AN1194" i="2" s="1"/>
  <c r="AN1195" i="2" a="1"/>
  <c r="AN1195" i="2" s="1"/>
  <c r="AN1196" i="2" a="1"/>
  <c r="AN1196" i="2" s="1"/>
  <c r="AN1197" i="2" a="1"/>
  <c r="AN1197" i="2" s="1"/>
  <c r="AN1198" i="2" a="1"/>
  <c r="AN1198" i="2" s="1"/>
  <c r="AN1199" i="2" a="1"/>
  <c r="AN1199" i="2" s="1"/>
  <c r="AN1200" i="2" a="1"/>
  <c r="AN1200" i="2" s="1"/>
  <c r="AN1201" i="2" a="1"/>
  <c r="AN1201" i="2" s="1"/>
  <c r="AN1202" i="2" a="1"/>
  <c r="AN1202" i="2" s="1"/>
  <c r="AN1203" i="2" a="1"/>
  <c r="AN1203" i="2" s="1"/>
  <c r="AN1204" i="2" a="1"/>
  <c r="AN1204" i="2" s="1"/>
  <c r="AN1205" i="2" a="1"/>
  <c r="AN1205" i="2" s="1"/>
  <c r="AN1206" i="2" a="1"/>
  <c r="AN1206" i="2" s="1"/>
  <c r="AN1207" i="2" a="1"/>
  <c r="AN1207" i="2" s="1"/>
  <c r="AN1208" i="2" a="1"/>
  <c r="AN1208" i="2" s="1"/>
  <c r="AN1209" i="2" a="1"/>
  <c r="AN1209" i="2" s="1"/>
  <c r="AN1210" i="2" a="1"/>
  <c r="AN1210" i="2" s="1"/>
  <c r="AN1211" i="2" a="1"/>
  <c r="AN1211" i="2" s="1"/>
  <c r="AN1212" i="2" a="1"/>
  <c r="AN1212" i="2" s="1"/>
  <c r="AN1213" i="2" a="1"/>
  <c r="AN1213" i="2" s="1"/>
  <c r="AN1214" i="2" a="1"/>
  <c r="AN1214" i="2" s="1"/>
  <c r="AN1215" i="2" a="1"/>
  <c r="AN1215" i="2" s="1"/>
  <c r="AN1216" i="2" a="1"/>
  <c r="AN1216" i="2" s="1"/>
  <c r="AN1217" i="2" a="1"/>
  <c r="AN1217" i="2" s="1"/>
  <c r="AN1218" i="2" a="1"/>
  <c r="AN1218" i="2" s="1"/>
  <c r="AN1219" i="2" a="1"/>
  <c r="AN1219" i="2" s="1"/>
  <c r="AN1220" i="2" a="1"/>
  <c r="AN1220" i="2" s="1"/>
  <c r="AN1221" i="2" a="1"/>
  <c r="AN1221" i="2" s="1"/>
  <c r="AN1222" i="2" a="1"/>
  <c r="AN1222" i="2" s="1"/>
  <c r="AN1223" i="2" a="1"/>
  <c r="AN1223" i="2" s="1"/>
  <c r="AN1224" i="2" a="1"/>
  <c r="AN1224" i="2" s="1"/>
  <c r="AN1225" i="2" a="1"/>
  <c r="AN1225" i="2" s="1"/>
  <c r="AN1226" i="2" a="1"/>
  <c r="AN1226" i="2" s="1"/>
  <c r="AN1227" i="2" a="1"/>
  <c r="AN1227" i="2" s="1"/>
  <c r="AN1228" i="2" a="1"/>
  <c r="AN1228" i="2" s="1"/>
  <c r="AN1229" i="2" a="1"/>
  <c r="AN1229" i="2" s="1"/>
  <c r="AN1230" i="2" a="1"/>
  <c r="AN1230" i="2" s="1"/>
  <c r="AN1231" i="2" a="1"/>
  <c r="AN1231" i="2" s="1"/>
  <c r="AN1232" i="2" a="1"/>
  <c r="AN1232" i="2" s="1"/>
  <c r="AN1233" i="2" a="1"/>
  <c r="AN1233" i="2" s="1"/>
  <c r="AN1234" i="2" a="1"/>
  <c r="AN1234" i="2" s="1"/>
  <c r="AN1235" i="2" a="1"/>
  <c r="AN1235" i="2" s="1"/>
  <c r="AN1236" i="2" a="1"/>
  <c r="AN1236" i="2" s="1"/>
  <c r="AN1237" i="2" a="1"/>
  <c r="AN1237" i="2" s="1"/>
  <c r="AN1238" i="2" a="1"/>
  <c r="AN1238" i="2" s="1"/>
  <c r="AN1239" i="2" a="1"/>
  <c r="AN1239" i="2" s="1"/>
  <c r="AN1240" i="2" a="1"/>
  <c r="AN1240" i="2" s="1"/>
  <c r="AN1241" i="2" a="1"/>
  <c r="AN1241" i="2" s="1"/>
  <c r="AN1242" i="2" a="1"/>
  <c r="AN1242" i="2" s="1"/>
  <c r="AN1243" i="2" a="1"/>
  <c r="AN1243" i="2" s="1"/>
  <c r="AN1244" i="2" a="1"/>
  <c r="AN1244" i="2" s="1"/>
  <c r="AN1245" i="2" a="1"/>
  <c r="AN1245" i="2" s="1"/>
  <c r="AN1246" i="2" a="1"/>
  <c r="AN1246" i="2" s="1"/>
  <c r="AN1247" i="2" a="1"/>
  <c r="AN1247" i="2" s="1"/>
  <c r="AN1248" i="2" a="1"/>
  <c r="AN1248" i="2" s="1"/>
  <c r="AN1249" i="2" a="1"/>
  <c r="AN1249" i="2" s="1"/>
  <c r="AN1250" i="2" a="1"/>
  <c r="AN1250" i="2" s="1"/>
  <c r="AN1251" i="2" a="1"/>
  <c r="AN1251" i="2" s="1"/>
  <c r="AN1252" i="2" a="1"/>
  <c r="AN1252" i="2" s="1"/>
  <c r="AN1253" i="2" a="1"/>
  <c r="AN1253" i="2" s="1"/>
  <c r="AN1254" i="2" a="1"/>
  <c r="AN1254" i="2" s="1"/>
  <c r="AN1255" i="2" a="1"/>
  <c r="AN1255" i="2" s="1"/>
  <c r="AN1256" i="2" a="1"/>
  <c r="AN1256" i="2" s="1"/>
  <c r="AN1257" i="2" a="1"/>
  <c r="AN1257" i="2" s="1"/>
  <c r="AN1258" i="2" a="1"/>
  <c r="AN1258" i="2" s="1"/>
  <c r="AN1259" i="2" a="1"/>
  <c r="AN1259" i="2" s="1"/>
  <c r="AN1260" i="2" a="1"/>
  <c r="AN1260" i="2" s="1"/>
  <c r="AN1261" i="2" a="1"/>
  <c r="AN1261" i="2" s="1"/>
  <c r="AN1262" i="2" a="1"/>
  <c r="AN1262" i="2" s="1"/>
  <c r="AN1263" i="2" a="1"/>
  <c r="AN1263" i="2" s="1"/>
  <c r="AN1264" i="2" a="1"/>
  <c r="AN1264" i="2" s="1"/>
  <c r="AN1265" i="2" a="1"/>
  <c r="AN1265" i="2" s="1"/>
  <c r="AN1266" i="2" a="1"/>
  <c r="AN1266" i="2" s="1"/>
  <c r="AN1267" i="2" a="1"/>
  <c r="AN1267" i="2" s="1"/>
  <c r="AN1268" i="2" a="1"/>
  <c r="AN1268" i="2" s="1"/>
  <c r="AN1269" i="2" a="1"/>
  <c r="AN1269" i="2" s="1"/>
  <c r="AN1270" i="2" a="1"/>
  <c r="AN1270" i="2" s="1"/>
  <c r="AN1271" i="2" a="1"/>
  <c r="AN1271" i="2" s="1"/>
  <c r="AN1272" i="2" a="1"/>
  <c r="AN1272" i="2" s="1"/>
  <c r="AN1273" i="2" a="1"/>
  <c r="AN1273" i="2" s="1"/>
  <c r="AN1274" i="2" a="1"/>
  <c r="AN1274" i="2" s="1"/>
  <c r="AN1275" i="2" a="1"/>
  <c r="AN1275" i="2" s="1"/>
  <c r="AN1276" i="2" a="1"/>
  <c r="AN1276" i="2" s="1"/>
  <c r="AN1277" i="2" a="1"/>
  <c r="AN1277" i="2" s="1"/>
  <c r="AN1278" i="2" a="1"/>
  <c r="AN1278" i="2" s="1"/>
  <c r="AN1279" i="2" a="1"/>
  <c r="AN1279" i="2" s="1"/>
  <c r="AN1280" i="2" a="1"/>
  <c r="AN1280" i="2" s="1"/>
  <c r="AN1281" i="2" a="1"/>
  <c r="AN1281" i="2" s="1"/>
  <c r="AN1282" i="2" a="1"/>
  <c r="AN1282" i="2" s="1"/>
  <c r="AN1283" i="2" a="1"/>
  <c r="AN1283" i="2" s="1"/>
  <c r="AN1284" i="2" a="1"/>
  <c r="AN1284" i="2" s="1"/>
  <c r="AN1285" i="2" a="1"/>
  <c r="AN1285" i="2" s="1"/>
  <c r="AN1286" i="2" a="1"/>
  <c r="AN1286" i="2" s="1"/>
  <c r="AN1287" i="2" a="1"/>
  <c r="AN1287" i="2" s="1"/>
  <c r="AN1288" i="2" a="1"/>
  <c r="AN1288" i="2" s="1"/>
  <c r="AN1289" i="2" a="1"/>
  <c r="AN1289" i="2" s="1"/>
  <c r="AN1290" i="2" a="1"/>
  <c r="AN1290" i="2" s="1"/>
  <c r="AN1291" i="2" a="1"/>
  <c r="AN1291" i="2" s="1"/>
  <c r="AN1292" i="2" a="1"/>
  <c r="AN1292" i="2" s="1"/>
  <c r="AN1293" i="2" a="1"/>
  <c r="AN1293" i="2" s="1"/>
  <c r="AN1294" i="2" a="1"/>
  <c r="AN1294" i="2" s="1"/>
  <c r="AN1295" i="2" a="1"/>
  <c r="AN1295" i="2" s="1"/>
  <c r="AN1296" i="2" a="1"/>
  <c r="AN1296" i="2" s="1"/>
  <c r="AN1297" i="2" a="1"/>
  <c r="AN1297" i="2" s="1"/>
  <c r="AN1298" i="2" a="1"/>
  <c r="AN1298" i="2" s="1"/>
  <c r="AN1299" i="2" a="1"/>
  <c r="AN1299" i="2" s="1"/>
  <c r="AN1300" i="2" a="1"/>
  <c r="AN1300" i="2" s="1"/>
  <c r="AN1301" i="2" a="1"/>
  <c r="AN1301" i="2" s="1"/>
  <c r="AN1302" i="2" a="1"/>
  <c r="AN1302" i="2" s="1"/>
  <c r="AN1303" i="2" a="1"/>
  <c r="AN1303" i="2" s="1"/>
  <c r="AN1304" i="2" a="1"/>
  <c r="AN1304" i="2" s="1"/>
  <c r="AN1305" i="2" a="1"/>
  <c r="AN1305" i="2" s="1"/>
  <c r="AN1306" i="2" a="1"/>
  <c r="AN1306" i="2" s="1"/>
  <c r="AN1307" i="2" a="1"/>
  <c r="AN1307" i="2" s="1"/>
  <c r="AN1308" i="2" a="1"/>
  <c r="AN1308" i="2" s="1"/>
  <c r="AN1309" i="2" a="1"/>
  <c r="AN1309" i="2" s="1"/>
  <c r="AN1310" i="2" a="1"/>
  <c r="AN1310" i="2" s="1"/>
  <c r="AN1311" i="2" a="1"/>
  <c r="AN1311" i="2" s="1"/>
  <c r="AN1312" i="2" a="1"/>
  <c r="AN1312" i="2" s="1"/>
  <c r="AN1313" i="2" a="1"/>
  <c r="AN1313" i="2" s="1"/>
  <c r="AN1314" i="2" a="1"/>
  <c r="AN1314" i="2" s="1"/>
  <c r="AN1315" i="2" a="1"/>
  <c r="AN1315" i="2" s="1"/>
  <c r="AN1316" i="2" a="1"/>
  <c r="AN1316" i="2" s="1"/>
  <c r="AN1317" i="2" a="1"/>
  <c r="AN1317" i="2" s="1"/>
  <c r="AN1318" i="2" a="1"/>
  <c r="AN1318" i="2" s="1"/>
  <c r="AN1319" i="2" a="1"/>
  <c r="AN1319" i="2" s="1"/>
  <c r="AN1320" i="2" a="1"/>
  <c r="AN1320" i="2" s="1"/>
  <c r="AN1321" i="2" a="1"/>
  <c r="AN1321" i="2" s="1"/>
  <c r="AN1322" i="2" a="1"/>
  <c r="AN1322" i="2" s="1"/>
  <c r="AN1323" i="2" a="1"/>
  <c r="AN1323" i="2" s="1"/>
  <c r="AN1324" i="2" a="1"/>
  <c r="AN1324" i="2" s="1"/>
  <c r="AN1325" i="2" a="1"/>
  <c r="AN1325" i="2" s="1"/>
  <c r="AN1326" i="2" a="1"/>
  <c r="AN1326" i="2" s="1"/>
  <c r="AN1327" i="2" a="1"/>
  <c r="AN1327" i="2" s="1"/>
  <c r="AN1328" i="2" a="1"/>
  <c r="AN1328" i="2" s="1"/>
  <c r="AN1329" i="2" a="1"/>
  <c r="AN1329" i="2" s="1"/>
  <c r="AN1330" i="2" a="1"/>
  <c r="AN1330" i="2" s="1"/>
  <c r="AN1331" i="2" a="1"/>
  <c r="AN1331" i="2" s="1"/>
  <c r="AN1332" i="2" a="1"/>
  <c r="AN1332" i="2" s="1"/>
  <c r="AN1333" i="2" a="1"/>
  <c r="AN1333" i="2" s="1"/>
  <c r="AN1334" i="2" a="1"/>
  <c r="AN1334" i="2" s="1"/>
  <c r="AN1335" i="2" a="1"/>
  <c r="AN1335" i="2" s="1"/>
  <c r="AN1336" i="2" a="1"/>
  <c r="AN1336" i="2" s="1"/>
  <c r="AN1337" i="2" a="1"/>
  <c r="AN1337" i="2" s="1"/>
  <c r="AN1338" i="2" a="1"/>
  <c r="AN1338" i="2" s="1"/>
  <c r="AN1339" i="2" a="1"/>
  <c r="AN1339" i="2" s="1"/>
  <c r="AN1340" i="2" a="1"/>
  <c r="AN1340" i="2" s="1"/>
  <c r="AN1341" i="2" a="1"/>
  <c r="AN1341" i="2" s="1"/>
  <c r="AN1342" i="2" a="1"/>
  <c r="AN1342" i="2" s="1"/>
  <c r="AN1343" i="2" a="1"/>
  <c r="AN1343" i="2" s="1"/>
  <c r="AN1344" i="2" a="1"/>
  <c r="AN1344" i="2" s="1"/>
  <c r="AN1345" i="2" a="1"/>
  <c r="AN1345" i="2" s="1"/>
  <c r="AN1346" i="2" a="1"/>
  <c r="AN1346" i="2" s="1"/>
  <c r="AN1347" i="2" a="1"/>
  <c r="AN1347" i="2" s="1"/>
  <c r="AN1348" i="2" a="1"/>
  <c r="AN1348" i="2" s="1"/>
  <c r="AN1349" i="2" a="1"/>
  <c r="AN1349" i="2" s="1"/>
  <c r="AN1350" i="2" a="1"/>
  <c r="AN1350" i="2" s="1"/>
  <c r="AN1351" i="2" a="1"/>
  <c r="AN1351" i="2" s="1"/>
  <c r="AN1352" i="2" a="1"/>
  <c r="AN1352" i="2" s="1"/>
  <c r="AN1353" i="2" a="1"/>
  <c r="AN1353" i="2" s="1"/>
  <c r="AN1354" i="2" a="1"/>
  <c r="AN1354" i="2" s="1"/>
  <c r="AN1355" i="2" a="1"/>
  <c r="AN1355" i="2" s="1"/>
  <c r="AN1356" i="2" a="1"/>
  <c r="AN1356" i="2" s="1"/>
  <c r="AN1357" i="2" a="1"/>
  <c r="AN1357" i="2" s="1"/>
  <c r="AN1358" i="2" a="1"/>
  <c r="AN1358" i="2" s="1"/>
  <c r="AN1359" i="2" a="1"/>
  <c r="AN1359" i="2" s="1"/>
  <c r="AN1360" i="2" a="1"/>
  <c r="AN1360" i="2" s="1"/>
  <c r="AN1361" i="2" a="1"/>
  <c r="AN1361" i="2" s="1"/>
  <c r="AN1362" i="2" a="1"/>
  <c r="AN1362" i="2" s="1"/>
  <c r="AN1363" i="2" a="1"/>
  <c r="AN1363" i="2" s="1"/>
  <c r="AN1364" i="2" a="1"/>
  <c r="AN1364" i="2" s="1"/>
  <c r="AN1365" i="2" a="1"/>
  <c r="AN1365" i="2" s="1"/>
  <c r="AN1366" i="2" a="1"/>
  <c r="AN1366" i="2" s="1"/>
  <c r="AN1367" i="2" a="1"/>
  <c r="AN1367" i="2" s="1"/>
  <c r="AN1368" i="2" a="1"/>
  <c r="AN1368" i="2" s="1"/>
  <c r="AN1369" i="2" a="1"/>
  <c r="AN1369" i="2" s="1"/>
  <c r="AN1370" i="2" a="1"/>
  <c r="AN1370" i="2" s="1"/>
  <c r="AN1371" i="2" a="1"/>
  <c r="AN1371" i="2" s="1"/>
  <c r="AN1372" i="2" a="1"/>
  <c r="AN1372" i="2" s="1"/>
  <c r="AN1373" i="2" a="1"/>
  <c r="AN1373" i="2" s="1"/>
  <c r="AN1374" i="2" a="1"/>
  <c r="AN1374" i="2" s="1"/>
  <c r="AN1375" i="2" a="1"/>
  <c r="AN1375" i="2" s="1"/>
  <c r="AN1376" i="2" a="1"/>
  <c r="AN1376" i="2" s="1"/>
  <c r="AN1377" i="2" a="1"/>
  <c r="AN1377" i="2" s="1"/>
  <c r="AN1378" i="2" a="1"/>
  <c r="AN1378" i="2" s="1"/>
  <c r="AN1379" i="2" a="1"/>
  <c r="AN1379" i="2" s="1"/>
  <c r="AN1380" i="2" a="1"/>
  <c r="AN1380" i="2" s="1"/>
  <c r="AN1381" i="2" a="1"/>
  <c r="AN1381" i="2" s="1"/>
  <c r="AN1382" i="2" a="1"/>
  <c r="AN1382" i="2" s="1"/>
  <c r="AN1383" i="2" a="1"/>
  <c r="AN1383" i="2" s="1"/>
  <c r="AN1384" i="2" a="1"/>
  <c r="AN1384" i="2" s="1"/>
  <c r="AN1385" i="2" a="1"/>
  <c r="AN1385" i="2" s="1"/>
  <c r="AN1386" i="2" a="1"/>
  <c r="AN1386" i="2" s="1"/>
  <c r="AN1387" i="2" a="1"/>
  <c r="AN1387" i="2" s="1"/>
  <c r="AN1388" i="2" a="1"/>
  <c r="AN1388" i="2" s="1"/>
  <c r="AN1389" i="2" a="1"/>
  <c r="AN1389" i="2" s="1"/>
  <c r="AN1390" i="2" a="1"/>
  <c r="AN1390" i="2" s="1"/>
  <c r="AN1391" i="2" a="1"/>
  <c r="AN1391" i="2" s="1"/>
  <c r="AN1392" i="2" a="1"/>
  <c r="AN1392" i="2" s="1"/>
  <c r="AN1393" i="2" a="1"/>
  <c r="AN1393" i="2" s="1"/>
  <c r="AN1394" i="2" a="1"/>
  <c r="AN1394" i="2" s="1"/>
  <c r="AN1395" i="2" a="1"/>
  <c r="AN1395" i="2" s="1"/>
  <c r="AN1396" i="2" a="1"/>
  <c r="AN1396" i="2" s="1"/>
  <c r="AN1397" i="2" a="1"/>
  <c r="AN1397" i="2" s="1"/>
  <c r="AN1398" i="2" a="1"/>
  <c r="AN1398" i="2" s="1"/>
  <c r="AN1399" i="2" a="1"/>
  <c r="AN1399" i="2" s="1"/>
  <c r="AN1400" i="2" a="1"/>
  <c r="AN1400" i="2" s="1"/>
  <c r="AN1401" i="2" a="1"/>
  <c r="AN1401" i="2" s="1"/>
  <c r="AN1402" i="2" a="1"/>
  <c r="AN1402" i="2" s="1"/>
  <c r="AN1403" i="2" a="1"/>
  <c r="AN1403" i="2" s="1"/>
  <c r="AN1404" i="2" a="1"/>
  <c r="AN1404" i="2" s="1"/>
  <c r="AN1405" i="2" a="1"/>
  <c r="AN1405" i="2" s="1"/>
  <c r="AN1406" i="2" a="1"/>
  <c r="AN1406" i="2" s="1"/>
  <c r="AN1407" i="2" a="1"/>
  <c r="AN1407" i="2" s="1"/>
  <c r="AN1408" i="2" a="1"/>
  <c r="AN1408" i="2" s="1"/>
  <c r="AN1409" i="2" a="1"/>
  <c r="AN1409" i="2" s="1"/>
  <c r="AN1410" i="2" a="1"/>
  <c r="AN1410" i="2" s="1"/>
  <c r="AN1411" i="2" a="1"/>
  <c r="AN1411" i="2" s="1"/>
  <c r="AN1412" i="2" a="1"/>
  <c r="AN1412" i="2" s="1"/>
  <c r="AN1413" i="2" a="1"/>
  <c r="AN1413" i="2" s="1"/>
  <c r="AN1414" i="2" a="1"/>
  <c r="AN1414" i="2" s="1"/>
  <c r="AN1415" i="2" a="1"/>
  <c r="AN1415" i="2" s="1"/>
  <c r="AN1416" i="2" a="1"/>
  <c r="AN1416" i="2" s="1"/>
  <c r="AN1417" i="2" a="1"/>
  <c r="AN1417" i="2" s="1"/>
  <c r="AN1418" i="2" a="1"/>
  <c r="AN1418" i="2" s="1"/>
  <c r="AN1419" i="2" a="1"/>
  <c r="AN1419" i="2" s="1"/>
  <c r="AN1420" i="2" a="1"/>
  <c r="AN1420" i="2" s="1"/>
  <c r="AN1421" i="2" a="1"/>
  <c r="AN1421" i="2" s="1"/>
  <c r="AN1422" i="2" a="1"/>
  <c r="AN1422" i="2" s="1"/>
  <c r="AN1423" i="2" a="1"/>
  <c r="AN1423" i="2" s="1"/>
  <c r="AN1424" i="2" a="1"/>
  <c r="AN1424" i="2" s="1"/>
  <c r="AN1425" i="2" a="1"/>
  <c r="AN1425" i="2" s="1"/>
  <c r="AN1426" i="2" a="1"/>
  <c r="AN1426" i="2" s="1"/>
  <c r="AN1427" i="2" a="1"/>
  <c r="AN1427" i="2" s="1"/>
  <c r="AN1428" i="2" a="1"/>
  <c r="AN1428" i="2" s="1"/>
  <c r="AN1429" i="2" a="1"/>
  <c r="AN1429" i="2" s="1"/>
  <c r="AN1430" i="2" a="1"/>
  <c r="AN1430" i="2" s="1"/>
  <c r="AN1431" i="2" a="1"/>
  <c r="AN1431" i="2" s="1"/>
  <c r="AN1432" i="2" a="1"/>
  <c r="AN1432" i="2" s="1"/>
  <c r="AN1433" i="2" a="1"/>
  <c r="AN1433" i="2" s="1"/>
  <c r="AN1434" i="2" a="1"/>
  <c r="AN1434" i="2" s="1"/>
  <c r="AN1435" i="2" a="1"/>
  <c r="AN1435" i="2" s="1"/>
  <c r="AN1436" i="2" a="1"/>
  <c r="AN1436" i="2" s="1"/>
  <c r="AN1437" i="2" a="1"/>
  <c r="AN1437" i="2" s="1"/>
  <c r="AN1438" i="2" a="1"/>
  <c r="AN1438" i="2" s="1"/>
  <c r="AN1439" i="2" a="1"/>
  <c r="AN1439" i="2" s="1"/>
  <c r="AN1440" i="2" a="1"/>
  <c r="AN1440" i="2" s="1"/>
  <c r="AN1441" i="2" a="1"/>
  <c r="AN1441" i="2" s="1"/>
  <c r="AN1442" i="2" a="1"/>
  <c r="AN1442" i="2" s="1"/>
  <c r="AN1443" i="2" a="1"/>
  <c r="AN1443" i="2" s="1"/>
  <c r="AN1444" i="2" a="1"/>
  <c r="AN1444" i="2" s="1"/>
  <c r="AN1445" i="2" a="1"/>
  <c r="AN1445" i="2" s="1"/>
  <c r="AN1446" i="2" a="1"/>
  <c r="AN1446" i="2" s="1"/>
  <c r="AN1447" i="2" a="1"/>
  <c r="AN1447" i="2" s="1"/>
  <c r="AN1448" i="2" a="1"/>
  <c r="AN1448" i="2" s="1"/>
  <c r="AN1449" i="2" a="1"/>
  <c r="AN1449" i="2" s="1"/>
  <c r="AN1450" i="2" a="1"/>
  <c r="AN1450" i="2" s="1"/>
  <c r="AN1451" i="2" a="1"/>
  <c r="AN1451" i="2" s="1"/>
  <c r="AN1452" i="2" a="1"/>
  <c r="AN1452" i="2" s="1"/>
  <c r="AN1453" i="2" a="1"/>
  <c r="AN1453" i="2" s="1"/>
  <c r="AN1454" i="2" a="1"/>
  <c r="AN1454" i="2" s="1"/>
  <c r="AN1455" i="2" a="1"/>
  <c r="AN1455" i="2" s="1"/>
  <c r="AN1456" i="2" a="1"/>
  <c r="AN1456" i="2" s="1"/>
  <c r="AN1457" i="2" a="1"/>
  <c r="AN1457" i="2" s="1"/>
  <c r="AN1458" i="2" a="1"/>
  <c r="AN1458" i="2" s="1"/>
  <c r="AN1459" i="2" a="1"/>
  <c r="AN1459" i="2" s="1"/>
  <c r="AN1460" i="2" a="1"/>
  <c r="AN1460" i="2" s="1"/>
  <c r="AN1461" i="2" a="1"/>
  <c r="AN1461" i="2" s="1"/>
  <c r="AN1462" i="2" a="1"/>
  <c r="AN1462" i="2" s="1"/>
  <c r="AN1463" i="2" a="1"/>
  <c r="AN1463" i="2" s="1"/>
  <c r="AN1464" i="2" a="1"/>
  <c r="AN1464" i="2" s="1"/>
  <c r="AN1465" i="2" a="1"/>
  <c r="AN1465" i="2" s="1"/>
  <c r="AN1466" i="2" a="1"/>
  <c r="AN1466" i="2" s="1"/>
  <c r="AN1467" i="2" a="1"/>
  <c r="AN1467" i="2" s="1"/>
  <c r="AN1468" i="2" a="1"/>
  <c r="AN1468" i="2" s="1"/>
  <c r="AN1469" i="2" a="1"/>
  <c r="AN1469" i="2" s="1"/>
  <c r="AN1470" i="2" a="1"/>
  <c r="AN1470" i="2" s="1"/>
  <c r="AN1471" i="2" a="1"/>
  <c r="AN1471" i="2" s="1"/>
  <c r="AP2" i="2" a="1"/>
  <c r="AP2" i="2" s="1"/>
  <c r="AP3" i="2" a="1"/>
  <c r="AP3" i="2" s="1"/>
  <c r="AP4" i="2" a="1"/>
  <c r="AP4" i="2" s="1"/>
  <c r="AP5" i="2" a="1"/>
  <c r="AP5" i="2" s="1"/>
  <c r="AP6" i="2" a="1"/>
  <c r="AP6" i="2" s="1"/>
  <c r="AP7" i="2" a="1"/>
  <c r="AP7" i="2" s="1"/>
  <c r="AP8" i="2" a="1"/>
  <c r="AP8" i="2" s="1"/>
  <c r="AP9" i="2" a="1"/>
  <c r="AP9" i="2" s="1"/>
  <c r="AP10" i="2" a="1"/>
  <c r="AP10" i="2" s="1"/>
  <c r="AP11" i="2" a="1"/>
  <c r="AP11" i="2" s="1"/>
  <c r="AP12" i="2" a="1"/>
  <c r="AP12" i="2" s="1"/>
  <c r="AP13" i="2" a="1"/>
  <c r="AP13" i="2" s="1"/>
  <c r="AP14" i="2" a="1"/>
  <c r="AP14" i="2" s="1"/>
  <c r="AP15" i="2" a="1"/>
  <c r="AP15" i="2" s="1"/>
  <c r="AP16" i="2" a="1"/>
  <c r="AP16" i="2" s="1"/>
  <c r="AP17" i="2" a="1"/>
  <c r="AP17" i="2" s="1"/>
  <c r="AP18" i="2" a="1"/>
  <c r="AP18" i="2" s="1"/>
  <c r="AP19" i="2" a="1"/>
  <c r="AP19" i="2" s="1"/>
  <c r="AP20" i="2" a="1"/>
  <c r="AP20" i="2" s="1"/>
  <c r="AP21" i="2" a="1"/>
  <c r="AP21" i="2" s="1"/>
  <c r="AP22" i="2" a="1"/>
  <c r="AP22" i="2" s="1"/>
  <c r="AP23" i="2" a="1"/>
  <c r="AP23" i="2" s="1"/>
  <c r="AP24" i="2" a="1"/>
  <c r="AP24" i="2" s="1"/>
  <c r="AP25" i="2" a="1"/>
  <c r="AP25" i="2" s="1"/>
  <c r="AP26" i="2" a="1"/>
  <c r="AP26" i="2" s="1"/>
  <c r="AP27" i="2" a="1"/>
  <c r="AP27" i="2" s="1"/>
  <c r="AP28" i="2" a="1"/>
  <c r="AP28" i="2" s="1"/>
  <c r="AP29" i="2" a="1"/>
  <c r="AP29" i="2" s="1"/>
  <c r="AP30" i="2" a="1"/>
  <c r="AP30" i="2" s="1"/>
  <c r="AP31" i="2" a="1"/>
  <c r="AP31" i="2" s="1"/>
  <c r="AP32" i="2" a="1"/>
  <c r="AP32" i="2" s="1"/>
  <c r="AP33" i="2" a="1"/>
  <c r="AP33" i="2" s="1"/>
  <c r="AP34" i="2" a="1"/>
  <c r="AP34" i="2" s="1"/>
  <c r="AP35" i="2" a="1"/>
  <c r="AP35" i="2" s="1"/>
  <c r="AP36" i="2" a="1"/>
  <c r="AP36" i="2" s="1"/>
  <c r="AP37" i="2" a="1"/>
  <c r="AP37" i="2" s="1"/>
  <c r="AP38" i="2" a="1"/>
  <c r="AP38" i="2" s="1"/>
  <c r="AP39" i="2" a="1"/>
  <c r="AP39" i="2" s="1"/>
  <c r="AP40" i="2" a="1"/>
  <c r="AP40" i="2" s="1"/>
  <c r="AP41" i="2" a="1"/>
  <c r="AP41" i="2" s="1"/>
  <c r="AP42" i="2" a="1"/>
  <c r="AP42" i="2" s="1"/>
  <c r="AP43" i="2" a="1"/>
  <c r="AP43" i="2" s="1"/>
  <c r="AP44" i="2" a="1"/>
  <c r="AP44" i="2" s="1"/>
  <c r="AP45" i="2" a="1"/>
  <c r="AP45" i="2" s="1"/>
  <c r="AP46" i="2" a="1"/>
  <c r="AP46" i="2" s="1"/>
  <c r="AP47" i="2" a="1"/>
  <c r="AP47" i="2" s="1"/>
  <c r="AP48" i="2" a="1"/>
  <c r="AP48" i="2" s="1"/>
  <c r="AP49" i="2" a="1"/>
  <c r="AP49" i="2" s="1"/>
  <c r="AP50" i="2" a="1"/>
  <c r="AP50" i="2" s="1"/>
  <c r="AP51" i="2" a="1"/>
  <c r="AP51" i="2" s="1"/>
  <c r="AP52" i="2" a="1"/>
  <c r="AP52" i="2" s="1"/>
  <c r="AP53" i="2" a="1"/>
  <c r="AP53" i="2" s="1"/>
  <c r="AP54" i="2" a="1"/>
  <c r="AP54" i="2" s="1"/>
  <c r="AP55" i="2" a="1"/>
  <c r="AP55" i="2" s="1"/>
  <c r="AP56" i="2" a="1"/>
  <c r="AP56" i="2" s="1"/>
  <c r="AP57" i="2" a="1"/>
  <c r="AP57" i="2" s="1"/>
  <c r="AP58" i="2" a="1"/>
  <c r="AP58" i="2" s="1"/>
  <c r="AP59" i="2" a="1"/>
  <c r="AP59" i="2" s="1"/>
  <c r="AP60" i="2" a="1"/>
  <c r="AP60" i="2" s="1"/>
  <c r="AP61" i="2" a="1"/>
  <c r="AP61" i="2" s="1"/>
  <c r="AP62" i="2" a="1"/>
  <c r="AP62" i="2" s="1"/>
  <c r="AP63" i="2" a="1"/>
  <c r="AP63" i="2" s="1"/>
  <c r="AP64" i="2" a="1"/>
  <c r="AP64" i="2" s="1"/>
  <c r="AP65" i="2" a="1"/>
  <c r="AP65" i="2" s="1"/>
  <c r="AP66" i="2" a="1"/>
  <c r="AP66" i="2" s="1"/>
  <c r="AP67" i="2" a="1"/>
  <c r="AP67" i="2" s="1"/>
  <c r="AP68" i="2" a="1"/>
  <c r="AP68" i="2" s="1"/>
  <c r="AP69" i="2" a="1"/>
  <c r="AP69" i="2" s="1"/>
  <c r="AP70" i="2" a="1"/>
  <c r="AP70" i="2" s="1"/>
  <c r="AP71" i="2" a="1"/>
  <c r="AP71" i="2" s="1"/>
  <c r="AP72" i="2" a="1"/>
  <c r="AP72" i="2" s="1"/>
  <c r="AP73" i="2" a="1"/>
  <c r="AP73" i="2" s="1"/>
  <c r="AP74" i="2" a="1"/>
  <c r="AP74" i="2" s="1"/>
  <c r="AP75" i="2" a="1"/>
  <c r="AP75" i="2" s="1"/>
  <c r="AP76" i="2" a="1"/>
  <c r="AP76" i="2" s="1"/>
  <c r="AP77" i="2" a="1"/>
  <c r="AP77" i="2" s="1"/>
  <c r="AP78" i="2" a="1"/>
  <c r="AP78" i="2" s="1"/>
  <c r="AP79" i="2" a="1"/>
  <c r="AP79" i="2" s="1"/>
  <c r="AP80" i="2" a="1"/>
  <c r="AP80" i="2" s="1"/>
  <c r="AP81" i="2" a="1"/>
  <c r="AP81" i="2" s="1"/>
  <c r="AP82" i="2" a="1"/>
  <c r="AP82" i="2" s="1"/>
  <c r="AP83" i="2" a="1"/>
  <c r="AP83" i="2" s="1"/>
  <c r="AP84" i="2" a="1"/>
  <c r="AP84" i="2" s="1"/>
  <c r="AP85" i="2" a="1"/>
  <c r="AP85" i="2" s="1"/>
  <c r="AP86" i="2" a="1"/>
  <c r="AP86" i="2" s="1"/>
  <c r="AP87" i="2" a="1"/>
  <c r="AP87" i="2" s="1"/>
  <c r="AP88" i="2" a="1"/>
  <c r="AP88" i="2" s="1"/>
  <c r="AP89" i="2" a="1"/>
  <c r="AP89" i="2" s="1"/>
  <c r="AP90" i="2" a="1"/>
  <c r="AP90" i="2" s="1"/>
  <c r="AP91" i="2" a="1"/>
  <c r="AP91" i="2" s="1"/>
  <c r="AP92" i="2" a="1"/>
  <c r="AP92" i="2" s="1"/>
  <c r="AP93" i="2" a="1"/>
  <c r="AP93" i="2" s="1"/>
  <c r="AP94" i="2" a="1"/>
  <c r="AP94" i="2" s="1"/>
  <c r="AP95" i="2" a="1"/>
  <c r="AP95" i="2" s="1"/>
  <c r="AP96" i="2" a="1"/>
  <c r="AP96" i="2" s="1"/>
  <c r="AP97" i="2" a="1"/>
  <c r="AP97" i="2" s="1"/>
  <c r="AP98" i="2" a="1"/>
  <c r="AP98" i="2" s="1"/>
  <c r="AP99" i="2" a="1"/>
  <c r="AP99" i="2" s="1"/>
  <c r="AP100" i="2" a="1"/>
  <c r="AP100" i="2" s="1"/>
  <c r="AP101" i="2" a="1"/>
  <c r="AP101" i="2" s="1"/>
  <c r="AP102" i="2" a="1"/>
  <c r="AP102" i="2" s="1"/>
  <c r="AP103" i="2" a="1"/>
  <c r="AP103" i="2" s="1"/>
  <c r="AP104" i="2" a="1"/>
  <c r="AP104" i="2" s="1"/>
  <c r="AP105" i="2" a="1"/>
  <c r="AP105" i="2" s="1"/>
  <c r="AP106" i="2" a="1"/>
  <c r="AP106" i="2" s="1"/>
  <c r="AP107" i="2" a="1"/>
  <c r="AP107" i="2" s="1"/>
  <c r="AP108" i="2" a="1"/>
  <c r="AP108" i="2" s="1"/>
  <c r="AP109" i="2" a="1"/>
  <c r="AP109" i="2" s="1"/>
  <c r="AP110" i="2" a="1"/>
  <c r="AP110" i="2" s="1"/>
  <c r="AP111" i="2" a="1"/>
  <c r="AP111" i="2" s="1"/>
  <c r="AP112" i="2" a="1"/>
  <c r="AP112" i="2" s="1"/>
  <c r="AP113" i="2" a="1"/>
  <c r="AP113" i="2" s="1"/>
  <c r="AP114" i="2" a="1"/>
  <c r="AP114" i="2" s="1"/>
  <c r="AP115" i="2" a="1"/>
  <c r="AP115" i="2" s="1"/>
  <c r="AP116" i="2" a="1"/>
  <c r="AP116" i="2" s="1"/>
  <c r="AP117" i="2" a="1"/>
  <c r="AP117" i="2" s="1"/>
  <c r="AP118" i="2" a="1"/>
  <c r="AP118" i="2" s="1"/>
  <c r="AP119" i="2" a="1"/>
  <c r="AP119" i="2" s="1"/>
  <c r="AP120" i="2" a="1"/>
  <c r="AP120" i="2" s="1"/>
  <c r="AP121" i="2" a="1"/>
  <c r="AP121" i="2" s="1"/>
  <c r="AP122" i="2" a="1"/>
  <c r="AP122" i="2" s="1"/>
  <c r="AP123" i="2" a="1"/>
  <c r="AP123" i="2" s="1"/>
  <c r="AP124" i="2" a="1"/>
  <c r="AP124" i="2" s="1"/>
  <c r="AP125" i="2" a="1"/>
  <c r="AP125" i="2" s="1"/>
  <c r="AP126" i="2" a="1"/>
  <c r="AP126" i="2" s="1"/>
  <c r="AP127" i="2" a="1"/>
  <c r="AP127" i="2" s="1"/>
  <c r="AP128" i="2" a="1"/>
  <c r="AP128" i="2" s="1"/>
  <c r="AP129" i="2" a="1"/>
  <c r="AP129" i="2" s="1"/>
  <c r="AP130" i="2" a="1"/>
  <c r="AP130" i="2" s="1"/>
  <c r="AP131" i="2" a="1"/>
  <c r="AP131" i="2" s="1"/>
  <c r="AP132" i="2" a="1"/>
  <c r="AP132" i="2" s="1"/>
  <c r="AP133" i="2" a="1"/>
  <c r="AP133" i="2" s="1"/>
  <c r="AP134" i="2" a="1"/>
  <c r="AP134" i="2" s="1"/>
  <c r="AP135" i="2" a="1"/>
  <c r="AP135" i="2" s="1"/>
  <c r="AP136" i="2" a="1"/>
  <c r="AP136" i="2" s="1"/>
  <c r="AP137" i="2" a="1"/>
  <c r="AP137" i="2" s="1"/>
  <c r="AP138" i="2" a="1"/>
  <c r="AP138" i="2" s="1"/>
  <c r="AP139" i="2" a="1"/>
  <c r="AP139" i="2" s="1"/>
  <c r="AP140" i="2" a="1"/>
  <c r="AP140" i="2" s="1"/>
  <c r="AP141" i="2" a="1"/>
  <c r="AP141" i="2" s="1"/>
  <c r="AP142" i="2" a="1"/>
  <c r="AP142" i="2" s="1"/>
  <c r="AP143" i="2" a="1"/>
  <c r="AP143" i="2" s="1"/>
  <c r="AP144" i="2" a="1"/>
  <c r="AP144" i="2" s="1"/>
  <c r="AP145" i="2" a="1"/>
  <c r="AP145" i="2" s="1"/>
  <c r="AP146" i="2" a="1"/>
  <c r="AP146" i="2" s="1"/>
  <c r="AP147" i="2" a="1"/>
  <c r="AP147" i="2" s="1"/>
  <c r="AP148" i="2" a="1"/>
  <c r="AP148" i="2" s="1"/>
  <c r="AP149" i="2" a="1"/>
  <c r="AP149" i="2" s="1"/>
  <c r="AP150" i="2" a="1"/>
  <c r="AP150" i="2" s="1"/>
  <c r="AP151" i="2" a="1"/>
  <c r="AP151" i="2" s="1"/>
  <c r="AP152" i="2" a="1"/>
  <c r="AP152" i="2" s="1"/>
  <c r="AP153" i="2" a="1"/>
  <c r="AP153" i="2" s="1"/>
  <c r="AP154" i="2" a="1"/>
  <c r="AP154" i="2" s="1"/>
  <c r="AP155" i="2" a="1"/>
  <c r="AP155" i="2" s="1"/>
  <c r="AP156" i="2" a="1"/>
  <c r="AP156" i="2" s="1"/>
  <c r="AP157" i="2" a="1"/>
  <c r="AP157" i="2" s="1"/>
  <c r="AP158" i="2" a="1"/>
  <c r="AP158" i="2" s="1"/>
  <c r="AP159" i="2" a="1"/>
  <c r="AP159" i="2" s="1"/>
  <c r="AP160" i="2" a="1"/>
  <c r="AP160" i="2" s="1"/>
  <c r="AP161" i="2" a="1"/>
  <c r="AP161" i="2" s="1"/>
  <c r="AP162" i="2" a="1"/>
  <c r="AP162" i="2" s="1"/>
  <c r="AP163" i="2" a="1"/>
  <c r="AP163" i="2" s="1"/>
  <c r="AP164" i="2" a="1"/>
  <c r="AP164" i="2" s="1"/>
  <c r="AP165" i="2" a="1"/>
  <c r="AP165" i="2" s="1"/>
  <c r="AP166" i="2" a="1"/>
  <c r="AP166" i="2" s="1"/>
  <c r="AP167" i="2" a="1"/>
  <c r="AP167" i="2" s="1"/>
  <c r="AP168" i="2" a="1"/>
  <c r="AP168" i="2" s="1"/>
  <c r="AP169" i="2" a="1"/>
  <c r="AP169" i="2" s="1"/>
  <c r="AP170" i="2" a="1"/>
  <c r="AP170" i="2" s="1"/>
  <c r="AP171" i="2" a="1"/>
  <c r="AP171" i="2" s="1"/>
  <c r="AP172" i="2" a="1"/>
  <c r="AP172" i="2" s="1"/>
  <c r="AP173" i="2" a="1"/>
  <c r="AP173" i="2" s="1"/>
  <c r="AP174" i="2" a="1"/>
  <c r="AP174" i="2" s="1"/>
  <c r="AP175" i="2" a="1"/>
  <c r="AP175" i="2" s="1"/>
  <c r="AP176" i="2" a="1"/>
  <c r="AP176" i="2" s="1"/>
  <c r="AP177" i="2" a="1"/>
  <c r="AP177" i="2" s="1"/>
  <c r="AP178" i="2" a="1"/>
  <c r="AP178" i="2" s="1"/>
  <c r="AP179" i="2" a="1"/>
  <c r="AP179" i="2" s="1"/>
  <c r="AP180" i="2" a="1"/>
  <c r="AP180" i="2" s="1"/>
  <c r="AP181" i="2" a="1"/>
  <c r="AP181" i="2" s="1"/>
  <c r="AP182" i="2" a="1"/>
  <c r="AP182" i="2" s="1"/>
  <c r="AP183" i="2" a="1"/>
  <c r="AP183" i="2" s="1"/>
  <c r="AP184" i="2" a="1"/>
  <c r="AP184" i="2" s="1"/>
  <c r="AP185" i="2" a="1"/>
  <c r="AP185" i="2" s="1"/>
  <c r="AP186" i="2" a="1"/>
  <c r="AP186" i="2" s="1"/>
  <c r="AP187" i="2" a="1"/>
  <c r="AP187" i="2" s="1"/>
  <c r="AP188" i="2" a="1"/>
  <c r="AP188" i="2" s="1"/>
  <c r="AP189" i="2" a="1"/>
  <c r="AP189" i="2" s="1"/>
  <c r="AP190" i="2" a="1"/>
  <c r="AP190" i="2" s="1"/>
  <c r="AP191" i="2" a="1"/>
  <c r="AP191" i="2" s="1"/>
  <c r="AP192" i="2" a="1"/>
  <c r="AP192" i="2" s="1"/>
  <c r="AP193" i="2" a="1"/>
  <c r="AP193" i="2" s="1"/>
  <c r="AP194" i="2" a="1"/>
  <c r="AP194" i="2" s="1"/>
  <c r="AP195" i="2" a="1"/>
  <c r="AP195" i="2" s="1"/>
  <c r="AP196" i="2" a="1"/>
  <c r="AP196" i="2" s="1"/>
  <c r="AP197" i="2" a="1"/>
  <c r="AP197" i="2" s="1"/>
  <c r="AP198" i="2" a="1"/>
  <c r="AP198" i="2" s="1"/>
  <c r="AP199" i="2" a="1"/>
  <c r="AP199" i="2" s="1"/>
  <c r="AP200" i="2" a="1"/>
  <c r="AP200" i="2" s="1"/>
  <c r="AP201" i="2" a="1"/>
  <c r="AP201" i="2" s="1"/>
  <c r="AP202" i="2" a="1"/>
  <c r="AP202" i="2" s="1"/>
  <c r="AP203" i="2" a="1"/>
  <c r="AP203" i="2" s="1"/>
  <c r="AP204" i="2" a="1"/>
  <c r="AP204" i="2" s="1"/>
  <c r="AP205" i="2" a="1"/>
  <c r="AP205" i="2" s="1"/>
  <c r="AP206" i="2" a="1"/>
  <c r="AP206" i="2" s="1"/>
  <c r="AP207" i="2" a="1"/>
  <c r="AP207" i="2" s="1"/>
  <c r="AP208" i="2" a="1"/>
  <c r="AP208" i="2" s="1"/>
  <c r="AP209" i="2" a="1"/>
  <c r="AP209" i="2" s="1"/>
  <c r="AP210" i="2" a="1"/>
  <c r="AP210" i="2" s="1"/>
  <c r="AP211" i="2" a="1"/>
  <c r="AP211" i="2" s="1"/>
  <c r="AP212" i="2" a="1"/>
  <c r="AP212" i="2" s="1"/>
  <c r="AP213" i="2" a="1"/>
  <c r="AP213" i="2" s="1"/>
  <c r="AP214" i="2" a="1"/>
  <c r="AP214" i="2" s="1"/>
  <c r="AP215" i="2" a="1"/>
  <c r="AP215" i="2" s="1"/>
  <c r="AP216" i="2" a="1"/>
  <c r="AP216" i="2" s="1"/>
  <c r="AP217" i="2" a="1"/>
  <c r="AP217" i="2" s="1"/>
  <c r="AP218" i="2" a="1"/>
  <c r="AP218" i="2" s="1"/>
  <c r="AP219" i="2" a="1"/>
  <c r="AP219" i="2" s="1"/>
  <c r="AP220" i="2" a="1"/>
  <c r="AP220" i="2" s="1"/>
  <c r="AP221" i="2" a="1"/>
  <c r="AP221" i="2" s="1"/>
  <c r="AP222" i="2" a="1"/>
  <c r="AP222" i="2" s="1"/>
  <c r="AP223" i="2" a="1"/>
  <c r="AP223" i="2" s="1"/>
  <c r="AP224" i="2" a="1"/>
  <c r="AP224" i="2" s="1"/>
  <c r="AP225" i="2" a="1"/>
  <c r="AP225" i="2" s="1"/>
  <c r="AP226" i="2" a="1"/>
  <c r="AP226" i="2" s="1"/>
  <c r="AP227" i="2" a="1"/>
  <c r="AP227" i="2" s="1"/>
  <c r="AP228" i="2" a="1"/>
  <c r="AP228" i="2" s="1"/>
  <c r="AP229" i="2" a="1"/>
  <c r="AP229" i="2" s="1"/>
  <c r="AP230" i="2" a="1"/>
  <c r="AP230" i="2" s="1"/>
  <c r="AP231" i="2" a="1"/>
  <c r="AP231" i="2" s="1"/>
  <c r="AP232" i="2" a="1"/>
  <c r="AP232" i="2" s="1"/>
  <c r="AP233" i="2" a="1"/>
  <c r="AP233" i="2" s="1"/>
  <c r="AP234" i="2" a="1"/>
  <c r="AP234" i="2" s="1"/>
  <c r="AP235" i="2" a="1"/>
  <c r="AP235" i="2" s="1"/>
  <c r="AP236" i="2" a="1"/>
  <c r="AP236" i="2" s="1"/>
  <c r="AP237" i="2" a="1"/>
  <c r="AP237" i="2" s="1"/>
  <c r="AP238" i="2" a="1"/>
  <c r="AP238" i="2" s="1"/>
  <c r="AP239" i="2" a="1"/>
  <c r="AP239" i="2" s="1"/>
  <c r="AP240" i="2" a="1"/>
  <c r="AP240" i="2" s="1"/>
  <c r="AP241" i="2" a="1"/>
  <c r="AP241" i="2" s="1"/>
  <c r="AP242" i="2" a="1"/>
  <c r="AP242" i="2" s="1"/>
  <c r="AP243" i="2" a="1"/>
  <c r="AP243" i="2" s="1"/>
  <c r="AP244" i="2" a="1"/>
  <c r="AP244" i="2" s="1"/>
  <c r="AP245" i="2" a="1"/>
  <c r="AP245" i="2" s="1"/>
  <c r="AP246" i="2" a="1"/>
  <c r="AP246" i="2" s="1"/>
  <c r="AP247" i="2" a="1"/>
  <c r="AP247" i="2" s="1"/>
  <c r="AP248" i="2" a="1"/>
  <c r="AP248" i="2" s="1"/>
  <c r="AP249" i="2" a="1"/>
  <c r="AP249" i="2" s="1"/>
  <c r="AP250" i="2" a="1"/>
  <c r="AP250" i="2" s="1"/>
  <c r="AP251" i="2" a="1"/>
  <c r="AP251" i="2" s="1"/>
  <c r="AP252" i="2" a="1"/>
  <c r="AP252" i="2" s="1"/>
  <c r="AP253" i="2" a="1"/>
  <c r="AP253" i="2" s="1"/>
  <c r="AP254" i="2" a="1"/>
  <c r="AP254" i="2" s="1"/>
  <c r="AP255" i="2" a="1"/>
  <c r="AP255" i="2" s="1"/>
  <c r="AP256" i="2" a="1"/>
  <c r="AP256" i="2" s="1"/>
  <c r="AP257" i="2" a="1"/>
  <c r="AP257" i="2" s="1"/>
  <c r="AP258" i="2" a="1"/>
  <c r="AP258" i="2" s="1"/>
  <c r="AP259" i="2" a="1"/>
  <c r="AP259" i="2" s="1"/>
  <c r="AP260" i="2" a="1"/>
  <c r="AP260" i="2" s="1"/>
  <c r="AP261" i="2" a="1"/>
  <c r="AP261" i="2" s="1"/>
  <c r="AP262" i="2" a="1"/>
  <c r="AP262" i="2" s="1"/>
  <c r="AP263" i="2" a="1"/>
  <c r="AP263" i="2" s="1"/>
  <c r="AP264" i="2" a="1"/>
  <c r="AP264" i="2" s="1"/>
  <c r="AP265" i="2" a="1"/>
  <c r="AP265" i="2" s="1"/>
  <c r="AP266" i="2" a="1"/>
  <c r="AP266" i="2" s="1"/>
  <c r="AP267" i="2" a="1"/>
  <c r="AP267" i="2" s="1"/>
  <c r="AP268" i="2" a="1"/>
  <c r="AP268" i="2" s="1"/>
  <c r="AP269" i="2" a="1"/>
  <c r="AP269" i="2" s="1"/>
  <c r="AP270" i="2" a="1"/>
  <c r="AP270" i="2" s="1"/>
  <c r="AP271" i="2" a="1"/>
  <c r="AP271" i="2" s="1"/>
  <c r="AP272" i="2" a="1"/>
  <c r="AP272" i="2" s="1"/>
  <c r="AP273" i="2" a="1"/>
  <c r="AP273" i="2" s="1"/>
  <c r="AP274" i="2" a="1"/>
  <c r="AP274" i="2" s="1"/>
  <c r="AP275" i="2" a="1"/>
  <c r="AP275" i="2" s="1"/>
  <c r="AP276" i="2" a="1"/>
  <c r="AP276" i="2" s="1"/>
  <c r="AP277" i="2" a="1"/>
  <c r="AP277" i="2" s="1"/>
  <c r="AP278" i="2" a="1"/>
  <c r="AP278" i="2" s="1"/>
  <c r="AP279" i="2" a="1"/>
  <c r="AP279" i="2" s="1"/>
  <c r="AP280" i="2" a="1"/>
  <c r="AP280" i="2" s="1"/>
  <c r="AP281" i="2" a="1"/>
  <c r="AP281" i="2" s="1"/>
  <c r="AP282" i="2" a="1"/>
  <c r="AP282" i="2" s="1"/>
  <c r="AP283" i="2" a="1"/>
  <c r="AP283" i="2" s="1"/>
  <c r="AP284" i="2" a="1"/>
  <c r="AP284" i="2" s="1"/>
  <c r="AP285" i="2" a="1"/>
  <c r="AP285" i="2" s="1"/>
  <c r="AP286" i="2" a="1"/>
  <c r="AP286" i="2" s="1"/>
  <c r="AP287" i="2" a="1"/>
  <c r="AP287" i="2" s="1"/>
  <c r="AP288" i="2" a="1"/>
  <c r="AP288" i="2" s="1"/>
  <c r="AP289" i="2" a="1"/>
  <c r="AP289" i="2" s="1"/>
  <c r="AP290" i="2" a="1"/>
  <c r="AP290" i="2" s="1"/>
  <c r="AP291" i="2" a="1"/>
  <c r="AP291" i="2" s="1"/>
  <c r="AP292" i="2" a="1"/>
  <c r="AP292" i="2" s="1"/>
  <c r="AP293" i="2" a="1"/>
  <c r="AP293" i="2" s="1"/>
  <c r="AP294" i="2" a="1"/>
  <c r="AP294" i="2" s="1"/>
  <c r="AP295" i="2" a="1"/>
  <c r="AP295" i="2" s="1"/>
  <c r="AP296" i="2" a="1"/>
  <c r="AP296" i="2" s="1"/>
  <c r="AP297" i="2" a="1"/>
  <c r="AP297" i="2" s="1"/>
  <c r="AP298" i="2" a="1"/>
  <c r="AP298" i="2" s="1"/>
  <c r="AP299" i="2" a="1"/>
  <c r="AP299" i="2" s="1"/>
  <c r="AP300" i="2" a="1"/>
  <c r="AP300" i="2" s="1"/>
  <c r="AP301" i="2" a="1"/>
  <c r="AP301" i="2" s="1"/>
  <c r="AP302" i="2" a="1"/>
  <c r="AP302" i="2" s="1"/>
  <c r="AP303" i="2" a="1"/>
  <c r="AP303" i="2" s="1"/>
  <c r="AP304" i="2" a="1"/>
  <c r="AP304" i="2" s="1"/>
  <c r="AP305" i="2" a="1"/>
  <c r="AP305" i="2" s="1"/>
  <c r="AP306" i="2" a="1"/>
  <c r="AP306" i="2" s="1"/>
  <c r="AP307" i="2" a="1"/>
  <c r="AP307" i="2" s="1"/>
  <c r="AP308" i="2" a="1"/>
  <c r="AP308" i="2" s="1"/>
  <c r="AP309" i="2" a="1"/>
  <c r="AP309" i="2" s="1"/>
  <c r="AP310" i="2" a="1"/>
  <c r="AP310" i="2" s="1"/>
  <c r="AP311" i="2" a="1"/>
  <c r="AP311" i="2" s="1"/>
  <c r="AP312" i="2" a="1"/>
  <c r="AP312" i="2" s="1"/>
  <c r="AP313" i="2" a="1"/>
  <c r="AP313" i="2" s="1"/>
  <c r="AP314" i="2" a="1"/>
  <c r="AP314" i="2" s="1"/>
  <c r="AP315" i="2" a="1"/>
  <c r="AP315" i="2" s="1"/>
  <c r="AP316" i="2" a="1"/>
  <c r="AP316" i="2" s="1"/>
  <c r="AP317" i="2" a="1"/>
  <c r="AP317" i="2" s="1"/>
  <c r="AP318" i="2" a="1"/>
  <c r="AP318" i="2" s="1"/>
  <c r="AP319" i="2" a="1"/>
  <c r="AP319" i="2" s="1"/>
  <c r="AP320" i="2" a="1"/>
  <c r="AP320" i="2" s="1"/>
  <c r="AP321" i="2" a="1"/>
  <c r="AP321" i="2" s="1"/>
  <c r="AP322" i="2" a="1"/>
  <c r="AP322" i="2" s="1"/>
  <c r="AP323" i="2" a="1"/>
  <c r="AP323" i="2" s="1"/>
  <c r="AP324" i="2" a="1"/>
  <c r="AP324" i="2" s="1"/>
  <c r="AP325" i="2" a="1"/>
  <c r="AP325" i="2" s="1"/>
  <c r="AP326" i="2" a="1"/>
  <c r="AP326" i="2" s="1"/>
  <c r="AP327" i="2" a="1"/>
  <c r="AP327" i="2" s="1"/>
  <c r="AP328" i="2" a="1"/>
  <c r="AP328" i="2" s="1"/>
  <c r="AP329" i="2" a="1"/>
  <c r="AP329" i="2" s="1"/>
  <c r="AP330" i="2" a="1"/>
  <c r="AP330" i="2" s="1"/>
  <c r="AP331" i="2" a="1"/>
  <c r="AP331" i="2" s="1"/>
  <c r="AP332" i="2" a="1"/>
  <c r="AP332" i="2" s="1"/>
  <c r="AP333" i="2" a="1"/>
  <c r="AP333" i="2" s="1"/>
  <c r="AP334" i="2" a="1"/>
  <c r="AP334" i="2" s="1"/>
  <c r="AP335" i="2" a="1"/>
  <c r="AP335" i="2" s="1"/>
  <c r="AP336" i="2" a="1"/>
  <c r="AP336" i="2" s="1"/>
  <c r="AP337" i="2" a="1"/>
  <c r="AP337" i="2" s="1"/>
  <c r="AP338" i="2" a="1"/>
  <c r="AP338" i="2" s="1"/>
  <c r="AP339" i="2" a="1"/>
  <c r="AP339" i="2" s="1"/>
  <c r="AP340" i="2" a="1"/>
  <c r="AP340" i="2" s="1"/>
  <c r="AP341" i="2" a="1"/>
  <c r="AP341" i="2" s="1"/>
  <c r="AP342" i="2" a="1"/>
  <c r="AP342" i="2" s="1"/>
  <c r="AP343" i="2" a="1"/>
  <c r="AP343" i="2" s="1"/>
  <c r="AP344" i="2" a="1"/>
  <c r="AP344" i="2" s="1"/>
  <c r="AP345" i="2" a="1"/>
  <c r="AP345" i="2" s="1"/>
  <c r="AP346" i="2" a="1"/>
  <c r="AP346" i="2" s="1"/>
  <c r="AP347" i="2" a="1"/>
  <c r="AP347" i="2" s="1"/>
  <c r="AP348" i="2" a="1"/>
  <c r="AP348" i="2" s="1"/>
  <c r="AP349" i="2" a="1"/>
  <c r="AP349" i="2" s="1"/>
  <c r="AP350" i="2" a="1"/>
  <c r="AP350" i="2" s="1"/>
  <c r="AP351" i="2" a="1"/>
  <c r="AP351" i="2" s="1"/>
  <c r="AP352" i="2" a="1"/>
  <c r="AP352" i="2" s="1"/>
  <c r="AP353" i="2" a="1"/>
  <c r="AP353" i="2" s="1"/>
  <c r="AP354" i="2" a="1"/>
  <c r="AP354" i="2" s="1"/>
  <c r="AP355" i="2" a="1"/>
  <c r="AP355" i="2" s="1"/>
  <c r="AP356" i="2" a="1"/>
  <c r="AP356" i="2" s="1"/>
  <c r="AP357" i="2" a="1"/>
  <c r="AP357" i="2" s="1"/>
  <c r="AP358" i="2" a="1"/>
  <c r="AP358" i="2" s="1"/>
  <c r="AP359" i="2" a="1"/>
  <c r="AP359" i="2" s="1"/>
  <c r="AP360" i="2" a="1"/>
  <c r="AP360" i="2" s="1"/>
  <c r="AP361" i="2" a="1"/>
  <c r="AP361" i="2" s="1"/>
  <c r="AP362" i="2" a="1"/>
  <c r="AP362" i="2" s="1"/>
  <c r="AP363" i="2" a="1"/>
  <c r="AP363" i="2" s="1"/>
  <c r="AP364" i="2" a="1"/>
  <c r="AP364" i="2" s="1"/>
  <c r="AP365" i="2" a="1"/>
  <c r="AP365" i="2" s="1"/>
  <c r="AP366" i="2" a="1"/>
  <c r="AP366" i="2" s="1"/>
  <c r="AP367" i="2" a="1"/>
  <c r="AP367" i="2" s="1"/>
  <c r="AP368" i="2" a="1"/>
  <c r="AP368" i="2" s="1"/>
  <c r="AP369" i="2" a="1"/>
  <c r="AP369" i="2" s="1"/>
  <c r="AP370" i="2" a="1"/>
  <c r="AP370" i="2" s="1"/>
  <c r="AP371" i="2" a="1"/>
  <c r="AP371" i="2" s="1"/>
  <c r="AP372" i="2" a="1"/>
  <c r="AP372" i="2" s="1"/>
  <c r="AP373" i="2" a="1"/>
  <c r="AP373" i="2" s="1"/>
  <c r="AP374" i="2" a="1"/>
  <c r="AP374" i="2" s="1"/>
  <c r="AP375" i="2" a="1"/>
  <c r="AP375" i="2" s="1"/>
  <c r="AP376" i="2" a="1"/>
  <c r="AP376" i="2" s="1"/>
  <c r="AP377" i="2" a="1"/>
  <c r="AP377" i="2" s="1"/>
  <c r="AP378" i="2" a="1"/>
  <c r="AP378" i="2" s="1"/>
  <c r="AP379" i="2" a="1"/>
  <c r="AP379" i="2" s="1"/>
  <c r="AP380" i="2" a="1"/>
  <c r="AP380" i="2" s="1"/>
  <c r="AP381" i="2" a="1"/>
  <c r="AP381" i="2" s="1"/>
  <c r="AP382" i="2" a="1"/>
  <c r="AP382" i="2" s="1"/>
  <c r="AP383" i="2" a="1"/>
  <c r="AP383" i="2" s="1"/>
  <c r="AP384" i="2" a="1"/>
  <c r="AP384" i="2" s="1"/>
  <c r="AP385" i="2" a="1"/>
  <c r="AP385" i="2" s="1"/>
  <c r="AP386" i="2" a="1"/>
  <c r="AP386" i="2" s="1"/>
  <c r="AP387" i="2" a="1"/>
  <c r="AP387" i="2" s="1"/>
  <c r="AP388" i="2" a="1"/>
  <c r="AP388" i="2" s="1"/>
  <c r="AP389" i="2" a="1"/>
  <c r="AP389" i="2" s="1"/>
  <c r="AP390" i="2" a="1"/>
  <c r="AP390" i="2" s="1"/>
  <c r="AP391" i="2" a="1"/>
  <c r="AP391" i="2" s="1"/>
  <c r="AP392" i="2" a="1"/>
  <c r="AP392" i="2" s="1"/>
  <c r="AP393" i="2" a="1"/>
  <c r="AP393" i="2" s="1"/>
  <c r="AP394" i="2" a="1"/>
  <c r="AP394" i="2" s="1"/>
  <c r="AP395" i="2" a="1"/>
  <c r="AP395" i="2" s="1"/>
  <c r="AP396" i="2" a="1"/>
  <c r="AP396" i="2" s="1"/>
  <c r="AP397" i="2" a="1"/>
  <c r="AP397" i="2" s="1"/>
  <c r="AP398" i="2" a="1"/>
  <c r="AP398" i="2" s="1"/>
  <c r="AP399" i="2" a="1"/>
  <c r="AP399" i="2" s="1"/>
  <c r="AP400" i="2" a="1"/>
  <c r="AP400" i="2" s="1"/>
  <c r="AP401" i="2" a="1"/>
  <c r="AP401" i="2" s="1"/>
  <c r="AP402" i="2" a="1"/>
  <c r="AP402" i="2" s="1"/>
  <c r="AP403" i="2" a="1"/>
  <c r="AP403" i="2" s="1"/>
  <c r="AP404" i="2" a="1"/>
  <c r="AP404" i="2" s="1"/>
  <c r="AP405" i="2" a="1"/>
  <c r="AP405" i="2" s="1"/>
  <c r="AP406" i="2" a="1"/>
  <c r="AP406" i="2" s="1"/>
  <c r="AP407" i="2" a="1"/>
  <c r="AP407" i="2" s="1"/>
  <c r="AP408" i="2" a="1"/>
  <c r="AP408" i="2" s="1"/>
  <c r="AP409" i="2" a="1"/>
  <c r="AP409" i="2" s="1"/>
  <c r="AP410" i="2" a="1"/>
  <c r="AP410" i="2" s="1"/>
  <c r="AP411" i="2" a="1"/>
  <c r="AP411" i="2" s="1"/>
  <c r="AP412" i="2" a="1"/>
  <c r="AP412" i="2" s="1"/>
  <c r="AP413" i="2" a="1"/>
  <c r="AP413" i="2" s="1"/>
  <c r="AP414" i="2" a="1"/>
  <c r="AP414" i="2" s="1"/>
  <c r="AP415" i="2" a="1"/>
  <c r="AP415" i="2" s="1"/>
  <c r="AP416" i="2" a="1"/>
  <c r="AP416" i="2" s="1"/>
  <c r="AP417" i="2" a="1"/>
  <c r="AP417" i="2" s="1"/>
  <c r="AP418" i="2" a="1"/>
  <c r="AP418" i="2" s="1"/>
  <c r="AP419" i="2" a="1"/>
  <c r="AP419" i="2" s="1"/>
  <c r="AP420" i="2" a="1"/>
  <c r="AP420" i="2" s="1"/>
  <c r="AP421" i="2" a="1"/>
  <c r="AP421" i="2" s="1"/>
  <c r="AP422" i="2" a="1"/>
  <c r="AP422" i="2" s="1"/>
  <c r="AP423" i="2" a="1"/>
  <c r="AP423" i="2" s="1"/>
  <c r="AP424" i="2" a="1"/>
  <c r="AP424" i="2" s="1"/>
  <c r="AP425" i="2" a="1"/>
  <c r="AP425" i="2" s="1"/>
  <c r="AP426" i="2" a="1"/>
  <c r="AP426" i="2" s="1"/>
  <c r="AP427" i="2" a="1"/>
  <c r="AP427" i="2" s="1"/>
  <c r="AP428" i="2" a="1"/>
  <c r="AP428" i="2" s="1"/>
  <c r="AP429" i="2" a="1"/>
  <c r="AP429" i="2" s="1"/>
  <c r="AP430" i="2" a="1"/>
  <c r="AP430" i="2" s="1"/>
  <c r="AP431" i="2" a="1"/>
  <c r="AP431" i="2" s="1"/>
  <c r="AP432" i="2" a="1"/>
  <c r="AP432" i="2" s="1"/>
  <c r="AP433" i="2" a="1"/>
  <c r="AP433" i="2" s="1"/>
  <c r="AP434" i="2" a="1"/>
  <c r="AP434" i="2" s="1"/>
  <c r="AP435" i="2" a="1"/>
  <c r="AP435" i="2" s="1"/>
  <c r="AP436" i="2" a="1"/>
  <c r="AP436" i="2" s="1"/>
  <c r="AP437" i="2" a="1"/>
  <c r="AP437" i="2" s="1"/>
  <c r="AP438" i="2" a="1"/>
  <c r="AP438" i="2" s="1"/>
  <c r="AP439" i="2" a="1"/>
  <c r="AP439" i="2" s="1"/>
  <c r="AP440" i="2" a="1"/>
  <c r="AP440" i="2" s="1"/>
  <c r="AP441" i="2" a="1"/>
  <c r="AP441" i="2" s="1"/>
  <c r="AP442" i="2" a="1"/>
  <c r="AP442" i="2" s="1"/>
  <c r="AP443" i="2" a="1"/>
  <c r="AP443" i="2" s="1"/>
  <c r="AP444" i="2" a="1"/>
  <c r="AP444" i="2" s="1"/>
  <c r="AP445" i="2" a="1"/>
  <c r="AP445" i="2" s="1"/>
  <c r="AP446" i="2" a="1"/>
  <c r="AP446" i="2" s="1"/>
  <c r="AP447" i="2" a="1"/>
  <c r="AP447" i="2" s="1"/>
  <c r="AP448" i="2" a="1"/>
  <c r="AP448" i="2" s="1"/>
  <c r="AP449" i="2" a="1"/>
  <c r="AP449" i="2" s="1"/>
  <c r="AP450" i="2" a="1"/>
  <c r="AP450" i="2" s="1"/>
  <c r="AP451" i="2" a="1"/>
  <c r="AP451" i="2" s="1"/>
  <c r="AP452" i="2" a="1"/>
  <c r="AP452" i="2" s="1"/>
  <c r="AP453" i="2" a="1"/>
  <c r="AP453" i="2" s="1"/>
  <c r="AP454" i="2" a="1"/>
  <c r="AP454" i="2" s="1"/>
  <c r="AP455" i="2" a="1"/>
  <c r="AP455" i="2" s="1"/>
  <c r="AP456" i="2" a="1"/>
  <c r="AP456" i="2" s="1"/>
  <c r="AP457" i="2" a="1"/>
  <c r="AP457" i="2" s="1"/>
  <c r="AP458" i="2" a="1"/>
  <c r="AP458" i="2" s="1"/>
  <c r="AP459" i="2" a="1"/>
  <c r="AP459" i="2" s="1"/>
  <c r="AP460" i="2" a="1"/>
  <c r="AP460" i="2" s="1"/>
  <c r="AP461" i="2" a="1"/>
  <c r="AP461" i="2" s="1"/>
  <c r="AP462" i="2" a="1"/>
  <c r="AP462" i="2" s="1"/>
  <c r="AP463" i="2" a="1"/>
  <c r="AP463" i="2" s="1"/>
  <c r="AP464" i="2" a="1"/>
  <c r="AP464" i="2" s="1"/>
  <c r="AP465" i="2" a="1"/>
  <c r="AP465" i="2" s="1"/>
  <c r="AP466" i="2" a="1"/>
  <c r="AP466" i="2" s="1"/>
  <c r="AP467" i="2" a="1"/>
  <c r="AP467" i="2" s="1"/>
  <c r="AP468" i="2" a="1"/>
  <c r="AP468" i="2" s="1"/>
  <c r="AP469" i="2" a="1"/>
  <c r="AP469" i="2" s="1"/>
  <c r="AP470" i="2" a="1"/>
  <c r="AP470" i="2" s="1"/>
  <c r="AP471" i="2" a="1"/>
  <c r="AP471" i="2" s="1"/>
  <c r="AP472" i="2" a="1"/>
  <c r="AP472" i="2" s="1"/>
  <c r="AP473" i="2" a="1"/>
  <c r="AP473" i="2" s="1"/>
  <c r="AP474" i="2" a="1"/>
  <c r="AP474" i="2" s="1"/>
  <c r="AP475" i="2" a="1"/>
  <c r="AP475" i="2" s="1"/>
  <c r="AP476" i="2" a="1"/>
  <c r="AP476" i="2" s="1"/>
  <c r="AP477" i="2" a="1"/>
  <c r="AP477" i="2" s="1"/>
  <c r="AP478" i="2" a="1"/>
  <c r="AP478" i="2" s="1"/>
  <c r="AP479" i="2" a="1"/>
  <c r="AP479" i="2" s="1"/>
  <c r="AP480" i="2" a="1"/>
  <c r="AP480" i="2" s="1"/>
  <c r="AP481" i="2" a="1"/>
  <c r="AP481" i="2" s="1"/>
  <c r="AP482" i="2" a="1"/>
  <c r="AP482" i="2" s="1"/>
  <c r="AP483" i="2" a="1"/>
  <c r="AP483" i="2" s="1"/>
  <c r="AP484" i="2" a="1"/>
  <c r="AP484" i="2" s="1"/>
  <c r="AP485" i="2" a="1"/>
  <c r="AP485" i="2" s="1"/>
  <c r="AP486" i="2" a="1"/>
  <c r="AP486" i="2" s="1"/>
  <c r="AP487" i="2" a="1"/>
  <c r="AP487" i="2" s="1"/>
  <c r="AP488" i="2" a="1"/>
  <c r="AP488" i="2" s="1"/>
  <c r="AP489" i="2" a="1"/>
  <c r="AP489" i="2" s="1"/>
  <c r="AP490" i="2" a="1"/>
  <c r="AP490" i="2" s="1"/>
  <c r="AP491" i="2" a="1"/>
  <c r="AP491" i="2" s="1"/>
  <c r="AP492" i="2" a="1"/>
  <c r="AP492" i="2" s="1"/>
  <c r="AP493" i="2" a="1"/>
  <c r="AP493" i="2" s="1"/>
  <c r="AP494" i="2" a="1"/>
  <c r="AP494" i="2" s="1"/>
  <c r="AP495" i="2" a="1"/>
  <c r="AP495" i="2" s="1"/>
  <c r="AP496" i="2" a="1"/>
  <c r="AP496" i="2" s="1"/>
  <c r="AP497" i="2" a="1"/>
  <c r="AP497" i="2" s="1"/>
  <c r="AP498" i="2" a="1"/>
  <c r="AP498" i="2" s="1"/>
  <c r="AP499" i="2" a="1"/>
  <c r="AP499" i="2" s="1"/>
  <c r="AP500" i="2" a="1"/>
  <c r="AP500" i="2" s="1"/>
  <c r="AP501" i="2" a="1"/>
  <c r="AP501" i="2" s="1"/>
  <c r="AP502" i="2" a="1"/>
  <c r="AP502" i="2" s="1"/>
  <c r="AP503" i="2" a="1"/>
  <c r="AP503" i="2" s="1"/>
  <c r="AP504" i="2" a="1"/>
  <c r="AP504" i="2" s="1"/>
  <c r="AP505" i="2" a="1"/>
  <c r="AP505" i="2" s="1"/>
  <c r="AP506" i="2" a="1"/>
  <c r="AP506" i="2" s="1"/>
  <c r="AP507" i="2" a="1"/>
  <c r="AP507" i="2" s="1"/>
  <c r="AP508" i="2" a="1"/>
  <c r="AP508" i="2" s="1"/>
  <c r="AP509" i="2" a="1"/>
  <c r="AP509" i="2" s="1"/>
  <c r="AP510" i="2" a="1"/>
  <c r="AP510" i="2" s="1"/>
  <c r="AP511" i="2" a="1"/>
  <c r="AP511" i="2" s="1"/>
  <c r="AP512" i="2" a="1"/>
  <c r="AP512" i="2" s="1"/>
  <c r="AP513" i="2" a="1"/>
  <c r="AP513" i="2" s="1"/>
  <c r="AP514" i="2" a="1"/>
  <c r="AP514" i="2" s="1"/>
  <c r="AP515" i="2" a="1"/>
  <c r="AP515" i="2" s="1"/>
  <c r="AP516" i="2" a="1"/>
  <c r="AP516" i="2" s="1"/>
  <c r="AP517" i="2" a="1"/>
  <c r="AP517" i="2" s="1"/>
  <c r="AP518" i="2" a="1"/>
  <c r="AP518" i="2" s="1"/>
  <c r="AP519" i="2" a="1"/>
  <c r="AP519" i="2" s="1"/>
  <c r="AP520" i="2" a="1"/>
  <c r="AP520" i="2" s="1"/>
  <c r="AP521" i="2" a="1"/>
  <c r="AP521" i="2" s="1"/>
  <c r="AP522" i="2" a="1"/>
  <c r="AP522" i="2" s="1"/>
  <c r="AP523" i="2" a="1"/>
  <c r="AP523" i="2" s="1"/>
  <c r="AP524" i="2" a="1"/>
  <c r="AP524" i="2" s="1"/>
  <c r="AP525" i="2" a="1"/>
  <c r="AP525" i="2" s="1"/>
  <c r="AP526" i="2" a="1"/>
  <c r="AP526" i="2" s="1"/>
  <c r="AP527" i="2" a="1"/>
  <c r="AP527" i="2" s="1"/>
  <c r="AP528" i="2" a="1"/>
  <c r="AP528" i="2" s="1"/>
  <c r="AP529" i="2" a="1"/>
  <c r="AP529" i="2" s="1"/>
  <c r="AP530" i="2" a="1"/>
  <c r="AP530" i="2" s="1"/>
  <c r="AP531" i="2" a="1"/>
  <c r="AP531" i="2" s="1"/>
  <c r="AP532" i="2" a="1"/>
  <c r="AP532" i="2" s="1"/>
  <c r="AP533" i="2" a="1"/>
  <c r="AP533" i="2" s="1"/>
  <c r="AP534" i="2" a="1"/>
  <c r="AP534" i="2" s="1"/>
  <c r="AP535" i="2" a="1"/>
  <c r="AP535" i="2" s="1"/>
  <c r="AP536" i="2" a="1"/>
  <c r="AP536" i="2" s="1"/>
  <c r="AP537" i="2" a="1"/>
  <c r="AP537" i="2" s="1"/>
  <c r="AP538" i="2" a="1"/>
  <c r="AP538" i="2" s="1"/>
  <c r="AP539" i="2" a="1"/>
  <c r="AP539" i="2" s="1"/>
  <c r="AP540" i="2" a="1"/>
  <c r="AP540" i="2" s="1"/>
  <c r="AP541" i="2" a="1"/>
  <c r="AP541" i="2" s="1"/>
  <c r="AP542" i="2" a="1"/>
  <c r="AP542" i="2" s="1"/>
  <c r="AP543" i="2" a="1"/>
  <c r="AP543" i="2" s="1"/>
  <c r="AP544" i="2" a="1"/>
  <c r="AP544" i="2" s="1"/>
  <c r="AP545" i="2" a="1"/>
  <c r="AP545" i="2" s="1"/>
  <c r="AP546" i="2" a="1"/>
  <c r="AP546" i="2" s="1"/>
  <c r="AP547" i="2" a="1"/>
  <c r="AP547" i="2" s="1"/>
  <c r="AP548" i="2" a="1"/>
  <c r="AP548" i="2" s="1"/>
  <c r="AP549" i="2" a="1"/>
  <c r="AP549" i="2" s="1"/>
  <c r="AP550" i="2" a="1"/>
  <c r="AP550" i="2" s="1"/>
  <c r="AP551" i="2" a="1"/>
  <c r="AP551" i="2" s="1"/>
  <c r="AP552" i="2" a="1"/>
  <c r="AP552" i="2" s="1"/>
  <c r="AP553" i="2" a="1"/>
  <c r="AP553" i="2" s="1"/>
  <c r="AP554" i="2" a="1"/>
  <c r="AP554" i="2" s="1"/>
  <c r="AP555" i="2" a="1"/>
  <c r="AP555" i="2" s="1"/>
  <c r="AP556" i="2" a="1"/>
  <c r="AP556" i="2" s="1"/>
  <c r="AP557" i="2" a="1"/>
  <c r="AP557" i="2" s="1"/>
  <c r="AP558" i="2" a="1"/>
  <c r="AP558" i="2" s="1"/>
  <c r="AP559" i="2" a="1"/>
  <c r="AP559" i="2" s="1"/>
  <c r="AP560" i="2" a="1"/>
  <c r="AP560" i="2" s="1"/>
  <c r="AP561" i="2" a="1"/>
  <c r="AP561" i="2" s="1"/>
  <c r="AP562" i="2" a="1"/>
  <c r="AP562" i="2" s="1"/>
  <c r="AP563" i="2" a="1"/>
  <c r="AP563" i="2" s="1"/>
  <c r="AP564" i="2" a="1"/>
  <c r="AP564" i="2" s="1"/>
  <c r="AP565" i="2" a="1"/>
  <c r="AP565" i="2" s="1"/>
  <c r="AP566" i="2" a="1"/>
  <c r="AP566" i="2" s="1"/>
  <c r="AP567" i="2" a="1"/>
  <c r="AP567" i="2" s="1"/>
  <c r="AP568" i="2" a="1"/>
  <c r="AP568" i="2" s="1"/>
  <c r="AP569" i="2" a="1"/>
  <c r="AP569" i="2" s="1"/>
  <c r="AP570" i="2" a="1"/>
  <c r="AP570" i="2" s="1"/>
  <c r="AP571" i="2" a="1"/>
  <c r="AP571" i="2" s="1"/>
  <c r="AP572" i="2" a="1"/>
  <c r="AP572" i="2" s="1"/>
  <c r="AP573" i="2" a="1"/>
  <c r="AP573" i="2" s="1"/>
  <c r="AP574" i="2" a="1"/>
  <c r="AP574" i="2" s="1"/>
  <c r="AP575" i="2" a="1"/>
  <c r="AP575" i="2" s="1"/>
  <c r="AP576" i="2" a="1"/>
  <c r="AP576" i="2" s="1"/>
  <c r="AP577" i="2" a="1"/>
  <c r="AP577" i="2" s="1"/>
  <c r="AP578" i="2" a="1"/>
  <c r="AP578" i="2" s="1"/>
  <c r="AP579" i="2" a="1"/>
  <c r="AP579" i="2" s="1"/>
  <c r="AP580" i="2" a="1"/>
  <c r="AP580" i="2" s="1"/>
  <c r="AP581" i="2" a="1"/>
  <c r="AP581" i="2" s="1"/>
  <c r="AP582" i="2" a="1"/>
  <c r="AP582" i="2" s="1"/>
  <c r="AP583" i="2" a="1"/>
  <c r="AP583" i="2" s="1"/>
  <c r="AP584" i="2" a="1"/>
  <c r="AP584" i="2" s="1"/>
  <c r="AP585" i="2" a="1"/>
  <c r="AP585" i="2" s="1"/>
  <c r="AP586" i="2" a="1"/>
  <c r="AP586" i="2" s="1"/>
  <c r="AP587" i="2" a="1"/>
  <c r="AP587" i="2" s="1"/>
  <c r="AP588" i="2" a="1"/>
  <c r="AP588" i="2" s="1"/>
  <c r="AP589" i="2" a="1"/>
  <c r="AP589" i="2" s="1"/>
  <c r="AP590" i="2" a="1"/>
  <c r="AP590" i="2" s="1"/>
  <c r="AP591" i="2" a="1"/>
  <c r="AP591" i="2" s="1"/>
  <c r="AP592" i="2" a="1"/>
  <c r="AP592" i="2" s="1"/>
  <c r="AP593" i="2" a="1"/>
  <c r="AP593" i="2" s="1"/>
  <c r="AP594" i="2" a="1"/>
  <c r="AP594" i="2" s="1"/>
  <c r="AP595" i="2" a="1"/>
  <c r="AP595" i="2" s="1"/>
  <c r="AP596" i="2" a="1"/>
  <c r="AP596" i="2" s="1"/>
  <c r="AP597" i="2" a="1"/>
  <c r="AP597" i="2" s="1"/>
  <c r="AP598" i="2" a="1"/>
  <c r="AP598" i="2" s="1"/>
  <c r="AP599" i="2" a="1"/>
  <c r="AP599" i="2" s="1"/>
  <c r="AP600" i="2" a="1"/>
  <c r="AP600" i="2" s="1"/>
  <c r="AP601" i="2" a="1"/>
  <c r="AP601" i="2" s="1"/>
  <c r="AP602" i="2" a="1"/>
  <c r="AP602" i="2" s="1"/>
  <c r="AP603" i="2" a="1"/>
  <c r="AP603" i="2" s="1"/>
  <c r="AP604" i="2" a="1"/>
  <c r="AP604" i="2" s="1"/>
  <c r="AP605" i="2" a="1"/>
  <c r="AP605" i="2" s="1"/>
  <c r="AP606" i="2" a="1"/>
  <c r="AP606" i="2" s="1"/>
  <c r="AP607" i="2" a="1"/>
  <c r="AP607" i="2" s="1"/>
  <c r="AP608" i="2" a="1"/>
  <c r="AP608" i="2" s="1"/>
  <c r="AP609" i="2" a="1"/>
  <c r="AP609" i="2" s="1"/>
  <c r="AP610" i="2" a="1"/>
  <c r="AP610" i="2" s="1"/>
  <c r="AP611" i="2" a="1"/>
  <c r="AP611" i="2" s="1"/>
  <c r="AP612" i="2" a="1"/>
  <c r="AP612" i="2" s="1"/>
  <c r="AP613" i="2" a="1"/>
  <c r="AP613" i="2" s="1"/>
  <c r="AP614" i="2" a="1"/>
  <c r="AP614" i="2" s="1"/>
  <c r="AP615" i="2" a="1"/>
  <c r="AP615" i="2" s="1"/>
  <c r="AP616" i="2" a="1"/>
  <c r="AP616" i="2" s="1"/>
  <c r="AP617" i="2" a="1"/>
  <c r="AP617" i="2" s="1"/>
  <c r="AP618" i="2" a="1"/>
  <c r="AP618" i="2" s="1"/>
  <c r="AP619" i="2" a="1"/>
  <c r="AP619" i="2" s="1"/>
  <c r="AP620" i="2" a="1"/>
  <c r="AP620" i="2" s="1"/>
  <c r="AP621" i="2" a="1"/>
  <c r="AP621" i="2" s="1"/>
  <c r="AP622" i="2" a="1"/>
  <c r="AP622" i="2" s="1"/>
  <c r="AP623" i="2" a="1"/>
  <c r="AP623" i="2" s="1"/>
  <c r="AP624" i="2" a="1"/>
  <c r="AP624" i="2" s="1"/>
  <c r="AP625" i="2" a="1"/>
  <c r="AP625" i="2" s="1"/>
  <c r="AP626" i="2" a="1"/>
  <c r="AP626" i="2" s="1"/>
  <c r="AP627" i="2" a="1"/>
  <c r="AP627" i="2" s="1"/>
  <c r="AP628" i="2" a="1"/>
  <c r="AP628" i="2" s="1"/>
  <c r="AP629" i="2" a="1"/>
  <c r="AP629" i="2" s="1"/>
  <c r="AP630" i="2" a="1"/>
  <c r="AP630" i="2" s="1"/>
  <c r="AP631" i="2" a="1"/>
  <c r="AP631" i="2" s="1"/>
  <c r="AP632" i="2" a="1"/>
  <c r="AP632" i="2" s="1"/>
  <c r="AP633" i="2" a="1"/>
  <c r="AP633" i="2" s="1"/>
  <c r="AP634" i="2" a="1"/>
  <c r="AP634" i="2" s="1"/>
  <c r="AP635" i="2" a="1"/>
  <c r="AP635" i="2" s="1"/>
  <c r="AP636" i="2" a="1"/>
  <c r="AP636" i="2" s="1"/>
  <c r="AP637" i="2" a="1"/>
  <c r="AP637" i="2" s="1"/>
  <c r="AP638" i="2" a="1"/>
  <c r="AP638" i="2" s="1"/>
  <c r="AP639" i="2" a="1"/>
  <c r="AP639" i="2" s="1"/>
  <c r="AP640" i="2" a="1"/>
  <c r="AP640" i="2" s="1"/>
  <c r="AP641" i="2" a="1"/>
  <c r="AP641" i="2" s="1"/>
  <c r="AP642" i="2" a="1"/>
  <c r="AP642" i="2" s="1"/>
  <c r="AP643" i="2" a="1"/>
  <c r="AP643" i="2" s="1"/>
  <c r="AP644" i="2" a="1"/>
  <c r="AP644" i="2" s="1"/>
  <c r="AP645" i="2" a="1"/>
  <c r="AP645" i="2" s="1"/>
  <c r="AP646" i="2" a="1"/>
  <c r="AP646" i="2" s="1"/>
  <c r="AP647" i="2" a="1"/>
  <c r="AP647" i="2" s="1"/>
  <c r="AP648" i="2" a="1"/>
  <c r="AP648" i="2" s="1"/>
  <c r="AP649" i="2" a="1"/>
  <c r="AP649" i="2" s="1"/>
  <c r="AP650" i="2" a="1"/>
  <c r="AP650" i="2" s="1"/>
  <c r="AP651" i="2" a="1"/>
  <c r="AP651" i="2" s="1"/>
  <c r="AP652" i="2" a="1"/>
  <c r="AP652" i="2" s="1"/>
  <c r="AP653" i="2" a="1"/>
  <c r="AP653" i="2" s="1"/>
  <c r="AP654" i="2" a="1"/>
  <c r="AP654" i="2" s="1"/>
  <c r="AP655" i="2" a="1"/>
  <c r="AP655" i="2" s="1"/>
  <c r="AP656" i="2" a="1"/>
  <c r="AP656" i="2" s="1"/>
  <c r="AP657" i="2" a="1"/>
  <c r="AP657" i="2" s="1"/>
  <c r="AP658" i="2" a="1"/>
  <c r="AP658" i="2" s="1"/>
  <c r="AP659" i="2" a="1"/>
  <c r="AP659" i="2" s="1"/>
  <c r="AP660" i="2" a="1"/>
  <c r="AP660" i="2" s="1"/>
  <c r="AP661" i="2" a="1"/>
  <c r="AP661" i="2" s="1"/>
  <c r="AP662" i="2" a="1"/>
  <c r="AP662" i="2" s="1"/>
  <c r="AP663" i="2" a="1"/>
  <c r="AP663" i="2" s="1"/>
  <c r="AP664" i="2" a="1"/>
  <c r="AP664" i="2" s="1"/>
  <c r="AP665" i="2" a="1"/>
  <c r="AP665" i="2" s="1"/>
  <c r="AP666" i="2" a="1"/>
  <c r="AP666" i="2" s="1"/>
  <c r="AP667" i="2" a="1"/>
  <c r="AP667" i="2" s="1"/>
  <c r="AP668" i="2" a="1"/>
  <c r="AP668" i="2" s="1"/>
  <c r="AP669" i="2" a="1"/>
  <c r="AP669" i="2" s="1"/>
  <c r="AP670" i="2" a="1"/>
  <c r="AP670" i="2" s="1"/>
  <c r="AP671" i="2" a="1"/>
  <c r="AP671" i="2" s="1"/>
  <c r="AP672" i="2" a="1"/>
  <c r="AP672" i="2" s="1"/>
  <c r="AP673" i="2" a="1"/>
  <c r="AP673" i="2" s="1"/>
  <c r="AP674" i="2" a="1"/>
  <c r="AP674" i="2" s="1"/>
  <c r="AP675" i="2" a="1"/>
  <c r="AP675" i="2" s="1"/>
  <c r="AP676" i="2" a="1"/>
  <c r="AP676" i="2" s="1"/>
  <c r="AP677" i="2" a="1"/>
  <c r="AP677" i="2" s="1"/>
  <c r="AP678" i="2" a="1"/>
  <c r="AP678" i="2" s="1"/>
  <c r="AP679" i="2" a="1"/>
  <c r="AP679" i="2" s="1"/>
  <c r="AP680" i="2" a="1"/>
  <c r="AP680" i="2" s="1"/>
  <c r="AP681" i="2" a="1"/>
  <c r="AP681" i="2" s="1"/>
  <c r="AP682" i="2" a="1"/>
  <c r="AP682" i="2" s="1"/>
  <c r="AP683" i="2" a="1"/>
  <c r="AP683" i="2" s="1"/>
  <c r="AP684" i="2" a="1"/>
  <c r="AP684" i="2" s="1"/>
  <c r="AP685" i="2" a="1"/>
  <c r="AP685" i="2" s="1"/>
  <c r="AP686" i="2" a="1"/>
  <c r="AP686" i="2" s="1"/>
  <c r="AP687" i="2" a="1"/>
  <c r="AP687" i="2" s="1"/>
  <c r="AP688" i="2" a="1"/>
  <c r="AP688" i="2" s="1"/>
  <c r="AP689" i="2" a="1"/>
  <c r="AP689" i="2" s="1"/>
  <c r="AP690" i="2" a="1"/>
  <c r="AP690" i="2" s="1"/>
  <c r="AP691" i="2" a="1"/>
  <c r="AP691" i="2" s="1"/>
  <c r="AP692" i="2" a="1"/>
  <c r="AP692" i="2" s="1"/>
  <c r="AP693" i="2" a="1"/>
  <c r="AP693" i="2" s="1"/>
  <c r="AP694" i="2" a="1"/>
  <c r="AP694" i="2" s="1"/>
  <c r="AP695" i="2" a="1"/>
  <c r="AP695" i="2" s="1"/>
  <c r="AP696" i="2" a="1"/>
  <c r="AP696" i="2" s="1"/>
  <c r="AP697" i="2" a="1"/>
  <c r="AP697" i="2" s="1"/>
  <c r="AP698" i="2" a="1"/>
  <c r="AP698" i="2" s="1"/>
  <c r="AP699" i="2" a="1"/>
  <c r="AP699" i="2" s="1"/>
  <c r="AP700" i="2" a="1"/>
  <c r="AP700" i="2" s="1"/>
  <c r="AP701" i="2" a="1"/>
  <c r="AP701" i="2" s="1"/>
  <c r="AP702" i="2" a="1"/>
  <c r="AP702" i="2" s="1"/>
  <c r="AP703" i="2" a="1"/>
  <c r="AP703" i="2" s="1"/>
  <c r="AP704" i="2" a="1"/>
  <c r="AP704" i="2" s="1"/>
  <c r="AP705" i="2" a="1"/>
  <c r="AP705" i="2" s="1"/>
  <c r="AP706" i="2" a="1"/>
  <c r="AP706" i="2" s="1"/>
  <c r="AP707" i="2" a="1"/>
  <c r="AP707" i="2" s="1"/>
  <c r="AP708" i="2" a="1"/>
  <c r="AP708" i="2" s="1"/>
  <c r="AP709" i="2" a="1"/>
  <c r="AP709" i="2" s="1"/>
  <c r="AP710" i="2" a="1"/>
  <c r="AP710" i="2" s="1"/>
  <c r="AP711" i="2" a="1"/>
  <c r="AP711" i="2" s="1"/>
  <c r="AP712" i="2" a="1"/>
  <c r="AP712" i="2" s="1"/>
  <c r="AP713" i="2" a="1"/>
  <c r="AP713" i="2" s="1"/>
  <c r="AP714" i="2" a="1"/>
  <c r="AP714" i="2" s="1"/>
  <c r="AP715" i="2" a="1"/>
  <c r="AP715" i="2" s="1"/>
  <c r="AP716" i="2" a="1"/>
  <c r="AP716" i="2" s="1"/>
  <c r="AP717" i="2" a="1"/>
  <c r="AP717" i="2" s="1"/>
  <c r="AP718" i="2" a="1"/>
  <c r="AP718" i="2" s="1"/>
  <c r="AP719" i="2" a="1"/>
  <c r="AP719" i="2" s="1"/>
  <c r="AP720" i="2" a="1"/>
  <c r="AP720" i="2" s="1"/>
  <c r="AP721" i="2" a="1"/>
  <c r="AP721" i="2" s="1"/>
  <c r="AP722" i="2" a="1"/>
  <c r="AP722" i="2" s="1"/>
  <c r="AP723" i="2" a="1"/>
  <c r="AP723" i="2" s="1"/>
  <c r="AP724" i="2" a="1"/>
  <c r="AP724" i="2" s="1"/>
  <c r="AP725" i="2" a="1"/>
  <c r="AP725" i="2" s="1"/>
  <c r="AP726" i="2" a="1"/>
  <c r="AP726" i="2" s="1"/>
  <c r="AP727" i="2" a="1"/>
  <c r="AP727" i="2" s="1"/>
  <c r="AP728" i="2" a="1"/>
  <c r="AP728" i="2" s="1"/>
  <c r="AP729" i="2" a="1"/>
  <c r="AP729" i="2" s="1"/>
  <c r="AP730" i="2" a="1"/>
  <c r="AP730" i="2" s="1"/>
  <c r="AP731" i="2" a="1"/>
  <c r="AP731" i="2" s="1"/>
  <c r="AP732" i="2" a="1"/>
  <c r="AP732" i="2" s="1"/>
  <c r="AP733" i="2" a="1"/>
  <c r="AP733" i="2" s="1"/>
  <c r="AP734" i="2" a="1"/>
  <c r="AP734" i="2" s="1"/>
  <c r="AP735" i="2" a="1"/>
  <c r="AP735" i="2" s="1"/>
  <c r="AP736" i="2" a="1"/>
  <c r="AP736" i="2" s="1"/>
  <c r="AP737" i="2" a="1"/>
  <c r="AP737" i="2" s="1"/>
  <c r="AP738" i="2" a="1"/>
  <c r="AP738" i="2" s="1"/>
  <c r="AP739" i="2" a="1"/>
  <c r="AP739" i="2" s="1"/>
  <c r="AP740" i="2" a="1"/>
  <c r="AP740" i="2" s="1"/>
  <c r="AP741" i="2" a="1"/>
  <c r="AP741" i="2" s="1"/>
  <c r="AP742" i="2" a="1"/>
  <c r="AP742" i="2" s="1"/>
  <c r="AP743" i="2" a="1"/>
  <c r="AP743" i="2" s="1"/>
  <c r="AP744" i="2" a="1"/>
  <c r="AP744" i="2" s="1"/>
  <c r="AP745" i="2" a="1"/>
  <c r="AP745" i="2" s="1"/>
  <c r="AP746" i="2" a="1"/>
  <c r="AP746" i="2" s="1"/>
  <c r="AP747" i="2" a="1"/>
  <c r="AP747" i="2" s="1"/>
  <c r="AP748" i="2" a="1"/>
  <c r="AP748" i="2" s="1"/>
  <c r="AP749" i="2" a="1"/>
  <c r="AP749" i="2" s="1"/>
  <c r="AP750" i="2" a="1"/>
  <c r="AP750" i="2" s="1"/>
  <c r="AP751" i="2" a="1"/>
  <c r="AP751" i="2" s="1"/>
  <c r="AP752" i="2" a="1"/>
  <c r="AP752" i="2" s="1"/>
  <c r="AP753" i="2" a="1"/>
  <c r="AP753" i="2" s="1"/>
  <c r="AP754" i="2" a="1"/>
  <c r="AP754" i="2" s="1"/>
  <c r="AP755" i="2" a="1"/>
  <c r="AP755" i="2" s="1"/>
  <c r="AP756" i="2" a="1"/>
  <c r="AP756" i="2" s="1"/>
  <c r="AP757" i="2" a="1"/>
  <c r="AP757" i="2" s="1"/>
  <c r="AP758" i="2" a="1"/>
  <c r="AP758" i="2" s="1"/>
  <c r="AP759" i="2" a="1"/>
  <c r="AP759" i="2" s="1"/>
  <c r="AP760" i="2" a="1"/>
  <c r="AP760" i="2" s="1"/>
  <c r="AP761" i="2" a="1"/>
  <c r="AP761" i="2" s="1"/>
  <c r="AP762" i="2" a="1"/>
  <c r="AP762" i="2" s="1"/>
  <c r="AP763" i="2" a="1"/>
  <c r="AP763" i="2" s="1"/>
  <c r="AP764" i="2" a="1"/>
  <c r="AP764" i="2" s="1"/>
  <c r="AP765" i="2" a="1"/>
  <c r="AP765" i="2" s="1"/>
  <c r="AP766" i="2" a="1"/>
  <c r="AP766" i="2" s="1"/>
  <c r="AP767" i="2" a="1"/>
  <c r="AP767" i="2" s="1"/>
  <c r="AP768" i="2" a="1"/>
  <c r="AP768" i="2" s="1"/>
  <c r="AP769" i="2" a="1"/>
  <c r="AP769" i="2" s="1"/>
  <c r="AP770" i="2" a="1"/>
  <c r="AP770" i="2" s="1"/>
  <c r="AP771" i="2" a="1"/>
  <c r="AP771" i="2" s="1"/>
  <c r="AP772" i="2" a="1"/>
  <c r="AP772" i="2" s="1"/>
  <c r="AP773" i="2" a="1"/>
  <c r="AP773" i="2" s="1"/>
  <c r="AP774" i="2" a="1"/>
  <c r="AP774" i="2" s="1"/>
  <c r="AP775" i="2" a="1"/>
  <c r="AP775" i="2" s="1"/>
  <c r="AP776" i="2" a="1"/>
  <c r="AP776" i="2" s="1"/>
  <c r="AP777" i="2" a="1"/>
  <c r="AP777" i="2" s="1"/>
  <c r="AP778" i="2" a="1"/>
  <c r="AP778" i="2" s="1"/>
  <c r="AP779" i="2" a="1"/>
  <c r="AP779" i="2" s="1"/>
  <c r="AP780" i="2" a="1"/>
  <c r="AP780" i="2" s="1"/>
  <c r="AP781" i="2" a="1"/>
  <c r="AP781" i="2" s="1"/>
  <c r="AP782" i="2" a="1"/>
  <c r="AP782" i="2" s="1"/>
  <c r="AP783" i="2" a="1"/>
  <c r="AP783" i="2" s="1"/>
  <c r="AP784" i="2" a="1"/>
  <c r="AP784" i="2" s="1"/>
  <c r="AP785" i="2" a="1"/>
  <c r="AP785" i="2" s="1"/>
  <c r="AP786" i="2" a="1"/>
  <c r="AP786" i="2" s="1"/>
  <c r="AP787" i="2" a="1"/>
  <c r="AP787" i="2" s="1"/>
  <c r="AP788" i="2" a="1"/>
  <c r="AP788" i="2" s="1"/>
  <c r="AP789" i="2" a="1"/>
  <c r="AP789" i="2" s="1"/>
  <c r="AP790" i="2" a="1"/>
  <c r="AP790" i="2" s="1"/>
  <c r="AP791" i="2" a="1"/>
  <c r="AP791" i="2" s="1"/>
  <c r="AP792" i="2" a="1"/>
  <c r="AP792" i="2" s="1"/>
  <c r="AP793" i="2" a="1"/>
  <c r="AP793" i="2" s="1"/>
  <c r="AP794" i="2" a="1"/>
  <c r="AP794" i="2" s="1"/>
  <c r="AP795" i="2" a="1"/>
  <c r="AP795" i="2" s="1"/>
  <c r="AP796" i="2" a="1"/>
  <c r="AP796" i="2" s="1"/>
  <c r="AP797" i="2" a="1"/>
  <c r="AP797" i="2" s="1"/>
  <c r="AP798" i="2" a="1"/>
  <c r="AP798" i="2" s="1"/>
  <c r="AP799" i="2" a="1"/>
  <c r="AP799" i="2" s="1"/>
  <c r="AP800" i="2" a="1"/>
  <c r="AP800" i="2" s="1"/>
  <c r="AP801" i="2" a="1"/>
  <c r="AP801" i="2" s="1"/>
  <c r="AP802" i="2" a="1"/>
  <c r="AP802" i="2" s="1"/>
  <c r="AP803" i="2" a="1"/>
  <c r="AP803" i="2" s="1"/>
  <c r="AP804" i="2" a="1"/>
  <c r="AP804" i="2" s="1"/>
  <c r="AP805" i="2" a="1"/>
  <c r="AP805" i="2" s="1"/>
  <c r="AP806" i="2" a="1"/>
  <c r="AP806" i="2" s="1"/>
  <c r="AP807" i="2" a="1"/>
  <c r="AP807" i="2" s="1"/>
  <c r="AP808" i="2" a="1"/>
  <c r="AP808" i="2" s="1"/>
  <c r="AP809" i="2" a="1"/>
  <c r="AP809" i="2" s="1"/>
  <c r="AP810" i="2" a="1"/>
  <c r="AP810" i="2" s="1"/>
  <c r="AP811" i="2" a="1"/>
  <c r="AP811" i="2" s="1"/>
  <c r="AP812" i="2" a="1"/>
  <c r="AP812" i="2" s="1"/>
  <c r="AP813" i="2" a="1"/>
  <c r="AP813" i="2" s="1"/>
  <c r="AP814" i="2" a="1"/>
  <c r="AP814" i="2" s="1"/>
  <c r="AP815" i="2" a="1"/>
  <c r="AP815" i="2" s="1"/>
  <c r="AP816" i="2" a="1"/>
  <c r="AP816" i="2" s="1"/>
  <c r="AP817" i="2" a="1"/>
  <c r="AP817" i="2" s="1"/>
  <c r="AP818" i="2" a="1"/>
  <c r="AP818" i="2" s="1"/>
  <c r="AP819" i="2" a="1"/>
  <c r="AP819" i="2" s="1"/>
  <c r="AP820" i="2" a="1"/>
  <c r="AP820" i="2" s="1"/>
  <c r="AP821" i="2" a="1"/>
  <c r="AP821" i="2" s="1"/>
  <c r="AP822" i="2" a="1"/>
  <c r="AP822" i="2" s="1"/>
  <c r="AP823" i="2" a="1"/>
  <c r="AP823" i="2" s="1"/>
  <c r="AP824" i="2" a="1"/>
  <c r="AP824" i="2" s="1"/>
  <c r="AP825" i="2" a="1"/>
  <c r="AP825" i="2" s="1"/>
  <c r="AP826" i="2" a="1"/>
  <c r="AP826" i="2" s="1"/>
  <c r="AP827" i="2" a="1"/>
  <c r="AP827" i="2" s="1"/>
  <c r="AP828" i="2" a="1"/>
  <c r="AP828" i="2" s="1"/>
  <c r="AP829" i="2" a="1"/>
  <c r="AP829" i="2" s="1"/>
  <c r="AP830" i="2" a="1"/>
  <c r="AP830" i="2" s="1"/>
  <c r="AP831" i="2" a="1"/>
  <c r="AP831" i="2" s="1"/>
  <c r="AP832" i="2" a="1"/>
  <c r="AP832" i="2" s="1"/>
  <c r="AP833" i="2" a="1"/>
  <c r="AP833" i="2" s="1"/>
  <c r="AP834" i="2" a="1"/>
  <c r="AP834" i="2" s="1"/>
  <c r="AP835" i="2" a="1"/>
  <c r="AP835" i="2" s="1"/>
  <c r="AP836" i="2" a="1"/>
  <c r="AP836" i="2" s="1"/>
  <c r="AP837" i="2" a="1"/>
  <c r="AP837" i="2" s="1"/>
  <c r="AP838" i="2" a="1"/>
  <c r="AP838" i="2" s="1"/>
  <c r="AP839" i="2" a="1"/>
  <c r="AP839" i="2" s="1"/>
  <c r="AP840" i="2" a="1"/>
  <c r="AP840" i="2" s="1"/>
  <c r="AP841" i="2" a="1"/>
  <c r="AP841" i="2" s="1"/>
  <c r="AP842" i="2" a="1"/>
  <c r="AP842" i="2" s="1"/>
  <c r="AP843" i="2" a="1"/>
  <c r="AP843" i="2" s="1"/>
  <c r="AP844" i="2" a="1"/>
  <c r="AP844" i="2" s="1"/>
  <c r="AP845" i="2" a="1"/>
  <c r="AP845" i="2" s="1"/>
  <c r="AP846" i="2" a="1"/>
  <c r="AP846" i="2" s="1"/>
  <c r="AP847" i="2" a="1"/>
  <c r="AP847" i="2" s="1"/>
  <c r="AP848" i="2" a="1"/>
  <c r="AP848" i="2" s="1"/>
  <c r="AP849" i="2" a="1"/>
  <c r="AP849" i="2" s="1"/>
  <c r="AP850" i="2" a="1"/>
  <c r="AP850" i="2" s="1"/>
  <c r="AP851" i="2" a="1"/>
  <c r="AP851" i="2" s="1"/>
  <c r="AP852" i="2" a="1"/>
  <c r="AP852" i="2" s="1"/>
  <c r="AP853" i="2" a="1"/>
  <c r="AP853" i="2" s="1"/>
  <c r="AP854" i="2" a="1"/>
  <c r="AP854" i="2" s="1"/>
  <c r="AP855" i="2" a="1"/>
  <c r="AP855" i="2" s="1"/>
  <c r="AP856" i="2" a="1"/>
  <c r="AP856" i="2" s="1"/>
  <c r="AP857" i="2" a="1"/>
  <c r="AP857" i="2" s="1"/>
  <c r="AP858" i="2" a="1"/>
  <c r="AP858" i="2" s="1"/>
  <c r="AP859" i="2" a="1"/>
  <c r="AP859" i="2" s="1"/>
  <c r="AP860" i="2" a="1"/>
  <c r="AP860" i="2" s="1"/>
  <c r="AP861" i="2" a="1"/>
  <c r="AP861" i="2" s="1"/>
  <c r="AP862" i="2" a="1"/>
  <c r="AP862" i="2" s="1"/>
  <c r="AP863" i="2" a="1"/>
  <c r="AP863" i="2" s="1"/>
  <c r="AP864" i="2" a="1"/>
  <c r="AP864" i="2" s="1"/>
  <c r="AP865" i="2" a="1"/>
  <c r="AP865" i="2" s="1"/>
  <c r="AP866" i="2" a="1"/>
  <c r="AP866" i="2" s="1"/>
  <c r="AP867" i="2" a="1"/>
  <c r="AP867" i="2" s="1"/>
  <c r="AP868" i="2" a="1"/>
  <c r="AP868" i="2" s="1"/>
  <c r="AP869" i="2" a="1"/>
  <c r="AP869" i="2" s="1"/>
  <c r="AP870" i="2" a="1"/>
  <c r="AP870" i="2" s="1"/>
  <c r="AP871" i="2" a="1"/>
  <c r="AP871" i="2" s="1"/>
  <c r="AP872" i="2" a="1"/>
  <c r="AP872" i="2" s="1"/>
  <c r="AP873" i="2" a="1"/>
  <c r="AP873" i="2" s="1"/>
  <c r="AP874" i="2" a="1"/>
  <c r="AP874" i="2" s="1"/>
  <c r="AP875" i="2" a="1"/>
  <c r="AP875" i="2" s="1"/>
  <c r="AP876" i="2" a="1"/>
  <c r="AP876" i="2" s="1"/>
  <c r="AP877" i="2" a="1"/>
  <c r="AP877" i="2" s="1"/>
  <c r="AP878" i="2" a="1"/>
  <c r="AP878" i="2" s="1"/>
  <c r="AP879" i="2" a="1"/>
  <c r="AP879" i="2" s="1"/>
  <c r="AP880" i="2" a="1"/>
  <c r="AP880" i="2" s="1"/>
  <c r="AP881" i="2" a="1"/>
  <c r="AP881" i="2" s="1"/>
  <c r="AP882" i="2" a="1"/>
  <c r="AP882" i="2" s="1"/>
  <c r="AP883" i="2" a="1"/>
  <c r="AP883" i="2" s="1"/>
  <c r="AP884" i="2" a="1"/>
  <c r="AP884" i="2" s="1"/>
  <c r="AP885" i="2" a="1"/>
  <c r="AP885" i="2" s="1"/>
  <c r="AP886" i="2" a="1"/>
  <c r="AP886" i="2" s="1"/>
  <c r="AP887" i="2" a="1"/>
  <c r="AP887" i="2" s="1"/>
  <c r="AP888" i="2" a="1"/>
  <c r="AP888" i="2" s="1"/>
  <c r="AP889" i="2" a="1"/>
  <c r="AP889" i="2" s="1"/>
  <c r="AP890" i="2" a="1"/>
  <c r="AP890" i="2" s="1"/>
  <c r="AP891" i="2" a="1"/>
  <c r="AP891" i="2" s="1"/>
  <c r="AP892" i="2" a="1"/>
  <c r="AP892" i="2" s="1"/>
  <c r="AP893" i="2" a="1"/>
  <c r="AP893" i="2" s="1"/>
  <c r="AP894" i="2" a="1"/>
  <c r="AP894" i="2" s="1"/>
  <c r="AP895" i="2" a="1"/>
  <c r="AP895" i="2" s="1"/>
  <c r="AP896" i="2" a="1"/>
  <c r="AP896" i="2" s="1"/>
  <c r="AP897" i="2" a="1"/>
  <c r="AP897" i="2" s="1"/>
  <c r="AP898" i="2" a="1"/>
  <c r="AP898" i="2" s="1"/>
  <c r="AP899" i="2" a="1"/>
  <c r="AP899" i="2" s="1"/>
  <c r="AP900" i="2" a="1"/>
  <c r="AP900" i="2" s="1"/>
  <c r="AP901" i="2" a="1"/>
  <c r="AP901" i="2" s="1"/>
  <c r="AP902" i="2" a="1"/>
  <c r="AP902" i="2" s="1"/>
  <c r="AP903" i="2" a="1"/>
  <c r="AP903" i="2" s="1"/>
  <c r="AP904" i="2" a="1"/>
  <c r="AP904" i="2" s="1"/>
  <c r="AP905" i="2" a="1"/>
  <c r="AP905" i="2" s="1"/>
  <c r="AP906" i="2" a="1"/>
  <c r="AP906" i="2" s="1"/>
  <c r="AP907" i="2" a="1"/>
  <c r="AP907" i="2" s="1"/>
  <c r="AP908" i="2" a="1"/>
  <c r="AP908" i="2" s="1"/>
  <c r="AP909" i="2" a="1"/>
  <c r="AP909" i="2" s="1"/>
  <c r="AP910" i="2" a="1"/>
  <c r="AP910" i="2" s="1"/>
  <c r="AP911" i="2" a="1"/>
  <c r="AP911" i="2" s="1"/>
  <c r="AP912" i="2" a="1"/>
  <c r="AP912" i="2" s="1"/>
  <c r="AP913" i="2" a="1"/>
  <c r="AP913" i="2" s="1"/>
  <c r="AP914" i="2" a="1"/>
  <c r="AP914" i="2" s="1"/>
  <c r="AP915" i="2" a="1"/>
  <c r="AP915" i="2" s="1"/>
  <c r="AP916" i="2" a="1"/>
  <c r="AP916" i="2" s="1"/>
  <c r="AP917" i="2" a="1"/>
  <c r="AP917" i="2" s="1"/>
  <c r="AP918" i="2" a="1"/>
  <c r="AP918" i="2" s="1"/>
  <c r="AP919" i="2" a="1"/>
  <c r="AP919" i="2" s="1"/>
  <c r="AP920" i="2" a="1"/>
  <c r="AP920" i="2" s="1"/>
  <c r="AP921" i="2" a="1"/>
  <c r="AP921" i="2" s="1"/>
  <c r="AP922" i="2" a="1"/>
  <c r="AP922" i="2" s="1"/>
  <c r="AP923" i="2" a="1"/>
  <c r="AP923" i="2" s="1"/>
  <c r="AP924" i="2" a="1"/>
  <c r="AP924" i="2" s="1"/>
  <c r="AP925" i="2" a="1"/>
  <c r="AP925" i="2" s="1"/>
  <c r="AP926" i="2" a="1"/>
  <c r="AP926" i="2" s="1"/>
  <c r="AP927" i="2" a="1"/>
  <c r="AP927" i="2" s="1"/>
  <c r="AP928" i="2" a="1"/>
  <c r="AP928" i="2" s="1"/>
  <c r="AP929" i="2" a="1"/>
  <c r="AP929" i="2" s="1"/>
  <c r="AP930" i="2" a="1"/>
  <c r="AP930" i="2" s="1"/>
  <c r="AP931" i="2" a="1"/>
  <c r="AP931" i="2" s="1"/>
  <c r="AP932" i="2" a="1"/>
  <c r="AP932" i="2" s="1"/>
  <c r="AP933" i="2" a="1"/>
  <c r="AP933" i="2" s="1"/>
  <c r="AP934" i="2" a="1"/>
  <c r="AP934" i="2" s="1"/>
  <c r="AP935" i="2" a="1"/>
  <c r="AP935" i="2" s="1"/>
  <c r="AP936" i="2" a="1"/>
  <c r="AP936" i="2" s="1"/>
  <c r="AP937" i="2" a="1"/>
  <c r="AP937" i="2" s="1"/>
  <c r="AP938" i="2" a="1"/>
  <c r="AP938" i="2" s="1"/>
  <c r="AP939" i="2" a="1"/>
  <c r="AP939" i="2" s="1"/>
  <c r="AP940" i="2" a="1"/>
  <c r="AP940" i="2" s="1"/>
  <c r="AP941" i="2" a="1"/>
  <c r="AP941" i="2" s="1"/>
  <c r="AP942" i="2" a="1"/>
  <c r="AP942" i="2" s="1"/>
  <c r="AP943" i="2" a="1"/>
  <c r="AP943" i="2" s="1"/>
  <c r="AP944" i="2" a="1"/>
  <c r="AP944" i="2" s="1"/>
  <c r="AP945" i="2" a="1"/>
  <c r="AP945" i="2" s="1"/>
  <c r="AP946" i="2" a="1"/>
  <c r="AP946" i="2" s="1"/>
  <c r="AP947" i="2" a="1"/>
  <c r="AP947" i="2" s="1"/>
  <c r="AP948" i="2" a="1"/>
  <c r="AP948" i="2" s="1"/>
  <c r="AP949" i="2" a="1"/>
  <c r="AP949" i="2" s="1"/>
  <c r="AP950" i="2" a="1"/>
  <c r="AP950" i="2" s="1"/>
  <c r="AP951" i="2" a="1"/>
  <c r="AP951" i="2" s="1"/>
  <c r="AP952" i="2" a="1"/>
  <c r="AP952" i="2" s="1"/>
  <c r="AP953" i="2" a="1"/>
  <c r="AP953" i="2" s="1"/>
  <c r="AP954" i="2" a="1"/>
  <c r="AP954" i="2" s="1"/>
  <c r="AP955" i="2" a="1"/>
  <c r="AP955" i="2" s="1"/>
  <c r="AP956" i="2" a="1"/>
  <c r="AP956" i="2" s="1"/>
  <c r="AP957" i="2" a="1"/>
  <c r="AP957" i="2" s="1"/>
  <c r="AP958" i="2" a="1"/>
  <c r="AP958" i="2" s="1"/>
  <c r="AP959" i="2" a="1"/>
  <c r="AP959" i="2" s="1"/>
  <c r="AP960" i="2" a="1"/>
  <c r="AP960" i="2" s="1"/>
  <c r="AP961" i="2" a="1"/>
  <c r="AP961" i="2" s="1"/>
  <c r="AP962" i="2" a="1"/>
  <c r="AP962" i="2" s="1"/>
  <c r="AP963" i="2" a="1"/>
  <c r="AP963" i="2" s="1"/>
  <c r="AP964" i="2" a="1"/>
  <c r="AP964" i="2" s="1"/>
  <c r="AP965" i="2" a="1"/>
  <c r="AP965" i="2" s="1"/>
  <c r="AP966" i="2" a="1"/>
  <c r="AP966" i="2" s="1"/>
  <c r="AP967" i="2" a="1"/>
  <c r="AP967" i="2" s="1"/>
  <c r="AP968" i="2" a="1"/>
  <c r="AP968" i="2" s="1"/>
  <c r="AP969" i="2" a="1"/>
  <c r="AP969" i="2" s="1"/>
  <c r="AP970" i="2" a="1"/>
  <c r="AP970" i="2" s="1"/>
  <c r="AP971" i="2" a="1"/>
  <c r="AP971" i="2" s="1"/>
  <c r="AP972" i="2" a="1"/>
  <c r="AP972" i="2" s="1"/>
  <c r="AP973" i="2" a="1"/>
  <c r="AP973" i="2" s="1"/>
  <c r="AP974" i="2" a="1"/>
  <c r="AP974" i="2" s="1"/>
  <c r="AP975" i="2" a="1"/>
  <c r="AP975" i="2" s="1"/>
  <c r="AP976" i="2" a="1"/>
  <c r="AP976" i="2" s="1"/>
  <c r="AP977" i="2" a="1"/>
  <c r="AP977" i="2" s="1"/>
  <c r="AP978" i="2" a="1"/>
  <c r="AP978" i="2" s="1"/>
  <c r="AP979" i="2" a="1"/>
  <c r="AP979" i="2" s="1"/>
  <c r="AP980" i="2" a="1"/>
  <c r="AP980" i="2" s="1"/>
  <c r="AP981" i="2" a="1"/>
  <c r="AP981" i="2" s="1"/>
  <c r="AP982" i="2" a="1"/>
  <c r="AP982" i="2" s="1"/>
  <c r="AP983" i="2" a="1"/>
  <c r="AP983" i="2" s="1"/>
  <c r="AP984" i="2" a="1"/>
  <c r="AP984" i="2" s="1"/>
  <c r="AP985" i="2" a="1"/>
  <c r="AP985" i="2" s="1"/>
  <c r="AP986" i="2" a="1"/>
  <c r="AP986" i="2" s="1"/>
  <c r="AP987" i="2" a="1"/>
  <c r="AP987" i="2" s="1"/>
  <c r="AP988" i="2" a="1"/>
  <c r="AP988" i="2" s="1"/>
  <c r="AP989" i="2" a="1"/>
  <c r="AP989" i="2" s="1"/>
  <c r="AP990" i="2" a="1"/>
  <c r="AP990" i="2" s="1"/>
  <c r="AP991" i="2" a="1"/>
  <c r="AP991" i="2" s="1"/>
  <c r="AP992" i="2" a="1"/>
  <c r="AP992" i="2" s="1"/>
  <c r="AP993" i="2" a="1"/>
  <c r="AP993" i="2" s="1"/>
  <c r="AP994" i="2" a="1"/>
  <c r="AP994" i="2" s="1"/>
  <c r="AP995" i="2" a="1"/>
  <c r="AP995" i="2" s="1"/>
  <c r="AP996" i="2" a="1"/>
  <c r="AP996" i="2" s="1"/>
  <c r="AP997" i="2" a="1"/>
  <c r="AP997" i="2" s="1"/>
  <c r="AP998" i="2" a="1"/>
  <c r="AP998" i="2" s="1"/>
  <c r="AP999" i="2" a="1"/>
  <c r="AP999" i="2" s="1"/>
  <c r="AP1000" i="2" a="1"/>
  <c r="AP1000" i="2" s="1"/>
  <c r="AP1001" i="2" a="1"/>
  <c r="AP1001" i="2" s="1"/>
  <c r="AP1002" i="2" a="1"/>
  <c r="AP1002" i="2" s="1"/>
  <c r="AP1003" i="2" a="1"/>
  <c r="AP1003" i="2" s="1"/>
  <c r="AP1004" i="2" a="1"/>
  <c r="AP1004" i="2" s="1"/>
  <c r="AP1005" i="2" a="1"/>
  <c r="AP1005" i="2" s="1"/>
  <c r="AP1006" i="2" a="1"/>
  <c r="AP1006" i="2" s="1"/>
  <c r="AP1007" i="2" a="1"/>
  <c r="AP1007" i="2" s="1"/>
  <c r="AP1008" i="2" a="1"/>
  <c r="AP1008" i="2" s="1"/>
  <c r="AP1009" i="2" a="1"/>
  <c r="AP1009" i="2" s="1"/>
  <c r="AP1010" i="2" a="1"/>
  <c r="AP1010" i="2" s="1"/>
  <c r="AP1011" i="2" a="1"/>
  <c r="AP1011" i="2" s="1"/>
  <c r="AP1012" i="2" a="1"/>
  <c r="AP1012" i="2" s="1"/>
  <c r="AP1013" i="2" a="1"/>
  <c r="AP1013" i="2" s="1"/>
  <c r="AP1014" i="2" a="1"/>
  <c r="AP1014" i="2" s="1"/>
  <c r="AP1015" i="2" a="1"/>
  <c r="AP1015" i="2" s="1"/>
  <c r="AP1016" i="2" a="1"/>
  <c r="AP1016" i="2" s="1"/>
  <c r="AP1017" i="2" a="1"/>
  <c r="AP1017" i="2" s="1"/>
  <c r="AP1018" i="2" a="1"/>
  <c r="AP1018" i="2" s="1"/>
  <c r="AP1019" i="2" a="1"/>
  <c r="AP1019" i="2" s="1"/>
  <c r="AP1020" i="2" a="1"/>
  <c r="AP1020" i="2" s="1"/>
  <c r="AP1021" i="2" a="1"/>
  <c r="AP1021" i="2" s="1"/>
  <c r="AP1022" i="2" a="1"/>
  <c r="AP1022" i="2" s="1"/>
  <c r="AP1023" i="2" a="1"/>
  <c r="AP1023" i="2" s="1"/>
  <c r="AP1024" i="2" a="1"/>
  <c r="AP1024" i="2" s="1"/>
  <c r="AP1025" i="2" a="1"/>
  <c r="AP1025" i="2" s="1"/>
  <c r="AP1026" i="2" a="1"/>
  <c r="AP1026" i="2" s="1"/>
  <c r="AP1027" i="2" a="1"/>
  <c r="AP1027" i="2" s="1"/>
  <c r="AP1028" i="2" a="1"/>
  <c r="AP1028" i="2" s="1"/>
  <c r="AP1029" i="2" a="1"/>
  <c r="AP1029" i="2" s="1"/>
  <c r="AP1030" i="2" a="1"/>
  <c r="AP1030" i="2" s="1"/>
  <c r="AP1031" i="2" a="1"/>
  <c r="AP1031" i="2" s="1"/>
  <c r="AP1032" i="2" a="1"/>
  <c r="AP1032" i="2" s="1"/>
  <c r="AP1033" i="2" a="1"/>
  <c r="AP1033" i="2" s="1"/>
  <c r="AP1034" i="2" a="1"/>
  <c r="AP1034" i="2" s="1"/>
  <c r="AP1035" i="2" a="1"/>
  <c r="AP1035" i="2" s="1"/>
  <c r="AP1036" i="2" a="1"/>
  <c r="AP1036" i="2" s="1"/>
  <c r="AP1037" i="2" a="1"/>
  <c r="AP1037" i="2" s="1"/>
  <c r="AP1038" i="2" a="1"/>
  <c r="AP1038" i="2" s="1"/>
  <c r="AP1039" i="2" a="1"/>
  <c r="AP1039" i="2" s="1"/>
  <c r="AP1040" i="2" a="1"/>
  <c r="AP1040" i="2" s="1"/>
  <c r="AP1041" i="2" a="1"/>
  <c r="AP1041" i="2" s="1"/>
  <c r="AP1042" i="2" a="1"/>
  <c r="AP1042" i="2" s="1"/>
  <c r="AP1043" i="2" a="1"/>
  <c r="AP1043" i="2" s="1"/>
  <c r="AP1044" i="2" a="1"/>
  <c r="AP1044" i="2" s="1"/>
  <c r="AP1045" i="2" a="1"/>
  <c r="AP1045" i="2" s="1"/>
  <c r="AP1046" i="2" a="1"/>
  <c r="AP1046" i="2" s="1"/>
  <c r="AP1047" i="2" a="1"/>
  <c r="AP1047" i="2" s="1"/>
  <c r="AP1048" i="2" a="1"/>
  <c r="AP1048" i="2" s="1"/>
  <c r="AP1049" i="2" a="1"/>
  <c r="AP1049" i="2" s="1"/>
  <c r="AP1050" i="2" a="1"/>
  <c r="AP1050" i="2" s="1"/>
  <c r="AP1051" i="2" a="1"/>
  <c r="AP1051" i="2" s="1"/>
  <c r="AP1052" i="2" a="1"/>
  <c r="AP1052" i="2" s="1"/>
  <c r="AP1053" i="2" a="1"/>
  <c r="AP1053" i="2" s="1"/>
  <c r="AP1054" i="2" a="1"/>
  <c r="AP1054" i="2" s="1"/>
  <c r="AP1055" i="2" a="1"/>
  <c r="AP1055" i="2" s="1"/>
  <c r="AP1056" i="2" a="1"/>
  <c r="AP1056" i="2" s="1"/>
  <c r="AP1057" i="2" a="1"/>
  <c r="AP1057" i="2" s="1"/>
  <c r="AP1058" i="2" a="1"/>
  <c r="AP1058" i="2" s="1"/>
  <c r="AP1059" i="2" a="1"/>
  <c r="AP1059" i="2" s="1"/>
  <c r="AP1060" i="2" a="1"/>
  <c r="AP1060" i="2" s="1"/>
  <c r="AP1061" i="2" a="1"/>
  <c r="AP1061" i="2" s="1"/>
  <c r="AP1062" i="2" a="1"/>
  <c r="AP1062" i="2" s="1"/>
  <c r="AP1063" i="2" a="1"/>
  <c r="AP1063" i="2" s="1"/>
  <c r="AP1064" i="2" a="1"/>
  <c r="AP1064" i="2" s="1"/>
  <c r="AP1065" i="2" a="1"/>
  <c r="AP1065" i="2" s="1"/>
  <c r="AP1066" i="2" a="1"/>
  <c r="AP1066" i="2" s="1"/>
  <c r="AP1067" i="2" a="1"/>
  <c r="AP1067" i="2" s="1"/>
  <c r="AP1068" i="2" a="1"/>
  <c r="AP1068" i="2" s="1"/>
  <c r="AP1069" i="2" a="1"/>
  <c r="AP1069" i="2" s="1"/>
  <c r="AP1070" i="2" a="1"/>
  <c r="AP1070" i="2" s="1"/>
  <c r="AP1071" i="2" a="1"/>
  <c r="AP1071" i="2" s="1"/>
  <c r="AP1072" i="2" a="1"/>
  <c r="AP1072" i="2" s="1"/>
  <c r="AP1073" i="2" a="1"/>
  <c r="AP1073" i="2" s="1"/>
  <c r="AP1074" i="2" a="1"/>
  <c r="AP1074" i="2" s="1"/>
  <c r="AP1075" i="2" a="1"/>
  <c r="AP1075" i="2" s="1"/>
  <c r="AP1076" i="2" a="1"/>
  <c r="AP1076" i="2" s="1"/>
  <c r="AP1077" i="2" a="1"/>
  <c r="AP1077" i="2" s="1"/>
  <c r="AP1078" i="2" a="1"/>
  <c r="AP1078" i="2" s="1"/>
  <c r="AP1079" i="2" a="1"/>
  <c r="AP1079" i="2" s="1"/>
  <c r="AP1080" i="2" a="1"/>
  <c r="AP1080" i="2" s="1"/>
  <c r="AP1081" i="2" a="1"/>
  <c r="AP1081" i="2" s="1"/>
  <c r="AP1082" i="2" a="1"/>
  <c r="AP1082" i="2" s="1"/>
  <c r="AP1083" i="2" a="1"/>
  <c r="AP1083" i="2" s="1"/>
  <c r="AP1084" i="2" a="1"/>
  <c r="AP1084" i="2" s="1"/>
  <c r="AP1085" i="2" a="1"/>
  <c r="AP1085" i="2" s="1"/>
  <c r="AP1086" i="2" a="1"/>
  <c r="AP1086" i="2" s="1"/>
  <c r="AP1087" i="2" a="1"/>
  <c r="AP1087" i="2" s="1"/>
  <c r="AP1088" i="2" a="1"/>
  <c r="AP1088" i="2" s="1"/>
  <c r="AP1089" i="2" a="1"/>
  <c r="AP1089" i="2" s="1"/>
  <c r="AP1090" i="2" a="1"/>
  <c r="AP1090" i="2" s="1"/>
  <c r="AP1091" i="2" a="1"/>
  <c r="AP1091" i="2" s="1"/>
  <c r="AP1092" i="2" a="1"/>
  <c r="AP1092" i="2" s="1"/>
  <c r="AP1093" i="2" a="1"/>
  <c r="AP1093" i="2" s="1"/>
  <c r="AP1094" i="2" a="1"/>
  <c r="AP1094" i="2" s="1"/>
  <c r="AP1095" i="2" a="1"/>
  <c r="AP1095" i="2" s="1"/>
  <c r="AP1096" i="2" a="1"/>
  <c r="AP1096" i="2" s="1"/>
  <c r="AP1097" i="2" a="1"/>
  <c r="AP1097" i="2" s="1"/>
  <c r="AP1098" i="2" a="1"/>
  <c r="AP1098" i="2" s="1"/>
  <c r="AP1099" i="2" a="1"/>
  <c r="AP1099" i="2" s="1"/>
  <c r="AP1100" i="2" a="1"/>
  <c r="AP1100" i="2" s="1"/>
  <c r="AP1101" i="2" a="1"/>
  <c r="AP1101" i="2" s="1"/>
  <c r="AP1102" i="2" a="1"/>
  <c r="AP1102" i="2" s="1"/>
  <c r="AP1103" i="2" a="1"/>
  <c r="AP1103" i="2" s="1"/>
  <c r="AP1104" i="2" a="1"/>
  <c r="AP1104" i="2" s="1"/>
  <c r="AP1105" i="2" a="1"/>
  <c r="AP1105" i="2" s="1"/>
  <c r="AP1106" i="2" a="1"/>
  <c r="AP1106" i="2" s="1"/>
  <c r="AP1107" i="2" a="1"/>
  <c r="AP1107" i="2" s="1"/>
  <c r="AP1108" i="2" a="1"/>
  <c r="AP1108" i="2" s="1"/>
  <c r="AP1109" i="2" a="1"/>
  <c r="AP1109" i="2" s="1"/>
  <c r="AP1110" i="2" a="1"/>
  <c r="AP1110" i="2" s="1"/>
  <c r="AP1111" i="2" a="1"/>
  <c r="AP1111" i="2" s="1"/>
  <c r="AP1112" i="2" a="1"/>
  <c r="AP1112" i="2" s="1"/>
  <c r="AP1113" i="2" a="1"/>
  <c r="AP1113" i="2" s="1"/>
  <c r="AP1114" i="2" a="1"/>
  <c r="AP1114" i="2" s="1"/>
  <c r="AP1115" i="2" a="1"/>
  <c r="AP1115" i="2" s="1"/>
  <c r="AP1116" i="2" a="1"/>
  <c r="AP1116" i="2" s="1"/>
  <c r="AP1117" i="2" a="1"/>
  <c r="AP1117" i="2" s="1"/>
  <c r="AP1118" i="2" a="1"/>
  <c r="AP1118" i="2" s="1"/>
  <c r="AP1119" i="2" a="1"/>
  <c r="AP1119" i="2" s="1"/>
  <c r="AP1120" i="2" a="1"/>
  <c r="AP1120" i="2" s="1"/>
  <c r="AP1121" i="2" a="1"/>
  <c r="AP1121" i="2" s="1"/>
  <c r="AP1122" i="2" a="1"/>
  <c r="AP1122" i="2" s="1"/>
  <c r="AP1123" i="2" a="1"/>
  <c r="AP1123" i="2" s="1"/>
  <c r="AP1124" i="2" a="1"/>
  <c r="AP1124" i="2" s="1"/>
  <c r="AP1125" i="2" a="1"/>
  <c r="AP1125" i="2" s="1"/>
  <c r="AP1126" i="2" a="1"/>
  <c r="AP1126" i="2" s="1"/>
  <c r="AP1127" i="2" a="1"/>
  <c r="AP1127" i="2" s="1"/>
  <c r="AP1128" i="2" a="1"/>
  <c r="AP1128" i="2" s="1"/>
  <c r="AP1129" i="2" a="1"/>
  <c r="AP1129" i="2" s="1"/>
  <c r="AP1130" i="2" a="1"/>
  <c r="AP1130" i="2" s="1"/>
  <c r="AP1131" i="2" a="1"/>
  <c r="AP1131" i="2" s="1"/>
  <c r="AP1132" i="2" a="1"/>
  <c r="AP1132" i="2" s="1"/>
  <c r="AP1133" i="2" a="1"/>
  <c r="AP1133" i="2" s="1"/>
  <c r="AP1134" i="2" a="1"/>
  <c r="AP1134" i="2" s="1"/>
  <c r="AP1135" i="2" a="1"/>
  <c r="AP1135" i="2" s="1"/>
  <c r="AP1136" i="2" a="1"/>
  <c r="AP1136" i="2" s="1"/>
  <c r="AP1137" i="2" a="1"/>
  <c r="AP1137" i="2" s="1"/>
  <c r="AP1138" i="2" a="1"/>
  <c r="AP1138" i="2" s="1"/>
  <c r="AP1139" i="2" a="1"/>
  <c r="AP1139" i="2" s="1"/>
  <c r="AP1140" i="2" a="1"/>
  <c r="AP1140" i="2" s="1"/>
  <c r="AP1141" i="2" a="1"/>
  <c r="AP1141" i="2" s="1"/>
  <c r="AP1142" i="2" a="1"/>
  <c r="AP1142" i="2" s="1"/>
  <c r="AP1143" i="2" a="1"/>
  <c r="AP1143" i="2" s="1"/>
  <c r="AP1144" i="2" a="1"/>
  <c r="AP1144" i="2" s="1"/>
  <c r="AP1145" i="2" a="1"/>
  <c r="AP1145" i="2" s="1"/>
  <c r="AP1146" i="2" a="1"/>
  <c r="AP1146" i="2" s="1"/>
  <c r="AP1147" i="2" a="1"/>
  <c r="AP1147" i="2" s="1"/>
  <c r="AP1148" i="2" a="1"/>
  <c r="AP1148" i="2" s="1"/>
  <c r="AP1149" i="2" a="1"/>
  <c r="AP1149" i="2" s="1"/>
  <c r="AP1150" i="2" a="1"/>
  <c r="AP1150" i="2" s="1"/>
  <c r="AP1151" i="2" a="1"/>
  <c r="AP1151" i="2" s="1"/>
  <c r="AP1152" i="2" a="1"/>
  <c r="AP1152" i="2" s="1"/>
  <c r="AP1153" i="2" a="1"/>
  <c r="AP1153" i="2" s="1"/>
  <c r="AP1154" i="2" a="1"/>
  <c r="AP1154" i="2" s="1"/>
  <c r="AP1155" i="2" a="1"/>
  <c r="AP1155" i="2" s="1"/>
  <c r="AP1156" i="2" a="1"/>
  <c r="AP1156" i="2" s="1"/>
  <c r="AP1157" i="2" a="1"/>
  <c r="AP1157" i="2" s="1"/>
  <c r="AP1158" i="2" a="1"/>
  <c r="AP1158" i="2" s="1"/>
  <c r="AP1159" i="2" a="1"/>
  <c r="AP1159" i="2" s="1"/>
  <c r="AP1160" i="2" a="1"/>
  <c r="AP1160" i="2" s="1"/>
  <c r="AP1161" i="2" a="1"/>
  <c r="AP1161" i="2" s="1"/>
  <c r="AP1162" i="2" a="1"/>
  <c r="AP1162" i="2" s="1"/>
  <c r="AP1163" i="2" a="1"/>
  <c r="AP1163" i="2" s="1"/>
  <c r="AP1164" i="2" a="1"/>
  <c r="AP1164" i="2" s="1"/>
  <c r="AP1165" i="2" a="1"/>
  <c r="AP1165" i="2" s="1"/>
  <c r="AP1166" i="2" a="1"/>
  <c r="AP1166" i="2" s="1"/>
  <c r="AP1167" i="2" a="1"/>
  <c r="AP1167" i="2" s="1"/>
  <c r="AP1168" i="2" a="1"/>
  <c r="AP1168" i="2" s="1"/>
  <c r="AP1169" i="2" a="1"/>
  <c r="AP1169" i="2" s="1"/>
  <c r="AP1170" i="2" a="1"/>
  <c r="AP1170" i="2" s="1"/>
  <c r="AP1171" i="2" a="1"/>
  <c r="AP1171" i="2" s="1"/>
  <c r="AP1172" i="2" a="1"/>
  <c r="AP1172" i="2" s="1"/>
  <c r="AP1173" i="2" a="1"/>
  <c r="AP1173" i="2" s="1"/>
  <c r="AP1174" i="2" a="1"/>
  <c r="AP1174" i="2" s="1"/>
  <c r="AP1175" i="2" a="1"/>
  <c r="AP1175" i="2" s="1"/>
  <c r="AP1176" i="2" a="1"/>
  <c r="AP1176" i="2" s="1"/>
  <c r="AP1177" i="2" a="1"/>
  <c r="AP1177" i="2" s="1"/>
  <c r="AP1178" i="2" a="1"/>
  <c r="AP1178" i="2" s="1"/>
  <c r="AP1179" i="2" a="1"/>
  <c r="AP1179" i="2" s="1"/>
  <c r="AP1180" i="2" a="1"/>
  <c r="AP1180" i="2" s="1"/>
  <c r="AP1181" i="2" a="1"/>
  <c r="AP1181" i="2" s="1"/>
  <c r="AP1182" i="2" a="1"/>
  <c r="AP1182" i="2" s="1"/>
  <c r="AP1183" i="2" a="1"/>
  <c r="AP1183" i="2" s="1"/>
  <c r="AP1184" i="2" a="1"/>
  <c r="AP1184" i="2" s="1"/>
  <c r="AP1185" i="2" a="1"/>
  <c r="AP1185" i="2" s="1"/>
  <c r="AP1186" i="2" a="1"/>
  <c r="AP1186" i="2" s="1"/>
  <c r="AP1187" i="2" a="1"/>
  <c r="AP1187" i="2" s="1"/>
  <c r="AP1188" i="2" a="1"/>
  <c r="AP1188" i="2" s="1"/>
  <c r="AP1189" i="2" a="1"/>
  <c r="AP1189" i="2" s="1"/>
  <c r="AP1190" i="2" a="1"/>
  <c r="AP1190" i="2" s="1"/>
  <c r="AP1191" i="2" a="1"/>
  <c r="AP1191" i="2" s="1"/>
  <c r="AP1192" i="2" a="1"/>
  <c r="AP1192" i="2" s="1"/>
  <c r="AP1193" i="2" a="1"/>
  <c r="AP1193" i="2" s="1"/>
  <c r="AP1194" i="2" a="1"/>
  <c r="AP1194" i="2" s="1"/>
  <c r="AP1195" i="2" a="1"/>
  <c r="AP1195" i="2" s="1"/>
  <c r="AP1196" i="2" a="1"/>
  <c r="AP1196" i="2" s="1"/>
  <c r="AP1197" i="2" a="1"/>
  <c r="AP1197" i="2" s="1"/>
  <c r="AP1198" i="2" a="1"/>
  <c r="AP1198" i="2" s="1"/>
  <c r="AP1199" i="2" a="1"/>
  <c r="AP1199" i="2" s="1"/>
  <c r="AP1200" i="2" a="1"/>
  <c r="AP1200" i="2" s="1"/>
  <c r="AP1201" i="2" a="1"/>
  <c r="AP1201" i="2" s="1"/>
  <c r="AP1202" i="2" a="1"/>
  <c r="AP1202" i="2" s="1"/>
  <c r="AP1203" i="2" a="1"/>
  <c r="AP1203" i="2" s="1"/>
  <c r="AP1204" i="2" a="1"/>
  <c r="AP1204" i="2" s="1"/>
  <c r="AP1205" i="2" a="1"/>
  <c r="AP1205" i="2" s="1"/>
  <c r="AP1206" i="2" a="1"/>
  <c r="AP1206" i="2" s="1"/>
  <c r="AP1207" i="2" a="1"/>
  <c r="AP1207" i="2" s="1"/>
  <c r="AP1208" i="2" a="1"/>
  <c r="AP1208" i="2" s="1"/>
  <c r="AP1209" i="2" a="1"/>
  <c r="AP1209" i="2" s="1"/>
  <c r="AP1210" i="2" a="1"/>
  <c r="AP1210" i="2" s="1"/>
  <c r="AP1211" i="2" a="1"/>
  <c r="AP1211" i="2" s="1"/>
  <c r="AP1212" i="2" a="1"/>
  <c r="AP1212" i="2" s="1"/>
  <c r="AP1213" i="2" a="1"/>
  <c r="AP1213" i="2" s="1"/>
  <c r="AP1214" i="2" a="1"/>
  <c r="AP1214" i="2" s="1"/>
  <c r="AP1215" i="2" a="1"/>
  <c r="AP1215" i="2" s="1"/>
  <c r="AP1216" i="2" a="1"/>
  <c r="AP1216" i="2" s="1"/>
  <c r="AP1217" i="2" a="1"/>
  <c r="AP1217" i="2" s="1"/>
  <c r="AP1218" i="2" a="1"/>
  <c r="AP1218" i="2" s="1"/>
  <c r="AP1219" i="2" a="1"/>
  <c r="AP1219" i="2" s="1"/>
  <c r="AP1220" i="2" a="1"/>
  <c r="AP1220" i="2" s="1"/>
  <c r="AP1221" i="2" a="1"/>
  <c r="AP1221" i="2" s="1"/>
  <c r="AP1222" i="2" a="1"/>
  <c r="AP1222" i="2" s="1"/>
  <c r="AP1223" i="2" a="1"/>
  <c r="AP1223" i="2" s="1"/>
  <c r="AP1224" i="2" a="1"/>
  <c r="AP1224" i="2" s="1"/>
  <c r="AP1225" i="2" a="1"/>
  <c r="AP1225" i="2" s="1"/>
  <c r="AP1226" i="2" a="1"/>
  <c r="AP1226" i="2" s="1"/>
  <c r="AP1227" i="2" a="1"/>
  <c r="AP1227" i="2" s="1"/>
  <c r="AP1228" i="2" a="1"/>
  <c r="AP1228" i="2" s="1"/>
  <c r="AP1229" i="2" a="1"/>
  <c r="AP1229" i="2" s="1"/>
  <c r="AP1230" i="2" a="1"/>
  <c r="AP1230" i="2" s="1"/>
  <c r="AP1231" i="2" a="1"/>
  <c r="AP1231" i="2" s="1"/>
  <c r="AP1232" i="2" a="1"/>
  <c r="AP1232" i="2" s="1"/>
  <c r="AP1233" i="2" a="1"/>
  <c r="AP1233" i="2" s="1"/>
  <c r="AP1234" i="2" a="1"/>
  <c r="AP1234" i="2" s="1"/>
  <c r="AP1235" i="2" a="1"/>
  <c r="AP1235" i="2" s="1"/>
  <c r="AP1236" i="2" a="1"/>
  <c r="AP1236" i="2" s="1"/>
  <c r="AP1237" i="2" a="1"/>
  <c r="AP1237" i="2" s="1"/>
  <c r="AP1238" i="2" a="1"/>
  <c r="AP1238" i="2" s="1"/>
  <c r="AP1239" i="2" a="1"/>
  <c r="AP1239" i="2" s="1"/>
  <c r="AP1240" i="2" a="1"/>
  <c r="AP1240" i="2" s="1"/>
  <c r="AP1241" i="2" a="1"/>
  <c r="AP1241" i="2" s="1"/>
  <c r="AP1242" i="2" a="1"/>
  <c r="AP1242" i="2" s="1"/>
  <c r="AP1243" i="2" a="1"/>
  <c r="AP1243" i="2" s="1"/>
  <c r="AP1244" i="2" a="1"/>
  <c r="AP1244" i="2" s="1"/>
  <c r="AP1245" i="2" a="1"/>
  <c r="AP1245" i="2" s="1"/>
  <c r="AP1246" i="2" a="1"/>
  <c r="AP1246" i="2" s="1"/>
  <c r="AP1247" i="2" a="1"/>
  <c r="AP1247" i="2" s="1"/>
  <c r="AP1248" i="2" a="1"/>
  <c r="AP1248" i="2" s="1"/>
  <c r="AP1249" i="2" a="1"/>
  <c r="AP1249" i="2" s="1"/>
  <c r="AP1250" i="2" a="1"/>
  <c r="AP1250" i="2" s="1"/>
  <c r="AP1251" i="2" a="1"/>
  <c r="AP1251" i="2" s="1"/>
  <c r="AP1252" i="2" a="1"/>
  <c r="AP1252" i="2" s="1"/>
  <c r="AP1253" i="2" a="1"/>
  <c r="AP1253" i="2" s="1"/>
  <c r="AP1254" i="2" a="1"/>
  <c r="AP1254" i="2" s="1"/>
  <c r="AP1255" i="2" a="1"/>
  <c r="AP1255" i="2" s="1"/>
  <c r="AP1256" i="2" a="1"/>
  <c r="AP1256" i="2" s="1"/>
  <c r="AP1257" i="2" a="1"/>
  <c r="AP1257" i="2" s="1"/>
  <c r="AP1258" i="2" a="1"/>
  <c r="AP1258" i="2" s="1"/>
  <c r="AP1259" i="2" a="1"/>
  <c r="AP1259" i="2" s="1"/>
  <c r="AP1260" i="2" a="1"/>
  <c r="AP1260" i="2" s="1"/>
  <c r="AP1261" i="2" a="1"/>
  <c r="AP1261" i="2" s="1"/>
  <c r="AP1262" i="2" a="1"/>
  <c r="AP1262" i="2" s="1"/>
  <c r="AP1263" i="2" a="1"/>
  <c r="AP1263" i="2" s="1"/>
  <c r="AP1264" i="2" a="1"/>
  <c r="AP1264" i="2" s="1"/>
  <c r="AP1265" i="2" a="1"/>
  <c r="AP1265" i="2" s="1"/>
  <c r="AP1266" i="2" a="1"/>
  <c r="AP1266" i="2" s="1"/>
  <c r="AP1267" i="2" a="1"/>
  <c r="AP1267" i="2" s="1"/>
  <c r="AP1268" i="2" a="1"/>
  <c r="AP1268" i="2" s="1"/>
  <c r="AP1269" i="2" a="1"/>
  <c r="AP1269" i="2" s="1"/>
  <c r="AP1270" i="2" a="1"/>
  <c r="AP1270" i="2" s="1"/>
  <c r="AP1271" i="2" a="1"/>
  <c r="AP1271" i="2" s="1"/>
  <c r="AP1272" i="2" a="1"/>
  <c r="AP1272" i="2" s="1"/>
  <c r="AP1273" i="2" a="1"/>
  <c r="AP1273" i="2" s="1"/>
  <c r="AP1274" i="2" a="1"/>
  <c r="AP1274" i="2" s="1"/>
  <c r="AP1275" i="2" a="1"/>
  <c r="AP1275" i="2" s="1"/>
  <c r="AP1276" i="2" a="1"/>
  <c r="AP1276" i="2" s="1"/>
  <c r="AP1277" i="2" a="1"/>
  <c r="AP1277" i="2" s="1"/>
  <c r="AP1278" i="2" a="1"/>
  <c r="AP1278" i="2" s="1"/>
  <c r="AP1279" i="2" a="1"/>
  <c r="AP1279" i="2" s="1"/>
  <c r="AP1280" i="2" a="1"/>
  <c r="AP1280" i="2" s="1"/>
  <c r="AP1281" i="2" a="1"/>
  <c r="AP1281" i="2" s="1"/>
  <c r="AP1282" i="2" a="1"/>
  <c r="AP1282" i="2" s="1"/>
  <c r="AP1283" i="2" a="1"/>
  <c r="AP1283" i="2" s="1"/>
  <c r="AP1284" i="2" a="1"/>
  <c r="AP1284" i="2" s="1"/>
  <c r="AP1285" i="2" a="1"/>
  <c r="AP1285" i="2" s="1"/>
  <c r="AP1286" i="2" a="1"/>
  <c r="AP1286" i="2" s="1"/>
  <c r="AP1287" i="2" a="1"/>
  <c r="AP1287" i="2" s="1"/>
  <c r="AP1288" i="2" a="1"/>
  <c r="AP1288" i="2" s="1"/>
  <c r="AP1289" i="2" a="1"/>
  <c r="AP1289" i="2" s="1"/>
  <c r="AP1290" i="2" a="1"/>
  <c r="AP1290" i="2" s="1"/>
  <c r="AP1291" i="2" a="1"/>
  <c r="AP1291" i="2" s="1"/>
  <c r="AP1292" i="2" a="1"/>
  <c r="AP1292" i="2" s="1"/>
  <c r="AP1293" i="2" a="1"/>
  <c r="AP1293" i="2" s="1"/>
  <c r="AP1294" i="2" a="1"/>
  <c r="AP1294" i="2" s="1"/>
  <c r="AP1295" i="2" a="1"/>
  <c r="AP1295" i="2" s="1"/>
  <c r="AP1296" i="2" a="1"/>
  <c r="AP1296" i="2" s="1"/>
  <c r="AP1297" i="2" a="1"/>
  <c r="AP1297" i="2" s="1"/>
  <c r="AP1298" i="2" a="1"/>
  <c r="AP1298" i="2" s="1"/>
  <c r="AP1299" i="2" a="1"/>
  <c r="AP1299" i="2" s="1"/>
  <c r="AP1300" i="2" a="1"/>
  <c r="AP1300" i="2" s="1"/>
  <c r="AP1301" i="2" a="1"/>
  <c r="AP1301" i="2" s="1"/>
  <c r="AP1302" i="2" a="1"/>
  <c r="AP1302" i="2" s="1"/>
  <c r="AP1303" i="2" a="1"/>
  <c r="AP1303" i="2" s="1"/>
  <c r="AP1304" i="2" a="1"/>
  <c r="AP1304" i="2" s="1"/>
  <c r="AP1305" i="2" a="1"/>
  <c r="AP1305" i="2" s="1"/>
  <c r="AP1306" i="2" a="1"/>
  <c r="AP1306" i="2" s="1"/>
  <c r="AP1307" i="2" a="1"/>
  <c r="AP1307" i="2" s="1"/>
  <c r="AP1308" i="2" a="1"/>
  <c r="AP1308" i="2" s="1"/>
  <c r="AP1309" i="2" a="1"/>
  <c r="AP1309" i="2" s="1"/>
  <c r="AP1310" i="2" a="1"/>
  <c r="AP1310" i="2" s="1"/>
  <c r="AP1311" i="2" a="1"/>
  <c r="AP1311" i="2" s="1"/>
  <c r="AP1312" i="2" a="1"/>
  <c r="AP1312" i="2" s="1"/>
  <c r="AP1313" i="2" a="1"/>
  <c r="AP1313" i="2" s="1"/>
  <c r="AP1314" i="2" a="1"/>
  <c r="AP1314" i="2" s="1"/>
  <c r="AP1315" i="2" a="1"/>
  <c r="AP1315" i="2" s="1"/>
  <c r="AP1316" i="2" a="1"/>
  <c r="AP1316" i="2" s="1"/>
  <c r="AP1317" i="2" a="1"/>
  <c r="AP1317" i="2" s="1"/>
  <c r="AP1318" i="2" a="1"/>
  <c r="AP1318" i="2" s="1"/>
  <c r="AP1319" i="2" a="1"/>
  <c r="AP1319" i="2" s="1"/>
  <c r="AP1320" i="2" a="1"/>
  <c r="AP1320" i="2" s="1"/>
  <c r="AP1321" i="2" a="1"/>
  <c r="AP1321" i="2" s="1"/>
  <c r="AP1322" i="2" a="1"/>
  <c r="AP1322" i="2" s="1"/>
  <c r="AP1323" i="2" a="1"/>
  <c r="AP1323" i="2" s="1"/>
  <c r="AP1324" i="2" a="1"/>
  <c r="AP1324" i="2" s="1"/>
  <c r="AP1325" i="2" a="1"/>
  <c r="AP1325" i="2" s="1"/>
  <c r="AP1326" i="2" a="1"/>
  <c r="AP1326" i="2" s="1"/>
  <c r="AP1327" i="2" a="1"/>
  <c r="AP1327" i="2" s="1"/>
  <c r="AP1328" i="2" a="1"/>
  <c r="AP1328" i="2" s="1"/>
  <c r="AP1329" i="2" a="1"/>
  <c r="AP1329" i="2" s="1"/>
  <c r="AP1330" i="2" a="1"/>
  <c r="AP1330" i="2" s="1"/>
  <c r="AP1331" i="2" a="1"/>
  <c r="AP1331" i="2" s="1"/>
  <c r="AP1332" i="2" a="1"/>
  <c r="AP1332" i="2" s="1"/>
  <c r="AP1333" i="2" a="1"/>
  <c r="AP1333" i="2" s="1"/>
  <c r="AP1334" i="2" a="1"/>
  <c r="AP1334" i="2" s="1"/>
  <c r="AP1335" i="2" a="1"/>
  <c r="AP1335" i="2" s="1"/>
  <c r="AP1336" i="2" a="1"/>
  <c r="AP1336" i="2" s="1"/>
  <c r="AP1337" i="2" a="1"/>
  <c r="AP1337" i="2" s="1"/>
  <c r="AP1338" i="2" a="1"/>
  <c r="AP1338" i="2" s="1"/>
  <c r="AP1339" i="2" a="1"/>
  <c r="AP1339" i="2" s="1"/>
  <c r="AP1340" i="2" a="1"/>
  <c r="AP1340" i="2" s="1"/>
  <c r="AP1341" i="2" a="1"/>
  <c r="AP1341" i="2" s="1"/>
  <c r="AP1342" i="2" a="1"/>
  <c r="AP1342" i="2" s="1"/>
  <c r="AP1343" i="2" a="1"/>
  <c r="AP1343" i="2" s="1"/>
  <c r="AP1344" i="2" a="1"/>
  <c r="AP1344" i="2" s="1"/>
  <c r="AP1345" i="2" a="1"/>
  <c r="AP1345" i="2" s="1"/>
  <c r="AP1346" i="2" a="1"/>
  <c r="AP1346" i="2" s="1"/>
  <c r="AP1347" i="2" a="1"/>
  <c r="AP1347" i="2" s="1"/>
  <c r="AP1348" i="2" a="1"/>
  <c r="AP1348" i="2" s="1"/>
  <c r="AP1349" i="2" a="1"/>
  <c r="AP1349" i="2" s="1"/>
  <c r="AP1350" i="2" a="1"/>
  <c r="AP1350" i="2" s="1"/>
  <c r="AP1351" i="2" a="1"/>
  <c r="AP1351" i="2" s="1"/>
  <c r="AP1352" i="2" a="1"/>
  <c r="AP1352" i="2" s="1"/>
  <c r="AP1353" i="2" a="1"/>
  <c r="AP1353" i="2" s="1"/>
  <c r="AP1354" i="2" a="1"/>
  <c r="AP1354" i="2" s="1"/>
  <c r="AP1355" i="2" a="1"/>
  <c r="AP1355" i="2" s="1"/>
  <c r="AP1356" i="2" a="1"/>
  <c r="AP1356" i="2" s="1"/>
  <c r="AP1357" i="2" a="1"/>
  <c r="AP1357" i="2" s="1"/>
  <c r="AP1358" i="2" a="1"/>
  <c r="AP1358" i="2" s="1"/>
  <c r="AP1359" i="2" a="1"/>
  <c r="AP1359" i="2" s="1"/>
  <c r="AP1360" i="2" a="1"/>
  <c r="AP1360" i="2" s="1"/>
  <c r="AP1361" i="2" a="1"/>
  <c r="AP1361" i="2" s="1"/>
  <c r="AP1362" i="2" a="1"/>
  <c r="AP1362" i="2" s="1"/>
  <c r="AP1363" i="2" a="1"/>
  <c r="AP1363" i="2" s="1"/>
  <c r="AP1364" i="2" a="1"/>
  <c r="AP1364" i="2" s="1"/>
  <c r="AP1365" i="2" a="1"/>
  <c r="AP1365" i="2" s="1"/>
  <c r="AP1366" i="2" a="1"/>
  <c r="AP1366" i="2" s="1"/>
  <c r="AP1367" i="2" a="1"/>
  <c r="AP1367" i="2" s="1"/>
  <c r="AP1368" i="2" a="1"/>
  <c r="AP1368" i="2" s="1"/>
  <c r="AP1369" i="2" a="1"/>
  <c r="AP1369" i="2" s="1"/>
  <c r="AP1370" i="2" a="1"/>
  <c r="AP1370" i="2" s="1"/>
  <c r="AP1371" i="2" a="1"/>
  <c r="AP1371" i="2" s="1"/>
  <c r="AP1372" i="2" a="1"/>
  <c r="AP1372" i="2" s="1"/>
  <c r="AP1373" i="2" a="1"/>
  <c r="AP1373" i="2" s="1"/>
  <c r="AP1374" i="2" a="1"/>
  <c r="AP1374" i="2" s="1"/>
  <c r="AP1375" i="2" a="1"/>
  <c r="AP1375" i="2" s="1"/>
  <c r="AP1376" i="2" a="1"/>
  <c r="AP1376" i="2" s="1"/>
  <c r="AP1377" i="2" a="1"/>
  <c r="AP1377" i="2" s="1"/>
  <c r="AP1378" i="2" a="1"/>
  <c r="AP1378" i="2" s="1"/>
  <c r="AP1379" i="2" a="1"/>
  <c r="AP1379" i="2" s="1"/>
  <c r="AP1380" i="2" a="1"/>
  <c r="AP1380" i="2" s="1"/>
  <c r="AP1381" i="2" a="1"/>
  <c r="AP1381" i="2" s="1"/>
  <c r="AP1382" i="2" a="1"/>
  <c r="AP1382" i="2" s="1"/>
  <c r="AP1383" i="2" a="1"/>
  <c r="AP1383" i="2" s="1"/>
  <c r="AP1384" i="2" a="1"/>
  <c r="AP1384" i="2" s="1"/>
  <c r="AP1385" i="2" a="1"/>
  <c r="AP1385" i="2" s="1"/>
  <c r="AP1386" i="2" a="1"/>
  <c r="AP1386" i="2" s="1"/>
  <c r="AP1387" i="2" a="1"/>
  <c r="AP1387" i="2" s="1"/>
  <c r="AP1388" i="2" a="1"/>
  <c r="AP1388" i="2" s="1"/>
  <c r="AP1389" i="2" a="1"/>
  <c r="AP1389" i="2" s="1"/>
  <c r="AP1390" i="2" a="1"/>
  <c r="AP1390" i="2" s="1"/>
  <c r="AP1391" i="2" a="1"/>
  <c r="AP1391" i="2" s="1"/>
  <c r="AP1392" i="2" a="1"/>
  <c r="AP1392" i="2" s="1"/>
  <c r="AP1393" i="2" a="1"/>
  <c r="AP1393" i="2" s="1"/>
  <c r="AP1394" i="2" a="1"/>
  <c r="AP1394" i="2" s="1"/>
  <c r="AP1395" i="2" a="1"/>
  <c r="AP1395" i="2" s="1"/>
  <c r="AP1396" i="2" a="1"/>
  <c r="AP1396" i="2" s="1"/>
  <c r="AP1397" i="2" a="1"/>
  <c r="AP1397" i="2" s="1"/>
  <c r="AP1398" i="2" a="1"/>
  <c r="AP1398" i="2" s="1"/>
  <c r="AP1399" i="2" a="1"/>
  <c r="AP1399" i="2" s="1"/>
  <c r="AP1400" i="2" a="1"/>
  <c r="AP1400" i="2" s="1"/>
  <c r="AP1401" i="2" a="1"/>
  <c r="AP1401" i="2" s="1"/>
  <c r="AP1402" i="2" a="1"/>
  <c r="AP1402" i="2" s="1"/>
  <c r="AP1403" i="2" a="1"/>
  <c r="AP1403" i="2" s="1"/>
  <c r="AP1404" i="2" a="1"/>
  <c r="AP1404" i="2" s="1"/>
  <c r="AP1405" i="2" a="1"/>
  <c r="AP1405" i="2" s="1"/>
  <c r="AP1406" i="2" a="1"/>
  <c r="AP1406" i="2" s="1"/>
  <c r="AP1407" i="2" a="1"/>
  <c r="AP1407" i="2" s="1"/>
  <c r="AP1408" i="2" a="1"/>
  <c r="AP1408" i="2" s="1"/>
  <c r="AP1409" i="2" a="1"/>
  <c r="AP1409" i="2" s="1"/>
  <c r="AP1410" i="2" a="1"/>
  <c r="AP1410" i="2" s="1"/>
  <c r="AP1411" i="2" a="1"/>
  <c r="AP1411" i="2" s="1"/>
  <c r="AP1412" i="2" a="1"/>
  <c r="AP1412" i="2" s="1"/>
  <c r="AP1413" i="2" a="1"/>
  <c r="AP1413" i="2" s="1"/>
  <c r="AP1414" i="2" a="1"/>
  <c r="AP1414" i="2" s="1"/>
  <c r="AP1415" i="2" a="1"/>
  <c r="AP1415" i="2" s="1"/>
  <c r="AP1416" i="2" a="1"/>
  <c r="AP1416" i="2" s="1"/>
  <c r="AP1417" i="2" a="1"/>
  <c r="AP1417" i="2" s="1"/>
  <c r="AP1418" i="2" a="1"/>
  <c r="AP1418" i="2" s="1"/>
  <c r="AP1419" i="2" a="1"/>
  <c r="AP1419" i="2" s="1"/>
  <c r="AP1420" i="2" a="1"/>
  <c r="AP1420" i="2" s="1"/>
  <c r="AP1421" i="2" a="1"/>
  <c r="AP1421" i="2" s="1"/>
  <c r="AP1422" i="2" a="1"/>
  <c r="AP1422" i="2" s="1"/>
  <c r="AP1423" i="2" a="1"/>
  <c r="AP1423" i="2" s="1"/>
  <c r="AP1424" i="2" a="1"/>
  <c r="AP1424" i="2" s="1"/>
  <c r="AP1425" i="2" a="1"/>
  <c r="AP1425" i="2" s="1"/>
  <c r="AP1426" i="2" a="1"/>
  <c r="AP1426" i="2" s="1"/>
  <c r="AP1427" i="2" a="1"/>
  <c r="AP1427" i="2" s="1"/>
  <c r="AP1428" i="2" a="1"/>
  <c r="AP1428" i="2" s="1"/>
  <c r="AP1429" i="2" a="1"/>
  <c r="AP1429" i="2" s="1"/>
  <c r="AP1430" i="2" a="1"/>
  <c r="AP1430" i="2" s="1"/>
  <c r="AP1431" i="2" a="1"/>
  <c r="AP1431" i="2" s="1"/>
  <c r="AP1432" i="2" a="1"/>
  <c r="AP1432" i="2" s="1"/>
  <c r="AP1433" i="2" a="1"/>
  <c r="AP1433" i="2" s="1"/>
  <c r="AP1434" i="2" a="1"/>
  <c r="AP1434" i="2" s="1"/>
  <c r="AP1435" i="2" a="1"/>
  <c r="AP1435" i="2" s="1"/>
  <c r="AP1436" i="2" a="1"/>
  <c r="AP1436" i="2" s="1"/>
  <c r="AP1437" i="2" a="1"/>
  <c r="AP1437" i="2" s="1"/>
  <c r="AP1438" i="2" a="1"/>
  <c r="AP1438" i="2" s="1"/>
  <c r="AP1439" i="2" a="1"/>
  <c r="AP1439" i="2" s="1"/>
  <c r="AP1440" i="2" a="1"/>
  <c r="AP1440" i="2" s="1"/>
  <c r="AP1441" i="2" a="1"/>
  <c r="AP1441" i="2" s="1"/>
  <c r="AP1442" i="2" a="1"/>
  <c r="AP1442" i="2" s="1"/>
  <c r="AP1443" i="2" a="1"/>
  <c r="AP1443" i="2" s="1"/>
  <c r="AP1444" i="2" a="1"/>
  <c r="AP1444" i="2" s="1"/>
  <c r="AP1445" i="2" a="1"/>
  <c r="AP1445" i="2" s="1"/>
  <c r="AP1446" i="2" a="1"/>
  <c r="AP1446" i="2" s="1"/>
  <c r="AP1447" i="2" a="1"/>
  <c r="AP1447" i="2" s="1"/>
  <c r="AP1448" i="2" a="1"/>
  <c r="AP1448" i="2" s="1"/>
  <c r="AP1449" i="2" a="1"/>
  <c r="AP1449" i="2" s="1"/>
  <c r="AP1450" i="2" a="1"/>
  <c r="AP1450" i="2" s="1"/>
  <c r="AP1451" i="2" a="1"/>
  <c r="AP1451" i="2" s="1"/>
  <c r="AP1452" i="2" a="1"/>
  <c r="AP1452" i="2" s="1"/>
  <c r="AP1453" i="2" a="1"/>
  <c r="AP1453" i="2" s="1"/>
  <c r="AP1454" i="2" a="1"/>
  <c r="AP1454" i="2" s="1"/>
  <c r="AP1455" i="2" a="1"/>
  <c r="AP1455" i="2" s="1"/>
  <c r="AP1456" i="2" a="1"/>
  <c r="AP1456" i="2" s="1"/>
  <c r="AP1457" i="2" a="1"/>
  <c r="AP1457" i="2" s="1"/>
  <c r="AP1458" i="2" a="1"/>
  <c r="AP1458" i="2" s="1"/>
  <c r="AP1459" i="2" a="1"/>
  <c r="AP1459" i="2" s="1"/>
  <c r="AP1460" i="2" a="1"/>
  <c r="AP1460" i="2" s="1"/>
  <c r="AP1461" i="2" a="1"/>
  <c r="AP1461" i="2" s="1"/>
  <c r="AP1462" i="2" a="1"/>
  <c r="AP1462" i="2" s="1"/>
  <c r="AP1463" i="2" a="1"/>
  <c r="AP1463" i="2" s="1"/>
  <c r="AP1464" i="2" a="1"/>
  <c r="AP1464" i="2" s="1"/>
  <c r="AP1465" i="2" a="1"/>
  <c r="AP1465" i="2" s="1"/>
  <c r="AP1466" i="2" a="1"/>
  <c r="AP1466" i="2" s="1"/>
  <c r="AP1467" i="2" a="1"/>
  <c r="AP1467" i="2" s="1"/>
  <c r="AP1468" i="2" a="1"/>
  <c r="AP1468" i="2" s="1"/>
  <c r="AP1469" i="2" a="1"/>
  <c r="AP1469" i="2" s="1"/>
  <c r="AP1470" i="2" a="1"/>
  <c r="AP1470" i="2" s="1"/>
  <c r="AP1471" i="2" a="1"/>
  <c r="AP1471" i="2" s="1"/>
  <c r="AQ2" i="2" a="1"/>
  <c r="AQ2" i="2" s="1"/>
  <c r="AQ3" i="2" a="1"/>
  <c r="AQ3" i="2" s="1"/>
  <c r="AQ4" i="2" a="1"/>
  <c r="AQ4" i="2" s="1"/>
  <c r="AQ5" i="2" a="1"/>
  <c r="AQ5" i="2" s="1"/>
  <c r="AQ6" i="2" a="1"/>
  <c r="AQ6" i="2" s="1"/>
  <c r="AQ7" i="2" a="1"/>
  <c r="AQ7" i="2" s="1"/>
  <c r="AQ8" i="2" a="1"/>
  <c r="AQ8" i="2" s="1"/>
  <c r="AQ9" i="2" a="1"/>
  <c r="AQ9" i="2" s="1"/>
  <c r="AQ10" i="2" a="1"/>
  <c r="AQ10" i="2" s="1"/>
  <c r="AQ11" i="2" a="1"/>
  <c r="AQ11" i="2" s="1"/>
  <c r="AQ12" i="2" a="1"/>
  <c r="AQ12" i="2" s="1"/>
  <c r="AQ13" i="2" a="1"/>
  <c r="AQ13" i="2" s="1"/>
  <c r="AQ14" i="2" a="1"/>
  <c r="AQ14" i="2" s="1"/>
  <c r="AQ15" i="2" a="1"/>
  <c r="AQ15" i="2" s="1"/>
  <c r="AQ16" i="2" a="1"/>
  <c r="AQ16" i="2" s="1"/>
  <c r="AQ17" i="2" a="1"/>
  <c r="AQ17" i="2" s="1"/>
  <c r="AQ18" i="2" a="1"/>
  <c r="AQ18" i="2" s="1"/>
  <c r="AQ19" i="2" a="1"/>
  <c r="AQ19" i="2" s="1"/>
  <c r="AQ20" i="2" a="1"/>
  <c r="AQ20" i="2" s="1"/>
  <c r="AQ21" i="2" a="1"/>
  <c r="AQ21" i="2" s="1"/>
  <c r="AQ22" i="2" a="1"/>
  <c r="AQ22" i="2" s="1"/>
  <c r="AQ23" i="2" a="1"/>
  <c r="AQ23" i="2" s="1"/>
  <c r="AQ24" i="2" a="1"/>
  <c r="AQ24" i="2" s="1"/>
  <c r="AQ25" i="2" a="1"/>
  <c r="AQ25" i="2" s="1"/>
  <c r="AQ26" i="2" a="1"/>
  <c r="AQ26" i="2" s="1"/>
  <c r="AQ27" i="2" a="1"/>
  <c r="AQ27" i="2" s="1"/>
  <c r="AQ28" i="2" a="1"/>
  <c r="AQ28" i="2" s="1"/>
  <c r="AQ29" i="2" a="1"/>
  <c r="AQ29" i="2" s="1"/>
  <c r="AQ30" i="2" a="1"/>
  <c r="AQ30" i="2" s="1"/>
  <c r="AQ31" i="2" a="1"/>
  <c r="AQ31" i="2" s="1"/>
  <c r="AQ32" i="2" a="1"/>
  <c r="AQ32" i="2" s="1"/>
  <c r="AQ33" i="2" a="1"/>
  <c r="AQ33" i="2" s="1"/>
  <c r="AQ34" i="2" a="1"/>
  <c r="AQ34" i="2" s="1"/>
  <c r="AQ35" i="2" a="1"/>
  <c r="AQ35" i="2" s="1"/>
  <c r="AQ36" i="2" a="1"/>
  <c r="AQ36" i="2" s="1"/>
  <c r="AQ37" i="2" a="1"/>
  <c r="AQ37" i="2" s="1"/>
  <c r="AQ38" i="2" a="1"/>
  <c r="AQ38" i="2" s="1"/>
  <c r="AQ39" i="2" a="1"/>
  <c r="AQ39" i="2" s="1"/>
  <c r="AQ40" i="2" a="1"/>
  <c r="AQ40" i="2" s="1"/>
  <c r="AQ41" i="2" a="1"/>
  <c r="AQ41" i="2" s="1"/>
  <c r="AQ42" i="2" a="1"/>
  <c r="AQ42" i="2" s="1"/>
  <c r="AQ43" i="2" a="1"/>
  <c r="AQ43" i="2" s="1"/>
  <c r="AQ44" i="2" a="1"/>
  <c r="AQ44" i="2" s="1"/>
  <c r="AQ45" i="2" a="1"/>
  <c r="AQ45" i="2" s="1"/>
  <c r="AQ46" i="2" a="1"/>
  <c r="AQ46" i="2" s="1"/>
  <c r="AQ47" i="2" a="1"/>
  <c r="AQ47" i="2" s="1"/>
  <c r="AQ48" i="2" a="1"/>
  <c r="AQ48" i="2" s="1"/>
  <c r="AQ49" i="2" a="1"/>
  <c r="AQ49" i="2" s="1"/>
  <c r="AQ50" i="2" a="1"/>
  <c r="AQ50" i="2" s="1"/>
  <c r="AQ51" i="2" a="1"/>
  <c r="AQ51" i="2" s="1"/>
  <c r="AQ52" i="2" a="1"/>
  <c r="AQ52" i="2" s="1"/>
  <c r="AQ53" i="2" a="1"/>
  <c r="AQ53" i="2" s="1"/>
  <c r="AQ54" i="2" a="1"/>
  <c r="AQ54" i="2" s="1"/>
  <c r="AQ55" i="2" a="1"/>
  <c r="AQ55" i="2" s="1"/>
  <c r="AQ56" i="2" a="1"/>
  <c r="AQ56" i="2" s="1"/>
  <c r="AQ57" i="2" a="1"/>
  <c r="AQ57" i="2" s="1"/>
  <c r="AQ58" i="2" a="1"/>
  <c r="AQ58" i="2" s="1"/>
  <c r="AQ59" i="2" a="1"/>
  <c r="AQ59" i="2" s="1"/>
  <c r="AQ60" i="2" a="1"/>
  <c r="AQ60" i="2" s="1"/>
  <c r="AQ61" i="2" a="1"/>
  <c r="AQ61" i="2" s="1"/>
  <c r="AQ62" i="2" a="1"/>
  <c r="AQ62" i="2" s="1"/>
  <c r="AQ63" i="2" a="1"/>
  <c r="AQ63" i="2" s="1"/>
  <c r="AQ64" i="2" a="1"/>
  <c r="AQ64" i="2" s="1"/>
  <c r="AQ65" i="2" a="1"/>
  <c r="AQ65" i="2" s="1"/>
  <c r="AQ66" i="2" a="1"/>
  <c r="AQ66" i="2" s="1"/>
  <c r="AQ67" i="2" a="1"/>
  <c r="AQ67" i="2" s="1"/>
  <c r="AQ68" i="2" a="1"/>
  <c r="AQ68" i="2" s="1"/>
  <c r="AQ69" i="2" a="1"/>
  <c r="AQ69" i="2" s="1"/>
  <c r="AQ70" i="2" a="1"/>
  <c r="AQ70" i="2" s="1"/>
  <c r="AQ71" i="2" a="1"/>
  <c r="AQ71" i="2" s="1"/>
  <c r="AQ72" i="2" a="1"/>
  <c r="AQ72" i="2" s="1"/>
  <c r="AQ73" i="2" a="1"/>
  <c r="AQ73" i="2" s="1"/>
  <c r="AQ74" i="2" a="1"/>
  <c r="AQ74" i="2" s="1"/>
  <c r="AQ75" i="2" a="1"/>
  <c r="AQ75" i="2" s="1"/>
  <c r="AQ76" i="2" a="1"/>
  <c r="AQ76" i="2" s="1"/>
  <c r="AQ77" i="2" a="1"/>
  <c r="AQ77" i="2" s="1"/>
  <c r="AQ78" i="2" a="1"/>
  <c r="AQ78" i="2" s="1"/>
  <c r="AQ79" i="2" a="1"/>
  <c r="AQ79" i="2" s="1"/>
  <c r="AQ80" i="2" a="1"/>
  <c r="AQ80" i="2" s="1"/>
  <c r="AQ81" i="2" a="1"/>
  <c r="AQ81" i="2" s="1"/>
  <c r="AQ82" i="2" a="1"/>
  <c r="AQ82" i="2" s="1"/>
  <c r="AQ83" i="2" a="1"/>
  <c r="AQ83" i="2" s="1"/>
  <c r="AQ84" i="2" a="1"/>
  <c r="AQ84" i="2" s="1"/>
  <c r="AQ85" i="2" a="1"/>
  <c r="AQ85" i="2" s="1"/>
  <c r="AQ86" i="2" a="1"/>
  <c r="AQ86" i="2" s="1"/>
  <c r="AQ87" i="2" a="1"/>
  <c r="AQ87" i="2" s="1"/>
  <c r="AQ88" i="2" a="1"/>
  <c r="AQ88" i="2" s="1"/>
  <c r="AQ89" i="2" a="1"/>
  <c r="AQ89" i="2" s="1"/>
  <c r="AQ90" i="2" a="1"/>
  <c r="AQ90" i="2" s="1"/>
  <c r="AQ91" i="2" a="1"/>
  <c r="AQ91" i="2" s="1"/>
  <c r="AQ92" i="2" a="1"/>
  <c r="AQ92" i="2" s="1"/>
  <c r="AQ93" i="2" a="1"/>
  <c r="AQ93" i="2" s="1"/>
  <c r="AQ94" i="2" a="1"/>
  <c r="AQ94" i="2" s="1"/>
  <c r="AQ95" i="2" a="1"/>
  <c r="AQ95" i="2" s="1"/>
  <c r="AQ96" i="2" a="1"/>
  <c r="AQ96" i="2" s="1"/>
  <c r="AQ97" i="2" a="1"/>
  <c r="AQ97" i="2" s="1"/>
  <c r="AQ98" i="2" a="1"/>
  <c r="AQ98" i="2" s="1"/>
  <c r="AQ99" i="2" a="1"/>
  <c r="AQ99" i="2" s="1"/>
  <c r="AQ100" i="2" a="1"/>
  <c r="AQ100" i="2" s="1"/>
  <c r="AQ101" i="2" a="1"/>
  <c r="AQ101" i="2" s="1"/>
  <c r="AQ102" i="2" a="1"/>
  <c r="AQ102" i="2" s="1"/>
  <c r="AQ103" i="2" a="1"/>
  <c r="AQ103" i="2" s="1"/>
  <c r="AQ104" i="2" a="1"/>
  <c r="AQ104" i="2" s="1"/>
  <c r="AQ105" i="2" a="1"/>
  <c r="AQ105" i="2" s="1"/>
  <c r="AQ106" i="2" a="1"/>
  <c r="AQ106" i="2" s="1"/>
  <c r="AQ107" i="2" a="1"/>
  <c r="AQ107" i="2" s="1"/>
  <c r="AQ108" i="2" a="1"/>
  <c r="AQ108" i="2" s="1"/>
  <c r="AQ109" i="2" a="1"/>
  <c r="AQ109" i="2" s="1"/>
  <c r="AQ110" i="2" a="1"/>
  <c r="AQ110" i="2" s="1"/>
  <c r="AQ111" i="2" a="1"/>
  <c r="AQ111" i="2" s="1"/>
  <c r="AQ112" i="2" a="1"/>
  <c r="AQ112" i="2" s="1"/>
  <c r="AQ113" i="2" a="1"/>
  <c r="AQ113" i="2" s="1"/>
  <c r="AQ114" i="2" a="1"/>
  <c r="AQ114" i="2" s="1"/>
  <c r="AQ115" i="2" a="1"/>
  <c r="AQ115" i="2" s="1"/>
  <c r="AQ116" i="2" a="1"/>
  <c r="AQ116" i="2" s="1"/>
  <c r="AQ117" i="2" a="1"/>
  <c r="AQ117" i="2" s="1"/>
  <c r="AQ118" i="2" a="1"/>
  <c r="AQ118" i="2" s="1"/>
  <c r="AQ119" i="2" a="1"/>
  <c r="AQ119" i="2" s="1"/>
  <c r="AQ120" i="2" a="1"/>
  <c r="AQ120" i="2" s="1"/>
  <c r="AQ121" i="2" a="1"/>
  <c r="AQ121" i="2" s="1"/>
  <c r="AQ122" i="2" a="1"/>
  <c r="AQ122" i="2" s="1"/>
  <c r="AQ123" i="2" a="1"/>
  <c r="AQ123" i="2" s="1"/>
  <c r="AQ124" i="2" a="1"/>
  <c r="AQ124" i="2" s="1"/>
  <c r="AQ125" i="2" a="1"/>
  <c r="AQ125" i="2" s="1"/>
  <c r="AQ126" i="2" a="1"/>
  <c r="AQ126" i="2" s="1"/>
  <c r="AQ127" i="2" a="1"/>
  <c r="AQ127" i="2" s="1"/>
  <c r="AQ128" i="2" a="1"/>
  <c r="AQ128" i="2" s="1"/>
  <c r="AQ129" i="2" a="1"/>
  <c r="AQ129" i="2" s="1"/>
  <c r="AQ130" i="2" a="1"/>
  <c r="AQ130" i="2" s="1"/>
  <c r="AQ131" i="2" a="1"/>
  <c r="AQ131" i="2" s="1"/>
  <c r="AQ132" i="2" a="1"/>
  <c r="AQ132" i="2" s="1"/>
  <c r="AQ133" i="2" a="1"/>
  <c r="AQ133" i="2" s="1"/>
  <c r="AQ134" i="2" a="1"/>
  <c r="AQ134" i="2" s="1"/>
  <c r="AQ135" i="2" a="1"/>
  <c r="AQ135" i="2" s="1"/>
  <c r="AQ136" i="2" a="1"/>
  <c r="AQ136" i="2" s="1"/>
  <c r="AQ137" i="2" a="1"/>
  <c r="AQ137" i="2" s="1"/>
  <c r="AQ138" i="2" a="1"/>
  <c r="AQ138" i="2" s="1"/>
  <c r="AQ139" i="2" a="1"/>
  <c r="AQ139" i="2" s="1"/>
  <c r="AQ140" i="2" a="1"/>
  <c r="AQ140" i="2" s="1"/>
  <c r="AQ141" i="2" a="1"/>
  <c r="AQ141" i="2" s="1"/>
  <c r="AQ142" i="2" a="1"/>
  <c r="AQ142" i="2" s="1"/>
  <c r="AQ143" i="2" a="1"/>
  <c r="AQ143" i="2" s="1"/>
  <c r="AQ144" i="2" a="1"/>
  <c r="AQ144" i="2" s="1"/>
  <c r="AQ145" i="2" a="1"/>
  <c r="AQ145" i="2" s="1"/>
  <c r="AQ146" i="2" a="1"/>
  <c r="AQ146" i="2" s="1"/>
  <c r="AQ147" i="2" a="1"/>
  <c r="AQ147" i="2" s="1"/>
  <c r="AQ148" i="2" a="1"/>
  <c r="AQ148" i="2" s="1"/>
  <c r="AQ149" i="2" a="1"/>
  <c r="AQ149" i="2" s="1"/>
  <c r="AQ150" i="2" a="1"/>
  <c r="AQ150" i="2" s="1"/>
  <c r="AQ151" i="2" a="1"/>
  <c r="AQ151" i="2" s="1"/>
  <c r="AQ152" i="2" a="1"/>
  <c r="AQ152" i="2" s="1"/>
  <c r="AQ153" i="2" a="1"/>
  <c r="AQ153" i="2" s="1"/>
  <c r="AQ154" i="2" a="1"/>
  <c r="AQ154" i="2" s="1"/>
  <c r="AQ155" i="2" a="1"/>
  <c r="AQ155" i="2" s="1"/>
  <c r="AQ156" i="2" a="1"/>
  <c r="AQ156" i="2" s="1"/>
  <c r="AQ157" i="2" a="1"/>
  <c r="AQ157" i="2" s="1"/>
  <c r="AQ158" i="2" a="1"/>
  <c r="AQ158" i="2" s="1"/>
  <c r="AQ159" i="2" a="1"/>
  <c r="AQ159" i="2" s="1"/>
  <c r="AQ160" i="2" a="1"/>
  <c r="AQ160" i="2" s="1"/>
  <c r="AQ161" i="2" a="1"/>
  <c r="AQ161" i="2" s="1"/>
  <c r="AQ162" i="2" a="1"/>
  <c r="AQ162" i="2" s="1"/>
  <c r="AQ163" i="2" a="1"/>
  <c r="AQ163" i="2" s="1"/>
  <c r="AQ164" i="2" a="1"/>
  <c r="AQ164" i="2" s="1"/>
  <c r="AQ165" i="2" a="1"/>
  <c r="AQ165" i="2" s="1"/>
  <c r="AQ166" i="2" a="1"/>
  <c r="AQ166" i="2" s="1"/>
  <c r="AQ167" i="2" a="1"/>
  <c r="AQ167" i="2" s="1"/>
  <c r="AQ168" i="2" a="1"/>
  <c r="AQ168" i="2" s="1"/>
  <c r="AQ169" i="2" a="1"/>
  <c r="AQ169" i="2" s="1"/>
  <c r="AQ170" i="2" a="1"/>
  <c r="AQ170" i="2" s="1"/>
  <c r="AQ171" i="2" a="1"/>
  <c r="AQ171" i="2" s="1"/>
  <c r="AQ172" i="2" a="1"/>
  <c r="AQ172" i="2" s="1"/>
  <c r="AQ173" i="2" a="1"/>
  <c r="AQ173" i="2" s="1"/>
  <c r="AQ174" i="2" a="1"/>
  <c r="AQ174" i="2" s="1"/>
  <c r="AQ175" i="2" a="1"/>
  <c r="AQ175" i="2" s="1"/>
  <c r="AQ176" i="2" a="1"/>
  <c r="AQ176" i="2" s="1"/>
  <c r="AQ177" i="2" a="1"/>
  <c r="AQ177" i="2" s="1"/>
  <c r="AQ178" i="2" a="1"/>
  <c r="AQ178" i="2" s="1"/>
  <c r="AQ179" i="2" a="1"/>
  <c r="AQ179" i="2" s="1"/>
  <c r="AQ180" i="2" a="1"/>
  <c r="AQ180" i="2" s="1"/>
  <c r="AQ181" i="2" a="1"/>
  <c r="AQ181" i="2" s="1"/>
  <c r="AQ182" i="2" a="1"/>
  <c r="AQ182" i="2" s="1"/>
  <c r="AQ183" i="2" a="1"/>
  <c r="AQ183" i="2" s="1"/>
  <c r="AQ184" i="2" a="1"/>
  <c r="AQ184" i="2" s="1"/>
  <c r="AQ185" i="2" a="1"/>
  <c r="AQ185" i="2" s="1"/>
  <c r="AQ186" i="2" a="1"/>
  <c r="AQ186" i="2" s="1"/>
  <c r="AQ187" i="2" a="1"/>
  <c r="AQ187" i="2" s="1"/>
  <c r="AQ188" i="2" a="1"/>
  <c r="AQ188" i="2" s="1"/>
  <c r="AQ189" i="2" a="1"/>
  <c r="AQ189" i="2" s="1"/>
  <c r="AQ190" i="2" a="1"/>
  <c r="AQ190" i="2" s="1"/>
  <c r="AQ191" i="2" a="1"/>
  <c r="AQ191" i="2" s="1"/>
  <c r="AQ192" i="2" a="1"/>
  <c r="AQ192" i="2" s="1"/>
  <c r="AQ193" i="2" a="1"/>
  <c r="AQ193" i="2" s="1"/>
  <c r="AQ194" i="2" a="1"/>
  <c r="AQ194" i="2" s="1"/>
  <c r="AQ195" i="2" a="1"/>
  <c r="AQ195" i="2" s="1"/>
  <c r="AQ196" i="2" a="1"/>
  <c r="AQ196" i="2" s="1"/>
  <c r="AQ197" i="2" a="1"/>
  <c r="AQ197" i="2" s="1"/>
  <c r="AQ198" i="2" a="1"/>
  <c r="AQ198" i="2" s="1"/>
  <c r="AQ199" i="2" a="1"/>
  <c r="AQ199" i="2" s="1"/>
  <c r="AQ200" i="2" a="1"/>
  <c r="AQ200" i="2" s="1"/>
  <c r="AQ201" i="2" a="1"/>
  <c r="AQ201" i="2" s="1"/>
  <c r="AQ202" i="2" a="1"/>
  <c r="AQ202" i="2" s="1"/>
  <c r="AQ203" i="2" a="1"/>
  <c r="AQ203" i="2" s="1"/>
  <c r="AQ204" i="2" a="1"/>
  <c r="AQ204" i="2" s="1"/>
  <c r="AQ205" i="2" a="1"/>
  <c r="AQ205" i="2" s="1"/>
  <c r="AQ206" i="2" a="1"/>
  <c r="AQ206" i="2" s="1"/>
  <c r="AQ207" i="2" a="1"/>
  <c r="AQ207" i="2" s="1"/>
  <c r="AQ208" i="2" a="1"/>
  <c r="AQ208" i="2" s="1"/>
  <c r="AQ209" i="2" a="1"/>
  <c r="AQ209" i="2" s="1"/>
  <c r="AQ210" i="2" a="1"/>
  <c r="AQ210" i="2" s="1"/>
  <c r="AQ211" i="2" a="1"/>
  <c r="AQ211" i="2" s="1"/>
  <c r="AQ212" i="2" a="1"/>
  <c r="AQ212" i="2" s="1"/>
  <c r="AQ213" i="2" a="1"/>
  <c r="AQ213" i="2" s="1"/>
  <c r="AQ214" i="2" a="1"/>
  <c r="AQ214" i="2" s="1"/>
  <c r="AQ215" i="2" a="1"/>
  <c r="AQ215" i="2" s="1"/>
  <c r="AQ216" i="2" a="1"/>
  <c r="AQ216" i="2" s="1"/>
  <c r="AQ217" i="2" a="1"/>
  <c r="AQ217" i="2" s="1"/>
  <c r="AQ218" i="2" a="1"/>
  <c r="AQ218" i="2" s="1"/>
  <c r="AQ219" i="2" a="1"/>
  <c r="AQ219" i="2" s="1"/>
  <c r="AQ220" i="2" a="1"/>
  <c r="AQ220" i="2" s="1"/>
  <c r="AQ221" i="2" a="1"/>
  <c r="AQ221" i="2" s="1"/>
  <c r="AQ222" i="2" a="1"/>
  <c r="AQ222" i="2" s="1"/>
  <c r="AQ223" i="2" a="1"/>
  <c r="AQ223" i="2" s="1"/>
  <c r="AQ224" i="2" a="1"/>
  <c r="AQ224" i="2" s="1"/>
  <c r="AQ225" i="2" a="1"/>
  <c r="AQ225" i="2" s="1"/>
  <c r="AQ226" i="2" a="1"/>
  <c r="AQ226" i="2" s="1"/>
  <c r="AQ227" i="2" a="1"/>
  <c r="AQ227" i="2" s="1"/>
  <c r="AQ228" i="2" a="1"/>
  <c r="AQ228" i="2" s="1"/>
  <c r="AQ229" i="2" a="1"/>
  <c r="AQ229" i="2" s="1"/>
  <c r="AQ230" i="2" a="1"/>
  <c r="AQ230" i="2" s="1"/>
  <c r="AQ231" i="2" a="1"/>
  <c r="AQ231" i="2" s="1"/>
  <c r="AQ232" i="2" a="1"/>
  <c r="AQ232" i="2" s="1"/>
  <c r="AQ233" i="2" a="1"/>
  <c r="AQ233" i="2" s="1"/>
  <c r="AQ234" i="2" a="1"/>
  <c r="AQ234" i="2" s="1"/>
  <c r="AQ235" i="2" a="1"/>
  <c r="AQ235" i="2" s="1"/>
  <c r="AQ236" i="2" a="1"/>
  <c r="AQ236" i="2" s="1"/>
  <c r="AQ237" i="2" a="1"/>
  <c r="AQ237" i="2" s="1"/>
  <c r="AQ238" i="2" a="1"/>
  <c r="AQ238" i="2" s="1"/>
  <c r="AQ239" i="2" a="1"/>
  <c r="AQ239" i="2" s="1"/>
  <c r="AQ240" i="2" a="1"/>
  <c r="AQ240" i="2" s="1"/>
  <c r="AQ241" i="2" a="1"/>
  <c r="AQ241" i="2" s="1"/>
  <c r="AQ242" i="2" a="1"/>
  <c r="AQ242" i="2" s="1"/>
  <c r="AQ243" i="2" a="1"/>
  <c r="AQ243" i="2" s="1"/>
  <c r="AQ244" i="2" a="1"/>
  <c r="AQ244" i="2" s="1"/>
  <c r="AQ245" i="2" a="1"/>
  <c r="AQ245" i="2" s="1"/>
  <c r="AQ246" i="2" a="1"/>
  <c r="AQ246" i="2" s="1"/>
  <c r="AQ247" i="2" a="1"/>
  <c r="AQ247" i="2" s="1"/>
  <c r="AQ248" i="2" a="1"/>
  <c r="AQ248" i="2" s="1"/>
  <c r="AQ249" i="2" a="1"/>
  <c r="AQ249" i="2" s="1"/>
  <c r="AQ250" i="2" a="1"/>
  <c r="AQ250" i="2" s="1"/>
  <c r="AQ251" i="2" a="1"/>
  <c r="AQ251" i="2" s="1"/>
  <c r="AQ252" i="2" a="1"/>
  <c r="AQ252" i="2" s="1"/>
  <c r="AQ253" i="2" a="1"/>
  <c r="AQ253" i="2" s="1"/>
  <c r="AQ254" i="2" a="1"/>
  <c r="AQ254" i="2" s="1"/>
  <c r="AQ255" i="2" a="1"/>
  <c r="AQ255" i="2" s="1"/>
  <c r="AQ256" i="2" a="1"/>
  <c r="AQ256" i="2" s="1"/>
  <c r="AQ257" i="2" a="1"/>
  <c r="AQ257" i="2" s="1"/>
  <c r="AQ258" i="2" a="1"/>
  <c r="AQ258" i="2" s="1"/>
  <c r="AQ259" i="2" a="1"/>
  <c r="AQ259" i="2" s="1"/>
  <c r="AQ260" i="2" a="1"/>
  <c r="AQ260" i="2" s="1"/>
  <c r="AQ261" i="2" a="1"/>
  <c r="AQ261" i="2" s="1"/>
  <c r="AQ262" i="2" a="1"/>
  <c r="AQ262" i="2" s="1"/>
  <c r="AQ263" i="2" a="1"/>
  <c r="AQ263" i="2" s="1"/>
  <c r="AQ264" i="2" a="1"/>
  <c r="AQ264" i="2" s="1"/>
  <c r="AQ265" i="2" a="1"/>
  <c r="AQ265" i="2" s="1"/>
  <c r="AQ266" i="2" a="1"/>
  <c r="AQ266" i="2" s="1"/>
  <c r="AQ267" i="2" a="1"/>
  <c r="AQ267" i="2" s="1"/>
  <c r="AQ268" i="2" a="1"/>
  <c r="AQ268" i="2" s="1"/>
  <c r="AQ269" i="2" a="1"/>
  <c r="AQ269" i="2" s="1"/>
  <c r="AQ270" i="2" a="1"/>
  <c r="AQ270" i="2" s="1"/>
  <c r="AQ271" i="2" a="1"/>
  <c r="AQ271" i="2" s="1"/>
  <c r="AQ272" i="2" a="1"/>
  <c r="AQ272" i="2" s="1"/>
  <c r="AQ273" i="2" a="1"/>
  <c r="AQ273" i="2" s="1"/>
  <c r="AQ274" i="2" a="1"/>
  <c r="AQ274" i="2" s="1"/>
  <c r="AQ275" i="2" a="1"/>
  <c r="AQ275" i="2" s="1"/>
  <c r="AQ276" i="2" a="1"/>
  <c r="AQ276" i="2" s="1"/>
  <c r="AQ277" i="2" a="1"/>
  <c r="AQ277" i="2" s="1"/>
  <c r="AQ278" i="2" a="1"/>
  <c r="AQ278" i="2" s="1"/>
  <c r="AQ279" i="2" a="1"/>
  <c r="AQ279" i="2" s="1"/>
  <c r="AQ280" i="2" a="1"/>
  <c r="AQ280" i="2" s="1"/>
  <c r="AQ281" i="2" a="1"/>
  <c r="AQ281" i="2" s="1"/>
  <c r="AQ282" i="2" a="1"/>
  <c r="AQ282" i="2" s="1"/>
  <c r="AQ283" i="2" a="1"/>
  <c r="AQ283" i="2" s="1"/>
  <c r="AQ284" i="2" a="1"/>
  <c r="AQ284" i="2" s="1"/>
  <c r="AQ285" i="2" a="1"/>
  <c r="AQ285" i="2" s="1"/>
  <c r="AQ286" i="2" a="1"/>
  <c r="AQ286" i="2" s="1"/>
  <c r="AQ287" i="2" a="1"/>
  <c r="AQ287" i="2" s="1"/>
  <c r="AQ288" i="2" a="1"/>
  <c r="AQ288" i="2" s="1"/>
  <c r="AQ289" i="2" a="1"/>
  <c r="AQ289" i="2" s="1"/>
  <c r="AQ290" i="2" a="1"/>
  <c r="AQ290" i="2" s="1"/>
  <c r="AQ291" i="2" a="1"/>
  <c r="AQ291" i="2" s="1"/>
  <c r="AQ292" i="2" a="1"/>
  <c r="AQ292" i="2" s="1"/>
  <c r="AQ293" i="2" a="1"/>
  <c r="AQ293" i="2" s="1"/>
  <c r="AQ294" i="2" a="1"/>
  <c r="AQ294" i="2" s="1"/>
  <c r="AQ295" i="2" a="1"/>
  <c r="AQ295" i="2" s="1"/>
  <c r="AQ296" i="2" a="1"/>
  <c r="AQ296" i="2" s="1"/>
  <c r="AQ297" i="2" a="1"/>
  <c r="AQ297" i="2" s="1"/>
  <c r="AQ298" i="2" a="1"/>
  <c r="AQ298" i="2" s="1"/>
  <c r="AQ299" i="2" a="1"/>
  <c r="AQ299" i="2" s="1"/>
  <c r="AQ300" i="2" a="1"/>
  <c r="AQ300" i="2" s="1"/>
  <c r="AQ301" i="2" a="1"/>
  <c r="AQ301" i="2" s="1"/>
  <c r="AQ302" i="2" a="1"/>
  <c r="AQ302" i="2" s="1"/>
  <c r="AQ303" i="2" a="1"/>
  <c r="AQ303" i="2" s="1"/>
  <c r="AQ304" i="2" a="1"/>
  <c r="AQ304" i="2" s="1"/>
  <c r="AQ305" i="2" a="1"/>
  <c r="AQ305" i="2" s="1"/>
  <c r="AQ306" i="2" a="1"/>
  <c r="AQ306" i="2" s="1"/>
  <c r="AQ307" i="2" a="1"/>
  <c r="AQ307" i="2" s="1"/>
  <c r="AQ308" i="2" a="1"/>
  <c r="AQ308" i="2" s="1"/>
  <c r="AQ309" i="2" a="1"/>
  <c r="AQ309" i="2" s="1"/>
  <c r="AQ310" i="2" a="1"/>
  <c r="AQ310" i="2" s="1"/>
  <c r="AQ311" i="2" a="1"/>
  <c r="AQ311" i="2" s="1"/>
  <c r="AQ312" i="2" a="1"/>
  <c r="AQ312" i="2" s="1"/>
  <c r="AQ313" i="2" a="1"/>
  <c r="AQ313" i="2" s="1"/>
  <c r="AQ314" i="2" a="1"/>
  <c r="AQ314" i="2" s="1"/>
  <c r="AQ315" i="2" a="1"/>
  <c r="AQ315" i="2" s="1"/>
  <c r="AQ316" i="2" a="1"/>
  <c r="AQ316" i="2" s="1"/>
  <c r="AQ317" i="2" a="1"/>
  <c r="AQ317" i="2" s="1"/>
  <c r="AQ318" i="2" a="1"/>
  <c r="AQ318" i="2" s="1"/>
  <c r="AQ319" i="2" a="1"/>
  <c r="AQ319" i="2" s="1"/>
  <c r="AQ320" i="2" a="1"/>
  <c r="AQ320" i="2" s="1"/>
  <c r="AQ321" i="2" a="1"/>
  <c r="AQ321" i="2" s="1"/>
  <c r="AQ322" i="2" a="1"/>
  <c r="AQ322" i="2" s="1"/>
  <c r="AQ323" i="2" a="1"/>
  <c r="AQ323" i="2" s="1"/>
  <c r="AQ324" i="2" a="1"/>
  <c r="AQ324" i="2" s="1"/>
  <c r="AQ325" i="2" a="1"/>
  <c r="AQ325" i="2" s="1"/>
  <c r="AQ326" i="2" a="1"/>
  <c r="AQ326" i="2" s="1"/>
  <c r="AQ327" i="2" a="1"/>
  <c r="AQ327" i="2" s="1"/>
  <c r="AQ328" i="2" a="1"/>
  <c r="AQ328" i="2" s="1"/>
  <c r="AQ329" i="2" a="1"/>
  <c r="AQ329" i="2" s="1"/>
  <c r="AQ330" i="2" a="1"/>
  <c r="AQ330" i="2" s="1"/>
  <c r="AQ331" i="2" a="1"/>
  <c r="AQ331" i="2" s="1"/>
  <c r="AQ332" i="2" a="1"/>
  <c r="AQ332" i="2" s="1"/>
  <c r="AQ333" i="2" a="1"/>
  <c r="AQ333" i="2" s="1"/>
  <c r="AQ334" i="2" a="1"/>
  <c r="AQ334" i="2" s="1"/>
  <c r="AQ335" i="2" a="1"/>
  <c r="AQ335" i="2" s="1"/>
  <c r="AQ336" i="2" a="1"/>
  <c r="AQ336" i="2" s="1"/>
  <c r="AQ337" i="2" a="1"/>
  <c r="AQ337" i="2" s="1"/>
  <c r="AQ338" i="2" a="1"/>
  <c r="AQ338" i="2" s="1"/>
  <c r="AQ339" i="2" a="1"/>
  <c r="AQ339" i="2" s="1"/>
  <c r="AQ340" i="2" a="1"/>
  <c r="AQ340" i="2" s="1"/>
  <c r="AQ341" i="2" a="1"/>
  <c r="AQ341" i="2" s="1"/>
  <c r="AQ342" i="2" a="1"/>
  <c r="AQ342" i="2" s="1"/>
  <c r="AQ343" i="2" a="1"/>
  <c r="AQ343" i="2" s="1"/>
  <c r="AQ344" i="2" a="1"/>
  <c r="AQ344" i="2" s="1"/>
  <c r="AQ345" i="2" a="1"/>
  <c r="AQ345" i="2" s="1"/>
  <c r="AQ346" i="2" a="1"/>
  <c r="AQ346" i="2" s="1"/>
  <c r="AQ347" i="2" a="1"/>
  <c r="AQ347" i="2" s="1"/>
  <c r="AQ348" i="2" a="1"/>
  <c r="AQ348" i="2" s="1"/>
  <c r="AQ349" i="2" a="1"/>
  <c r="AQ349" i="2" s="1"/>
  <c r="AQ350" i="2" a="1"/>
  <c r="AQ350" i="2" s="1"/>
  <c r="AQ351" i="2" a="1"/>
  <c r="AQ351" i="2" s="1"/>
  <c r="AQ352" i="2" a="1"/>
  <c r="AQ352" i="2" s="1"/>
  <c r="AQ353" i="2" a="1"/>
  <c r="AQ353" i="2" s="1"/>
  <c r="AQ354" i="2" a="1"/>
  <c r="AQ354" i="2" s="1"/>
  <c r="AQ355" i="2" a="1"/>
  <c r="AQ355" i="2" s="1"/>
  <c r="AQ356" i="2" a="1"/>
  <c r="AQ356" i="2" s="1"/>
  <c r="AQ357" i="2" a="1"/>
  <c r="AQ357" i="2" s="1"/>
  <c r="AQ358" i="2" a="1"/>
  <c r="AQ358" i="2" s="1"/>
  <c r="AQ359" i="2" a="1"/>
  <c r="AQ359" i="2" s="1"/>
  <c r="AQ360" i="2" a="1"/>
  <c r="AQ360" i="2" s="1"/>
  <c r="AQ361" i="2" a="1"/>
  <c r="AQ361" i="2" s="1"/>
  <c r="AQ362" i="2" a="1"/>
  <c r="AQ362" i="2" s="1"/>
  <c r="AQ363" i="2" a="1"/>
  <c r="AQ363" i="2" s="1"/>
  <c r="AQ364" i="2" a="1"/>
  <c r="AQ364" i="2" s="1"/>
  <c r="AQ365" i="2" a="1"/>
  <c r="AQ365" i="2" s="1"/>
  <c r="AQ366" i="2" a="1"/>
  <c r="AQ366" i="2" s="1"/>
  <c r="AQ367" i="2" a="1"/>
  <c r="AQ367" i="2" s="1"/>
  <c r="AQ368" i="2" a="1"/>
  <c r="AQ368" i="2" s="1"/>
  <c r="AQ369" i="2" a="1"/>
  <c r="AQ369" i="2" s="1"/>
  <c r="AQ370" i="2" a="1"/>
  <c r="AQ370" i="2" s="1"/>
  <c r="AQ371" i="2" a="1"/>
  <c r="AQ371" i="2" s="1"/>
  <c r="AQ372" i="2" a="1"/>
  <c r="AQ372" i="2" s="1"/>
  <c r="AQ373" i="2" a="1"/>
  <c r="AQ373" i="2" s="1"/>
  <c r="AQ374" i="2" a="1"/>
  <c r="AQ374" i="2" s="1"/>
  <c r="AQ375" i="2" a="1"/>
  <c r="AQ375" i="2" s="1"/>
  <c r="AQ376" i="2" a="1"/>
  <c r="AQ376" i="2" s="1"/>
  <c r="AQ377" i="2" a="1"/>
  <c r="AQ377" i="2" s="1"/>
  <c r="AQ378" i="2" a="1"/>
  <c r="AQ378" i="2" s="1"/>
  <c r="AQ379" i="2" a="1"/>
  <c r="AQ379" i="2" s="1"/>
  <c r="AQ380" i="2" a="1"/>
  <c r="AQ380" i="2" s="1"/>
  <c r="AQ381" i="2" a="1"/>
  <c r="AQ381" i="2" s="1"/>
  <c r="AQ382" i="2" a="1"/>
  <c r="AQ382" i="2" s="1"/>
  <c r="AQ383" i="2" a="1"/>
  <c r="AQ383" i="2" s="1"/>
  <c r="AQ384" i="2" a="1"/>
  <c r="AQ384" i="2" s="1"/>
  <c r="AQ385" i="2" a="1"/>
  <c r="AQ385" i="2" s="1"/>
  <c r="AQ386" i="2" a="1"/>
  <c r="AQ386" i="2" s="1"/>
  <c r="AQ387" i="2" a="1"/>
  <c r="AQ387" i="2" s="1"/>
  <c r="AQ388" i="2" a="1"/>
  <c r="AQ388" i="2" s="1"/>
  <c r="AQ389" i="2" a="1"/>
  <c r="AQ389" i="2" s="1"/>
  <c r="AQ390" i="2" a="1"/>
  <c r="AQ390" i="2" s="1"/>
  <c r="AQ391" i="2" a="1"/>
  <c r="AQ391" i="2" s="1"/>
  <c r="AQ392" i="2" a="1"/>
  <c r="AQ392" i="2" s="1"/>
  <c r="AQ393" i="2" a="1"/>
  <c r="AQ393" i="2" s="1"/>
  <c r="AQ394" i="2" a="1"/>
  <c r="AQ394" i="2" s="1"/>
  <c r="AQ395" i="2" a="1"/>
  <c r="AQ395" i="2" s="1"/>
  <c r="AQ396" i="2" a="1"/>
  <c r="AQ396" i="2" s="1"/>
  <c r="AQ397" i="2" a="1"/>
  <c r="AQ397" i="2" s="1"/>
  <c r="AQ398" i="2" a="1"/>
  <c r="AQ398" i="2" s="1"/>
  <c r="AQ399" i="2" a="1"/>
  <c r="AQ399" i="2" s="1"/>
  <c r="AQ400" i="2" a="1"/>
  <c r="AQ400" i="2" s="1"/>
  <c r="AQ401" i="2" a="1"/>
  <c r="AQ401" i="2" s="1"/>
  <c r="AQ402" i="2" a="1"/>
  <c r="AQ402" i="2" s="1"/>
  <c r="AQ403" i="2" a="1"/>
  <c r="AQ403" i="2" s="1"/>
  <c r="AQ404" i="2" a="1"/>
  <c r="AQ404" i="2" s="1"/>
  <c r="AQ405" i="2" a="1"/>
  <c r="AQ405" i="2" s="1"/>
  <c r="AQ406" i="2" a="1"/>
  <c r="AQ406" i="2" s="1"/>
  <c r="AQ407" i="2" a="1"/>
  <c r="AQ407" i="2" s="1"/>
  <c r="AQ408" i="2" a="1"/>
  <c r="AQ408" i="2" s="1"/>
  <c r="AQ409" i="2" a="1"/>
  <c r="AQ409" i="2" s="1"/>
  <c r="AQ410" i="2" a="1"/>
  <c r="AQ410" i="2" s="1"/>
  <c r="AQ411" i="2" a="1"/>
  <c r="AQ411" i="2" s="1"/>
  <c r="AQ412" i="2" a="1"/>
  <c r="AQ412" i="2" s="1"/>
  <c r="AQ413" i="2" a="1"/>
  <c r="AQ413" i="2" s="1"/>
  <c r="AQ414" i="2" a="1"/>
  <c r="AQ414" i="2" s="1"/>
  <c r="AQ415" i="2" a="1"/>
  <c r="AQ415" i="2" s="1"/>
  <c r="AQ416" i="2" a="1"/>
  <c r="AQ416" i="2" s="1"/>
  <c r="AQ417" i="2" a="1"/>
  <c r="AQ417" i="2" s="1"/>
  <c r="AQ418" i="2" a="1"/>
  <c r="AQ418" i="2" s="1"/>
  <c r="AQ419" i="2" a="1"/>
  <c r="AQ419" i="2" s="1"/>
  <c r="AQ420" i="2" a="1"/>
  <c r="AQ420" i="2" s="1"/>
  <c r="AQ421" i="2" a="1"/>
  <c r="AQ421" i="2" s="1"/>
  <c r="AQ422" i="2" a="1"/>
  <c r="AQ422" i="2" s="1"/>
  <c r="AQ423" i="2" a="1"/>
  <c r="AQ423" i="2" s="1"/>
  <c r="AQ424" i="2" a="1"/>
  <c r="AQ424" i="2" s="1"/>
  <c r="AQ425" i="2" a="1"/>
  <c r="AQ425" i="2" s="1"/>
  <c r="AQ426" i="2" a="1"/>
  <c r="AQ426" i="2" s="1"/>
  <c r="AQ427" i="2" a="1"/>
  <c r="AQ427" i="2" s="1"/>
  <c r="AQ428" i="2" a="1"/>
  <c r="AQ428" i="2" s="1"/>
  <c r="AQ429" i="2" a="1"/>
  <c r="AQ429" i="2" s="1"/>
  <c r="AQ430" i="2" a="1"/>
  <c r="AQ430" i="2" s="1"/>
  <c r="AQ431" i="2" a="1"/>
  <c r="AQ431" i="2" s="1"/>
  <c r="AQ432" i="2" a="1"/>
  <c r="AQ432" i="2" s="1"/>
  <c r="AQ433" i="2" a="1"/>
  <c r="AQ433" i="2" s="1"/>
  <c r="AQ434" i="2" a="1"/>
  <c r="AQ434" i="2" s="1"/>
  <c r="AQ435" i="2" a="1"/>
  <c r="AQ435" i="2" s="1"/>
  <c r="AQ436" i="2" a="1"/>
  <c r="AQ436" i="2" s="1"/>
  <c r="AQ437" i="2" a="1"/>
  <c r="AQ437" i="2" s="1"/>
  <c r="AQ438" i="2" a="1"/>
  <c r="AQ438" i="2" s="1"/>
  <c r="AQ439" i="2" a="1"/>
  <c r="AQ439" i="2" s="1"/>
  <c r="AQ440" i="2" a="1"/>
  <c r="AQ440" i="2" s="1"/>
  <c r="AQ441" i="2" a="1"/>
  <c r="AQ441" i="2" s="1"/>
  <c r="AQ442" i="2" a="1"/>
  <c r="AQ442" i="2" s="1"/>
  <c r="AQ443" i="2" a="1"/>
  <c r="AQ443" i="2" s="1"/>
  <c r="AQ444" i="2" a="1"/>
  <c r="AQ444" i="2" s="1"/>
  <c r="AQ445" i="2" a="1"/>
  <c r="AQ445" i="2" s="1"/>
  <c r="AQ446" i="2" a="1"/>
  <c r="AQ446" i="2" s="1"/>
  <c r="AQ447" i="2" a="1"/>
  <c r="AQ447" i="2" s="1"/>
  <c r="AQ448" i="2" a="1"/>
  <c r="AQ448" i="2" s="1"/>
  <c r="AQ449" i="2" a="1"/>
  <c r="AQ449" i="2" s="1"/>
  <c r="AQ450" i="2" a="1"/>
  <c r="AQ450" i="2" s="1"/>
  <c r="AQ451" i="2" a="1"/>
  <c r="AQ451" i="2" s="1"/>
  <c r="AQ452" i="2" a="1"/>
  <c r="AQ452" i="2" s="1"/>
  <c r="AQ453" i="2" a="1"/>
  <c r="AQ453" i="2" s="1"/>
  <c r="AQ454" i="2" a="1"/>
  <c r="AQ454" i="2" s="1"/>
  <c r="AQ455" i="2" a="1"/>
  <c r="AQ455" i="2" s="1"/>
  <c r="AQ456" i="2" a="1"/>
  <c r="AQ456" i="2" s="1"/>
  <c r="AQ457" i="2" a="1"/>
  <c r="AQ457" i="2" s="1"/>
  <c r="AQ458" i="2" a="1"/>
  <c r="AQ458" i="2" s="1"/>
  <c r="AQ459" i="2" a="1"/>
  <c r="AQ459" i="2" s="1"/>
  <c r="AQ460" i="2" a="1"/>
  <c r="AQ460" i="2" s="1"/>
  <c r="AQ461" i="2" a="1"/>
  <c r="AQ461" i="2" s="1"/>
  <c r="AQ462" i="2" a="1"/>
  <c r="AQ462" i="2" s="1"/>
  <c r="AQ463" i="2" a="1"/>
  <c r="AQ463" i="2" s="1"/>
  <c r="AQ464" i="2" a="1"/>
  <c r="AQ464" i="2" s="1"/>
  <c r="AQ465" i="2" a="1"/>
  <c r="AQ465" i="2" s="1"/>
  <c r="AQ466" i="2" a="1"/>
  <c r="AQ466" i="2" s="1"/>
  <c r="AQ467" i="2" a="1"/>
  <c r="AQ467" i="2" s="1"/>
  <c r="AQ468" i="2" a="1"/>
  <c r="AQ468" i="2" s="1"/>
  <c r="AQ469" i="2" a="1"/>
  <c r="AQ469" i="2" s="1"/>
  <c r="AQ470" i="2" a="1"/>
  <c r="AQ470" i="2" s="1"/>
  <c r="AQ471" i="2" a="1"/>
  <c r="AQ471" i="2" s="1"/>
  <c r="AQ472" i="2" a="1"/>
  <c r="AQ472" i="2" s="1"/>
  <c r="AQ473" i="2" a="1"/>
  <c r="AQ473" i="2" s="1"/>
  <c r="AQ474" i="2" a="1"/>
  <c r="AQ474" i="2" s="1"/>
  <c r="AQ475" i="2" a="1"/>
  <c r="AQ475" i="2" s="1"/>
  <c r="AQ476" i="2" a="1"/>
  <c r="AQ476" i="2" s="1"/>
  <c r="AQ477" i="2" a="1"/>
  <c r="AQ477" i="2" s="1"/>
  <c r="AQ478" i="2" a="1"/>
  <c r="AQ478" i="2" s="1"/>
  <c r="AQ479" i="2" a="1"/>
  <c r="AQ479" i="2" s="1"/>
  <c r="AQ480" i="2" a="1"/>
  <c r="AQ480" i="2" s="1"/>
  <c r="AQ481" i="2" a="1"/>
  <c r="AQ481" i="2" s="1"/>
  <c r="AQ482" i="2" a="1"/>
  <c r="AQ482" i="2" s="1"/>
  <c r="AQ483" i="2" a="1"/>
  <c r="AQ483" i="2" s="1"/>
  <c r="AQ484" i="2" a="1"/>
  <c r="AQ484" i="2" s="1"/>
  <c r="AQ485" i="2" a="1"/>
  <c r="AQ485" i="2" s="1"/>
  <c r="AQ486" i="2" a="1"/>
  <c r="AQ486" i="2" s="1"/>
  <c r="AQ487" i="2" a="1"/>
  <c r="AQ487" i="2" s="1"/>
  <c r="AQ488" i="2" a="1"/>
  <c r="AQ488" i="2" s="1"/>
  <c r="AQ489" i="2" a="1"/>
  <c r="AQ489" i="2" s="1"/>
  <c r="AQ490" i="2" a="1"/>
  <c r="AQ490" i="2" s="1"/>
  <c r="AQ491" i="2" a="1"/>
  <c r="AQ491" i="2" s="1"/>
  <c r="AQ492" i="2" a="1"/>
  <c r="AQ492" i="2" s="1"/>
  <c r="AQ493" i="2" a="1"/>
  <c r="AQ493" i="2" s="1"/>
  <c r="AQ494" i="2" a="1"/>
  <c r="AQ494" i="2" s="1"/>
  <c r="AQ495" i="2" a="1"/>
  <c r="AQ495" i="2" s="1"/>
  <c r="AQ496" i="2" a="1"/>
  <c r="AQ496" i="2" s="1"/>
  <c r="AQ497" i="2" a="1"/>
  <c r="AQ497" i="2" s="1"/>
  <c r="AQ498" i="2" a="1"/>
  <c r="AQ498" i="2" s="1"/>
  <c r="AQ499" i="2" a="1"/>
  <c r="AQ499" i="2" s="1"/>
  <c r="AQ500" i="2" a="1"/>
  <c r="AQ500" i="2" s="1"/>
  <c r="AQ501" i="2" a="1"/>
  <c r="AQ501" i="2" s="1"/>
  <c r="AQ502" i="2" a="1"/>
  <c r="AQ502" i="2" s="1"/>
  <c r="AQ503" i="2" a="1"/>
  <c r="AQ503" i="2" s="1"/>
  <c r="AQ504" i="2" a="1"/>
  <c r="AQ504" i="2" s="1"/>
  <c r="AQ505" i="2" a="1"/>
  <c r="AQ505" i="2" s="1"/>
  <c r="AQ506" i="2" a="1"/>
  <c r="AQ506" i="2" s="1"/>
  <c r="AQ507" i="2" a="1"/>
  <c r="AQ507" i="2" s="1"/>
  <c r="AQ508" i="2" a="1"/>
  <c r="AQ508" i="2" s="1"/>
  <c r="AQ509" i="2" a="1"/>
  <c r="AQ509" i="2" s="1"/>
  <c r="AQ510" i="2" a="1"/>
  <c r="AQ510" i="2" s="1"/>
  <c r="AQ511" i="2" a="1"/>
  <c r="AQ511" i="2" s="1"/>
  <c r="AQ512" i="2" a="1"/>
  <c r="AQ512" i="2" s="1"/>
  <c r="AQ513" i="2" a="1"/>
  <c r="AQ513" i="2" s="1"/>
  <c r="AQ514" i="2" a="1"/>
  <c r="AQ514" i="2" s="1"/>
  <c r="AQ515" i="2" a="1"/>
  <c r="AQ515" i="2" s="1"/>
  <c r="AQ516" i="2" a="1"/>
  <c r="AQ516" i="2" s="1"/>
  <c r="AQ517" i="2" a="1"/>
  <c r="AQ517" i="2" s="1"/>
  <c r="AQ518" i="2" a="1"/>
  <c r="AQ518" i="2" s="1"/>
  <c r="AQ519" i="2" a="1"/>
  <c r="AQ519" i="2" s="1"/>
  <c r="AQ520" i="2" a="1"/>
  <c r="AQ520" i="2" s="1"/>
  <c r="AQ521" i="2" a="1"/>
  <c r="AQ521" i="2" s="1"/>
  <c r="AQ522" i="2" a="1"/>
  <c r="AQ522" i="2" s="1"/>
  <c r="AQ523" i="2" a="1"/>
  <c r="AQ523" i="2" s="1"/>
  <c r="AQ524" i="2" a="1"/>
  <c r="AQ524" i="2" s="1"/>
  <c r="AQ525" i="2" a="1"/>
  <c r="AQ525" i="2" s="1"/>
  <c r="AQ526" i="2" a="1"/>
  <c r="AQ526" i="2" s="1"/>
  <c r="AQ527" i="2" a="1"/>
  <c r="AQ527" i="2" s="1"/>
  <c r="AQ528" i="2" a="1"/>
  <c r="AQ528" i="2" s="1"/>
  <c r="AQ529" i="2" a="1"/>
  <c r="AQ529" i="2" s="1"/>
  <c r="AQ530" i="2" a="1"/>
  <c r="AQ530" i="2" s="1"/>
  <c r="AQ531" i="2" a="1"/>
  <c r="AQ531" i="2" s="1"/>
  <c r="AQ532" i="2" a="1"/>
  <c r="AQ532" i="2" s="1"/>
  <c r="AQ533" i="2" a="1"/>
  <c r="AQ533" i="2" s="1"/>
  <c r="AQ534" i="2" a="1"/>
  <c r="AQ534" i="2" s="1"/>
  <c r="AQ535" i="2" a="1"/>
  <c r="AQ535" i="2" s="1"/>
  <c r="AQ536" i="2" a="1"/>
  <c r="AQ536" i="2" s="1"/>
  <c r="AQ537" i="2" a="1"/>
  <c r="AQ537" i="2" s="1"/>
  <c r="AQ538" i="2" a="1"/>
  <c r="AQ538" i="2" s="1"/>
  <c r="AQ539" i="2" a="1"/>
  <c r="AQ539" i="2" s="1"/>
  <c r="AQ540" i="2" a="1"/>
  <c r="AQ540" i="2" s="1"/>
  <c r="AQ541" i="2" a="1"/>
  <c r="AQ541" i="2" s="1"/>
  <c r="AQ542" i="2" a="1"/>
  <c r="AQ542" i="2" s="1"/>
  <c r="AQ543" i="2" a="1"/>
  <c r="AQ543" i="2" s="1"/>
  <c r="AQ544" i="2" a="1"/>
  <c r="AQ544" i="2" s="1"/>
  <c r="AQ545" i="2" a="1"/>
  <c r="AQ545" i="2" s="1"/>
  <c r="AQ546" i="2" a="1"/>
  <c r="AQ546" i="2" s="1"/>
  <c r="AQ547" i="2" a="1"/>
  <c r="AQ547" i="2" s="1"/>
  <c r="AQ548" i="2" a="1"/>
  <c r="AQ548" i="2" s="1"/>
  <c r="AQ549" i="2" a="1"/>
  <c r="AQ549" i="2" s="1"/>
  <c r="AQ550" i="2" a="1"/>
  <c r="AQ550" i="2" s="1"/>
  <c r="AQ551" i="2" a="1"/>
  <c r="AQ551" i="2" s="1"/>
  <c r="AQ552" i="2" a="1"/>
  <c r="AQ552" i="2" s="1"/>
  <c r="AQ553" i="2" a="1"/>
  <c r="AQ553" i="2" s="1"/>
  <c r="AQ554" i="2" a="1"/>
  <c r="AQ554" i="2" s="1"/>
  <c r="AQ555" i="2" a="1"/>
  <c r="AQ555" i="2" s="1"/>
  <c r="AQ556" i="2" a="1"/>
  <c r="AQ556" i="2" s="1"/>
  <c r="AQ557" i="2" a="1"/>
  <c r="AQ557" i="2" s="1"/>
  <c r="AQ558" i="2" a="1"/>
  <c r="AQ558" i="2" s="1"/>
  <c r="AQ559" i="2" a="1"/>
  <c r="AQ559" i="2" s="1"/>
  <c r="AQ560" i="2" a="1"/>
  <c r="AQ560" i="2" s="1"/>
  <c r="AQ561" i="2" a="1"/>
  <c r="AQ561" i="2" s="1"/>
  <c r="AQ562" i="2" a="1"/>
  <c r="AQ562" i="2" s="1"/>
  <c r="AQ563" i="2" a="1"/>
  <c r="AQ563" i="2" s="1"/>
  <c r="AQ564" i="2" a="1"/>
  <c r="AQ564" i="2" s="1"/>
  <c r="AQ565" i="2" a="1"/>
  <c r="AQ565" i="2" s="1"/>
  <c r="AQ566" i="2" a="1"/>
  <c r="AQ566" i="2" s="1"/>
  <c r="AQ567" i="2" a="1"/>
  <c r="AQ567" i="2" s="1"/>
  <c r="AQ568" i="2" a="1"/>
  <c r="AQ568" i="2" s="1"/>
  <c r="AQ569" i="2" a="1"/>
  <c r="AQ569" i="2" s="1"/>
  <c r="AQ570" i="2" a="1"/>
  <c r="AQ570" i="2" s="1"/>
  <c r="AQ571" i="2" a="1"/>
  <c r="AQ571" i="2" s="1"/>
  <c r="AQ572" i="2" a="1"/>
  <c r="AQ572" i="2" s="1"/>
  <c r="AQ573" i="2" a="1"/>
  <c r="AQ573" i="2" s="1"/>
  <c r="AQ574" i="2" a="1"/>
  <c r="AQ574" i="2" s="1"/>
  <c r="AQ575" i="2" a="1"/>
  <c r="AQ575" i="2" s="1"/>
  <c r="AQ576" i="2" a="1"/>
  <c r="AQ576" i="2" s="1"/>
  <c r="AQ577" i="2" a="1"/>
  <c r="AQ577" i="2" s="1"/>
  <c r="AQ578" i="2" a="1"/>
  <c r="AQ578" i="2" s="1"/>
  <c r="AQ579" i="2" a="1"/>
  <c r="AQ579" i="2" s="1"/>
  <c r="AQ580" i="2" a="1"/>
  <c r="AQ580" i="2" s="1"/>
  <c r="AQ581" i="2" a="1"/>
  <c r="AQ581" i="2" s="1"/>
  <c r="AQ582" i="2" a="1"/>
  <c r="AQ582" i="2" s="1"/>
  <c r="AQ583" i="2" a="1"/>
  <c r="AQ583" i="2" s="1"/>
  <c r="AQ584" i="2" a="1"/>
  <c r="AQ584" i="2" s="1"/>
  <c r="AQ585" i="2" a="1"/>
  <c r="AQ585" i="2" s="1"/>
  <c r="AQ586" i="2" a="1"/>
  <c r="AQ586" i="2" s="1"/>
  <c r="AQ587" i="2" a="1"/>
  <c r="AQ587" i="2" s="1"/>
  <c r="AQ588" i="2" a="1"/>
  <c r="AQ588" i="2" s="1"/>
  <c r="AQ589" i="2" a="1"/>
  <c r="AQ589" i="2" s="1"/>
  <c r="AQ590" i="2" a="1"/>
  <c r="AQ590" i="2" s="1"/>
  <c r="AQ591" i="2" a="1"/>
  <c r="AQ591" i="2" s="1"/>
  <c r="AQ592" i="2" a="1"/>
  <c r="AQ592" i="2" s="1"/>
  <c r="AQ593" i="2" a="1"/>
  <c r="AQ593" i="2" s="1"/>
  <c r="AQ594" i="2" a="1"/>
  <c r="AQ594" i="2" s="1"/>
  <c r="AQ595" i="2" a="1"/>
  <c r="AQ595" i="2" s="1"/>
  <c r="AQ596" i="2" a="1"/>
  <c r="AQ596" i="2" s="1"/>
  <c r="AQ597" i="2" a="1"/>
  <c r="AQ597" i="2" s="1"/>
  <c r="AQ598" i="2" a="1"/>
  <c r="AQ598" i="2" s="1"/>
  <c r="AQ599" i="2" a="1"/>
  <c r="AQ599" i="2" s="1"/>
  <c r="AQ600" i="2" a="1"/>
  <c r="AQ600" i="2" s="1"/>
  <c r="AQ601" i="2" a="1"/>
  <c r="AQ601" i="2" s="1"/>
  <c r="AQ602" i="2" a="1"/>
  <c r="AQ602" i="2" s="1"/>
  <c r="AQ603" i="2" a="1"/>
  <c r="AQ603" i="2" s="1"/>
  <c r="AQ604" i="2" a="1"/>
  <c r="AQ604" i="2" s="1"/>
  <c r="AQ605" i="2" a="1"/>
  <c r="AQ605" i="2" s="1"/>
  <c r="AQ606" i="2" a="1"/>
  <c r="AQ606" i="2" s="1"/>
  <c r="AQ607" i="2" a="1"/>
  <c r="AQ607" i="2" s="1"/>
  <c r="AQ608" i="2" a="1"/>
  <c r="AQ608" i="2" s="1"/>
  <c r="AQ609" i="2" a="1"/>
  <c r="AQ609" i="2" s="1"/>
  <c r="AQ610" i="2" a="1"/>
  <c r="AQ610" i="2" s="1"/>
  <c r="AQ611" i="2" a="1"/>
  <c r="AQ611" i="2" s="1"/>
  <c r="AQ612" i="2" a="1"/>
  <c r="AQ612" i="2" s="1"/>
  <c r="AQ613" i="2" a="1"/>
  <c r="AQ613" i="2" s="1"/>
  <c r="AQ614" i="2" a="1"/>
  <c r="AQ614" i="2" s="1"/>
  <c r="AQ615" i="2" a="1"/>
  <c r="AQ615" i="2" s="1"/>
  <c r="AQ616" i="2" a="1"/>
  <c r="AQ616" i="2" s="1"/>
  <c r="AQ617" i="2" a="1"/>
  <c r="AQ617" i="2" s="1"/>
  <c r="AQ618" i="2" a="1"/>
  <c r="AQ618" i="2" s="1"/>
  <c r="AQ619" i="2" a="1"/>
  <c r="AQ619" i="2" s="1"/>
  <c r="AQ620" i="2" a="1"/>
  <c r="AQ620" i="2" s="1"/>
  <c r="AQ621" i="2" a="1"/>
  <c r="AQ621" i="2" s="1"/>
  <c r="AQ622" i="2" a="1"/>
  <c r="AQ622" i="2" s="1"/>
  <c r="AQ623" i="2" a="1"/>
  <c r="AQ623" i="2" s="1"/>
  <c r="AQ624" i="2" a="1"/>
  <c r="AQ624" i="2" s="1"/>
  <c r="AQ625" i="2" a="1"/>
  <c r="AQ625" i="2" s="1"/>
  <c r="AQ626" i="2" a="1"/>
  <c r="AQ626" i="2" s="1"/>
  <c r="AQ627" i="2" a="1"/>
  <c r="AQ627" i="2" s="1"/>
  <c r="AQ628" i="2" a="1"/>
  <c r="AQ628" i="2" s="1"/>
  <c r="AQ629" i="2" a="1"/>
  <c r="AQ629" i="2" s="1"/>
  <c r="AQ630" i="2" a="1"/>
  <c r="AQ630" i="2" s="1"/>
  <c r="AQ631" i="2" a="1"/>
  <c r="AQ631" i="2" s="1"/>
  <c r="AQ632" i="2" a="1"/>
  <c r="AQ632" i="2" s="1"/>
  <c r="AQ633" i="2" a="1"/>
  <c r="AQ633" i="2" s="1"/>
  <c r="AQ634" i="2" a="1"/>
  <c r="AQ634" i="2" s="1"/>
  <c r="AQ635" i="2" a="1"/>
  <c r="AQ635" i="2" s="1"/>
  <c r="AQ636" i="2" a="1"/>
  <c r="AQ636" i="2" s="1"/>
  <c r="AQ637" i="2" a="1"/>
  <c r="AQ637" i="2" s="1"/>
  <c r="AQ638" i="2" a="1"/>
  <c r="AQ638" i="2" s="1"/>
  <c r="AQ639" i="2" a="1"/>
  <c r="AQ639" i="2" s="1"/>
  <c r="AQ640" i="2" a="1"/>
  <c r="AQ640" i="2" s="1"/>
  <c r="AQ641" i="2" a="1"/>
  <c r="AQ641" i="2" s="1"/>
  <c r="AQ642" i="2" a="1"/>
  <c r="AQ642" i="2" s="1"/>
  <c r="AQ643" i="2" a="1"/>
  <c r="AQ643" i="2" s="1"/>
  <c r="AQ644" i="2" a="1"/>
  <c r="AQ644" i="2" s="1"/>
  <c r="AQ645" i="2" a="1"/>
  <c r="AQ645" i="2" s="1"/>
  <c r="AQ646" i="2" a="1"/>
  <c r="AQ646" i="2" s="1"/>
  <c r="AQ647" i="2" a="1"/>
  <c r="AQ647" i="2" s="1"/>
  <c r="AQ648" i="2" a="1"/>
  <c r="AQ648" i="2" s="1"/>
  <c r="AQ649" i="2" a="1"/>
  <c r="AQ649" i="2" s="1"/>
  <c r="AQ650" i="2" a="1"/>
  <c r="AQ650" i="2" s="1"/>
  <c r="AQ651" i="2" a="1"/>
  <c r="AQ651" i="2" s="1"/>
  <c r="AQ652" i="2" a="1"/>
  <c r="AQ652" i="2" s="1"/>
  <c r="AQ653" i="2" a="1"/>
  <c r="AQ653" i="2" s="1"/>
  <c r="AQ654" i="2" a="1"/>
  <c r="AQ654" i="2" s="1"/>
  <c r="AQ655" i="2" a="1"/>
  <c r="AQ655" i="2" s="1"/>
  <c r="AQ656" i="2" a="1"/>
  <c r="AQ656" i="2" s="1"/>
  <c r="AQ657" i="2" a="1"/>
  <c r="AQ657" i="2" s="1"/>
  <c r="AQ658" i="2" a="1"/>
  <c r="AQ658" i="2" s="1"/>
  <c r="AQ659" i="2" a="1"/>
  <c r="AQ659" i="2" s="1"/>
  <c r="AQ660" i="2" a="1"/>
  <c r="AQ660" i="2" s="1"/>
  <c r="AQ661" i="2" a="1"/>
  <c r="AQ661" i="2" s="1"/>
  <c r="AQ662" i="2" a="1"/>
  <c r="AQ662" i="2" s="1"/>
  <c r="AQ663" i="2" a="1"/>
  <c r="AQ663" i="2" s="1"/>
  <c r="AQ664" i="2" a="1"/>
  <c r="AQ664" i="2" s="1"/>
  <c r="AQ665" i="2" a="1"/>
  <c r="AQ665" i="2" s="1"/>
  <c r="AQ666" i="2" a="1"/>
  <c r="AQ666" i="2" s="1"/>
  <c r="AQ667" i="2" a="1"/>
  <c r="AQ667" i="2" s="1"/>
  <c r="AQ668" i="2" a="1"/>
  <c r="AQ668" i="2" s="1"/>
  <c r="AQ669" i="2" a="1"/>
  <c r="AQ669" i="2" s="1"/>
  <c r="AQ670" i="2" a="1"/>
  <c r="AQ670" i="2" s="1"/>
  <c r="AQ671" i="2" a="1"/>
  <c r="AQ671" i="2" s="1"/>
  <c r="AQ672" i="2" a="1"/>
  <c r="AQ672" i="2" s="1"/>
  <c r="AQ673" i="2" a="1"/>
  <c r="AQ673" i="2" s="1"/>
  <c r="AQ674" i="2" a="1"/>
  <c r="AQ674" i="2" s="1"/>
  <c r="AQ675" i="2" a="1"/>
  <c r="AQ675" i="2" s="1"/>
  <c r="AQ676" i="2" a="1"/>
  <c r="AQ676" i="2" s="1"/>
  <c r="AQ677" i="2" a="1"/>
  <c r="AQ677" i="2" s="1"/>
  <c r="AQ678" i="2" a="1"/>
  <c r="AQ678" i="2" s="1"/>
  <c r="AQ679" i="2" a="1"/>
  <c r="AQ679" i="2" s="1"/>
  <c r="AQ680" i="2" a="1"/>
  <c r="AQ680" i="2" s="1"/>
  <c r="AQ681" i="2" a="1"/>
  <c r="AQ681" i="2" s="1"/>
  <c r="AQ682" i="2" a="1"/>
  <c r="AQ682" i="2" s="1"/>
  <c r="AQ683" i="2" a="1"/>
  <c r="AQ683" i="2" s="1"/>
  <c r="AQ684" i="2" a="1"/>
  <c r="AQ684" i="2" s="1"/>
  <c r="AQ685" i="2" a="1"/>
  <c r="AQ685" i="2" s="1"/>
  <c r="AQ686" i="2" a="1"/>
  <c r="AQ686" i="2" s="1"/>
  <c r="AQ687" i="2" a="1"/>
  <c r="AQ687" i="2" s="1"/>
  <c r="AQ688" i="2" a="1"/>
  <c r="AQ688" i="2" s="1"/>
  <c r="AQ689" i="2" a="1"/>
  <c r="AQ689" i="2" s="1"/>
  <c r="AQ690" i="2" a="1"/>
  <c r="AQ690" i="2" s="1"/>
  <c r="AQ691" i="2" a="1"/>
  <c r="AQ691" i="2" s="1"/>
  <c r="AQ692" i="2" a="1"/>
  <c r="AQ692" i="2" s="1"/>
  <c r="AQ693" i="2" a="1"/>
  <c r="AQ693" i="2" s="1"/>
  <c r="AQ694" i="2" a="1"/>
  <c r="AQ694" i="2" s="1"/>
  <c r="AQ695" i="2" a="1"/>
  <c r="AQ695" i="2" s="1"/>
  <c r="AQ696" i="2" a="1"/>
  <c r="AQ696" i="2" s="1"/>
  <c r="AQ697" i="2" a="1"/>
  <c r="AQ697" i="2" s="1"/>
  <c r="AQ698" i="2" a="1"/>
  <c r="AQ698" i="2" s="1"/>
  <c r="AQ699" i="2" a="1"/>
  <c r="AQ699" i="2" s="1"/>
  <c r="AQ700" i="2" a="1"/>
  <c r="AQ700" i="2" s="1"/>
  <c r="AQ701" i="2" a="1"/>
  <c r="AQ701" i="2" s="1"/>
  <c r="AQ702" i="2" a="1"/>
  <c r="AQ702" i="2" s="1"/>
  <c r="AQ703" i="2" a="1"/>
  <c r="AQ703" i="2" s="1"/>
  <c r="AQ704" i="2" a="1"/>
  <c r="AQ704" i="2" s="1"/>
  <c r="AQ705" i="2" a="1"/>
  <c r="AQ705" i="2" s="1"/>
  <c r="AQ706" i="2" a="1"/>
  <c r="AQ706" i="2" s="1"/>
  <c r="AQ707" i="2" a="1"/>
  <c r="AQ707" i="2" s="1"/>
  <c r="AQ708" i="2" a="1"/>
  <c r="AQ708" i="2" s="1"/>
  <c r="AQ709" i="2" a="1"/>
  <c r="AQ709" i="2" s="1"/>
  <c r="AQ710" i="2" a="1"/>
  <c r="AQ710" i="2" s="1"/>
  <c r="AQ711" i="2" a="1"/>
  <c r="AQ711" i="2" s="1"/>
  <c r="AQ712" i="2" a="1"/>
  <c r="AQ712" i="2" s="1"/>
  <c r="AQ713" i="2" a="1"/>
  <c r="AQ713" i="2" s="1"/>
  <c r="AQ714" i="2" a="1"/>
  <c r="AQ714" i="2" s="1"/>
  <c r="AQ715" i="2" a="1"/>
  <c r="AQ715" i="2" s="1"/>
  <c r="AQ716" i="2" a="1"/>
  <c r="AQ716" i="2" s="1"/>
  <c r="AQ717" i="2" a="1"/>
  <c r="AQ717" i="2" s="1"/>
  <c r="AQ718" i="2" a="1"/>
  <c r="AQ718" i="2" s="1"/>
  <c r="AQ719" i="2" a="1"/>
  <c r="AQ719" i="2" s="1"/>
  <c r="AQ720" i="2" a="1"/>
  <c r="AQ720" i="2" s="1"/>
  <c r="AQ721" i="2" a="1"/>
  <c r="AQ721" i="2" s="1"/>
  <c r="AQ722" i="2" a="1"/>
  <c r="AQ722" i="2" s="1"/>
  <c r="AQ723" i="2" a="1"/>
  <c r="AQ723" i="2" s="1"/>
  <c r="AQ724" i="2" a="1"/>
  <c r="AQ724" i="2" s="1"/>
  <c r="AQ725" i="2" a="1"/>
  <c r="AQ725" i="2" s="1"/>
  <c r="AQ726" i="2" a="1"/>
  <c r="AQ726" i="2" s="1"/>
  <c r="AQ727" i="2" a="1"/>
  <c r="AQ727" i="2" s="1"/>
  <c r="AQ728" i="2" a="1"/>
  <c r="AQ728" i="2" s="1"/>
  <c r="AQ729" i="2" a="1"/>
  <c r="AQ729" i="2" s="1"/>
  <c r="AQ730" i="2" a="1"/>
  <c r="AQ730" i="2" s="1"/>
  <c r="AQ731" i="2" a="1"/>
  <c r="AQ731" i="2" s="1"/>
  <c r="AQ732" i="2" a="1"/>
  <c r="AQ732" i="2" s="1"/>
  <c r="AQ733" i="2" a="1"/>
  <c r="AQ733" i="2" s="1"/>
  <c r="AQ734" i="2" a="1"/>
  <c r="AQ734" i="2" s="1"/>
  <c r="AQ735" i="2" a="1"/>
  <c r="AQ735" i="2" s="1"/>
  <c r="AQ736" i="2" a="1"/>
  <c r="AQ736" i="2" s="1"/>
  <c r="AQ737" i="2" a="1"/>
  <c r="AQ737" i="2" s="1"/>
  <c r="AQ738" i="2" a="1"/>
  <c r="AQ738" i="2" s="1"/>
  <c r="AQ739" i="2" a="1"/>
  <c r="AQ739" i="2" s="1"/>
  <c r="AQ740" i="2" a="1"/>
  <c r="AQ740" i="2" s="1"/>
  <c r="AQ741" i="2" a="1"/>
  <c r="AQ741" i="2" s="1"/>
  <c r="AQ742" i="2" a="1"/>
  <c r="AQ742" i="2" s="1"/>
  <c r="AQ743" i="2" a="1"/>
  <c r="AQ743" i="2" s="1"/>
  <c r="AQ744" i="2" a="1"/>
  <c r="AQ744" i="2" s="1"/>
  <c r="AQ745" i="2" a="1"/>
  <c r="AQ745" i="2" s="1"/>
  <c r="AQ746" i="2" a="1"/>
  <c r="AQ746" i="2" s="1"/>
  <c r="AQ747" i="2" a="1"/>
  <c r="AQ747" i="2" s="1"/>
  <c r="AQ748" i="2" a="1"/>
  <c r="AQ748" i="2" s="1"/>
  <c r="AQ749" i="2" a="1"/>
  <c r="AQ749" i="2" s="1"/>
  <c r="AQ750" i="2" a="1"/>
  <c r="AQ750" i="2" s="1"/>
  <c r="AQ751" i="2" a="1"/>
  <c r="AQ751" i="2" s="1"/>
  <c r="AQ752" i="2" a="1"/>
  <c r="AQ752" i="2" s="1"/>
  <c r="AQ753" i="2" a="1"/>
  <c r="AQ753" i="2" s="1"/>
  <c r="AQ754" i="2" a="1"/>
  <c r="AQ754" i="2" s="1"/>
  <c r="AQ755" i="2" a="1"/>
  <c r="AQ755" i="2" s="1"/>
  <c r="AQ756" i="2" a="1"/>
  <c r="AQ756" i="2" s="1"/>
  <c r="AQ757" i="2" a="1"/>
  <c r="AQ757" i="2" s="1"/>
  <c r="AQ758" i="2" a="1"/>
  <c r="AQ758" i="2" s="1"/>
  <c r="AQ759" i="2" a="1"/>
  <c r="AQ759" i="2" s="1"/>
  <c r="AQ760" i="2" a="1"/>
  <c r="AQ760" i="2" s="1"/>
  <c r="AQ761" i="2" a="1"/>
  <c r="AQ761" i="2" s="1"/>
  <c r="AQ762" i="2" a="1"/>
  <c r="AQ762" i="2" s="1"/>
  <c r="AQ763" i="2" a="1"/>
  <c r="AQ763" i="2" s="1"/>
  <c r="AQ764" i="2" a="1"/>
  <c r="AQ764" i="2" s="1"/>
  <c r="AQ765" i="2" a="1"/>
  <c r="AQ765" i="2" s="1"/>
  <c r="AQ766" i="2" a="1"/>
  <c r="AQ766" i="2" s="1"/>
  <c r="AQ767" i="2" a="1"/>
  <c r="AQ767" i="2" s="1"/>
  <c r="AQ768" i="2" a="1"/>
  <c r="AQ768" i="2" s="1"/>
  <c r="AQ769" i="2" a="1"/>
  <c r="AQ769" i="2" s="1"/>
  <c r="AQ770" i="2" a="1"/>
  <c r="AQ770" i="2" s="1"/>
  <c r="AQ771" i="2" a="1"/>
  <c r="AQ771" i="2" s="1"/>
  <c r="AQ772" i="2" a="1"/>
  <c r="AQ772" i="2" s="1"/>
  <c r="AQ773" i="2" a="1"/>
  <c r="AQ773" i="2" s="1"/>
  <c r="AQ774" i="2" a="1"/>
  <c r="AQ774" i="2" s="1"/>
  <c r="AQ775" i="2" a="1"/>
  <c r="AQ775" i="2" s="1"/>
  <c r="AQ776" i="2" a="1"/>
  <c r="AQ776" i="2" s="1"/>
  <c r="AQ777" i="2" a="1"/>
  <c r="AQ777" i="2" s="1"/>
  <c r="AQ778" i="2" a="1"/>
  <c r="AQ778" i="2" s="1"/>
  <c r="AQ779" i="2" a="1"/>
  <c r="AQ779" i="2" s="1"/>
  <c r="AQ780" i="2" a="1"/>
  <c r="AQ780" i="2" s="1"/>
  <c r="AQ781" i="2" a="1"/>
  <c r="AQ781" i="2" s="1"/>
  <c r="AQ782" i="2" a="1"/>
  <c r="AQ782" i="2" s="1"/>
  <c r="AQ783" i="2" a="1"/>
  <c r="AQ783" i="2" s="1"/>
  <c r="AQ784" i="2" a="1"/>
  <c r="AQ784" i="2" s="1"/>
  <c r="AQ785" i="2" a="1"/>
  <c r="AQ785" i="2" s="1"/>
  <c r="AQ786" i="2" a="1"/>
  <c r="AQ786" i="2" s="1"/>
  <c r="AQ787" i="2" a="1"/>
  <c r="AQ787" i="2" s="1"/>
  <c r="AQ788" i="2" a="1"/>
  <c r="AQ788" i="2" s="1"/>
  <c r="AQ789" i="2" a="1"/>
  <c r="AQ789" i="2" s="1"/>
  <c r="AQ790" i="2" a="1"/>
  <c r="AQ790" i="2" s="1"/>
  <c r="AQ791" i="2" a="1"/>
  <c r="AQ791" i="2" s="1"/>
  <c r="AQ792" i="2" a="1"/>
  <c r="AQ792" i="2" s="1"/>
  <c r="AQ793" i="2" a="1"/>
  <c r="AQ793" i="2" s="1"/>
  <c r="AQ794" i="2" a="1"/>
  <c r="AQ794" i="2" s="1"/>
  <c r="AQ795" i="2" a="1"/>
  <c r="AQ795" i="2" s="1"/>
  <c r="AQ796" i="2" a="1"/>
  <c r="AQ796" i="2" s="1"/>
  <c r="AQ797" i="2" a="1"/>
  <c r="AQ797" i="2" s="1"/>
  <c r="AQ798" i="2" a="1"/>
  <c r="AQ798" i="2" s="1"/>
  <c r="AQ799" i="2" a="1"/>
  <c r="AQ799" i="2" s="1"/>
  <c r="AQ800" i="2" a="1"/>
  <c r="AQ800" i="2" s="1"/>
  <c r="AQ801" i="2" a="1"/>
  <c r="AQ801" i="2" s="1"/>
  <c r="AQ802" i="2" a="1"/>
  <c r="AQ802" i="2" s="1"/>
  <c r="AQ803" i="2" a="1"/>
  <c r="AQ803" i="2" s="1"/>
  <c r="AQ804" i="2" a="1"/>
  <c r="AQ804" i="2" s="1"/>
  <c r="AQ805" i="2" a="1"/>
  <c r="AQ805" i="2" s="1"/>
  <c r="AQ806" i="2" a="1"/>
  <c r="AQ806" i="2" s="1"/>
  <c r="AQ807" i="2" a="1"/>
  <c r="AQ807" i="2" s="1"/>
  <c r="AQ808" i="2" a="1"/>
  <c r="AQ808" i="2" s="1"/>
  <c r="AQ809" i="2" a="1"/>
  <c r="AQ809" i="2" s="1"/>
  <c r="AQ810" i="2" a="1"/>
  <c r="AQ810" i="2" s="1"/>
  <c r="AQ811" i="2" a="1"/>
  <c r="AQ811" i="2" s="1"/>
  <c r="AQ812" i="2" a="1"/>
  <c r="AQ812" i="2" s="1"/>
  <c r="AQ813" i="2" a="1"/>
  <c r="AQ813" i="2" s="1"/>
  <c r="AQ814" i="2" a="1"/>
  <c r="AQ814" i="2" s="1"/>
  <c r="AQ815" i="2" a="1"/>
  <c r="AQ815" i="2" s="1"/>
  <c r="AQ816" i="2" a="1"/>
  <c r="AQ816" i="2" s="1"/>
  <c r="AQ817" i="2" a="1"/>
  <c r="AQ817" i="2" s="1"/>
  <c r="AQ818" i="2" a="1"/>
  <c r="AQ818" i="2" s="1"/>
  <c r="AQ819" i="2" a="1"/>
  <c r="AQ819" i="2" s="1"/>
  <c r="AQ820" i="2" a="1"/>
  <c r="AQ820" i="2" s="1"/>
  <c r="AQ821" i="2" a="1"/>
  <c r="AQ821" i="2" s="1"/>
  <c r="AQ822" i="2" a="1"/>
  <c r="AQ822" i="2" s="1"/>
  <c r="AQ823" i="2" a="1"/>
  <c r="AQ823" i="2" s="1"/>
  <c r="AQ824" i="2" a="1"/>
  <c r="AQ824" i="2" s="1"/>
  <c r="AQ825" i="2" a="1"/>
  <c r="AQ825" i="2" s="1"/>
  <c r="AQ826" i="2" a="1"/>
  <c r="AQ826" i="2" s="1"/>
  <c r="AQ827" i="2" a="1"/>
  <c r="AQ827" i="2" s="1"/>
  <c r="AQ828" i="2" a="1"/>
  <c r="AQ828" i="2" s="1"/>
  <c r="AQ829" i="2" a="1"/>
  <c r="AQ829" i="2" s="1"/>
  <c r="AQ830" i="2" a="1"/>
  <c r="AQ830" i="2" s="1"/>
  <c r="AQ831" i="2" a="1"/>
  <c r="AQ831" i="2" s="1"/>
  <c r="AQ832" i="2" a="1"/>
  <c r="AQ832" i="2" s="1"/>
  <c r="AQ833" i="2" a="1"/>
  <c r="AQ833" i="2" s="1"/>
  <c r="AQ834" i="2" a="1"/>
  <c r="AQ834" i="2" s="1"/>
  <c r="AQ835" i="2" a="1"/>
  <c r="AQ835" i="2" s="1"/>
  <c r="AQ836" i="2" a="1"/>
  <c r="AQ836" i="2" s="1"/>
  <c r="AQ837" i="2" a="1"/>
  <c r="AQ837" i="2" s="1"/>
  <c r="AQ838" i="2" a="1"/>
  <c r="AQ838" i="2" s="1"/>
  <c r="AQ839" i="2" a="1"/>
  <c r="AQ839" i="2" s="1"/>
  <c r="AQ840" i="2" a="1"/>
  <c r="AQ840" i="2" s="1"/>
  <c r="AQ841" i="2" a="1"/>
  <c r="AQ841" i="2" s="1"/>
  <c r="AQ842" i="2" a="1"/>
  <c r="AQ842" i="2" s="1"/>
  <c r="AQ843" i="2" a="1"/>
  <c r="AQ843" i="2" s="1"/>
  <c r="AQ844" i="2" a="1"/>
  <c r="AQ844" i="2" s="1"/>
  <c r="AQ845" i="2" a="1"/>
  <c r="AQ845" i="2" s="1"/>
  <c r="AQ846" i="2" a="1"/>
  <c r="AQ846" i="2" s="1"/>
  <c r="AQ847" i="2" a="1"/>
  <c r="AQ847" i="2" s="1"/>
  <c r="AQ848" i="2" a="1"/>
  <c r="AQ848" i="2" s="1"/>
  <c r="AQ849" i="2" a="1"/>
  <c r="AQ849" i="2" s="1"/>
  <c r="AQ850" i="2" a="1"/>
  <c r="AQ850" i="2" s="1"/>
  <c r="AQ851" i="2" a="1"/>
  <c r="AQ851" i="2" s="1"/>
  <c r="AQ852" i="2" a="1"/>
  <c r="AQ852" i="2" s="1"/>
  <c r="AQ853" i="2" a="1"/>
  <c r="AQ853" i="2" s="1"/>
  <c r="AQ854" i="2" a="1"/>
  <c r="AQ854" i="2" s="1"/>
  <c r="AQ855" i="2" a="1"/>
  <c r="AQ855" i="2" s="1"/>
  <c r="AQ856" i="2" a="1"/>
  <c r="AQ856" i="2" s="1"/>
  <c r="AQ857" i="2" a="1"/>
  <c r="AQ857" i="2" s="1"/>
  <c r="AQ858" i="2" a="1"/>
  <c r="AQ858" i="2" s="1"/>
  <c r="AQ859" i="2" a="1"/>
  <c r="AQ859" i="2" s="1"/>
  <c r="AQ860" i="2" a="1"/>
  <c r="AQ860" i="2" s="1"/>
  <c r="AQ861" i="2" a="1"/>
  <c r="AQ861" i="2" s="1"/>
  <c r="AQ862" i="2" a="1"/>
  <c r="AQ862" i="2" s="1"/>
  <c r="AQ863" i="2" a="1"/>
  <c r="AQ863" i="2" s="1"/>
  <c r="AQ864" i="2" a="1"/>
  <c r="AQ864" i="2" s="1"/>
  <c r="AQ865" i="2" a="1"/>
  <c r="AQ865" i="2" s="1"/>
  <c r="AQ866" i="2" a="1"/>
  <c r="AQ866" i="2" s="1"/>
  <c r="AQ867" i="2" a="1"/>
  <c r="AQ867" i="2" s="1"/>
  <c r="AQ868" i="2" a="1"/>
  <c r="AQ868" i="2" s="1"/>
  <c r="AQ869" i="2" a="1"/>
  <c r="AQ869" i="2" s="1"/>
  <c r="AQ870" i="2" a="1"/>
  <c r="AQ870" i="2" s="1"/>
  <c r="AQ871" i="2" a="1"/>
  <c r="AQ871" i="2" s="1"/>
  <c r="AQ872" i="2" a="1"/>
  <c r="AQ872" i="2" s="1"/>
  <c r="AQ873" i="2" a="1"/>
  <c r="AQ873" i="2" s="1"/>
  <c r="AQ874" i="2" a="1"/>
  <c r="AQ874" i="2" s="1"/>
  <c r="AQ875" i="2" a="1"/>
  <c r="AQ875" i="2" s="1"/>
  <c r="AQ876" i="2" a="1"/>
  <c r="AQ876" i="2" s="1"/>
  <c r="AQ877" i="2" a="1"/>
  <c r="AQ877" i="2" s="1"/>
  <c r="AQ878" i="2" a="1"/>
  <c r="AQ878" i="2" s="1"/>
  <c r="AQ879" i="2" a="1"/>
  <c r="AQ879" i="2" s="1"/>
  <c r="AQ880" i="2" a="1"/>
  <c r="AQ880" i="2" s="1"/>
  <c r="AQ881" i="2" a="1"/>
  <c r="AQ881" i="2" s="1"/>
  <c r="AQ882" i="2" a="1"/>
  <c r="AQ882" i="2" s="1"/>
  <c r="AQ883" i="2" a="1"/>
  <c r="AQ883" i="2" s="1"/>
  <c r="AQ884" i="2" a="1"/>
  <c r="AQ884" i="2" s="1"/>
  <c r="AQ885" i="2" a="1"/>
  <c r="AQ885" i="2" s="1"/>
  <c r="AQ886" i="2" a="1"/>
  <c r="AQ886" i="2" s="1"/>
  <c r="AQ887" i="2" a="1"/>
  <c r="AQ887" i="2" s="1"/>
  <c r="AQ888" i="2" a="1"/>
  <c r="AQ888" i="2" s="1"/>
  <c r="AQ889" i="2" a="1"/>
  <c r="AQ889" i="2" s="1"/>
  <c r="AQ890" i="2" a="1"/>
  <c r="AQ890" i="2" s="1"/>
  <c r="AQ891" i="2" a="1"/>
  <c r="AQ891" i="2" s="1"/>
  <c r="AQ892" i="2" a="1"/>
  <c r="AQ892" i="2" s="1"/>
  <c r="AQ893" i="2" a="1"/>
  <c r="AQ893" i="2" s="1"/>
  <c r="AQ894" i="2" a="1"/>
  <c r="AQ894" i="2" s="1"/>
  <c r="AQ895" i="2" a="1"/>
  <c r="AQ895" i="2" s="1"/>
  <c r="AQ896" i="2" a="1"/>
  <c r="AQ896" i="2" s="1"/>
  <c r="AQ897" i="2" a="1"/>
  <c r="AQ897" i="2" s="1"/>
  <c r="AQ898" i="2" a="1"/>
  <c r="AQ898" i="2" s="1"/>
  <c r="AQ899" i="2" a="1"/>
  <c r="AQ899" i="2" s="1"/>
  <c r="AQ900" i="2" a="1"/>
  <c r="AQ900" i="2" s="1"/>
  <c r="AQ901" i="2" a="1"/>
  <c r="AQ901" i="2" s="1"/>
  <c r="AQ902" i="2" a="1"/>
  <c r="AQ902" i="2" s="1"/>
  <c r="AQ903" i="2" a="1"/>
  <c r="AQ903" i="2" s="1"/>
  <c r="AQ904" i="2" a="1"/>
  <c r="AQ904" i="2" s="1"/>
  <c r="AQ905" i="2" a="1"/>
  <c r="AQ905" i="2" s="1"/>
  <c r="AQ906" i="2" a="1"/>
  <c r="AQ906" i="2" s="1"/>
  <c r="AQ907" i="2" a="1"/>
  <c r="AQ907" i="2" s="1"/>
  <c r="AQ908" i="2" a="1"/>
  <c r="AQ908" i="2" s="1"/>
  <c r="AQ909" i="2" a="1"/>
  <c r="AQ909" i="2" s="1"/>
  <c r="AQ910" i="2" a="1"/>
  <c r="AQ910" i="2" s="1"/>
  <c r="AQ911" i="2" a="1"/>
  <c r="AQ911" i="2" s="1"/>
  <c r="AQ912" i="2" a="1"/>
  <c r="AQ912" i="2" s="1"/>
  <c r="AQ913" i="2" a="1"/>
  <c r="AQ913" i="2" s="1"/>
  <c r="AQ914" i="2" a="1"/>
  <c r="AQ914" i="2" s="1"/>
  <c r="AQ915" i="2" a="1"/>
  <c r="AQ915" i="2" s="1"/>
  <c r="AQ916" i="2" a="1"/>
  <c r="AQ916" i="2" s="1"/>
  <c r="AQ917" i="2" a="1"/>
  <c r="AQ917" i="2" s="1"/>
  <c r="AQ918" i="2" a="1"/>
  <c r="AQ918" i="2" s="1"/>
  <c r="AQ919" i="2" a="1"/>
  <c r="AQ919" i="2" s="1"/>
  <c r="AQ920" i="2" a="1"/>
  <c r="AQ920" i="2" s="1"/>
  <c r="AQ921" i="2" a="1"/>
  <c r="AQ921" i="2" s="1"/>
  <c r="AQ922" i="2" a="1"/>
  <c r="AQ922" i="2" s="1"/>
  <c r="AQ923" i="2" a="1"/>
  <c r="AQ923" i="2" s="1"/>
  <c r="AQ924" i="2" a="1"/>
  <c r="AQ924" i="2" s="1"/>
  <c r="AQ925" i="2" a="1"/>
  <c r="AQ925" i="2" s="1"/>
  <c r="AQ926" i="2" a="1"/>
  <c r="AQ926" i="2" s="1"/>
  <c r="AQ927" i="2" a="1"/>
  <c r="AQ927" i="2" s="1"/>
  <c r="AQ928" i="2" a="1"/>
  <c r="AQ928" i="2" s="1"/>
  <c r="AQ929" i="2" a="1"/>
  <c r="AQ929" i="2" s="1"/>
  <c r="AQ930" i="2" a="1"/>
  <c r="AQ930" i="2" s="1"/>
  <c r="AQ931" i="2" a="1"/>
  <c r="AQ931" i="2" s="1"/>
  <c r="AQ932" i="2" a="1"/>
  <c r="AQ932" i="2" s="1"/>
  <c r="AQ933" i="2" a="1"/>
  <c r="AQ933" i="2" s="1"/>
  <c r="AQ934" i="2" a="1"/>
  <c r="AQ934" i="2" s="1"/>
  <c r="AQ935" i="2" a="1"/>
  <c r="AQ935" i="2" s="1"/>
  <c r="AQ936" i="2" a="1"/>
  <c r="AQ936" i="2" s="1"/>
  <c r="AQ937" i="2" a="1"/>
  <c r="AQ937" i="2" s="1"/>
  <c r="AQ938" i="2" a="1"/>
  <c r="AQ938" i="2" s="1"/>
  <c r="AQ939" i="2" a="1"/>
  <c r="AQ939" i="2" s="1"/>
  <c r="AQ940" i="2" a="1"/>
  <c r="AQ940" i="2" s="1"/>
  <c r="AQ941" i="2" a="1"/>
  <c r="AQ941" i="2" s="1"/>
  <c r="AQ942" i="2" a="1"/>
  <c r="AQ942" i="2" s="1"/>
  <c r="AQ943" i="2" a="1"/>
  <c r="AQ943" i="2" s="1"/>
  <c r="AQ944" i="2" a="1"/>
  <c r="AQ944" i="2" s="1"/>
  <c r="AQ945" i="2" a="1"/>
  <c r="AQ945" i="2" s="1"/>
  <c r="AQ946" i="2" a="1"/>
  <c r="AQ946" i="2" s="1"/>
  <c r="AQ947" i="2" a="1"/>
  <c r="AQ947" i="2" s="1"/>
  <c r="AQ948" i="2" a="1"/>
  <c r="AQ948" i="2" s="1"/>
  <c r="AQ949" i="2" a="1"/>
  <c r="AQ949" i="2" s="1"/>
  <c r="AQ950" i="2" a="1"/>
  <c r="AQ950" i="2" s="1"/>
  <c r="AQ951" i="2" a="1"/>
  <c r="AQ951" i="2" s="1"/>
  <c r="AQ952" i="2" a="1"/>
  <c r="AQ952" i="2" s="1"/>
  <c r="AQ953" i="2" a="1"/>
  <c r="AQ953" i="2" s="1"/>
  <c r="AQ954" i="2" a="1"/>
  <c r="AQ954" i="2" s="1"/>
  <c r="AQ955" i="2" a="1"/>
  <c r="AQ955" i="2" s="1"/>
  <c r="AQ956" i="2" a="1"/>
  <c r="AQ956" i="2" s="1"/>
  <c r="AQ957" i="2" a="1"/>
  <c r="AQ957" i="2" s="1"/>
  <c r="AQ958" i="2" a="1"/>
  <c r="AQ958" i="2" s="1"/>
  <c r="AQ959" i="2" a="1"/>
  <c r="AQ959" i="2" s="1"/>
  <c r="AQ960" i="2" a="1"/>
  <c r="AQ960" i="2" s="1"/>
  <c r="AQ961" i="2" a="1"/>
  <c r="AQ961" i="2" s="1"/>
  <c r="AQ962" i="2" a="1"/>
  <c r="AQ962" i="2" s="1"/>
  <c r="AQ963" i="2" a="1"/>
  <c r="AQ963" i="2" s="1"/>
  <c r="AQ964" i="2" a="1"/>
  <c r="AQ964" i="2" s="1"/>
  <c r="AQ965" i="2" a="1"/>
  <c r="AQ965" i="2" s="1"/>
  <c r="AQ966" i="2" a="1"/>
  <c r="AQ966" i="2" s="1"/>
  <c r="AQ967" i="2" a="1"/>
  <c r="AQ967" i="2" s="1"/>
  <c r="AQ968" i="2" a="1"/>
  <c r="AQ968" i="2" s="1"/>
  <c r="AQ969" i="2" a="1"/>
  <c r="AQ969" i="2" s="1"/>
  <c r="AQ970" i="2" a="1"/>
  <c r="AQ970" i="2" s="1"/>
  <c r="AQ971" i="2" a="1"/>
  <c r="AQ971" i="2" s="1"/>
  <c r="AQ972" i="2" a="1"/>
  <c r="AQ972" i="2" s="1"/>
  <c r="AQ973" i="2" a="1"/>
  <c r="AQ973" i="2" s="1"/>
  <c r="AQ974" i="2" a="1"/>
  <c r="AQ974" i="2" s="1"/>
  <c r="AQ975" i="2" a="1"/>
  <c r="AQ975" i="2" s="1"/>
  <c r="AQ976" i="2" a="1"/>
  <c r="AQ976" i="2" s="1"/>
  <c r="AQ977" i="2" a="1"/>
  <c r="AQ977" i="2" s="1"/>
  <c r="AQ978" i="2" a="1"/>
  <c r="AQ978" i="2" s="1"/>
  <c r="AQ979" i="2" a="1"/>
  <c r="AQ979" i="2" s="1"/>
  <c r="AQ980" i="2" a="1"/>
  <c r="AQ980" i="2" s="1"/>
  <c r="AQ981" i="2" a="1"/>
  <c r="AQ981" i="2" s="1"/>
  <c r="AQ982" i="2" a="1"/>
  <c r="AQ982" i="2" s="1"/>
  <c r="AQ983" i="2" a="1"/>
  <c r="AQ983" i="2" s="1"/>
  <c r="AQ984" i="2" a="1"/>
  <c r="AQ984" i="2" s="1"/>
  <c r="AQ985" i="2" a="1"/>
  <c r="AQ985" i="2" s="1"/>
  <c r="AQ986" i="2" a="1"/>
  <c r="AQ986" i="2" s="1"/>
  <c r="AQ987" i="2" a="1"/>
  <c r="AQ987" i="2" s="1"/>
  <c r="AQ988" i="2" a="1"/>
  <c r="AQ988" i="2" s="1"/>
  <c r="AQ989" i="2" a="1"/>
  <c r="AQ989" i="2" s="1"/>
  <c r="AQ990" i="2" a="1"/>
  <c r="AQ990" i="2" s="1"/>
  <c r="AQ991" i="2" a="1"/>
  <c r="AQ991" i="2" s="1"/>
  <c r="AQ992" i="2" a="1"/>
  <c r="AQ992" i="2" s="1"/>
  <c r="AQ993" i="2" a="1"/>
  <c r="AQ993" i="2" s="1"/>
  <c r="AQ994" i="2" a="1"/>
  <c r="AQ994" i="2" s="1"/>
  <c r="AQ995" i="2" a="1"/>
  <c r="AQ995" i="2" s="1"/>
  <c r="AQ996" i="2" a="1"/>
  <c r="AQ996" i="2" s="1"/>
  <c r="AQ997" i="2" a="1"/>
  <c r="AQ997" i="2" s="1"/>
  <c r="AQ998" i="2" a="1"/>
  <c r="AQ998" i="2" s="1"/>
  <c r="AQ999" i="2" a="1"/>
  <c r="AQ999" i="2" s="1"/>
  <c r="AQ1000" i="2" a="1"/>
  <c r="AQ1000" i="2" s="1"/>
  <c r="AQ1001" i="2" a="1"/>
  <c r="AQ1001" i="2" s="1"/>
  <c r="AQ1002" i="2" a="1"/>
  <c r="AQ1002" i="2" s="1"/>
  <c r="AQ1003" i="2" a="1"/>
  <c r="AQ1003" i="2" s="1"/>
  <c r="AQ1004" i="2" a="1"/>
  <c r="AQ1004" i="2" s="1"/>
  <c r="AQ1005" i="2" a="1"/>
  <c r="AQ1005" i="2" s="1"/>
  <c r="AQ1006" i="2" a="1"/>
  <c r="AQ1006" i="2" s="1"/>
  <c r="AQ1007" i="2" a="1"/>
  <c r="AQ1007" i="2" s="1"/>
  <c r="AQ1008" i="2" a="1"/>
  <c r="AQ1008" i="2" s="1"/>
  <c r="AQ1009" i="2" a="1"/>
  <c r="AQ1009" i="2" s="1"/>
  <c r="AQ1010" i="2" a="1"/>
  <c r="AQ1010" i="2" s="1"/>
  <c r="AQ1011" i="2" a="1"/>
  <c r="AQ1011" i="2" s="1"/>
  <c r="AQ1012" i="2" a="1"/>
  <c r="AQ1012" i="2" s="1"/>
  <c r="AQ1013" i="2" a="1"/>
  <c r="AQ1013" i="2" s="1"/>
  <c r="AQ1014" i="2" a="1"/>
  <c r="AQ1014" i="2" s="1"/>
  <c r="AQ1015" i="2" a="1"/>
  <c r="AQ1015" i="2" s="1"/>
  <c r="AQ1016" i="2" a="1"/>
  <c r="AQ1016" i="2" s="1"/>
  <c r="AQ1017" i="2" a="1"/>
  <c r="AQ1017" i="2" s="1"/>
  <c r="AQ1018" i="2" a="1"/>
  <c r="AQ1018" i="2" s="1"/>
  <c r="AQ1019" i="2" a="1"/>
  <c r="AQ1019" i="2" s="1"/>
  <c r="AQ1020" i="2" a="1"/>
  <c r="AQ1020" i="2" s="1"/>
  <c r="AQ1021" i="2" a="1"/>
  <c r="AQ1021" i="2" s="1"/>
  <c r="AQ1022" i="2" a="1"/>
  <c r="AQ1022" i="2" s="1"/>
  <c r="AQ1023" i="2" a="1"/>
  <c r="AQ1023" i="2" s="1"/>
  <c r="AQ1024" i="2" a="1"/>
  <c r="AQ1024" i="2" s="1"/>
  <c r="AQ1025" i="2" a="1"/>
  <c r="AQ1025" i="2" s="1"/>
  <c r="AQ1026" i="2" a="1"/>
  <c r="AQ1026" i="2" s="1"/>
  <c r="AQ1027" i="2" a="1"/>
  <c r="AQ1027" i="2" s="1"/>
  <c r="AQ1028" i="2" a="1"/>
  <c r="AQ1028" i="2" s="1"/>
  <c r="AQ1029" i="2" a="1"/>
  <c r="AQ1029" i="2" s="1"/>
  <c r="AQ1030" i="2" a="1"/>
  <c r="AQ1030" i="2" s="1"/>
  <c r="AQ1031" i="2" a="1"/>
  <c r="AQ1031" i="2" s="1"/>
  <c r="AQ1032" i="2" a="1"/>
  <c r="AQ1032" i="2" s="1"/>
  <c r="AQ1033" i="2" a="1"/>
  <c r="AQ1033" i="2" s="1"/>
  <c r="AQ1034" i="2" a="1"/>
  <c r="AQ1034" i="2" s="1"/>
  <c r="AQ1035" i="2" a="1"/>
  <c r="AQ1035" i="2" s="1"/>
  <c r="AQ1036" i="2" a="1"/>
  <c r="AQ1036" i="2" s="1"/>
  <c r="AQ1037" i="2" a="1"/>
  <c r="AQ1037" i="2" s="1"/>
  <c r="AQ1038" i="2" a="1"/>
  <c r="AQ1038" i="2" s="1"/>
  <c r="AQ1039" i="2" a="1"/>
  <c r="AQ1039" i="2" s="1"/>
  <c r="AQ1040" i="2" a="1"/>
  <c r="AQ1040" i="2" s="1"/>
  <c r="AQ1041" i="2" a="1"/>
  <c r="AQ1041" i="2" s="1"/>
  <c r="AQ1042" i="2" a="1"/>
  <c r="AQ1042" i="2" s="1"/>
  <c r="AQ1043" i="2" a="1"/>
  <c r="AQ1043" i="2" s="1"/>
  <c r="AQ1044" i="2" a="1"/>
  <c r="AQ1044" i="2" s="1"/>
  <c r="AQ1045" i="2" a="1"/>
  <c r="AQ1045" i="2" s="1"/>
  <c r="AQ1046" i="2" a="1"/>
  <c r="AQ1046" i="2" s="1"/>
  <c r="AQ1047" i="2" a="1"/>
  <c r="AQ1047" i="2" s="1"/>
  <c r="AQ1048" i="2" a="1"/>
  <c r="AQ1048" i="2" s="1"/>
  <c r="AQ1049" i="2" a="1"/>
  <c r="AQ1049" i="2" s="1"/>
  <c r="AQ1050" i="2" a="1"/>
  <c r="AQ1050" i="2" s="1"/>
  <c r="AQ1051" i="2" a="1"/>
  <c r="AQ1051" i="2" s="1"/>
  <c r="AQ1052" i="2" a="1"/>
  <c r="AQ1052" i="2" s="1"/>
  <c r="AQ1053" i="2" a="1"/>
  <c r="AQ1053" i="2" s="1"/>
  <c r="AQ1054" i="2" a="1"/>
  <c r="AQ1054" i="2" s="1"/>
  <c r="AQ1055" i="2" a="1"/>
  <c r="AQ1055" i="2" s="1"/>
  <c r="AQ1056" i="2" a="1"/>
  <c r="AQ1056" i="2" s="1"/>
  <c r="AQ1057" i="2" a="1"/>
  <c r="AQ1057" i="2" s="1"/>
  <c r="AQ1058" i="2" a="1"/>
  <c r="AQ1058" i="2" s="1"/>
  <c r="AQ1059" i="2" a="1"/>
  <c r="AQ1059" i="2" s="1"/>
  <c r="AQ1060" i="2" a="1"/>
  <c r="AQ1060" i="2" s="1"/>
  <c r="AQ1061" i="2" a="1"/>
  <c r="AQ1061" i="2" s="1"/>
  <c r="AQ1062" i="2" a="1"/>
  <c r="AQ1062" i="2" s="1"/>
  <c r="AQ1063" i="2" a="1"/>
  <c r="AQ1063" i="2" s="1"/>
  <c r="AQ1064" i="2" a="1"/>
  <c r="AQ1064" i="2" s="1"/>
  <c r="AQ1065" i="2" a="1"/>
  <c r="AQ1065" i="2" s="1"/>
  <c r="AQ1066" i="2" a="1"/>
  <c r="AQ1066" i="2" s="1"/>
  <c r="AQ1067" i="2" a="1"/>
  <c r="AQ1067" i="2" s="1"/>
  <c r="AQ1068" i="2" a="1"/>
  <c r="AQ1068" i="2" s="1"/>
  <c r="AQ1069" i="2" a="1"/>
  <c r="AQ1069" i="2" s="1"/>
  <c r="AQ1070" i="2" a="1"/>
  <c r="AQ1070" i="2" s="1"/>
  <c r="AQ1071" i="2" a="1"/>
  <c r="AQ1071" i="2" s="1"/>
  <c r="AQ1072" i="2" a="1"/>
  <c r="AQ1072" i="2" s="1"/>
  <c r="AQ1073" i="2" a="1"/>
  <c r="AQ1073" i="2" s="1"/>
  <c r="AQ1074" i="2" a="1"/>
  <c r="AQ1074" i="2" s="1"/>
  <c r="AQ1075" i="2" a="1"/>
  <c r="AQ1075" i="2" s="1"/>
  <c r="AQ1076" i="2" a="1"/>
  <c r="AQ1076" i="2" s="1"/>
  <c r="AQ1077" i="2" a="1"/>
  <c r="AQ1077" i="2" s="1"/>
  <c r="AQ1078" i="2" a="1"/>
  <c r="AQ1078" i="2" s="1"/>
  <c r="AQ1079" i="2" a="1"/>
  <c r="AQ1079" i="2" s="1"/>
  <c r="AQ1080" i="2" a="1"/>
  <c r="AQ1080" i="2" s="1"/>
  <c r="AQ1081" i="2" a="1"/>
  <c r="AQ1081" i="2" s="1"/>
  <c r="AQ1082" i="2" a="1"/>
  <c r="AQ1082" i="2" s="1"/>
  <c r="AQ1083" i="2" a="1"/>
  <c r="AQ1083" i="2" s="1"/>
  <c r="AQ1084" i="2" a="1"/>
  <c r="AQ1084" i="2" s="1"/>
  <c r="AQ1085" i="2" a="1"/>
  <c r="AQ1085" i="2" s="1"/>
  <c r="AQ1086" i="2" a="1"/>
  <c r="AQ1086" i="2" s="1"/>
  <c r="AQ1087" i="2" a="1"/>
  <c r="AQ1087" i="2" s="1"/>
  <c r="AQ1088" i="2" a="1"/>
  <c r="AQ1088" i="2" s="1"/>
  <c r="AQ1089" i="2" a="1"/>
  <c r="AQ1089" i="2" s="1"/>
  <c r="AQ1090" i="2" a="1"/>
  <c r="AQ1090" i="2" s="1"/>
  <c r="AQ1091" i="2" a="1"/>
  <c r="AQ1091" i="2" s="1"/>
  <c r="AQ1092" i="2" a="1"/>
  <c r="AQ1092" i="2" s="1"/>
  <c r="AQ1093" i="2" a="1"/>
  <c r="AQ1093" i="2" s="1"/>
  <c r="AQ1094" i="2" a="1"/>
  <c r="AQ1094" i="2" s="1"/>
  <c r="AQ1095" i="2" a="1"/>
  <c r="AQ1095" i="2" s="1"/>
  <c r="AQ1096" i="2" a="1"/>
  <c r="AQ1096" i="2" s="1"/>
  <c r="AQ1097" i="2" a="1"/>
  <c r="AQ1097" i="2" s="1"/>
  <c r="AQ1098" i="2" a="1"/>
  <c r="AQ1098" i="2" s="1"/>
  <c r="AQ1099" i="2" a="1"/>
  <c r="AQ1099" i="2" s="1"/>
  <c r="AQ1100" i="2" a="1"/>
  <c r="AQ1100" i="2" s="1"/>
  <c r="AQ1101" i="2" a="1"/>
  <c r="AQ1101" i="2" s="1"/>
  <c r="AQ1102" i="2" a="1"/>
  <c r="AQ1102" i="2" s="1"/>
  <c r="AQ1103" i="2" a="1"/>
  <c r="AQ1103" i="2" s="1"/>
  <c r="AQ1104" i="2" a="1"/>
  <c r="AQ1104" i="2" s="1"/>
  <c r="AQ1105" i="2" a="1"/>
  <c r="AQ1105" i="2" s="1"/>
  <c r="AQ1106" i="2" a="1"/>
  <c r="AQ1106" i="2" s="1"/>
  <c r="AQ1107" i="2" a="1"/>
  <c r="AQ1107" i="2" s="1"/>
  <c r="AQ1108" i="2" a="1"/>
  <c r="AQ1108" i="2" s="1"/>
  <c r="AQ1109" i="2" a="1"/>
  <c r="AQ1109" i="2" s="1"/>
  <c r="AQ1110" i="2" a="1"/>
  <c r="AQ1110" i="2" s="1"/>
  <c r="AQ1111" i="2" a="1"/>
  <c r="AQ1111" i="2" s="1"/>
  <c r="AQ1112" i="2" a="1"/>
  <c r="AQ1112" i="2" s="1"/>
  <c r="AQ1113" i="2" a="1"/>
  <c r="AQ1113" i="2" s="1"/>
  <c r="AQ1114" i="2" a="1"/>
  <c r="AQ1114" i="2" s="1"/>
  <c r="AQ1115" i="2" a="1"/>
  <c r="AQ1115" i="2" s="1"/>
  <c r="AQ1116" i="2" a="1"/>
  <c r="AQ1116" i="2" s="1"/>
  <c r="AQ1117" i="2" a="1"/>
  <c r="AQ1117" i="2" s="1"/>
  <c r="AQ1118" i="2" a="1"/>
  <c r="AQ1118" i="2" s="1"/>
  <c r="AQ1119" i="2" a="1"/>
  <c r="AQ1119" i="2" s="1"/>
  <c r="AQ1120" i="2" a="1"/>
  <c r="AQ1120" i="2" s="1"/>
  <c r="AQ1121" i="2" a="1"/>
  <c r="AQ1121" i="2" s="1"/>
  <c r="AQ1122" i="2" a="1"/>
  <c r="AQ1122" i="2" s="1"/>
  <c r="AQ1123" i="2" a="1"/>
  <c r="AQ1123" i="2" s="1"/>
  <c r="AQ1124" i="2" a="1"/>
  <c r="AQ1124" i="2" s="1"/>
  <c r="AQ1125" i="2" a="1"/>
  <c r="AQ1125" i="2" s="1"/>
  <c r="AQ1126" i="2" a="1"/>
  <c r="AQ1126" i="2" s="1"/>
  <c r="AQ1127" i="2" a="1"/>
  <c r="AQ1127" i="2" s="1"/>
  <c r="AQ1128" i="2" a="1"/>
  <c r="AQ1128" i="2" s="1"/>
  <c r="AQ1129" i="2" a="1"/>
  <c r="AQ1129" i="2" s="1"/>
  <c r="AQ1130" i="2" a="1"/>
  <c r="AQ1130" i="2" s="1"/>
  <c r="AQ1131" i="2" a="1"/>
  <c r="AQ1131" i="2" s="1"/>
  <c r="AQ1132" i="2" a="1"/>
  <c r="AQ1132" i="2" s="1"/>
  <c r="AQ1133" i="2" a="1"/>
  <c r="AQ1133" i="2" s="1"/>
  <c r="AQ1134" i="2" a="1"/>
  <c r="AQ1134" i="2" s="1"/>
  <c r="AQ1135" i="2" a="1"/>
  <c r="AQ1135" i="2" s="1"/>
  <c r="AQ1136" i="2" a="1"/>
  <c r="AQ1136" i="2" s="1"/>
  <c r="AQ1137" i="2" a="1"/>
  <c r="AQ1137" i="2" s="1"/>
  <c r="AQ1138" i="2" a="1"/>
  <c r="AQ1138" i="2" s="1"/>
  <c r="AQ1139" i="2" a="1"/>
  <c r="AQ1139" i="2" s="1"/>
  <c r="AQ1140" i="2" a="1"/>
  <c r="AQ1140" i="2" s="1"/>
  <c r="AQ1141" i="2" a="1"/>
  <c r="AQ1141" i="2" s="1"/>
  <c r="AQ1142" i="2" a="1"/>
  <c r="AQ1142" i="2" s="1"/>
  <c r="AQ1143" i="2" a="1"/>
  <c r="AQ1143" i="2" s="1"/>
  <c r="AQ1144" i="2" a="1"/>
  <c r="AQ1144" i="2" s="1"/>
  <c r="AQ1145" i="2" a="1"/>
  <c r="AQ1145" i="2" s="1"/>
  <c r="AQ1146" i="2" a="1"/>
  <c r="AQ1146" i="2" s="1"/>
  <c r="AQ1147" i="2" a="1"/>
  <c r="AQ1147" i="2" s="1"/>
  <c r="AQ1148" i="2" a="1"/>
  <c r="AQ1148" i="2" s="1"/>
  <c r="AQ1149" i="2" a="1"/>
  <c r="AQ1149" i="2" s="1"/>
  <c r="AQ1150" i="2" a="1"/>
  <c r="AQ1150" i="2" s="1"/>
  <c r="AQ1151" i="2" a="1"/>
  <c r="AQ1151" i="2" s="1"/>
  <c r="AQ1152" i="2" a="1"/>
  <c r="AQ1152" i="2" s="1"/>
  <c r="AQ1153" i="2" a="1"/>
  <c r="AQ1153" i="2" s="1"/>
  <c r="AQ1154" i="2" a="1"/>
  <c r="AQ1154" i="2" s="1"/>
  <c r="AQ1155" i="2" a="1"/>
  <c r="AQ1155" i="2" s="1"/>
  <c r="AQ1156" i="2" a="1"/>
  <c r="AQ1156" i="2" s="1"/>
  <c r="AQ1157" i="2" a="1"/>
  <c r="AQ1157" i="2" s="1"/>
  <c r="AQ1158" i="2" a="1"/>
  <c r="AQ1158" i="2" s="1"/>
  <c r="AQ1159" i="2" a="1"/>
  <c r="AQ1159" i="2" s="1"/>
  <c r="AQ1160" i="2" a="1"/>
  <c r="AQ1160" i="2" s="1"/>
  <c r="AQ1161" i="2" a="1"/>
  <c r="AQ1161" i="2" s="1"/>
  <c r="AQ1162" i="2" a="1"/>
  <c r="AQ1162" i="2" s="1"/>
  <c r="AQ1163" i="2" a="1"/>
  <c r="AQ1163" i="2" s="1"/>
  <c r="AQ1164" i="2" a="1"/>
  <c r="AQ1164" i="2" s="1"/>
  <c r="AQ1165" i="2" a="1"/>
  <c r="AQ1165" i="2" s="1"/>
  <c r="AQ1166" i="2" a="1"/>
  <c r="AQ1166" i="2" s="1"/>
  <c r="AQ1167" i="2" a="1"/>
  <c r="AQ1167" i="2" s="1"/>
  <c r="AQ1168" i="2" a="1"/>
  <c r="AQ1168" i="2" s="1"/>
  <c r="AQ1169" i="2" a="1"/>
  <c r="AQ1169" i="2" s="1"/>
  <c r="AQ1170" i="2" a="1"/>
  <c r="AQ1170" i="2" s="1"/>
  <c r="AQ1171" i="2" a="1"/>
  <c r="AQ1171" i="2" s="1"/>
  <c r="AQ1172" i="2" a="1"/>
  <c r="AQ1172" i="2" s="1"/>
  <c r="AQ1173" i="2" a="1"/>
  <c r="AQ1173" i="2" s="1"/>
  <c r="AQ1174" i="2" a="1"/>
  <c r="AQ1174" i="2" s="1"/>
  <c r="AQ1175" i="2" a="1"/>
  <c r="AQ1175" i="2" s="1"/>
  <c r="AQ1176" i="2" a="1"/>
  <c r="AQ1176" i="2" s="1"/>
  <c r="AQ1177" i="2" a="1"/>
  <c r="AQ1177" i="2" s="1"/>
  <c r="AQ1178" i="2" a="1"/>
  <c r="AQ1178" i="2" s="1"/>
  <c r="AQ1179" i="2" a="1"/>
  <c r="AQ1179" i="2" s="1"/>
  <c r="AQ1180" i="2" a="1"/>
  <c r="AQ1180" i="2" s="1"/>
  <c r="AQ1181" i="2" a="1"/>
  <c r="AQ1181" i="2" s="1"/>
  <c r="AQ1182" i="2" a="1"/>
  <c r="AQ1182" i="2" s="1"/>
  <c r="AQ1183" i="2" a="1"/>
  <c r="AQ1183" i="2" s="1"/>
  <c r="AQ1184" i="2" a="1"/>
  <c r="AQ1184" i="2" s="1"/>
  <c r="AQ1185" i="2" a="1"/>
  <c r="AQ1185" i="2" s="1"/>
  <c r="AQ1186" i="2" a="1"/>
  <c r="AQ1186" i="2" s="1"/>
  <c r="AQ1187" i="2" a="1"/>
  <c r="AQ1187" i="2" s="1"/>
  <c r="AQ1188" i="2" a="1"/>
  <c r="AQ1188" i="2" s="1"/>
  <c r="AQ1189" i="2" a="1"/>
  <c r="AQ1189" i="2" s="1"/>
  <c r="AQ1190" i="2" a="1"/>
  <c r="AQ1190" i="2" s="1"/>
  <c r="AQ1191" i="2" a="1"/>
  <c r="AQ1191" i="2" s="1"/>
  <c r="AQ1192" i="2" a="1"/>
  <c r="AQ1192" i="2" s="1"/>
  <c r="AQ1193" i="2" a="1"/>
  <c r="AQ1193" i="2" s="1"/>
  <c r="AQ1194" i="2" a="1"/>
  <c r="AQ1194" i="2" s="1"/>
  <c r="AQ1195" i="2" a="1"/>
  <c r="AQ1195" i="2" s="1"/>
  <c r="AQ1196" i="2" a="1"/>
  <c r="AQ1196" i="2" s="1"/>
  <c r="AQ1197" i="2" a="1"/>
  <c r="AQ1197" i="2" s="1"/>
  <c r="AQ1198" i="2" a="1"/>
  <c r="AQ1198" i="2" s="1"/>
  <c r="AQ1199" i="2" a="1"/>
  <c r="AQ1199" i="2" s="1"/>
  <c r="AQ1200" i="2" a="1"/>
  <c r="AQ1200" i="2" s="1"/>
  <c r="AQ1201" i="2" a="1"/>
  <c r="AQ1201" i="2" s="1"/>
  <c r="AQ1202" i="2" a="1"/>
  <c r="AQ1202" i="2" s="1"/>
  <c r="AQ1203" i="2" a="1"/>
  <c r="AQ1203" i="2" s="1"/>
  <c r="AQ1204" i="2" a="1"/>
  <c r="AQ1204" i="2" s="1"/>
  <c r="AQ1205" i="2" a="1"/>
  <c r="AQ1205" i="2" s="1"/>
  <c r="AQ1206" i="2" a="1"/>
  <c r="AQ1206" i="2" s="1"/>
  <c r="AQ1207" i="2" a="1"/>
  <c r="AQ1207" i="2" s="1"/>
  <c r="AQ1208" i="2" a="1"/>
  <c r="AQ1208" i="2" s="1"/>
  <c r="AQ1209" i="2" a="1"/>
  <c r="AQ1209" i="2" s="1"/>
  <c r="AQ1210" i="2" a="1"/>
  <c r="AQ1210" i="2" s="1"/>
  <c r="AQ1211" i="2" a="1"/>
  <c r="AQ1211" i="2" s="1"/>
  <c r="AQ1212" i="2" a="1"/>
  <c r="AQ1212" i="2" s="1"/>
  <c r="AQ1213" i="2" a="1"/>
  <c r="AQ1213" i="2" s="1"/>
  <c r="AQ1214" i="2" a="1"/>
  <c r="AQ1214" i="2" s="1"/>
  <c r="AQ1215" i="2" a="1"/>
  <c r="AQ1215" i="2" s="1"/>
  <c r="AQ1216" i="2" a="1"/>
  <c r="AQ1216" i="2" s="1"/>
  <c r="AQ1217" i="2" a="1"/>
  <c r="AQ1217" i="2" s="1"/>
  <c r="AQ1218" i="2" a="1"/>
  <c r="AQ1218" i="2" s="1"/>
  <c r="AQ1219" i="2" a="1"/>
  <c r="AQ1219" i="2" s="1"/>
  <c r="AQ1220" i="2" a="1"/>
  <c r="AQ1220" i="2" s="1"/>
  <c r="AQ1221" i="2" a="1"/>
  <c r="AQ1221" i="2" s="1"/>
  <c r="AQ1222" i="2" a="1"/>
  <c r="AQ1222" i="2" s="1"/>
  <c r="AQ1223" i="2" a="1"/>
  <c r="AQ1223" i="2" s="1"/>
  <c r="AQ1224" i="2" a="1"/>
  <c r="AQ1224" i="2" s="1"/>
  <c r="AQ1225" i="2" a="1"/>
  <c r="AQ1225" i="2" s="1"/>
  <c r="AQ1226" i="2" a="1"/>
  <c r="AQ1226" i="2" s="1"/>
  <c r="AQ1227" i="2" a="1"/>
  <c r="AQ1227" i="2" s="1"/>
  <c r="AQ1228" i="2" a="1"/>
  <c r="AQ1228" i="2" s="1"/>
  <c r="AQ1229" i="2" a="1"/>
  <c r="AQ1229" i="2" s="1"/>
  <c r="AQ1230" i="2" a="1"/>
  <c r="AQ1230" i="2" s="1"/>
  <c r="AQ1231" i="2" a="1"/>
  <c r="AQ1231" i="2" s="1"/>
  <c r="AQ1232" i="2" a="1"/>
  <c r="AQ1232" i="2" s="1"/>
  <c r="AQ1233" i="2" a="1"/>
  <c r="AQ1233" i="2" s="1"/>
  <c r="AQ1234" i="2" a="1"/>
  <c r="AQ1234" i="2" s="1"/>
  <c r="AQ1235" i="2" a="1"/>
  <c r="AQ1235" i="2" s="1"/>
  <c r="AQ1236" i="2" a="1"/>
  <c r="AQ1236" i="2" s="1"/>
  <c r="AQ1237" i="2" a="1"/>
  <c r="AQ1237" i="2" s="1"/>
  <c r="AQ1238" i="2" a="1"/>
  <c r="AQ1238" i="2" s="1"/>
  <c r="AQ1239" i="2" a="1"/>
  <c r="AQ1239" i="2" s="1"/>
  <c r="AQ1240" i="2" a="1"/>
  <c r="AQ1240" i="2" s="1"/>
  <c r="AQ1241" i="2" a="1"/>
  <c r="AQ1241" i="2" s="1"/>
  <c r="AQ1242" i="2" a="1"/>
  <c r="AQ1242" i="2" s="1"/>
  <c r="AQ1243" i="2" a="1"/>
  <c r="AQ1243" i="2" s="1"/>
  <c r="AQ1244" i="2" a="1"/>
  <c r="AQ1244" i="2" s="1"/>
  <c r="AQ1245" i="2" a="1"/>
  <c r="AQ1245" i="2" s="1"/>
  <c r="AQ1246" i="2" a="1"/>
  <c r="AQ1246" i="2" s="1"/>
  <c r="AQ1247" i="2" a="1"/>
  <c r="AQ1247" i="2" s="1"/>
  <c r="AQ1248" i="2" a="1"/>
  <c r="AQ1248" i="2" s="1"/>
  <c r="AQ1249" i="2" a="1"/>
  <c r="AQ1249" i="2" s="1"/>
  <c r="AQ1250" i="2" a="1"/>
  <c r="AQ1250" i="2" s="1"/>
  <c r="AQ1251" i="2" a="1"/>
  <c r="AQ1251" i="2" s="1"/>
  <c r="AQ1252" i="2" a="1"/>
  <c r="AQ1252" i="2" s="1"/>
  <c r="AQ1253" i="2" a="1"/>
  <c r="AQ1253" i="2" s="1"/>
  <c r="AQ1254" i="2" a="1"/>
  <c r="AQ1254" i="2" s="1"/>
  <c r="AQ1255" i="2" a="1"/>
  <c r="AQ1255" i="2" s="1"/>
  <c r="AQ1256" i="2" a="1"/>
  <c r="AQ1256" i="2" s="1"/>
  <c r="AQ1257" i="2" a="1"/>
  <c r="AQ1257" i="2" s="1"/>
  <c r="AQ1258" i="2" a="1"/>
  <c r="AQ1258" i="2" s="1"/>
  <c r="AQ1259" i="2" a="1"/>
  <c r="AQ1259" i="2" s="1"/>
  <c r="AQ1260" i="2" a="1"/>
  <c r="AQ1260" i="2" s="1"/>
  <c r="AQ1261" i="2" a="1"/>
  <c r="AQ1261" i="2" s="1"/>
  <c r="AQ1262" i="2" a="1"/>
  <c r="AQ1262" i="2" s="1"/>
  <c r="AQ1263" i="2" a="1"/>
  <c r="AQ1263" i="2" s="1"/>
  <c r="AQ1264" i="2" a="1"/>
  <c r="AQ1264" i="2" s="1"/>
  <c r="AQ1265" i="2" a="1"/>
  <c r="AQ1265" i="2" s="1"/>
  <c r="AQ1266" i="2" a="1"/>
  <c r="AQ1266" i="2" s="1"/>
  <c r="AQ1267" i="2" a="1"/>
  <c r="AQ1267" i="2" s="1"/>
  <c r="AQ1268" i="2" a="1"/>
  <c r="AQ1268" i="2" s="1"/>
  <c r="AQ1269" i="2" a="1"/>
  <c r="AQ1269" i="2" s="1"/>
  <c r="AQ1270" i="2" a="1"/>
  <c r="AQ1270" i="2" s="1"/>
  <c r="AQ1271" i="2" a="1"/>
  <c r="AQ1271" i="2" s="1"/>
  <c r="AQ1272" i="2" a="1"/>
  <c r="AQ1272" i="2" s="1"/>
  <c r="AQ1273" i="2" a="1"/>
  <c r="AQ1273" i="2" s="1"/>
  <c r="AQ1274" i="2" a="1"/>
  <c r="AQ1274" i="2" s="1"/>
  <c r="AQ1275" i="2" a="1"/>
  <c r="AQ1275" i="2" s="1"/>
  <c r="AQ1276" i="2" a="1"/>
  <c r="AQ1276" i="2" s="1"/>
  <c r="AQ1277" i="2" a="1"/>
  <c r="AQ1277" i="2" s="1"/>
  <c r="AQ1278" i="2" a="1"/>
  <c r="AQ1278" i="2" s="1"/>
  <c r="AQ1279" i="2" a="1"/>
  <c r="AQ1279" i="2" s="1"/>
  <c r="AQ1280" i="2" a="1"/>
  <c r="AQ1280" i="2" s="1"/>
  <c r="AQ1281" i="2" a="1"/>
  <c r="AQ1281" i="2" s="1"/>
  <c r="AQ1282" i="2" a="1"/>
  <c r="AQ1282" i="2" s="1"/>
  <c r="AQ1283" i="2" a="1"/>
  <c r="AQ1283" i="2" s="1"/>
  <c r="AQ1284" i="2" a="1"/>
  <c r="AQ1284" i="2" s="1"/>
  <c r="AQ1285" i="2" a="1"/>
  <c r="AQ1285" i="2" s="1"/>
  <c r="AQ1286" i="2" a="1"/>
  <c r="AQ1286" i="2" s="1"/>
  <c r="AQ1287" i="2" a="1"/>
  <c r="AQ1287" i="2" s="1"/>
  <c r="AQ1288" i="2" a="1"/>
  <c r="AQ1288" i="2" s="1"/>
  <c r="AQ1289" i="2" a="1"/>
  <c r="AQ1289" i="2" s="1"/>
  <c r="AQ1290" i="2" a="1"/>
  <c r="AQ1290" i="2" s="1"/>
  <c r="AQ1291" i="2" a="1"/>
  <c r="AQ1291" i="2" s="1"/>
  <c r="AQ1292" i="2" a="1"/>
  <c r="AQ1292" i="2" s="1"/>
  <c r="AQ1293" i="2" a="1"/>
  <c r="AQ1293" i="2" s="1"/>
  <c r="AQ1294" i="2" a="1"/>
  <c r="AQ1294" i="2" s="1"/>
  <c r="AQ1295" i="2" a="1"/>
  <c r="AQ1295" i="2" s="1"/>
  <c r="AQ1296" i="2" a="1"/>
  <c r="AQ1296" i="2" s="1"/>
  <c r="AQ1297" i="2" a="1"/>
  <c r="AQ1297" i="2" s="1"/>
  <c r="AQ1298" i="2" a="1"/>
  <c r="AQ1298" i="2" s="1"/>
  <c r="AQ1299" i="2" a="1"/>
  <c r="AQ1299" i="2" s="1"/>
  <c r="AQ1300" i="2" a="1"/>
  <c r="AQ1300" i="2" s="1"/>
  <c r="AQ1301" i="2" a="1"/>
  <c r="AQ1301" i="2" s="1"/>
  <c r="AQ1302" i="2" a="1"/>
  <c r="AQ1302" i="2" s="1"/>
  <c r="AQ1303" i="2" a="1"/>
  <c r="AQ1303" i="2" s="1"/>
  <c r="AQ1304" i="2" a="1"/>
  <c r="AQ1304" i="2" s="1"/>
  <c r="AQ1305" i="2" a="1"/>
  <c r="AQ1305" i="2" s="1"/>
  <c r="AQ1306" i="2" a="1"/>
  <c r="AQ1306" i="2" s="1"/>
  <c r="AQ1307" i="2" a="1"/>
  <c r="AQ1307" i="2" s="1"/>
  <c r="AQ1308" i="2" a="1"/>
  <c r="AQ1308" i="2" s="1"/>
  <c r="AQ1309" i="2" a="1"/>
  <c r="AQ1309" i="2" s="1"/>
  <c r="AQ1310" i="2" a="1"/>
  <c r="AQ1310" i="2" s="1"/>
  <c r="AQ1311" i="2" a="1"/>
  <c r="AQ1311" i="2" s="1"/>
  <c r="AQ1312" i="2" a="1"/>
  <c r="AQ1312" i="2" s="1"/>
  <c r="AQ1313" i="2" a="1"/>
  <c r="AQ1313" i="2" s="1"/>
  <c r="AQ1314" i="2" a="1"/>
  <c r="AQ1314" i="2" s="1"/>
  <c r="AQ1315" i="2" a="1"/>
  <c r="AQ1315" i="2" s="1"/>
  <c r="AQ1316" i="2" a="1"/>
  <c r="AQ1316" i="2" s="1"/>
  <c r="AQ1317" i="2" a="1"/>
  <c r="AQ1317" i="2" s="1"/>
  <c r="AQ1318" i="2" a="1"/>
  <c r="AQ1318" i="2" s="1"/>
  <c r="AQ1319" i="2" a="1"/>
  <c r="AQ1319" i="2" s="1"/>
  <c r="AQ1320" i="2" a="1"/>
  <c r="AQ1320" i="2" s="1"/>
  <c r="AQ1321" i="2" a="1"/>
  <c r="AQ1321" i="2" s="1"/>
  <c r="AQ1322" i="2" a="1"/>
  <c r="AQ1322" i="2" s="1"/>
  <c r="AQ1323" i="2" a="1"/>
  <c r="AQ1323" i="2" s="1"/>
  <c r="AQ1324" i="2" a="1"/>
  <c r="AQ1324" i="2" s="1"/>
  <c r="AQ1325" i="2" a="1"/>
  <c r="AQ1325" i="2" s="1"/>
  <c r="AQ1326" i="2" a="1"/>
  <c r="AQ1326" i="2" s="1"/>
  <c r="AQ1327" i="2" a="1"/>
  <c r="AQ1327" i="2" s="1"/>
  <c r="AQ1328" i="2" a="1"/>
  <c r="AQ1328" i="2" s="1"/>
  <c r="AQ1329" i="2" a="1"/>
  <c r="AQ1329" i="2" s="1"/>
  <c r="AQ1330" i="2" a="1"/>
  <c r="AQ1330" i="2" s="1"/>
  <c r="AQ1331" i="2" a="1"/>
  <c r="AQ1331" i="2" s="1"/>
  <c r="AQ1332" i="2" a="1"/>
  <c r="AQ1332" i="2" s="1"/>
  <c r="AQ1333" i="2" a="1"/>
  <c r="AQ1333" i="2" s="1"/>
  <c r="AQ1334" i="2" a="1"/>
  <c r="AQ1334" i="2" s="1"/>
  <c r="AQ1335" i="2" a="1"/>
  <c r="AQ1335" i="2" s="1"/>
  <c r="AQ1336" i="2" a="1"/>
  <c r="AQ1336" i="2" s="1"/>
  <c r="AQ1337" i="2" a="1"/>
  <c r="AQ1337" i="2" s="1"/>
  <c r="AQ1338" i="2" a="1"/>
  <c r="AQ1338" i="2" s="1"/>
  <c r="AQ1339" i="2" a="1"/>
  <c r="AQ1339" i="2" s="1"/>
  <c r="AQ1340" i="2" a="1"/>
  <c r="AQ1340" i="2" s="1"/>
  <c r="AQ1341" i="2" a="1"/>
  <c r="AQ1341" i="2" s="1"/>
  <c r="AQ1342" i="2" a="1"/>
  <c r="AQ1342" i="2" s="1"/>
  <c r="AQ1343" i="2" a="1"/>
  <c r="AQ1343" i="2" s="1"/>
  <c r="AQ1344" i="2" a="1"/>
  <c r="AQ1344" i="2" s="1"/>
  <c r="AQ1345" i="2" a="1"/>
  <c r="AQ1345" i="2" s="1"/>
  <c r="AQ1346" i="2" a="1"/>
  <c r="AQ1346" i="2" s="1"/>
  <c r="AQ1347" i="2" a="1"/>
  <c r="AQ1347" i="2" s="1"/>
  <c r="AQ1348" i="2" a="1"/>
  <c r="AQ1348" i="2" s="1"/>
  <c r="AQ1349" i="2" a="1"/>
  <c r="AQ1349" i="2" s="1"/>
  <c r="AQ1350" i="2" a="1"/>
  <c r="AQ1350" i="2" s="1"/>
  <c r="AQ1351" i="2" a="1"/>
  <c r="AQ1351" i="2" s="1"/>
  <c r="AQ1352" i="2" a="1"/>
  <c r="AQ1352" i="2" s="1"/>
  <c r="AQ1353" i="2" a="1"/>
  <c r="AQ1353" i="2" s="1"/>
  <c r="AQ1354" i="2" a="1"/>
  <c r="AQ1354" i="2" s="1"/>
  <c r="AQ1355" i="2" a="1"/>
  <c r="AQ1355" i="2" s="1"/>
  <c r="AQ1356" i="2" a="1"/>
  <c r="AQ1356" i="2" s="1"/>
  <c r="AQ1357" i="2" a="1"/>
  <c r="AQ1357" i="2" s="1"/>
  <c r="AQ1358" i="2" a="1"/>
  <c r="AQ1358" i="2" s="1"/>
  <c r="AQ1359" i="2" a="1"/>
  <c r="AQ1359" i="2" s="1"/>
  <c r="AQ1360" i="2" a="1"/>
  <c r="AQ1360" i="2" s="1"/>
  <c r="AQ1361" i="2" a="1"/>
  <c r="AQ1361" i="2" s="1"/>
  <c r="AQ1362" i="2" a="1"/>
  <c r="AQ1362" i="2" s="1"/>
  <c r="AQ1363" i="2" a="1"/>
  <c r="AQ1363" i="2" s="1"/>
  <c r="AQ1364" i="2" a="1"/>
  <c r="AQ1364" i="2" s="1"/>
  <c r="AQ1365" i="2" a="1"/>
  <c r="AQ1365" i="2" s="1"/>
  <c r="AQ1366" i="2" a="1"/>
  <c r="AQ1366" i="2" s="1"/>
  <c r="AQ1367" i="2" a="1"/>
  <c r="AQ1367" i="2" s="1"/>
  <c r="AQ1368" i="2" a="1"/>
  <c r="AQ1368" i="2" s="1"/>
  <c r="AQ1369" i="2" a="1"/>
  <c r="AQ1369" i="2" s="1"/>
  <c r="AQ1370" i="2" a="1"/>
  <c r="AQ1370" i="2" s="1"/>
  <c r="AQ1371" i="2" a="1"/>
  <c r="AQ1371" i="2" s="1"/>
  <c r="AQ1372" i="2" a="1"/>
  <c r="AQ1372" i="2" s="1"/>
  <c r="AQ1373" i="2" a="1"/>
  <c r="AQ1373" i="2" s="1"/>
  <c r="AQ1374" i="2" a="1"/>
  <c r="AQ1374" i="2" s="1"/>
  <c r="AQ1375" i="2" a="1"/>
  <c r="AQ1375" i="2" s="1"/>
  <c r="AQ1376" i="2" a="1"/>
  <c r="AQ1376" i="2" s="1"/>
  <c r="AQ1377" i="2" a="1"/>
  <c r="AQ1377" i="2" s="1"/>
  <c r="AQ1378" i="2" a="1"/>
  <c r="AQ1378" i="2" s="1"/>
  <c r="AQ1379" i="2" a="1"/>
  <c r="AQ1379" i="2" s="1"/>
  <c r="AQ1380" i="2" a="1"/>
  <c r="AQ1380" i="2" s="1"/>
  <c r="AQ1381" i="2" a="1"/>
  <c r="AQ1381" i="2" s="1"/>
  <c r="AQ1382" i="2" a="1"/>
  <c r="AQ1382" i="2" s="1"/>
  <c r="AQ1383" i="2" a="1"/>
  <c r="AQ1383" i="2" s="1"/>
  <c r="AQ1384" i="2" a="1"/>
  <c r="AQ1384" i="2" s="1"/>
  <c r="AQ1385" i="2" a="1"/>
  <c r="AQ1385" i="2" s="1"/>
  <c r="AQ1386" i="2" a="1"/>
  <c r="AQ1386" i="2" s="1"/>
  <c r="AQ1387" i="2" a="1"/>
  <c r="AQ1387" i="2" s="1"/>
  <c r="AQ1388" i="2" a="1"/>
  <c r="AQ1388" i="2" s="1"/>
  <c r="AQ1389" i="2" a="1"/>
  <c r="AQ1389" i="2" s="1"/>
  <c r="AQ1390" i="2" a="1"/>
  <c r="AQ1390" i="2" s="1"/>
  <c r="AQ1391" i="2" a="1"/>
  <c r="AQ1391" i="2" s="1"/>
  <c r="AQ1392" i="2" a="1"/>
  <c r="AQ1392" i="2" s="1"/>
  <c r="AQ1393" i="2" a="1"/>
  <c r="AQ1393" i="2" s="1"/>
  <c r="AQ1394" i="2" a="1"/>
  <c r="AQ1394" i="2" s="1"/>
  <c r="AQ1395" i="2" a="1"/>
  <c r="AQ1395" i="2" s="1"/>
  <c r="AQ1396" i="2" a="1"/>
  <c r="AQ1396" i="2" s="1"/>
  <c r="AQ1397" i="2" a="1"/>
  <c r="AQ1397" i="2" s="1"/>
  <c r="AQ1398" i="2" a="1"/>
  <c r="AQ1398" i="2" s="1"/>
  <c r="AQ1399" i="2" a="1"/>
  <c r="AQ1399" i="2" s="1"/>
  <c r="AQ1400" i="2" a="1"/>
  <c r="AQ1400" i="2" s="1"/>
  <c r="AQ1401" i="2" a="1"/>
  <c r="AQ1401" i="2" s="1"/>
  <c r="AQ1402" i="2" a="1"/>
  <c r="AQ1402" i="2" s="1"/>
  <c r="AQ1403" i="2" a="1"/>
  <c r="AQ1403" i="2" s="1"/>
  <c r="AQ1404" i="2" a="1"/>
  <c r="AQ1404" i="2" s="1"/>
  <c r="AQ1405" i="2" a="1"/>
  <c r="AQ1405" i="2" s="1"/>
  <c r="AQ1406" i="2" a="1"/>
  <c r="AQ1406" i="2" s="1"/>
  <c r="AQ1407" i="2" a="1"/>
  <c r="AQ1407" i="2" s="1"/>
  <c r="AQ1408" i="2" a="1"/>
  <c r="AQ1408" i="2" s="1"/>
  <c r="AQ1409" i="2" a="1"/>
  <c r="AQ1409" i="2" s="1"/>
  <c r="AQ1410" i="2" a="1"/>
  <c r="AQ1410" i="2" s="1"/>
  <c r="AQ1411" i="2" a="1"/>
  <c r="AQ1411" i="2" s="1"/>
  <c r="AQ1412" i="2" a="1"/>
  <c r="AQ1412" i="2" s="1"/>
  <c r="AQ1413" i="2" a="1"/>
  <c r="AQ1413" i="2" s="1"/>
  <c r="AQ1414" i="2" a="1"/>
  <c r="AQ1414" i="2" s="1"/>
  <c r="AQ1415" i="2" a="1"/>
  <c r="AQ1415" i="2" s="1"/>
  <c r="AQ1416" i="2" a="1"/>
  <c r="AQ1416" i="2" s="1"/>
  <c r="AQ1417" i="2" a="1"/>
  <c r="AQ1417" i="2" s="1"/>
  <c r="AQ1418" i="2" a="1"/>
  <c r="AQ1418" i="2" s="1"/>
  <c r="AQ1419" i="2" a="1"/>
  <c r="AQ1419" i="2" s="1"/>
  <c r="AQ1420" i="2" a="1"/>
  <c r="AQ1420" i="2" s="1"/>
  <c r="AQ1421" i="2" a="1"/>
  <c r="AQ1421" i="2" s="1"/>
  <c r="AQ1422" i="2" a="1"/>
  <c r="AQ1422" i="2" s="1"/>
  <c r="AQ1423" i="2" a="1"/>
  <c r="AQ1423" i="2" s="1"/>
  <c r="AQ1424" i="2" a="1"/>
  <c r="AQ1424" i="2" s="1"/>
  <c r="AQ1425" i="2" a="1"/>
  <c r="AQ1425" i="2" s="1"/>
  <c r="AQ1426" i="2" a="1"/>
  <c r="AQ1426" i="2" s="1"/>
  <c r="AQ1427" i="2" a="1"/>
  <c r="AQ1427" i="2" s="1"/>
  <c r="AQ1428" i="2" a="1"/>
  <c r="AQ1428" i="2" s="1"/>
  <c r="AQ1429" i="2" a="1"/>
  <c r="AQ1429" i="2" s="1"/>
  <c r="AQ1430" i="2" a="1"/>
  <c r="AQ1430" i="2" s="1"/>
  <c r="AQ1431" i="2" a="1"/>
  <c r="AQ1431" i="2" s="1"/>
  <c r="AQ1432" i="2" a="1"/>
  <c r="AQ1432" i="2" s="1"/>
  <c r="AQ1433" i="2" a="1"/>
  <c r="AQ1433" i="2" s="1"/>
  <c r="AQ1434" i="2" a="1"/>
  <c r="AQ1434" i="2" s="1"/>
  <c r="AQ1435" i="2" a="1"/>
  <c r="AQ1435" i="2" s="1"/>
  <c r="AQ1436" i="2" a="1"/>
  <c r="AQ1436" i="2" s="1"/>
  <c r="AQ1437" i="2" a="1"/>
  <c r="AQ1437" i="2" s="1"/>
  <c r="AQ1438" i="2" a="1"/>
  <c r="AQ1438" i="2" s="1"/>
  <c r="AQ1439" i="2" a="1"/>
  <c r="AQ1439" i="2" s="1"/>
  <c r="AQ1440" i="2" a="1"/>
  <c r="AQ1440" i="2" s="1"/>
  <c r="AQ1441" i="2" a="1"/>
  <c r="AQ1441" i="2" s="1"/>
  <c r="AQ1442" i="2" a="1"/>
  <c r="AQ1442" i="2" s="1"/>
  <c r="AQ1443" i="2" a="1"/>
  <c r="AQ1443" i="2" s="1"/>
  <c r="AQ1444" i="2" a="1"/>
  <c r="AQ1444" i="2" s="1"/>
  <c r="AQ1445" i="2" a="1"/>
  <c r="AQ1445" i="2" s="1"/>
  <c r="AQ1446" i="2" a="1"/>
  <c r="AQ1446" i="2" s="1"/>
  <c r="AQ1447" i="2" a="1"/>
  <c r="AQ1447" i="2" s="1"/>
  <c r="AQ1448" i="2" a="1"/>
  <c r="AQ1448" i="2" s="1"/>
  <c r="AQ1449" i="2" a="1"/>
  <c r="AQ1449" i="2" s="1"/>
  <c r="AQ1450" i="2" a="1"/>
  <c r="AQ1450" i="2" s="1"/>
  <c r="AQ1451" i="2" a="1"/>
  <c r="AQ1451" i="2" s="1"/>
  <c r="AQ1452" i="2" a="1"/>
  <c r="AQ1452" i="2" s="1"/>
  <c r="AQ1453" i="2" a="1"/>
  <c r="AQ1453" i="2" s="1"/>
  <c r="AQ1454" i="2" a="1"/>
  <c r="AQ1454" i="2" s="1"/>
  <c r="AQ1455" i="2" a="1"/>
  <c r="AQ1455" i="2" s="1"/>
  <c r="AQ1456" i="2" a="1"/>
  <c r="AQ1456" i="2" s="1"/>
  <c r="AQ1457" i="2" a="1"/>
  <c r="AQ1457" i="2" s="1"/>
  <c r="AQ1458" i="2" a="1"/>
  <c r="AQ1458" i="2" s="1"/>
  <c r="AQ1459" i="2" a="1"/>
  <c r="AQ1459" i="2" s="1"/>
  <c r="AQ1460" i="2" a="1"/>
  <c r="AQ1460" i="2" s="1"/>
  <c r="AQ1461" i="2" a="1"/>
  <c r="AQ1461" i="2" s="1"/>
  <c r="AQ1462" i="2" a="1"/>
  <c r="AQ1462" i="2" s="1"/>
  <c r="AQ1463" i="2" a="1"/>
  <c r="AQ1463" i="2" s="1"/>
  <c r="AQ1464" i="2" a="1"/>
  <c r="AQ1464" i="2" s="1"/>
  <c r="AQ1465" i="2" a="1"/>
  <c r="AQ1465" i="2" s="1"/>
  <c r="AQ1466" i="2" a="1"/>
  <c r="AQ1466" i="2" s="1"/>
  <c r="AQ1467" i="2" a="1"/>
  <c r="AQ1467" i="2" s="1"/>
  <c r="AQ1468" i="2" a="1"/>
  <c r="AQ1468" i="2" s="1"/>
  <c r="AQ1469" i="2" a="1"/>
  <c r="AQ1469" i="2" s="1"/>
  <c r="AQ1470" i="2" a="1"/>
  <c r="AQ1470" i="2" s="1"/>
  <c r="AQ1471" i="2" a="1"/>
  <c r="AQ1471" i="2" s="1"/>
  <c r="AH2" i="2" a="1"/>
  <c r="AH2" i="2" s="1"/>
  <c r="AH3" i="2" a="1"/>
  <c r="AH3" i="2" s="1"/>
  <c r="AH4" i="2" a="1"/>
  <c r="AH4" i="2" s="1"/>
  <c r="AH5" i="2" a="1"/>
  <c r="AH5" i="2" s="1"/>
  <c r="AH6" i="2" a="1"/>
  <c r="AH6" i="2" s="1"/>
  <c r="AH7" i="2" a="1"/>
  <c r="AH7" i="2" s="1"/>
  <c r="AH8" i="2" a="1"/>
  <c r="AH8" i="2" s="1"/>
  <c r="AH9" i="2" a="1"/>
  <c r="AH9" i="2" s="1"/>
  <c r="AH10" i="2" a="1"/>
  <c r="AH10" i="2" s="1"/>
  <c r="AH11" i="2" a="1"/>
  <c r="AH11" i="2" s="1"/>
  <c r="AH12" i="2" a="1"/>
  <c r="AH12" i="2" s="1"/>
  <c r="AH13" i="2" a="1"/>
  <c r="AH13" i="2" s="1"/>
  <c r="AH14" i="2" a="1"/>
  <c r="AH14" i="2" s="1"/>
  <c r="AH15" i="2" a="1"/>
  <c r="AH15" i="2" s="1"/>
  <c r="AH16" i="2" a="1"/>
  <c r="AH16" i="2" s="1"/>
  <c r="AH17" i="2" a="1"/>
  <c r="AH17" i="2" s="1"/>
  <c r="AH18" i="2" a="1"/>
  <c r="AH18" i="2" s="1"/>
  <c r="AH19" i="2" a="1"/>
  <c r="AH19" i="2" s="1"/>
  <c r="AH20" i="2" a="1"/>
  <c r="AH20" i="2" s="1"/>
  <c r="AH21" i="2" a="1"/>
  <c r="AH21" i="2" s="1"/>
  <c r="AH22" i="2" a="1"/>
  <c r="AH22" i="2" s="1"/>
  <c r="AH23" i="2" a="1"/>
  <c r="AH23" i="2" s="1"/>
  <c r="AH24" i="2" a="1"/>
  <c r="AH24" i="2" s="1"/>
  <c r="AH25" i="2" a="1"/>
  <c r="AH25" i="2" s="1"/>
  <c r="AH26" i="2" a="1"/>
  <c r="AH26" i="2" s="1"/>
  <c r="AH27" i="2" a="1"/>
  <c r="AH27" i="2" s="1"/>
  <c r="AH28" i="2" a="1"/>
  <c r="AH28" i="2" s="1"/>
  <c r="AH29" i="2" a="1"/>
  <c r="AH29" i="2" s="1"/>
  <c r="AH30" i="2" a="1"/>
  <c r="AH30" i="2" s="1"/>
  <c r="AH31" i="2" a="1"/>
  <c r="AH31" i="2" s="1"/>
  <c r="AH32" i="2" a="1"/>
  <c r="AH32" i="2" s="1"/>
  <c r="AH33" i="2" a="1"/>
  <c r="AH33" i="2" s="1"/>
  <c r="AH34" i="2" a="1"/>
  <c r="AH34" i="2" s="1"/>
  <c r="AH35" i="2" a="1"/>
  <c r="AH35" i="2" s="1"/>
  <c r="AH36" i="2" a="1"/>
  <c r="AH36" i="2" s="1"/>
  <c r="AH37" i="2" a="1"/>
  <c r="AH37" i="2" s="1"/>
  <c r="AH38" i="2" a="1"/>
  <c r="AH38" i="2" s="1"/>
  <c r="AH39" i="2" a="1"/>
  <c r="AH39" i="2" s="1"/>
  <c r="AH40" i="2" a="1"/>
  <c r="AH40" i="2" s="1"/>
  <c r="AH41" i="2" a="1"/>
  <c r="AH41" i="2" s="1"/>
  <c r="AH42" i="2" a="1"/>
  <c r="AH42" i="2" s="1"/>
  <c r="AH43" i="2" a="1"/>
  <c r="AH43" i="2" s="1"/>
  <c r="AH44" i="2" a="1"/>
  <c r="AH44" i="2" s="1"/>
  <c r="AH45" i="2" a="1"/>
  <c r="AH45" i="2" s="1"/>
  <c r="AH46" i="2" a="1"/>
  <c r="AH46" i="2" s="1"/>
  <c r="AH47" i="2" a="1"/>
  <c r="AH47" i="2" s="1"/>
  <c r="AH48" i="2" a="1"/>
  <c r="AH48" i="2" s="1"/>
  <c r="AH49" i="2" a="1"/>
  <c r="AH49" i="2" s="1"/>
  <c r="AH50" i="2" a="1"/>
  <c r="AH50" i="2" s="1"/>
  <c r="AH51" i="2" a="1"/>
  <c r="AH51" i="2" s="1"/>
  <c r="AH52" i="2" a="1"/>
  <c r="AH52" i="2" s="1"/>
  <c r="AH53" i="2" a="1"/>
  <c r="AH53" i="2" s="1"/>
  <c r="AH54" i="2" a="1"/>
  <c r="AH54" i="2" s="1"/>
  <c r="AH55" i="2" a="1"/>
  <c r="AH55" i="2" s="1"/>
  <c r="AH56" i="2" a="1"/>
  <c r="AH56" i="2" s="1"/>
  <c r="AH57" i="2" a="1"/>
  <c r="AH57" i="2" s="1"/>
  <c r="AH58" i="2" a="1"/>
  <c r="AH58" i="2" s="1"/>
  <c r="AH59" i="2" a="1"/>
  <c r="AH59" i="2" s="1"/>
  <c r="AH60" i="2" a="1"/>
  <c r="AH60" i="2" s="1"/>
  <c r="AH61" i="2" a="1"/>
  <c r="AH61" i="2" s="1"/>
  <c r="AH62" i="2" a="1"/>
  <c r="AH62" i="2" s="1"/>
  <c r="AH63" i="2" a="1"/>
  <c r="AH63" i="2" s="1"/>
  <c r="AH64" i="2" a="1"/>
  <c r="AH64" i="2" s="1"/>
  <c r="AH65" i="2" a="1"/>
  <c r="AH65" i="2" s="1"/>
  <c r="AH66" i="2" a="1"/>
  <c r="AH66" i="2" s="1"/>
  <c r="AH67" i="2" a="1"/>
  <c r="AH67" i="2" s="1"/>
  <c r="AH68" i="2" a="1"/>
  <c r="AH68" i="2" s="1"/>
  <c r="AH69" i="2" a="1"/>
  <c r="AH69" i="2" s="1"/>
  <c r="AH70" i="2" a="1"/>
  <c r="AH70" i="2" s="1"/>
  <c r="AH71" i="2" a="1"/>
  <c r="AH71" i="2" s="1"/>
  <c r="AH72" i="2" a="1"/>
  <c r="AH72" i="2" s="1"/>
  <c r="AH73" i="2" a="1"/>
  <c r="AH73" i="2" s="1"/>
  <c r="AH74" i="2" a="1"/>
  <c r="AH74" i="2" s="1"/>
  <c r="AH75" i="2" a="1"/>
  <c r="AH75" i="2" s="1"/>
  <c r="AH76" i="2" a="1"/>
  <c r="AH76" i="2" s="1"/>
  <c r="AH77" i="2" a="1"/>
  <c r="AH77" i="2" s="1"/>
  <c r="AH78" i="2" a="1"/>
  <c r="AH78" i="2" s="1"/>
  <c r="AH79" i="2" a="1"/>
  <c r="AH79" i="2" s="1"/>
  <c r="AH80" i="2" a="1"/>
  <c r="AH80" i="2" s="1"/>
  <c r="AH81" i="2" a="1"/>
  <c r="AH81" i="2" s="1"/>
  <c r="AH82" i="2" a="1"/>
  <c r="AH82" i="2" s="1"/>
  <c r="AH83" i="2" a="1"/>
  <c r="AH83" i="2" s="1"/>
  <c r="AH84" i="2" a="1"/>
  <c r="AH84" i="2" s="1"/>
  <c r="AH85" i="2" a="1"/>
  <c r="AH85" i="2" s="1"/>
  <c r="AH86" i="2" a="1"/>
  <c r="AH86" i="2" s="1"/>
  <c r="AH87" i="2" a="1"/>
  <c r="AH87" i="2" s="1"/>
  <c r="AH88" i="2" a="1"/>
  <c r="AH88" i="2" s="1"/>
  <c r="AH89" i="2" a="1"/>
  <c r="AH89" i="2" s="1"/>
  <c r="AH90" i="2" a="1"/>
  <c r="AH90" i="2" s="1"/>
  <c r="AH91" i="2" a="1"/>
  <c r="AH91" i="2" s="1"/>
  <c r="AH92" i="2" a="1"/>
  <c r="AH92" i="2" s="1"/>
  <c r="AH93" i="2" a="1"/>
  <c r="AH93" i="2" s="1"/>
  <c r="AH94" i="2" a="1"/>
  <c r="AH94" i="2" s="1"/>
  <c r="AH95" i="2" a="1"/>
  <c r="AH95" i="2" s="1"/>
  <c r="AH96" i="2" a="1"/>
  <c r="AH96" i="2" s="1"/>
  <c r="AH97" i="2" a="1"/>
  <c r="AH97" i="2" s="1"/>
  <c r="AH98" i="2" a="1"/>
  <c r="AH98" i="2" s="1"/>
  <c r="AH99" i="2" a="1"/>
  <c r="AH99" i="2" s="1"/>
  <c r="AH100" i="2" a="1"/>
  <c r="AH100" i="2" s="1"/>
  <c r="AH101" i="2" a="1"/>
  <c r="AH101" i="2" s="1"/>
  <c r="AH102" i="2" a="1"/>
  <c r="AH102" i="2" s="1"/>
  <c r="AH103" i="2" a="1"/>
  <c r="AH103" i="2" s="1"/>
  <c r="AH104" i="2" a="1"/>
  <c r="AH104" i="2" s="1"/>
  <c r="AH105" i="2" a="1"/>
  <c r="AH105" i="2" s="1"/>
  <c r="AH106" i="2" a="1"/>
  <c r="AH106" i="2" s="1"/>
  <c r="AH107" i="2" a="1"/>
  <c r="AH107" i="2" s="1"/>
  <c r="AH108" i="2" a="1"/>
  <c r="AH108" i="2" s="1"/>
  <c r="AH109" i="2" a="1"/>
  <c r="AH109" i="2" s="1"/>
  <c r="AH110" i="2" a="1"/>
  <c r="AH110" i="2" s="1"/>
  <c r="AH111" i="2" a="1"/>
  <c r="AH111" i="2" s="1"/>
  <c r="AH112" i="2" a="1"/>
  <c r="AH112" i="2" s="1"/>
  <c r="AH113" i="2" a="1"/>
  <c r="AH113" i="2" s="1"/>
  <c r="AH114" i="2" a="1"/>
  <c r="AH114" i="2" s="1"/>
  <c r="AH115" i="2" a="1"/>
  <c r="AH115" i="2" s="1"/>
  <c r="AH116" i="2" a="1"/>
  <c r="AH116" i="2" s="1"/>
  <c r="AH117" i="2" a="1"/>
  <c r="AH117" i="2" s="1"/>
  <c r="AH118" i="2" a="1"/>
  <c r="AH118" i="2" s="1"/>
  <c r="AH119" i="2" a="1"/>
  <c r="AH119" i="2" s="1"/>
  <c r="AH120" i="2" a="1"/>
  <c r="AH120" i="2" s="1"/>
  <c r="AH121" i="2" a="1"/>
  <c r="AH121" i="2" s="1"/>
  <c r="AH122" i="2" a="1"/>
  <c r="AH122" i="2" s="1"/>
  <c r="AH123" i="2" a="1"/>
  <c r="AH123" i="2" s="1"/>
  <c r="AH124" i="2" a="1"/>
  <c r="AH124" i="2" s="1"/>
  <c r="AH125" i="2" a="1"/>
  <c r="AH125" i="2" s="1"/>
  <c r="AH126" i="2" a="1"/>
  <c r="AH126" i="2" s="1"/>
  <c r="AH127" i="2" a="1"/>
  <c r="AH127" i="2" s="1"/>
  <c r="AH128" i="2" a="1"/>
  <c r="AH128" i="2" s="1"/>
  <c r="AH129" i="2" a="1"/>
  <c r="AH129" i="2" s="1"/>
  <c r="AH130" i="2" a="1"/>
  <c r="AH130" i="2" s="1"/>
  <c r="AH131" i="2" a="1"/>
  <c r="AH131" i="2" s="1"/>
  <c r="AH132" i="2" a="1"/>
  <c r="AH132" i="2" s="1"/>
  <c r="AH133" i="2" a="1"/>
  <c r="AH133" i="2" s="1"/>
  <c r="AH134" i="2" a="1"/>
  <c r="AH134" i="2" s="1"/>
  <c r="AH135" i="2" a="1"/>
  <c r="AH135" i="2" s="1"/>
  <c r="AH136" i="2" a="1"/>
  <c r="AH136" i="2" s="1"/>
  <c r="AH137" i="2" a="1"/>
  <c r="AH137" i="2" s="1"/>
  <c r="AH138" i="2" a="1"/>
  <c r="AH138" i="2" s="1"/>
  <c r="AH139" i="2" a="1"/>
  <c r="AH139" i="2" s="1"/>
  <c r="AH140" i="2" a="1"/>
  <c r="AH140" i="2" s="1"/>
  <c r="AH141" i="2" a="1"/>
  <c r="AH141" i="2" s="1"/>
  <c r="AH142" i="2" a="1"/>
  <c r="AH142" i="2" s="1"/>
  <c r="AH143" i="2" a="1"/>
  <c r="AH143" i="2" s="1"/>
  <c r="AH144" i="2" a="1"/>
  <c r="AH144" i="2" s="1"/>
  <c r="AH145" i="2" a="1"/>
  <c r="AH145" i="2" s="1"/>
  <c r="AH146" i="2" a="1"/>
  <c r="AH146" i="2" s="1"/>
  <c r="AH147" i="2" a="1"/>
  <c r="AH147" i="2" s="1"/>
  <c r="AH148" i="2" a="1"/>
  <c r="AH148" i="2" s="1"/>
  <c r="AH149" i="2" a="1"/>
  <c r="AH149" i="2" s="1"/>
  <c r="AH150" i="2" a="1"/>
  <c r="AH150" i="2" s="1"/>
  <c r="AH151" i="2" a="1"/>
  <c r="AH151" i="2" s="1"/>
  <c r="AH152" i="2" a="1"/>
  <c r="AH152" i="2" s="1"/>
  <c r="AH153" i="2" a="1"/>
  <c r="AH153" i="2" s="1"/>
  <c r="AH154" i="2" a="1"/>
  <c r="AH154" i="2" s="1"/>
  <c r="AH155" i="2" a="1"/>
  <c r="AH155" i="2" s="1"/>
  <c r="AH156" i="2" a="1"/>
  <c r="AH156" i="2" s="1"/>
  <c r="AH157" i="2" a="1"/>
  <c r="AH157" i="2" s="1"/>
  <c r="AH158" i="2" a="1"/>
  <c r="AH158" i="2" s="1"/>
  <c r="AH159" i="2" a="1"/>
  <c r="AH159" i="2" s="1"/>
  <c r="AH160" i="2" a="1"/>
  <c r="AH160" i="2" s="1"/>
  <c r="AH161" i="2" a="1"/>
  <c r="AH161" i="2" s="1"/>
  <c r="AH162" i="2" a="1"/>
  <c r="AH162" i="2" s="1"/>
  <c r="AH163" i="2" a="1"/>
  <c r="AH163" i="2" s="1"/>
  <c r="AH164" i="2" a="1"/>
  <c r="AH164" i="2" s="1"/>
  <c r="AH165" i="2" a="1"/>
  <c r="AH165" i="2" s="1"/>
  <c r="AH166" i="2" a="1"/>
  <c r="AH166" i="2" s="1"/>
  <c r="AH167" i="2" a="1"/>
  <c r="AH167" i="2" s="1"/>
  <c r="AH168" i="2" a="1"/>
  <c r="AH168" i="2" s="1"/>
  <c r="AH169" i="2" a="1"/>
  <c r="AH169" i="2" s="1"/>
  <c r="AH170" i="2" a="1"/>
  <c r="AH170" i="2" s="1"/>
  <c r="AH171" i="2" a="1"/>
  <c r="AH171" i="2" s="1"/>
  <c r="AH172" i="2" a="1"/>
  <c r="AH172" i="2" s="1"/>
  <c r="AH173" i="2" a="1"/>
  <c r="AH173" i="2" s="1"/>
  <c r="AH174" i="2" a="1"/>
  <c r="AH174" i="2" s="1"/>
  <c r="AH175" i="2" a="1"/>
  <c r="AH175" i="2" s="1"/>
  <c r="AH176" i="2" a="1"/>
  <c r="AH176" i="2" s="1"/>
  <c r="AH177" i="2" a="1"/>
  <c r="AH177" i="2" s="1"/>
  <c r="AH178" i="2" a="1"/>
  <c r="AH178" i="2" s="1"/>
  <c r="AH179" i="2" a="1"/>
  <c r="AH179" i="2" s="1"/>
  <c r="AH180" i="2" a="1"/>
  <c r="AH180" i="2" s="1"/>
  <c r="AH181" i="2" a="1"/>
  <c r="AH181" i="2" s="1"/>
  <c r="AH182" i="2" a="1"/>
  <c r="AH182" i="2" s="1"/>
  <c r="AH183" i="2" a="1"/>
  <c r="AH183" i="2" s="1"/>
  <c r="AH184" i="2" a="1"/>
  <c r="AH184" i="2" s="1"/>
  <c r="AH185" i="2" a="1"/>
  <c r="AH185" i="2" s="1"/>
  <c r="AH186" i="2" a="1"/>
  <c r="AH186" i="2" s="1"/>
  <c r="AH187" i="2" a="1"/>
  <c r="AH187" i="2" s="1"/>
  <c r="AH188" i="2" a="1"/>
  <c r="AH188" i="2" s="1"/>
  <c r="AH189" i="2" a="1"/>
  <c r="AH189" i="2" s="1"/>
  <c r="AH190" i="2" a="1"/>
  <c r="AH190" i="2" s="1"/>
  <c r="AH191" i="2" a="1"/>
  <c r="AH191" i="2" s="1"/>
  <c r="AH192" i="2" a="1"/>
  <c r="AH192" i="2" s="1"/>
  <c r="AH193" i="2" a="1"/>
  <c r="AH193" i="2" s="1"/>
  <c r="AH194" i="2" a="1"/>
  <c r="AH194" i="2" s="1"/>
  <c r="AH195" i="2" a="1"/>
  <c r="AH195" i="2" s="1"/>
  <c r="AH196" i="2" a="1"/>
  <c r="AH196" i="2" s="1"/>
  <c r="AH197" i="2" a="1"/>
  <c r="AH197" i="2" s="1"/>
  <c r="AH198" i="2" a="1"/>
  <c r="AH198" i="2" s="1"/>
  <c r="AH199" i="2" a="1"/>
  <c r="AH199" i="2" s="1"/>
  <c r="AH200" i="2" a="1"/>
  <c r="AH200" i="2" s="1"/>
  <c r="AH201" i="2" a="1"/>
  <c r="AH201" i="2" s="1"/>
  <c r="AH202" i="2" a="1"/>
  <c r="AH202" i="2" s="1"/>
  <c r="AH203" i="2" a="1"/>
  <c r="AH203" i="2" s="1"/>
  <c r="AH204" i="2" a="1"/>
  <c r="AH204" i="2" s="1"/>
  <c r="AH205" i="2" a="1"/>
  <c r="AH205" i="2" s="1"/>
  <c r="AH206" i="2" a="1"/>
  <c r="AH206" i="2" s="1"/>
  <c r="AH207" i="2" a="1"/>
  <c r="AH207" i="2" s="1"/>
  <c r="AH208" i="2" a="1"/>
  <c r="AH208" i="2" s="1"/>
  <c r="AH209" i="2" a="1"/>
  <c r="AH209" i="2" s="1"/>
  <c r="AH210" i="2" a="1"/>
  <c r="AH210" i="2" s="1"/>
  <c r="AH211" i="2" a="1"/>
  <c r="AH211" i="2" s="1"/>
  <c r="AH212" i="2" a="1"/>
  <c r="AH212" i="2" s="1"/>
  <c r="AH213" i="2" a="1"/>
  <c r="AH213" i="2" s="1"/>
  <c r="AH214" i="2" a="1"/>
  <c r="AH214" i="2" s="1"/>
  <c r="AH215" i="2" a="1"/>
  <c r="AH215" i="2" s="1"/>
  <c r="AH216" i="2" a="1"/>
  <c r="AH216" i="2" s="1"/>
  <c r="AH217" i="2" a="1"/>
  <c r="AH217" i="2" s="1"/>
  <c r="AH218" i="2" a="1"/>
  <c r="AH218" i="2" s="1"/>
  <c r="AH219" i="2" a="1"/>
  <c r="AH219" i="2" s="1"/>
  <c r="AH220" i="2" a="1"/>
  <c r="AH220" i="2" s="1"/>
  <c r="AH221" i="2" a="1"/>
  <c r="AH221" i="2" s="1"/>
  <c r="AH222" i="2" a="1"/>
  <c r="AH222" i="2" s="1"/>
  <c r="AH223" i="2" a="1"/>
  <c r="AH223" i="2" s="1"/>
  <c r="AH224" i="2" a="1"/>
  <c r="AH224" i="2" s="1"/>
  <c r="AH225" i="2" a="1"/>
  <c r="AH225" i="2" s="1"/>
  <c r="AH226" i="2" a="1"/>
  <c r="AH226" i="2" s="1"/>
  <c r="AH227" i="2" a="1"/>
  <c r="AH227" i="2" s="1"/>
  <c r="AH228" i="2" a="1"/>
  <c r="AH228" i="2" s="1"/>
  <c r="AH229" i="2" a="1"/>
  <c r="AH229" i="2" s="1"/>
  <c r="AH230" i="2" a="1"/>
  <c r="AH230" i="2" s="1"/>
  <c r="AH231" i="2" a="1"/>
  <c r="AH231" i="2" s="1"/>
  <c r="AH232" i="2" a="1"/>
  <c r="AH232" i="2" s="1"/>
  <c r="AH233" i="2" a="1"/>
  <c r="AH233" i="2" s="1"/>
  <c r="AH234" i="2" a="1"/>
  <c r="AH234" i="2" s="1"/>
  <c r="AH235" i="2" a="1"/>
  <c r="AH235" i="2" s="1"/>
  <c r="AH236" i="2" a="1"/>
  <c r="AH236" i="2" s="1"/>
  <c r="AH237" i="2" a="1"/>
  <c r="AH237" i="2" s="1"/>
  <c r="AH238" i="2" a="1"/>
  <c r="AH238" i="2" s="1"/>
  <c r="AH239" i="2" a="1"/>
  <c r="AH239" i="2" s="1"/>
  <c r="AH240" i="2" a="1"/>
  <c r="AH240" i="2" s="1"/>
  <c r="AH241" i="2" a="1"/>
  <c r="AH241" i="2" s="1"/>
  <c r="AH242" i="2" a="1"/>
  <c r="AH242" i="2" s="1"/>
  <c r="AH243" i="2" a="1"/>
  <c r="AH243" i="2" s="1"/>
  <c r="AH244" i="2" a="1"/>
  <c r="AH244" i="2"/>
  <c r="AH245" i="2" a="1"/>
  <c r="AH245" i="2" s="1"/>
  <c r="AH246" i="2" a="1"/>
  <c r="AH246" i="2" s="1"/>
  <c r="AH247" i="2" a="1"/>
  <c r="AH247" i="2" s="1"/>
  <c r="AH248" i="2" a="1"/>
  <c r="AH248" i="2" s="1"/>
  <c r="AH249" i="2" a="1"/>
  <c r="AH249" i="2" s="1"/>
  <c r="AH250" i="2" a="1"/>
  <c r="AH250" i="2" s="1"/>
  <c r="AH251" i="2" a="1"/>
  <c r="AH251" i="2" s="1"/>
  <c r="AH252" i="2" a="1"/>
  <c r="AH252" i="2" s="1"/>
  <c r="AH253" i="2" a="1"/>
  <c r="AH253" i="2" s="1"/>
  <c r="AH254" i="2" a="1"/>
  <c r="AH254" i="2" s="1"/>
  <c r="AH255" i="2" a="1"/>
  <c r="AH255" i="2" s="1"/>
  <c r="AH256" i="2" a="1"/>
  <c r="AH256" i="2" s="1"/>
  <c r="AH257" i="2" a="1"/>
  <c r="AH257" i="2" s="1"/>
  <c r="AH258" i="2" a="1"/>
  <c r="AH258" i="2" s="1"/>
  <c r="AH259" i="2" a="1"/>
  <c r="AH259" i="2" s="1"/>
  <c r="AH260" i="2" a="1"/>
  <c r="AH260" i="2" s="1"/>
  <c r="AH261" i="2" a="1"/>
  <c r="AH261" i="2" s="1"/>
  <c r="AH262" i="2" a="1"/>
  <c r="AH262" i="2" s="1"/>
  <c r="AH263" i="2" a="1"/>
  <c r="AH263" i="2" s="1"/>
  <c r="AH264" i="2" a="1"/>
  <c r="AH264" i="2" s="1"/>
  <c r="AH265" i="2" a="1"/>
  <c r="AH265" i="2" s="1"/>
  <c r="AH266" i="2" a="1"/>
  <c r="AH266" i="2" s="1"/>
  <c r="AH267" i="2" a="1"/>
  <c r="AH267" i="2" s="1"/>
  <c r="AH268" i="2" a="1"/>
  <c r="AH268" i="2" s="1"/>
  <c r="AH269" i="2" a="1"/>
  <c r="AH269" i="2" s="1"/>
  <c r="AH270" i="2" a="1"/>
  <c r="AH270" i="2" s="1"/>
  <c r="AH271" i="2" a="1"/>
  <c r="AH271" i="2" s="1"/>
  <c r="AH272" i="2" a="1"/>
  <c r="AH272" i="2" s="1"/>
  <c r="AH273" i="2" a="1"/>
  <c r="AH273" i="2" s="1"/>
  <c r="AH274" i="2" a="1"/>
  <c r="AH274" i="2" s="1"/>
  <c r="AH275" i="2" a="1"/>
  <c r="AH275" i="2" s="1"/>
  <c r="AH276" i="2" a="1"/>
  <c r="AH276" i="2" s="1"/>
  <c r="AH277" i="2" a="1"/>
  <c r="AH277" i="2" s="1"/>
  <c r="AH278" i="2" a="1"/>
  <c r="AH278" i="2" s="1"/>
  <c r="AH279" i="2" a="1"/>
  <c r="AH279" i="2" s="1"/>
  <c r="AH280" i="2" a="1"/>
  <c r="AH280" i="2" s="1"/>
  <c r="AH281" i="2" a="1"/>
  <c r="AH281" i="2" s="1"/>
  <c r="AH282" i="2" a="1"/>
  <c r="AH282" i="2" s="1"/>
  <c r="AH283" i="2" a="1"/>
  <c r="AH283" i="2" s="1"/>
  <c r="AH284" i="2" a="1"/>
  <c r="AH284" i="2" s="1"/>
  <c r="AH285" i="2" a="1"/>
  <c r="AH285" i="2" s="1"/>
  <c r="AH286" i="2" a="1"/>
  <c r="AH286" i="2" s="1"/>
  <c r="AH287" i="2" a="1"/>
  <c r="AH287" i="2" s="1"/>
  <c r="AH288" i="2" a="1"/>
  <c r="AH288" i="2" s="1"/>
  <c r="AH289" i="2" a="1"/>
  <c r="AH289" i="2" s="1"/>
  <c r="AH290" i="2" a="1"/>
  <c r="AH290" i="2" s="1"/>
  <c r="AH291" i="2" a="1"/>
  <c r="AH291" i="2" s="1"/>
  <c r="AH292" i="2" a="1"/>
  <c r="AH292" i="2" s="1"/>
  <c r="AH293" i="2" a="1"/>
  <c r="AH293" i="2" s="1"/>
  <c r="AH294" i="2" a="1"/>
  <c r="AH294" i="2" s="1"/>
  <c r="AH295" i="2" a="1"/>
  <c r="AH295" i="2" s="1"/>
  <c r="AH296" i="2" a="1"/>
  <c r="AH296" i="2" s="1"/>
  <c r="AH297" i="2" a="1"/>
  <c r="AH297" i="2" s="1"/>
  <c r="AH298" i="2" a="1"/>
  <c r="AH298" i="2" s="1"/>
  <c r="AH299" i="2" a="1"/>
  <c r="AH299" i="2" s="1"/>
  <c r="AH300" i="2" a="1"/>
  <c r="AH300" i="2" s="1"/>
  <c r="AH301" i="2" a="1"/>
  <c r="AH301" i="2" s="1"/>
  <c r="AH302" i="2" a="1"/>
  <c r="AH302" i="2" s="1"/>
  <c r="AH303" i="2" a="1"/>
  <c r="AH303" i="2" s="1"/>
  <c r="AH304" i="2" a="1"/>
  <c r="AH304" i="2" s="1"/>
  <c r="AH305" i="2" a="1"/>
  <c r="AH305" i="2" s="1"/>
  <c r="AH306" i="2" a="1"/>
  <c r="AH306" i="2" s="1"/>
  <c r="AH307" i="2" a="1"/>
  <c r="AH307" i="2" s="1"/>
  <c r="AH308" i="2" a="1"/>
  <c r="AH308" i="2" s="1"/>
  <c r="AH309" i="2" a="1"/>
  <c r="AH309" i="2" s="1"/>
  <c r="AH310" i="2" a="1"/>
  <c r="AH310" i="2" s="1"/>
  <c r="AH311" i="2" a="1"/>
  <c r="AH311" i="2" s="1"/>
  <c r="AH312" i="2" a="1"/>
  <c r="AH312" i="2" s="1"/>
  <c r="AH313" i="2" a="1"/>
  <c r="AH313" i="2" s="1"/>
  <c r="AH314" i="2" a="1"/>
  <c r="AH314" i="2" s="1"/>
  <c r="AH315" i="2" a="1"/>
  <c r="AH315" i="2" s="1"/>
  <c r="AH316" i="2" a="1"/>
  <c r="AH316" i="2" s="1"/>
  <c r="AH317" i="2" a="1"/>
  <c r="AH317" i="2" s="1"/>
  <c r="AH318" i="2" a="1"/>
  <c r="AH318" i="2" s="1"/>
  <c r="AH319" i="2" a="1"/>
  <c r="AH319" i="2" s="1"/>
  <c r="AH320" i="2" a="1"/>
  <c r="AH320" i="2" s="1"/>
  <c r="AH321" i="2" a="1"/>
  <c r="AH321" i="2" s="1"/>
  <c r="AH322" i="2" a="1"/>
  <c r="AH322" i="2" s="1"/>
  <c r="AH323" i="2" a="1"/>
  <c r="AH323" i="2" s="1"/>
  <c r="AH324" i="2" a="1"/>
  <c r="AH324" i="2" s="1"/>
  <c r="AH325" i="2" a="1"/>
  <c r="AH325" i="2" s="1"/>
  <c r="AH326" i="2" a="1"/>
  <c r="AH326" i="2" s="1"/>
  <c r="AH327" i="2" a="1"/>
  <c r="AH327" i="2" s="1"/>
  <c r="AH328" i="2" a="1"/>
  <c r="AH328" i="2" s="1"/>
  <c r="AH329" i="2" a="1"/>
  <c r="AH329" i="2" s="1"/>
  <c r="AH330" i="2" a="1"/>
  <c r="AH330" i="2" s="1"/>
  <c r="AH331" i="2" a="1"/>
  <c r="AH331" i="2" s="1"/>
  <c r="AH332" i="2" a="1"/>
  <c r="AH332" i="2" s="1"/>
  <c r="AH333" i="2" a="1"/>
  <c r="AH333" i="2" s="1"/>
  <c r="AH334" i="2" a="1"/>
  <c r="AH334" i="2" s="1"/>
  <c r="AH335" i="2" a="1"/>
  <c r="AH335" i="2" s="1"/>
  <c r="AH336" i="2" a="1"/>
  <c r="AH336" i="2" s="1"/>
  <c r="AH337" i="2" a="1"/>
  <c r="AH337" i="2" s="1"/>
  <c r="AH338" i="2" a="1"/>
  <c r="AH338" i="2" s="1"/>
  <c r="AH339" i="2" a="1"/>
  <c r="AH339" i="2" s="1"/>
  <c r="AH340" i="2" a="1"/>
  <c r="AH340" i="2" s="1"/>
  <c r="AH341" i="2" a="1"/>
  <c r="AH341" i="2" s="1"/>
  <c r="AH342" i="2" a="1"/>
  <c r="AH342" i="2" s="1"/>
  <c r="AH343" i="2" a="1"/>
  <c r="AH343" i="2" s="1"/>
  <c r="AH344" i="2" a="1"/>
  <c r="AH344" i="2" s="1"/>
  <c r="AH345" i="2" a="1"/>
  <c r="AH345" i="2" s="1"/>
  <c r="AH346" i="2" a="1"/>
  <c r="AH346" i="2" s="1"/>
  <c r="AH347" i="2" a="1"/>
  <c r="AH347" i="2" s="1"/>
  <c r="AH348" i="2" a="1"/>
  <c r="AH348" i="2" s="1"/>
  <c r="AH349" i="2" a="1"/>
  <c r="AH349" i="2" s="1"/>
  <c r="AH350" i="2" a="1"/>
  <c r="AH350" i="2" s="1"/>
  <c r="AH351" i="2" a="1"/>
  <c r="AH351" i="2" s="1"/>
  <c r="AH352" i="2" a="1"/>
  <c r="AH352" i="2" s="1"/>
  <c r="AH353" i="2" a="1"/>
  <c r="AH353" i="2" s="1"/>
  <c r="AH354" i="2" a="1"/>
  <c r="AH354" i="2" s="1"/>
  <c r="AH355" i="2" a="1"/>
  <c r="AH355" i="2" s="1"/>
  <c r="AH356" i="2" a="1"/>
  <c r="AH356" i="2" s="1"/>
  <c r="AH357" i="2" a="1"/>
  <c r="AH357" i="2" s="1"/>
  <c r="AH358" i="2" a="1"/>
  <c r="AH358" i="2" s="1"/>
  <c r="AH359" i="2" a="1"/>
  <c r="AH359" i="2" s="1"/>
  <c r="AH360" i="2" a="1"/>
  <c r="AH360" i="2" s="1"/>
  <c r="AH361" i="2" a="1"/>
  <c r="AH361" i="2" s="1"/>
  <c r="AH362" i="2" a="1"/>
  <c r="AH362" i="2" s="1"/>
  <c r="AH363" i="2" a="1"/>
  <c r="AH363" i="2" s="1"/>
  <c r="AH364" i="2" a="1"/>
  <c r="AH364" i="2" s="1"/>
  <c r="AH365" i="2" a="1"/>
  <c r="AH365" i="2" s="1"/>
  <c r="AH366" i="2" a="1"/>
  <c r="AH366" i="2" s="1"/>
  <c r="AH367" i="2" a="1"/>
  <c r="AH367" i="2" s="1"/>
  <c r="AH368" i="2" a="1"/>
  <c r="AH368" i="2" s="1"/>
  <c r="AH369" i="2" a="1"/>
  <c r="AH369" i="2" s="1"/>
  <c r="AH370" i="2" a="1"/>
  <c r="AH370" i="2" s="1"/>
  <c r="AH371" i="2" a="1"/>
  <c r="AH371" i="2" s="1"/>
  <c r="AH372" i="2" a="1"/>
  <c r="AH372" i="2" s="1"/>
  <c r="AH373" i="2" a="1"/>
  <c r="AH373" i="2" s="1"/>
  <c r="AH374" i="2" a="1"/>
  <c r="AH374" i="2" s="1"/>
  <c r="AH375" i="2" a="1"/>
  <c r="AH375" i="2" s="1"/>
  <c r="AH376" i="2" a="1"/>
  <c r="AH376" i="2" s="1"/>
  <c r="AH377" i="2" a="1"/>
  <c r="AH377" i="2" s="1"/>
  <c r="AH378" i="2" a="1"/>
  <c r="AH378" i="2" s="1"/>
  <c r="AH379" i="2" a="1"/>
  <c r="AH379" i="2" s="1"/>
  <c r="AH380" i="2" a="1"/>
  <c r="AH380" i="2" s="1"/>
  <c r="AH381" i="2" a="1"/>
  <c r="AH381" i="2" s="1"/>
  <c r="AH382" i="2" a="1"/>
  <c r="AH382" i="2" s="1"/>
  <c r="AH383" i="2" a="1"/>
  <c r="AH383" i="2" s="1"/>
  <c r="AH384" i="2" a="1"/>
  <c r="AH384" i="2" s="1"/>
  <c r="AH385" i="2" a="1"/>
  <c r="AH385" i="2" s="1"/>
  <c r="AH386" i="2" a="1"/>
  <c r="AH386" i="2" s="1"/>
  <c r="AH387" i="2" a="1"/>
  <c r="AH387" i="2" s="1"/>
  <c r="AH388" i="2" a="1"/>
  <c r="AH388" i="2" s="1"/>
  <c r="AH389" i="2" a="1"/>
  <c r="AH389" i="2" s="1"/>
  <c r="AH390" i="2" a="1"/>
  <c r="AH390" i="2" s="1"/>
  <c r="AH391" i="2" a="1"/>
  <c r="AH391" i="2" s="1"/>
  <c r="AH392" i="2" a="1"/>
  <c r="AH392" i="2" s="1"/>
  <c r="AH393" i="2" a="1"/>
  <c r="AH393" i="2" s="1"/>
  <c r="AH394" i="2" a="1"/>
  <c r="AH394" i="2" s="1"/>
  <c r="AH395" i="2" a="1"/>
  <c r="AH395" i="2" s="1"/>
  <c r="AH396" i="2" a="1"/>
  <c r="AH396" i="2" s="1"/>
  <c r="AH397" i="2" a="1"/>
  <c r="AH397" i="2" s="1"/>
  <c r="AH398" i="2" a="1"/>
  <c r="AH398" i="2" s="1"/>
  <c r="AH399" i="2" a="1"/>
  <c r="AH399" i="2" s="1"/>
  <c r="AH400" i="2" a="1"/>
  <c r="AH400" i="2" s="1"/>
  <c r="AH401" i="2" a="1"/>
  <c r="AH401" i="2" s="1"/>
  <c r="AH402" i="2" a="1"/>
  <c r="AH402" i="2" s="1"/>
  <c r="AH403" i="2" a="1"/>
  <c r="AH403" i="2" s="1"/>
  <c r="AH404" i="2" a="1"/>
  <c r="AH404" i="2" s="1"/>
  <c r="AH405" i="2" a="1"/>
  <c r="AH405" i="2" s="1"/>
  <c r="AH406" i="2" a="1"/>
  <c r="AH406" i="2" s="1"/>
  <c r="AH407" i="2" a="1"/>
  <c r="AH407" i="2" s="1"/>
  <c r="AH408" i="2" a="1"/>
  <c r="AH408" i="2" s="1"/>
  <c r="AH409" i="2" a="1"/>
  <c r="AH409" i="2" s="1"/>
  <c r="AH410" i="2" a="1"/>
  <c r="AH410" i="2" s="1"/>
  <c r="AH411" i="2" a="1"/>
  <c r="AH411" i="2" s="1"/>
  <c r="AH412" i="2" a="1"/>
  <c r="AH412" i="2" s="1"/>
  <c r="AH413" i="2" a="1"/>
  <c r="AH413" i="2" s="1"/>
  <c r="AH414" i="2" a="1"/>
  <c r="AH414" i="2" s="1"/>
  <c r="AH415" i="2" a="1"/>
  <c r="AH415" i="2" s="1"/>
  <c r="AH416" i="2" a="1"/>
  <c r="AH416" i="2" s="1"/>
  <c r="AH417" i="2" a="1"/>
  <c r="AH417" i="2" s="1"/>
  <c r="AH418" i="2" a="1"/>
  <c r="AH418" i="2" s="1"/>
  <c r="AH419" i="2" a="1"/>
  <c r="AH419" i="2" s="1"/>
  <c r="AH420" i="2" a="1"/>
  <c r="AH420" i="2" s="1"/>
  <c r="AH421" i="2" a="1"/>
  <c r="AH421" i="2" s="1"/>
  <c r="AH422" i="2" a="1"/>
  <c r="AH422" i="2" s="1"/>
  <c r="AH423" i="2" a="1"/>
  <c r="AH423" i="2" s="1"/>
  <c r="AH424" i="2" a="1"/>
  <c r="AH424" i="2" s="1"/>
  <c r="AH425" i="2" a="1"/>
  <c r="AH425" i="2" s="1"/>
  <c r="AH426" i="2" a="1"/>
  <c r="AH426" i="2" s="1"/>
  <c r="AH427" i="2" a="1"/>
  <c r="AH427" i="2" s="1"/>
  <c r="AH428" i="2" a="1"/>
  <c r="AH428" i="2" s="1"/>
  <c r="AH429" i="2" a="1"/>
  <c r="AH429" i="2" s="1"/>
  <c r="AH430" i="2" a="1"/>
  <c r="AH430" i="2" s="1"/>
  <c r="AH431" i="2" a="1"/>
  <c r="AH431" i="2" s="1"/>
  <c r="AH432" i="2" a="1"/>
  <c r="AH432" i="2" s="1"/>
  <c r="AH433" i="2" a="1"/>
  <c r="AH433" i="2" s="1"/>
  <c r="AH434" i="2" a="1"/>
  <c r="AH434" i="2" s="1"/>
  <c r="AH435" i="2" a="1"/>
  <c r="AH435" i="2" s="1"/>
  <c r="AH436" i="2" a="1"/>
  <c r="AH436" i="2" s="1"/>
  <c r="AH437" i="2" a="1"/>
  <c r="AH437" i="2" s="1"/>
  <c r="AH438" i="2" a="1"/>
  <c r="AH438" i="2" s="1"/>
  <c r="AH439" i="2" a="1"/>
  <c r="AH439" i="2" s="1"/>
  <c r="AH440" i="2" a="1"/>
  <c r="AH440" i="2" s="1"/>
  <c r="AH441" i="2" a="1"/>
  <c r="AH441" i="2" s="1"/>
  <c r="AH442" i="2" a="1"/>
  <c r="AH442" i="2" s="1"/>
  <c r="AH443" i="2" a="1"/>
  <c r="AH443" i="2" s="1"/>
  <c r="AH444" i="2" a="1"/>
  <c r="AH444" i="2" s="1"/>
  <c r="AH445" i="2" a="1"/>
  <c r="AH445" i="2" s="1"/>
  <c r="AH446" i="2" a="1"/>
  <c r="AH446" i="2" s="1"/>
  <c r="AH447" i="2" a="1"/>
  <c r="AH447" i="2" s="1"/>
  <c r="AH448" i="2" a="1"/>
  <c r="AH448" i="2" s="1"/>
  <c r="AH449" i="2" a="1"/>
  <c r="AH449" i="2" s="1"/>
  <c r="AH450" i="2" a="1"/>
  <c r="AH450" i="2" s="1"/>
  <c r="AH451" i="2" a="1"/>
  <c r="AH451" i="2" s="1"/>
  <c r="AH452" i="2" a="1"/>
  <c r="AH452" i="2" s="1"/>
  <c r="AH453" i="2" a="1"/>
  <c r="AH453" i="2" s="1"/>
  <c r="AH454" i="2" a="1"/>
  <c r="AH454" i="2" s="1"/>
  <c r="AH455" i="2" a="1"/>
  <c r="AH455" i="2" s="1"/>
  <c r="AH456" i="2" a="1"/>
  <c r="AH456" i="2" s="1"/>
  <c r="AH457" i="2" a="1"/>
  <c r="AH457" i="2" s="1"/>
  <c r="AH458" i="2" a="1"/>
  <c r="AH458" i="2" s="1"/>
  <c r="AH459" i="2" a="1"/>
  <c r="AH459" i="2" s="1"/>
  <c r="AH460" i="2" a="1"/>
  <c r="AH460" i="2" s="1"/>
  <c r="AH461" i="2" a="1"/>
  <c r="AH461" i="2" s="1"/>
  <c r="AH462" i="2" a="1"/>
  <c r="AH462" i="2" s="1"/>
  <c r="AH463" i="2" a="1"/>
  <c r="AH463" i="2" s="1"/>
  <c r="AH464" i="2" a="1"/>
  <c r="AH464" i="2" s="1"/>
  <c r="AH465" i="2" a="1"/>
  <c r="AH465" i="2" s="1"/>
  <c r="AH466" i="2" a="1"/>
  <c r="AH466" i="2" s="1"/>
  <c r="AH467" i="2" a="1"/>
  <c r="AH467" i="2" s="1"/>
  <c r="AH468" i="2" a="1"/>
  <c r="AH468" i="2" s="1"/>
  <c r="AH469" i="2" a="1"/>
  <c r="AH469" i="2" s="1"/>
  <c r="AH470" i="2" a="1"/>
  <c r="AH470" i="2" s="1"/>
  <c r="AH471" i="2" a="1"/>
  <c r="AH471" i="2" s="1"/>
  <c r="AH472" i="2" a="1"/>
  <c r="AH472" i="2" s="1"/>
  <c r="AH473" i="2" a="1"/>
  <c r="AH473" i="2" s="1"/>
  <c r="AH474" i="2" a="1"/>
  <c r="AH474" i="2" s="1"/>
  <c r="AH475" i="2" a="1"/>
  <c r="AH475" i="2" s="1"/>
  <c r="AH476" i="2" a="1"/>
  <c r="AH476" i="2" s="1"/>
  <c r="AH477" i="2" a="1"/>
  <c r="AH477" i="2" s="1"/>
  <c r="AH478" i="2" a="1"/>
  <c r="AH478" i="2" s="1"/>
  <c r="AH479" i="2" a="1"/>
  <c r="AH479" i="2" s="1"/>
  <c r="AH480" i="2" a="1"/>
  <c r="AH480" i="2" s="1"/>
  <c r="AH481" i="2" a="1"/>
  <c r="AH481" i="2" s="1"/>
  <c r="AH482" i="2" a="1"/>
  <c r="AH482" i="2" s="1"/>
  <c r="AH483" i="2" a="1"/>
  <c r="AH483" i="2" s="1"/>
  <c r="AH484" i="2" a="1"/>
  <c r="AH484" i="2" s="1"/>
  <c r="AH485" i="2" a="1"/>
  <c r="AH485" i="2" s="1"/>
  <c r="AH486" i="2" a="1"/>
  <c r="AH486" i="2" s="1"/>
  <c r="AH487" i="2" a="1"/>
  <c r="AH487" i="2" s="1"/>
  <c r="AH488" i="2" a="1"/>
  <c r="AH488" i="2" s="1"/>
  <c r="AH489" i="2" a="1"/>
  <c r="AH489" i="2" s="1"/>
  <c r="AH490" i="2" a="1"/>
  <c r="AH490" i="2" s="1"/>
  <c r="AH491" i="2" a="1"/>
  <c r="AH491" i="2" s="1"/>
  <c r="AH492" i="2" a="1"/>
  <c r="AH492" i="2" s="1"/>
  <c r="AH493" i="2" a="1"/>
  <c r="AH493" i="2" s="1"/>
  <c r="AH494" i="2" a="1"/>
  <c r="AH494" i="2" s="1"/>
  <c r="AH495" i="2" a="1"/>
  <c r="AH495" i="2" s="1"/>
  <c r="AH496" i="2" a="1"/>
  <c r="AH496" i="2" s="1"/>
  <c r="AH497" i="2" a="1"/>
  <c r="AH497" i="2" s="1"/>
  <c r="AH498" i="2" a="1"/>
  <c r="AH498" i="2" s="1"/>
  <c r="AH499" i="2" a="1"/>
  <c r="AH499" i="2" s="1"/>
  <c r="AH500" i="2" a="1"/>
  <c r="AH500" i="2" s="1"/>
  <c r="AH501" i="2" a="1"/>
  <c r="AH501" i="2" s="1"/>
  <c r="AH502" i="2" a="1"/>
  <c r="AH502" i="2" s="1"/>
  <c r="AH503" i="2" a="1"/>
  <c r="AH503" i="2" s="1"/>
  <c r="AH504" i="2" a="1"/>
  <c r="AH504" i="2" s="1"/>
  <c r="AH505" i="2" a="1"/>
  <c r="AH505" i="2" s="1"/>
  <c r="AH506" i="2" a="1"/>
  <c r="AH506" i="2" s="1"/>
  <c r="AH507" i="2" a="1"/>
  <c r="AH507" i="2" s="1"/>
  <c r="AH508" i="2" a="1"/>
  <c r="AH508" i="2" s="1"/>
  <c r="AH509" i="2" a="1"/>
  <c r="AH509" i="2" s="1"/>
  <c r="AH510" i="2" a="1"/>
  <c r="AH510" i="2" s="1"/>
  <c r="AH511" i="2" a="1"/>
  <c r="AH511" i="2" s="1"/>
  <c r="AH512" i="2" a="1"/>
  <c r="AH512" i="2" s="1"/>
  <c r="AH513" i="2" a="1"/>
  <c r="AH513" i="2" s="1"/>
  <c r="AH514" i="2" a="1"/>
  <c r="AH514" i="2" s="1"/>
  <c r="AH515" i="2" a="1"/>
  <c r="AH515" i="2" s="1"/>
  <c r="AH516" i="2" a="1"/>
  <c r="AH516" i="2" s="1"/>
  <c r="AH517" i="2" a="1"/>
  <c r="AH517" i="2" s="1"/>
  <c r="AH518" i="2" a="1"/>
  <c r="AH518" i="2" s="1"/>
  <c r="AH519" i="2" a="1"/>
  <c r="AH519" i="2" s="1"/>
  <c r="AH520" i="2" a="1"/>
  <c r="AH520" i="2" s="1"/>
  <c r="AH521" i="2" a="1"/>
  <c r="AH521" i="2" s="1"/>
  <c r="AH522" i="2" a="1"/>
  <c r="AH522" i="2" s="1"/>
  <c r="AH523" i="2" a="1"/>
  <c r="AH523" i="2" s="1"/>
  <c r="AH524" i="2" a="1"/>
  <c r="AH524" i="2" s="1"/>
  <c r="AH525" i="2" a="1"/>
  <c r="AH525" i="2" s="1"/>
  <c r="AH526" i="2" a="1"/>
  <c r="AH526" i="2" s="1"/>
  <c r="AH527" i="2" a="1"/>
  <c r="AH527" i="2" s="1"/>
  <c r="AH528" i="2" a="1"/>
  <c r="AH528" i="2" s="1"/>
  <c r="AH529" i="2" a="1"/>
  <c r="AH529" i="2" s="1"/>
  <c r="AH530" i="2" a="1"/>
  <c r="AH530" i="2" s="1"/>
  <c r="AH531" i="2" a="1"/>
  <c r="AH531" i="2" s="1"/>
  <c r="AH532" i="2" a="1"/>
  <c r="AH532" i="2" s="1"/>
  <c r="AH533" i="2" a="1"/>
  <c r="AH533" i="2" s="1"/>
  <c r="AH534" i="2" a="1"/>
  <c r="AH534" i="2" s="1"/>
  <c r="AH535" i="2" a="1"/>
  <c r="AH535" i="2" s="1"/>
  <c r="AH536" i="2" a="1"/>
  <c r="AH536" i="2" s="1"/>
  <c r="AH537" i="2" a="1"/>
  <c r="AH537" i="2" s="1"/>
  <c r="AH538" i="2" a="1"/>
  <c r="AH538" i="2" s="1"/>
  <c r="AH539" i="2" a="1"/>
  <c r="AH539" i="2" s="1"/>
  <c r="AH540" i="2" a="1"/>
  <c r="AH540" i="2" s="1"/>
  <c r="AH541" i="2" a="1"/>
  <c r="AH541" i="2" s="1"/>
  <c r="AH542" i="2" a="1"/>
  <c r="AH542" i="2" s="1"/>
  <c r="AH543" i="2" a="1"/>
  <c r="AH543" i="2" s="1"/>
  <c r="AH544" i="2" a="1"/>
  <c r="AH544" i="2" s="1"/>
  <c r="AH545" i="2" a="1"/>
  <c r="AH545" i="2" s="1"/>
  <c r="AH546" i="2" a="1"/>
  <c r="AH546" i="2" s="1"/>
  <c r="AH547" i="2" a="1"/>
  <c r="AH547" i="2"/>
  <c r="AH548" i="2" a="1"/>
  <c r="AH548" i="2" s="1"/>
  <c r="AH549" i="2" a="1"/>
  <c r="AH549" i="2" s="1"/>
  <c r="AH550" i="2" a="1"/>
  <c r="AH550" i="2" s="1"/>
  <c r="AH551" i="2" a="1"/>
  <c r="AH551" i="2" s="1"/>
  <c r="AH552" i="2" a="1"/>
  <c r="AH552" i="2" s="1"/>
  <c r="AH553" i="2" a="1"/>
  <c r="AH553" i="2" s="1"/>
  <c r="AH554" i="2" a="1"/>
  <c r="AH554" i="2" s="1"/>
  <c r="AH555" i="2" a="1"/>
  <c r="AH555" i="2" s="1"/>
  <c r="AH556" i="2" a="1"/>
  <c r="AH556" i="2" s="1"/>
  <c r="AH557" i="2" a="1"/>
  <c r="AH557" i="2" s="1"/>
  <c r="AH558" i="2" a="1"/>
  <c r="AH558" i="2" s="1"/>
  <c r="AH559" i="2" a="1"/>
  <c r="AH559" i="2" s="1"/>
  <c r="AH560" i="2" a="1"/>
  <c r="AH560" i="2" s="1"/>
  <c r="AH561" i="2" a="1"/>
  <c r="AH561" i="2" s="1"/>
  <c r="AH562" i="2" a="1"/>
  <c r="AH562" i="2" s="1"/>
  <c r="AH563" i="2" a="1"/>
  <c r="AH563" i="2" s="1"/>
  <c r="AH564" i="2" a="1"/>
  <c r="AH564" i="2" s="1"/>
  <c r="AH565" i="2" a="1"/>
  <c r="AH565" i="2" s="1"/>
  <c r="AH566" i="2" a="1"/>
  <c r="AH566" i="2" s="1"/>
  <c r="AH567" i="2" a="1"/>
  <c r="AH567" i="2" s="1"/>
  <c r="AH568" i="2" a="1"/>
  <c r="AH568" i="2" s="1"/>
  <c r="AH569" i="2" a="1"/>
  <c r="AH569" i="2" s="1"/>
  <c r="AH570" i="2" a="1"/>
  <c r="AH570" i="2" s="1"/>
  <c r="AH571" i="2" a="1"/>
  <c r="AH571" i="2" s="1"/>
  <c r="AH572" i="2" a="1"/>
  <c r="AH572" i="2" s="1"/>
  <c r="AH573" i="2" a="1"/>
  <c r="AH573" i="2" s="1"/>
  <c r="AH574" i="2" a="1"/>
  <c r="AH574" i="2" s="1"/>
  <c r="AH575" i="2" a="1"/>
  <c r="AH575" i="2" s="1"/>
  <c r="AH576" i="2" a="1"/>
  <c r="AH576" i="2" s="1"/>
  <c r="AH577" i="2" a="1"/>
  <c r="AH577" i="2" s="1"/>
  <c r="AH578" i="2" a="1"/>
  <c r="AH578" i="2" s="1"/>
  <c r="AH579" i="2" a="1"/>
  <c r="AH579" i="2" s="1"/>
  <c r="AH580" i="2" a="1"/>
  <c r="AH580" i="2" s="1"/>
  <c r="AH581" i="2" a="1"/>
  <c r="AH581" i="2" s="1"/>
  <c r="AH582" i="2" a="1"/>
  <c r="AH582" i="2" s="1"/>
  <c r="AH583" i="2" a="1"/>
  <c r="AH583" i="2" s="1"/>
  <c r="AH584" i="2" a="1"/>
  <c r="AH584" i="2" s="1"/>
  <c r="AH585" i="2" a="1"/>
  <c r="AH585" i="2" s="1"/>
  <c r="AH586" i="2" a="1"/>
  <c r="AH586" i="2" s="1"/>
  <c r="AH587" i="2" a="1"/>
  <c r="AH587" i="2" s="1"/>
  <c r="AH588" i="2" a="1"/>
  <c r="AH588" i="2" s="1"/>
  <c r="AH589" i="2" a="1"/>
  <c r="AH589" i="2" s="1"/>
  <c r="AH590" i="2" a="1"/>
  <c r="AH590" i="2" s="1"/>
  <c r="AH591" i="2" a="1"/>
  <c r="AH591" i="2" s="1"/>
  <c r="AH592" i="2" a="1"/>
  <c r="AH592" i="2" s="1"/>
  <c r="AH593" i="2" a="1"/>
  <c r="AH593" i="2" s="1"/>
  <c r="AH594" i="2" a="1"/>
  <c r="AH594" i="2" s="1"/>
  <c r="AH595" i="2" a="1"/>
  <c r="AH595" i="2" s="1"/>
  <c r="AH596" i="2" a="1"/>
  <c r="AH596" i="2" s="1"/>
  <c r="AH597" i="2" a="1"/>
  <c r="AH597" i="2" s="1"/>
  <c r="AH598" i="2" a="1"/>
  <c r="AH598" i="2" s="1"/>
  <c r="AH599" i="2" a="1"/>
  <c r="AH599" i="2" s="1"/>
  <c r="AH600" i="2" a="1"/>
  <c r="AH600" i="2" s="1"/>
  <c r="AH601" i="2" a="1"/>
  <c r="AH601" i="2" s="1"/>
  <c r="AH602" i="2" a="1"/>
  <c r="AH602" i="2" s="1"/>
  <c r="AH603" i="2" a="1"/>
  <c r="AH603" i="2" s="1"/>
  <c r="AH604" i="2" a="1"/>
  <c r="AH604" i="2" s="1"/>
  <c r="AH605" i="2" a="1"/>
  <c r="AH605" i="2" s="1"/>
  <c r="AH606" i="2" a="1"/>
  <c r="AH606" i="2" s="1"/>
  <c r="AH607" i="2" a="1"/>
  <c r="AH607" i="2" s="1"/>
  <c r="AH608" i="2" a="1"/>
  <c r="AH608" i="2" s="1"/>
  <c r="AH609" i="2" a="1"/>
  <c r="AH609" i="2" s="1"/>
  <c r="AH610" i="2" a="1"/>
  <c r="AH610" i="2" s="1"/>
  <c r="AH611" i="2" a="1"/>
  <c r="AH611" i="2" s="1"/>
  <c r="AH612" i="2" a="1"/>
  <c r="AH612" i="2" s="1"/>
  <c r="AH613" i="2" a="1"/>
  <c r="AH613" i="2" s="1"/>
  <c r="AH614" i="2" a="1"/>
  <c r="AH614" i="2" s="1"/>
  <c r="AH615" i="2" a="1"/>
  <c r="AH615" i="2" s="1"/>
  <c r="AH616" i="2" a="1"/>
  <c r="AH616" i="2" s="1"/>
  <c r="AH617" i="2" a="1"/>
  <c r="AH617" i="2" s="1"/>
  <c r="AH618" i="2" a="1"/>
  <c r="AH618" i="2" s="1"/>
  <c r="AH619" i="2" a="1"/>
  <c r="AH619" i="2" s="1"/>
  <c r="AH620" i="2" a="1"/>
  <c r="AH620" i="2" s="1"/>
  <c r="AH621" i="2" a="1"/>
  <c r="AH621" i="2" s="1"/>
  <c r="AH622" i="2" a="1"/>
  <c r="AH622" i="2" s="1"/>
  <c r="AH623" i="2" a="1"/>
  <c r="AH623" i="2" s="1"/>
  <c r="AH624" i="2" a="1"/>
  <c r="AH624" i="2" s="1"/>
  <c r="AH625" i="2" a="1"/>
  <c r="AH625" i="2" s="1"/>
  <c r="AH626" i="2" a="1"/>
  <c r="AH626" i="2" s="1"/>
  <c r="AH627" i="2" a="1"/>
  <c r="AH627" i="2" s="1"/>
  <c r="AH628" i="2" a="1"/>
  <c r="AH628" i="2" s="1"/>
  <c r="AH629" i="2" a="1"/>
  <c r="AH629" i="2" s="1"/>
  <c r="AH630" i="2" a="1"/>
  <c r="AH630" i="2" s="1"/>
  <c r="AH631" i="2" a="1"/>
  <c r="AH631" i="2" s="1"/>
  <c r="AH632" i="2" a="1"/>
  <c r="AH632" i="2" s="1"/>
  <c r="AH633" i="2" a="1"/>
  <c r="AH633" i="2" s="1"/>
  <c r="AH634" i="2" a="1"/>
  <c r="AH634" i="2" s="1"/>
  <c r="AH635" i="2" a="1"/>
  <c r="AH635" i="2" s="1"/>
  <c r="AH636" i="2" a="1"/>
  <c r="AH636" i="2" s="1"/>
  <c r="AH637" i="2" a="1"/>
  <c r="AH637" i="2" s="1"/>
  <c r="AH638" i="2" a="1"/>
  <c r="AH638" i="2" s="1"/>
  <c r="AH639" i="2" a="1"/>
  <c r="AH639" i="2" s="1"/>
  <c r="AH640" i="2" a="1"/>
  <c r="AH640" i="2" s="1"/>
  <c r="AH641" i="2" a="1"/>
  <c r="AH641" i="2" s="1"/>
  <c r="AH642" i="2" a="1"/>
  <c r="AH642" i="2" s="1"/>
  <c r="AH643" i="2" a="1"/>
  <c r="AH643" i="2" s="1"/>
  <c r="AH644" i="2" a="1"/>
  <c r="AH644" i="2" s="1"/>
  <c r="AH645" i="2" a="1"/>
  <c r="AH645" i="2" s="1"/>
  <c r="AH646" i="2" a="1"/>
  <c r="AH646" i="2" s="1"/>
  <c r="AH647" i="2" a="1"/>
  <c r="AH647" i="2" s="1"/>
  <c r="AH648" i="2" a="1"/>
  <c r="AH648" i="2" s="1"/>
  <c r="AH649" i="2" a="1"/>
  <c r="AH649" i="2" s="1"/>
  <c r="AH650" i="2" a="1"/>
  <c r="AH650" i="2" s="1"/>
  <c r="AH651" i="2" a="1"/>
  <c r="AH651" i="2" s="1"/>
  <c r="AH652" i="2" a="1"/>
  <c r="AH652" i="2" s="1"/>
  <c r="AH653" i="2" a="1"/>
  <c r="AH653" i="2" s="1"/>
  <c r="AH654" i="2" a="1"/>
  <c r="AH654" i="2" s="1"/>
  <c r="AH655" i="2" a="1"/>
  <c r="AH655" i="2" s="1"/>
  <c r="AH656" i="2" a="1"/>
  <c r="AH656" i="2" s="1"/>
  <c r="AH657" i="2" a="1"/>
  <c r="AH657" i="2" s="1"/>
  <c r="AH658" i="2" a="1"/>
  <c r="AH658" i="2" s="1"/>
  <c r="AH659" i="2" a="1"/>
  <c r="AH659" i="2" s="1"/>
  <c r="AH660" i="2" a="1"/>
  <c r="AH660" i="2" s="1"/>
  <c r="AH661" i="2" a="1"/>
  <c r="AH661" i="2" s="1"/>
  <c r="AH662" i="2" a="1"/>
  <c r="AH662" i="2" s="1"/>
  <c r="AH663" i="2" a="1"/>
  <c r="AH663" i="2" s="1"/>
  <c r="AH664" i="2" a="1"/>
  <c r="AH664" i="2" s="1"/>
  <c r="AH665" i="2" a="1"/>
  <c r="AH665" i="2" s="1"/>
  <c r="AH666" i="2" a="1"/>
  <c r="AH666" i="2" s="1"/>
  <c r="AH667" i="2" a="1"/>
  <c r="AH667" i="2" s="1"/>
  <c r="AH668" i="2" a="1"/>
  <c r="AH668" i="2" s="1"/>
  <c r="AH669" i="2" a="1"/>
  <c r="AH669" i="2" s="1"/>
  <c r="AH670" i="2" a="1"/>
  <c r="AH670" i="2" s="1"/>
  <c r="AH671" i="2" a="1"/>
  <c r="AH671" i="2" s="1"/>
  <c r="AH672" i="2" a="1"/>
  <c r="AH672" i="2" s="1"/>
  <c r="AH673" i="2" a="1"/>
  <c r="AH673" i="2" s="1"/>
  <c r="AH674" i="2" a="1"/>
  <c r="AH674" i="2" s="1"/>
  <c r="AH675" i="2" a="1"/>
  <c r="AH675" i="2" s="1"/>
  <c r="AH676" i="2" a="1"/>
  <c r="AH676" i="2" s="1"/>
  <c r="AH677" i="2" a="1"/>
  <c r="AH677" i="2" s="1"/>
  <c r="AH678" i="2" a="1"/>
  <c r="AH678" i="2" s="1"/>
  <c r="AH679" i="2" a="1"/>
  <c r="AH679" i="2" s="1"/>
  <c r="AH680" i="2" a="1"/>
  <c r="AH680" i="2" s="1"/>
  <c r="AH681" i="2" a="1"/>
  <c r="AH681" i="2" s="1"/>
  <c r="AH682" i="2" a="1"/>
  <c r="AH682" i="2" s="1"/>
  <c r="AH683" i="2" a="1"/>
  <c r="AH683" i="2" s="1"/>
  <c r="AH684" i="2" a="1"/>
  <c r="AH684" i="2" s="1"/>
  <c r="AH685" i="2" a="1"/>
  <c r="AH685" i="2" s="1"/>
  <c r="AH686" i="2" a="1"/>
  <c r="AH686" i="2" s="1"/>
  <c r="AH687" i="2" a="1"/>
  <c r="AH687" i="2" s="1"/>
  <c r="AH688" i="2" a="1"/>
  <c r="AH688" i="2" s="1"/>
  <c r="AH689" i="2" a="1"/>
  <c r="AH689" i="2" s="1"/>
  <c r="AH690" i="2" a="1"/>
  <c r="AH690" i="2" s="1"/>
  <c r="AH691" i="2" a="1"/>
  <c r="AH691" i="2" s="1"/>
  <c r="AH692" i="2" a="1"/>
  <c r="AH692" i="2" s="1"/>
  <c r="AH693" i="2" a="1"/>
  <c r="AH693" i="2" s="1"/>
  <c r="AH694" i="2" a="1"/>
  <c r="AH694" i="2" s="1"/>
  <c r="AH695" i="2" a="1"/>
  <c r="AH695" i="2" s="1"/>
  <c r="AH696" i="2" a="1"/>
  <c r="AH696" i="2" s="1"/>
  <c r="AH697" i="2" a="1"/>
  <c r="AH697" i="2" s="1"/>
  <c r="AH698" i="2" a="1"/>
  <c r="AH698" i="2" s="1"/>
  <c r="AH699" i="2" a="1"/>
  <c r="AH699" i="2" s="1"/>
  <c r="AH700" i="2" a="1"/>
  <c r="AH700" i="2" s="1"/>
  <c r="AH701" i="2" a="1"/>
  <c r="AH701" i="2" s="1"/>
  <c r="AH702" i="2" a="1"/>
  <c r="AH702" i="2" s="1"/>
  <c r="AH703" i="2" a="1"/>
  <c r="AH703" i="2" s="1"/>
  <c r="AH704" i="2" a="1"/>
  <c r="AH704" i="2" s="1"/>
  <c r="AH705" i="2" a="1"/>
  <c r="AH705" i="2" s="1"/>
  <c r="AH706" i="2" a="1"/>
  <c r="AH706" i="2" s="1"/>
  <c r="AH707" i="2" a="1"/>
  <c r="AH707" i="2" s="1"/>
  <c r="AH708" i="2" a="1"/>
  <c r="AH708" i="2" s="1"/>
  <c r="AH709" i="2" a="1"/>
  <c r="AH709" i="2" s="1"/>
  <c r="AH710" i="2" a="1"/>
  <c r="AH710" i="2" s="1"/>
  <c r="AH711" i="2" a="1"/>
  <c r="AH711" i="2" s="1"/>
  <c r="AH712" i="2" a="1"/>
  <c r="AH712" i="2" s="1"/>
  <c r="AH713" i="2" a="1"/>
  <c r="AH713" i="2" s="1"/>
  <c r="AH714" i="2" a="1"/>
  <c r="AH714" i="2" s="1"/>
  <c r="AH715" i="2" a="1"/>
  <c r="AH715" i="2" s="1"/>
  <c r="AH716" i="2" a="1"/>
  <c r="AH716" i="2" s="1"/>
  <c r="AH717" i="2" a="1"/>
  <c r="AH717" i="2" s="1"/>
  <c r="AH718" i="2" a="1"/>
  <c r="AH718" i="2" s="1"/>
  <c r="AH719" i="2" a="1"/>
  <c r="AH719" i="2" s="1"/>
  <c r="AH720" i="2" a="1"/>
  <c r="AH720" i="2" s="1"/>
  <c r="AH721" i="2" a="1"/>
  <c r="AH721" i="2" s="1"/>
  <c r="AH722" i="2" a="1"/>
  <c r="AH722" i="2" s="1"/>
  <c r="AH723" i="2" a="1"/>
  <c r="AH723" i="2" s="1"/>
  <c r="AH724" i="2" a="1"/>
  <c r="AH724" i="2" s="1"/>
  <c r="AH725" i="2" a="1"/>
  <c r="AH725" i="2" s="1"/>
  <c r="AH726" i="2" a="1"/>
  <c r="AH726" i="2" s="1"/>
  <c r="AH727" i="2" a="1"/>
  <c r="AH727" i="2" s="1"/>
  <c r="AH728" i="2" a="1"/>
  <c r="AH728" i="2" s="1"/>
  <c r="AH729" i="2" a="1"/>
  <c r="AH729" i="2" s="1"/>
  <c r="AH730" i="2" a="1"/>
  <c r="AH730" i="2" s="1"/>
  <c r="AH731" i="2" a="1"/>
  <c r="AH731" i="2" s="1"/>
  <c r="AH732" i="2" a="1"/>
  <c r="AH732" i="2" s="1"/>
  <c r="AH733" i="2" a="1"/>
  <c r="AH733" i="2" s="1"/>
  <c r="AH734" i="2" a="1"/>
  <c r="AH734" i="2" s="1"/>
  <c r="AH735" i="2" a="1"/>
  <c r="AH735" i="2" s="1"/>
  <c r="AH736" i="2" a="1"/>
  <c r="AH736" i="2" s="1"/>
  <c r="AH737" i="2" a="1"/>
  <c r="AH737" i="2" s="1"/>
  <c r="AH738" i="2" a="1"/>
  <c r="AH738" i="2" s="1"/>
  <c r="AH739" i="2" a="1"/>
  <c r="AH739" i="2" s="1"/>
  <c r="AH740" i="2" a="1"/>
  <c r="AH740" i="2" s="1"/>
  <c r="AH741" i="2" a="1"/>
  <c r="AH741" i="2" s="1"/>
  <c r="AH742" i="2" a="1"/>
  <c r="AH742" i="2" s="1"/>
  <c r="AH743" i="2" a="1"/>
  <c r="AH743" i="2" s="1"/>
  <c r="AH744" i="2" a="1"/>
  <c r="AH744" i="2" s="1"/>
  <c r="AH745" i="2" a="1"/>
  <c r="AH745" i="2" s="1"/>
  <c r="AH746" i="2" a="1"/>
  <c r="AH746" i="2" s="1"/>
  <c r="AH747" i="2" a="1"/>
  <c r="AH747" i="2" s="1"/>
  <c r="AH748" i="2" a="1"/>
  <c r="AH748" i="2" s="1"/>
  <c r="AH749" i="2" a="1"/>
  <c r="AH749" i="2" s="1"/>
  <c r="AH750" i="2" a="1"/>
  <c r="AH750" i="2" s="1"/>
  <c r="AH751" i="2" a="1"/>
  <c r="AH751" i="2" s="1"/>
  <c r="AH752" i="2" a="1"/>
  <c r="AH752" i="2" s="1"/>
  <c r="AH753" i="2" a="1"/>
  <c r="AH753" i="2" s="1"/>
  <c r="AH754" i="2" a="1"/>
  <c r="AH754" i="2" s="1"/>
  <c r="AH755" i="2" a="1"/>
  <c r="AH755" i="2" s="1"/>
  <c r="AH756" i="2" a="1"/>
  <c r="AH756" i="2" s="1"/>
  <c r="AH757" i="2" a="1"/>
  <c r="AH757" i="2" s="1"/>
  <c r="AH758" i="2" a="1"/>
  <c r="AH758" i="2" s="1"/>
  <c r="AH759" i="2" a="1"/>
  <c r="AH759" i="2" s="1"/>
  <c r="AH760" i="2" a="1"/>
  <c r="AH760" i="2" s="1"/>
  <c r="AH761" i="2" a="1"/>
  <c r="AH761" i="2" s="1"/>
  <c r="AH762" i="2" a="1"/>
  <c r="AH762" i="2" s="1"/>
  <c r="AH763" i="2" a="1"/>
  <c r="AH763" i="2" s="1"/>
  <c r="AH764" i="2" a="1"/>
  <c r="AH764" i="2" s="1"/>
  <c r="AH765" i="2" a="1"/>
  <c r="AH765" i="2" s="1"/>
  <c r="AH766" i="2" a="1"/>
  <c r="AH766" i="2" s="1"/>
  <c r="AH767" i="2" a="1"/>
  <c r="AH767" i="2" s="1"/>
  <c r="AH768" i="2" a="1"/>
  <c r="AH768" i="2" s="1"/>
  <c r="AH769" i="2" a="1"/>
  <c r="AH769" i="2" s="1"/>
  <c r="AH770" i="2" a="1"/>
  <c r="AH770" i="2" s="1"/>
  <c r="AH771" i="2" a="1"/>
  <c r="AH771" i="2" s="1"/>
  <c r="AH772" i="2" a="1"/>
  <c r="AH772" i="2" s="1"/>
  <c r="AH773" i="2" a="1"/>
  <c r="AH773" i="2" s="1"/>
  <c r="AH774" i="2" a="1"/>
  <c r="AH774" i="2" s="1"/>
  <c r="AH775" i="2" a="1"/>
  <c r="AH775" i="2" s="1"/>
  <c r="AH776" i="2" a="1"/>
  <c r="AH776" i="2" s="1"/>
  <c r="AH777" i="2" a="1"/>
  <c r="AH777" i="2" s="1"/>
  <c r="AH778" i="2" a="1"/>
  <c r="AH778" i="2" s="1"/>
  <c r="AH779" i="2" a="1"/>
  <c r="AH779" i="2" s="1"/>
  <c r="AH780" i="2" a="1"/>
  <c r="AH780" i="2" s="1"/>
  <c r="AH781" i="2" a="1"/>
  <c r="AH781" i="2" s="1"/>
  <c r="AH782" i="2" a="1"/>
  <c r="AH782" i="2" s="1"/>
  <c r="AH783" i="2" a="1"/>
  <c r="AH783" i="2" s="1"/>
  <c r="AH784" i="2" a="1"/>
  <c r="AH784" i="2" s="1"/>
  <c r="AH785" i="2" a="1"/>
  <c r="AH785" i="2" s="1"/>
  <c r="AH786" i="2" a="1"/>
  <c r="AH786" i="2" s="1"/>
  <c r="AH787" i="2" a="1"/>
  <c r="AH787" i="2" s="1"/>
  <c r="AH788" i="2" a="1"/>
  <c r="AH788" i="2" s="1"/>
  <c r="AH789" i="2" a="1"/>
  <c r="AH789" i="2" s="1"/>
  <c r="AH790" i="2" a="1"/>
  <c r="AH790" i="2" s="1"/>
  <c r="AH791" i="2" a="1"/>
  <c r="AH791" i="2" s="1"/>
  <c r="AH792" i="2" a="1"/>
  <c r="AH792" i="2" s="1"/>
  <c r="AH793" i="2" a="1"/>
  <c r="AH793" i="2" s="1"/>
  <c r="AH794" i="2" a="1"/>
  <c r="AH794" i="2" s="1"/>
  <c r="AH795" i="2" a="1"/>
  <c r="AH795" i="2" s="1"/>
  <c r="AH796" i="2" a="1"/>
  <c r="AH796" i="2" s="1"/>
  <c r="AH797" i="2" a="1"/>
  <c r="AH797" i="2" s="1"/>
  <c r="AH798" i="2" a="1"/>
  <c r="AH798" i="2" s="1"/>
  <c r="AH799" i="2" a="1"/>
  <c r="AH799" i="2" s="1"/>
  <c r="AH800" i="2" a="1"/>
  <c r="AH800" i="2" s="1"/>
  <c r="AH801" i="2" a="1"/>
  <c r="AH801" i="2" s="1"/>
  <c r="AH802" i="2" a="1"/>
  <c r="AH802" i="2" s="1"/>
  <c r="AH803" i="2" a="1"/>
  <c r="AH803" i="2" s="1"/>
  <c r="AH804" i="2" a="1"/>
  <c r="AH804" i="2" s="1"/>
  <c r="AH805" i="2" a="1"/>
  <c r="AH805" i="2" s="1"/>
  <c r="AH806" i="2" a="1"/>
  <c r="AH806" i="2" s="1"/>
  <c r="AH807" i="2" a="1"/>
  <c r="AH807" i="2" s="1"/>
  <c r="AH808" i="2" a="1"/>
  <c r="AH808" i="2" s="1"/>
  <c r="AH809" i="2" a="1"/>
  <c r="AH809" i="2" s="1"/>
  <c r="AH810" i="2" a="1"/>
  <c r="AH810" i="2" s="1"/>
  <c r="AH811" i="2" a="1"/>
  <c r="AH811" i="2" s="1"/>
  <c r="AH812" i="2" a="1"/>
  <c r="AH812" i="2" s="1"/>
  <c r="AH813" i="2" a="1"/>
  <c r="AH813" i="2" s="1"/>
  <c r="AH814" i="2" a="1"/>
  <c r="AH814" i="2" s="1"/>
  <c r="AH815" i="2" a="1"/>
  <c r="AH815" i="2" s="1"/>
  <c r="AH816" i="2" a="1"/>
  <c r="AH816" i="2" s="1"/>
  <c r="AH817" i="2" a="1"/>
  <c r="AH817" i="2" s="1"/>
  <c r="AH818" i="2" a="1"/>
  <c r="AH818" i="2" s="1"/>
  <c r="AH819" i="2" a="1"/>
  <c r="AH819" i="2" s="1"/>
  <c r="AH820" i="2" a="1"/>
  <c r="AH820" i="2" s="1"/>
  <c r="AH821" i="2" a="1"/>
  <c r="AH821" i="2" s="1"/>
  <c r="AH822" i="2" a="1"/>
  <c r="AH822" i="2" s="1"/>
  <c r="AH823" i="2" a="1"/>
  <c r="AH823" i="2" s="1"/>
  <c r="AH824" i="2" a="1"/>
  <c r="AH824" i="2" s="1"/>
  <c r="AH825" i="2" a="1"/>
  <c r="AH825" i="2" s="1"/>
  <c r="AH826" i="2" a="1"/>
  <c r="AH826" i="2" s="1"/>
  <c r="AH827" i="2" a="1"/>
  <c r="AH827" i="2" s="1"/>
  <c r="AH828" i="2" a="1"/>
  <c r="AH828" i="2" s="1"/>
  <c r="AH829" i="2" a="1"/>
  <c r="AH829" i="2" s="1"/>
  <c r="AH830" i="2" a="1"/>
  <c r="AH830" i="2" s="1"/>
  <c r="AH831" i="2" a="1"/>
  <c r="AH831" i="2" s="1"/>
  <c r="AH832" i="2" a="1"/>
  <c r="AH832" i="2" s="1"/>
  <c r="AH833" i="2" a="1"/>
  <c r="AH833" i="2" s="1"/>
  <c r="AH834" i="2" a="1"/>
  <c r="AH834" i="2" s="1"/>
  <c r="AH835" i="2" a="1"/>
  <c r="AH835" i="2" s="1"/>
  <c r="AH836" i="2" a="1"/>
  <c r="AH836" i="2" s="1"/>
  <c r="AH837" i="2" a="1"/>
  <c r="AH837" i="2" s="1"/>
  <c r="AH838" i="2" a="1"/>
  <c r="AH838" i="2" s="1"/>
  <c r="AH839" i="2" a="1"/>
  <c r="AH839" i="2" s="1"/>
  <c r="AH840" i="2" a="1"/>
  <c r="AH840" i="2" s="1"/>
  <c r="AH841" i="2" a="1"/>
  <c r="AH841" i="2" s="1"/>
  <c r="AH842" i="2" a="1"/>
  <c r="AH842" i="2" s="1"/>
  <c r="AH843" i="2" a="1"/>
  <c r="AH843" i="2" s="1"/>
  <c r="AH844" i="2" a="1"/>
  <c r="AH844" i="2" s="1"/>
  <c r="AH845" i="2" a="1"/>
  <c r="AH845" i="2" s="1"/>
  <c r="AH846" i="2" a="1"/>
  <c r="AH846" i="2" s="1"/>
  <c r="AH847" i="2" a="1"/>
  <c r="AH847" i="2" s="1"/>
  <c r="AH848" i="2" a="1"/>
  <c r="AH848" i="2" s="1"/>
  <c r="AH849" i="2" a="1"/>
  <c r="AH849" i="2" s="1"/>
  <c r="AH850" i="2" a="1"/>
  <c r="AH850" i="2" s="1"/>
  <c r="AH851" i="2" a="1"/>
  <c r="AH851" i="2" s="1"/>
  <c r="AH852" i="2" a="1"/>
  <c r="AH852" i="2" s="1"/>
  <c r="AH853" i="2" a="1"/>
  <c r="AH853" i="2" s="1"/>
  <c r="AH854" i="2" a="1"/>
  <c r="AH854" i="2" s="1"/>
  <c r="AH855" i="2" a="1"/>
  <c r="AH855" i="2" s="1"/>
  <c r="AH856" i="2" a="1"/>
  <c r="AH856" i="2" s="1"/>
  <c r="AH857" i="2" a="1"/>
  <c r="AH857" i="2" s="1"/>
  <c r="AH858" i="2" a="1"/>
  <c r="AH858" i="2" s="1"/>
  <c r="AH859" i="2" a="1"/>
  <c r="AH859" i="2" s="1"/>
  <c r="AH860" i="2" a="1"/>
  <c r="AH860" i="2" s="1"/>
  <c r="AH861" i="2" a="1"/>
  <c r="AH861" i="2" s="1"/>
  <c r="AH862" i="2" a="1"/>
  <c r="AH862" i="2" s="1"/>
  <c r="AH863" i="2" a="1"/>
  <c r="AH863" i="2" s="1"/>
  <c r="AH864" i="2" a="1"/>
  <c r="AH864" i="2" s="1"/>
  <c r="AH865" i="2" a="1"/>
  <c r="AH865" i="2" s="1"/>
  <c r="AH866" i="2" a="1"/>
  <c r="AH866" i="2" s="1"/>
  <c r="AH867" i="2" a="1"/>
  <c r="AH867" i="2" s="1"/>
  <c r="AH868" i="2" a="1"/>
  <c r="AH868" i="2" s="1"/>
  <c r="AH869" i="2" a="1"/>
  <c r="AH869" i="2" s="1"/>
  <c r="AH870" i="2" a="1"/>
  <c r="AH870" i="2" s="1"/>
  <c r="AH871" i="2" a="1"/>
  <c r="AH871" i="2" s="1"/>
  <c r="AH872" i="2" a="1"/>
  <c r="AH872" i="2" s="1"/>
  <c r="AH873" i="2" a="1"/>
  <c r="AH873" i="2" s="1"/>
  <c r="AH874" i="2" a="1"/>
  <c r="AH874" i="2" s="1"/>
  <c r="AH875" i="2" a="1"/>
  <c r="AH875" i="2" s="1"/>
  <c r="AH876" i="2" a="1"/>
  <c r="AH876" i="2" s="1"/>
  <c r="AH877" i="2" a="1"/>
  <c r="AH877" i="2" s="1"/>
  <c r="AH878" i="2" a="1"/>
  <c r="AH878" i="2" s="1"/>
  <c r="AH879" i="2" a="1"/>
  <c r="AH879" i="2" s="1"/>
  <c r="AH880" i="2" a="1"/>
  <c r="AH880" i="2" s="1"/>
  <c r="AH881" i="2" a="1"/>
  <c r="AH881" i="2" s="1"/>
  <c r="AH882" i="2" a="1"/>
  <c r="AH882" i="2" s="1"/>
  <c r="AH883" i="2" a="1"/>
  <c r="AH883" i="2" s="1"/>
  <c r="AH884" i="2" a="1"/>
  <c r="AH884" i="2" s="1"/>
  <c r="AH885" i="2" a="1"/>
  <c r="AH885" i="2" s="1"/>
  <c r="AH886" i="2" a="1"/>
  <c r="AH886" i="2" s="1"/>
  <c r="AH887" i="2" a="1"/>
  <c r="AH887" i="2" s="1"/>
  <c r="AH888" i="2" a="1"/>
  <c r="AH888" i="2" s="1"/>
  <c r="AH889" i="2" a="1"/>
  <c r="AH889" i="2" s="1"/>
  <c r="AH890" i="2" a="1"/>
  <c r="AH890" i="2" s="1"/>
  <c r="AH891" i="2" a="1"/>
  <c r="AH891" i="2" s="1"/>
  <c r="AH892" i="2" a="1"/>
  <c r="AH892" i="2" s="1"/>
  <c r="AH893" i="2" a="1"/>
  <c r="AH893" i="2" s="1"/>
  <c r="AH894" i="2" a="1"/>
  <c r="AH894" i="2" s="1"/>
  <c r="AH895" i="2" a="1"/>
  <c r="AH895" i="2" s="1"/>
  <c r="AH896" i="2" a="1"/>
  <c r="AH896" i="2" s="1"/>
  <c r="AH897" i="2" a="1"/>
  <c r="AH897" i="2" s="1"/>
  <c r="AH898" i="2" a="1"/>
  <c r="AH898" i="2" s="1"/>
  <c r="AH899" i="2" a="1"/>
  <c r="AH899" i="2" s="1"/>
  <c r="AH900" i="2" a="1"/>
  <c r="AH900" i="2" s="1"/>
  <c r="AH901" i="2" a="1"/>
  <c r="AH901" i="2" s="1"/>
  <c r="AH902" i="2" a="1"/>
  <c r="AH902" i="2" s="1"/>
  <c r="AH903" i="2" a="1"/>
  <c r="AH903" i="2" s="1"/>
  <c r="AH904" i="2" a="1"/>
  <c r="AH904" i="2" s="1"/>
  <c r="AH905" i="2" a="1"/>
  <c r="AH905" i="2" s="1"/>
  <c r="AH906" i="2" a="1"/>
  <c r="AH906" i="2" s="1"/>
  <c r="AH907" i="2" a="1"/>
  <c r="AH907" i="2" s="1"/>
  <c r="AH908" i="2" a="1"/>
  <c r="AH908" i="2" s="1"/>
  <c r="AH909" i="2" a="1"/>
  <c r="AH909" i="2" s="1"/>
  <c r="AH910" i="2" a="1"/>
  <c r="AH910" i="2" s="1"/>
  <c r="AH911" i="2" a="1"/>
  <c r="AH911" i="2" s="1"/>
  <c r="AH912" i="2" a="1"/>
  <c r="AH912" i="2" s="1"/>
  <c r="AH913" i="2" a="1"/>
  <c r="AH913" i="2" s="1"/>
  <c r="AH914" i="2" a="1"/>
  <c r="AH914" i="2" s="1"/>
  <c r="AH915" i="2" a="1"/>
  <c r="AH915" i="2" s="1"/>
  <c r="AH916" i="2" a="1"/>
  <c r="AH916" i="2" s="1"/>
  <c r="AH917" i="2" a="1"/>
  <c r="AH917" i="2" s="1"/>
  <c r="AH918" i="2" a="1"/>
  <c r="AH918" i="2" s="1"/>
  <c r="AH919" i="2" a="1"/>
  <c r="AH919" i="2" s="1"/>
  <c r="AH920" i="2" a="1"/>
  <c r="AH920" i="2" s="1"/>
  <c r="AH921" i="2" a="1"/>
  <c r="AH921" i="2" s="1"/>
  <c r="AH922" i="2" a="1"/>
  <c r="AH922" i="2" s="1"/>
  <c r="AH923" i="2" a="1"/>
  <c r="AH923" i="2" s="1"/>
  <c r="AH924" i="2" a="1"/>
  <c r="AH924" i="2" s="1"/>
  <c r="AH925" i="2" a="1"/>
  <c r="AH925" i="2" s="1"/>
  <c r="AH926" i="2" a="1"/>
  <c r="AH926" i="2" s="1"/>
  <c r="AH927" i="2" a="1"/>
  <c r="AH927" i="2" s="1"/>
  <c r="AH928" i="2" a="1"/>
  <c r="AH928" i="2" s="1"/>
  <c r="AH929" i="2" a="1"/>
  <c r="AH929" i="2" s="1"/>
  <c r="AH930" i="2" a="1"/>
  <c r="AH930" i="2" s="1"/>
  <c r="AH931" i="2" a="1"/>
  <c r="AH931" i="2" s="1"/>
  <c r="AH932" i="2" a="1"/>
  <c r="AH932" i="2" s="1"/>
  <c r="AH933" i="2" a="1"/>
  <c r="AH933" i="2" s="1"/>
  <c r="AH934" i="2" a="1"/>
  <c r="AH934" i="2" s="1"/>
  <c r="AH935" i="2" a="1"/>
  <c r="AH935" i="2" s="1"/>
  <c r="AH936" i="2" a="1"/>
  <c r="AH936" i="2" s="1"/>
  <c r="AH937" i="2" a="1"/>
  <c r="AH937" i="2" s="1"/>
  <c r="AH938" i="2" a="1"/>
  <c r="AH938" i="2" s="1"/>
  <c r="AH939" i="2" a="1"/>
  <c r="AH939" i="2" s="1"/>
  <c r="AH940" i="2" a="1"/>
  <c r="AH940" i="2" s="1"/>
  <c r="AH941" i="2" a="1"/>
  <c r="AH941" i="2" s="1"/>
  <c r="AH942" i="2" a="1"/>
  <c r="AH942" i="2" s="1"/>
  <c r="AH943" i="2" a="1"/>
  <c r="AH943" i="2" s="1"/>
  <c r="AH944" i="2" a="1"/>
  <c r="AH944" i="2" s="1"/>
  <c r="AH945" i="2" a="1"/>
  <c r="AH945" i="2" s="1"/>
  <c r="AH946" i="2" a="1"/>
  <c r="AH946" i="2" s="1"/>
  <c r="AH947" i="2" a="1"/>
  <c r="AH947" i="2" s="1"/>
  <c r="AH948" i="2" a="1"/>
  <c r="AH948" i="2" s="1"/>
  <c r="AH949" i="2" a="1"/>
  <c r="AH949" i="2" s="1"/>
  <c r="AH950" i="2" a="1"/>
  <c r="AH950" i="2" s="1"/>
  <c r="AH951" i="2" a="1"/>
  <c r="AH951" i="2" s="1"/>
  <c r="AH952" i="2" a="1"/>
  <c r="AH952" i="2" s="1"/>
  <c r="AH953" i="2" a="1"/>
  <c r="AH953" i="2" s="1"/>
  <c r="AH954" i="2" a="1"/>
  <c r="AH954" i="2" s="1"/>
  <c r="AH955" i="2" a="1"/>
  <c r="AH955" i="2" s="1"/>
  <c r="AH956" i="2" a="1"/>
  <c r="AH956" i="2" s="1"/>
  <c r="AH957" i="2" a="1"/>
  <c r="AH957" i="2" s="1"/>
  <c r="AH958" i="2" a="1"/>
  <c r="AH958" i="2" s="1"/>
  <c r="AH959" i="2" a="1"/>
  <c r="AH959" i="2" s="1"/>
  <c r="AH960" i="2" a="1"/>
  <c r="AH960" i="2" s="1"/>
  <c r="AH961" i="2" a="1"/>
  <c r="AH961" i="2" s="1"/>
  <c r="AH962" i="2" a="1"/>
  <c r="AH962" i="2" s="1"/>
  <c r="AH963" i="2" a="1"/>
  <c r="AH963" i="2" s="1"/>
  <c r="AH964" i="2" a="1"/>
  <c r="AH964" i="2" s="1"/>
  <c r="AH965" i="2" a="1"/>
  <c r="AH965" i="2" s="1"/>
  <c r="AH966" i="2" a="1"/>
  <c r="AH966" i="2" s="1"/>
  <c r="AH967" i="2" a="1"/>
  <c r="AH967" i="2" s="1"/>
  <c r="AH968" i="2" a="1"/>
  <c r="AH968" i="2" s="1"/>
  <c r="AH969" i="2" a="1"/>
  <c r="AH969" i="2" s="1"/>
  <c r="AH970" i="2" a="1"/>
  <c r="AH970" i="2" s="1"/>
  <c r="AH971" i="2" a="1"/>
  <c r="AH971" i="2" s="1"/>
  <c r="AH972" i="2" a="1"/>
  <c r="AH972" i="2" s="1"/>
  <c r="AH973" i="2" a="1"/>
  <c r="AH973" i="2" s="1"/>
  <c r="AH974" i="2" a="1"/>
  <c r="AH974" i="2" s="1"/>
  <c r="AH975" i="2" a="1"/>
  <c r="AH975" i="2" s="1"/>
  <c r="AH976" i="2" a="1"/>
  <c r="AH976" i="2" s="1"/>
  <c r="AH977" i="2" a="1"/>
  <c r="AH977" i="2" s="1"/>
  <c r="AH978" i="2" a="1"/>
  <c r="AH978" i="2" s="1"/>
  <c r="AH979" i="2" a="1"/>
  <c r="AH979" i="2" s="1"/>
  <c r="AH980" i="2" a="1"/>
  <c r="AH980" i="2" s="1"/>
  <c r="AH981" i="2" a="1"/>
  <c r="AH981" i="2" s="1"/>
  <c r="AH982" i="2" a="1"/>
  <c r="AH982" i="2" s="1"/>
  <c r="AH983" i="2" a="1"/>
  <c r="AH983" i="2" s="1"/>
  <c r="AH984" i="2" a="1"/>
  <c r="AH984" i="2" s="1"/>
  <c r="AH985" i="2" a="1"/>
  <c r="AH985" i="2" s="1"/>
  <c r="AH986" i="2" a="1"/>
  <c r="AH986" i="2" s="1"/>
  <c r="AH987" i="2" a="1"/>
  <c r="AH987" i="2" s="1"/>
  <c r="AH988" i="2" a="1"/>
  <c r="AH988" i="2" s="1"/>
  <c r="AH989" i="2" a="1"/>
  <c r="AH989" i="2" s="1"/>
  <c r="AH990" i="2" a="1"/>
  <c r="AH990" i="2" s="1"/>
  <c r="AH991" i="2" a="1"/>
  <c r="AH991" i="2" s="1"/>
  <c r="AH992" i="2" a="1"/>
  <c r="AH992" i="2" s="1"/>
  <c r="AH993" i="2" a="1"/>
  <c r="AH993" i="2" s="1"/>
  <c r="AH994" i="2" a="1"/>
  <c r="AH994" i="2" s="1"/>
  <c r="AH995" i="2" a="1"/>
  <c r="AH995" i="2" s="1"/>
  <c r="AH996" i="2" a="1"/>
  <c r="AH996" i="2" s="1"/>
  <c r="AH997" i="2" a="1"/>
  <c r="AH997" i="2" s="1"/>
  <c r="AH998" i="2" a="1"/>
  <c r="AH998" i="2" s="1"/>
  <c r="AH999" i="2" a="1"/>
  <c r="AH999" i="2" s="1"/>
  <c r="AH1000" i="2" a="1"/>
  <c r="AH1000" i="2" s="1"/>
  <c r="AH1001" i="2" a="1"/>
  <c r="AH1001" i="2" s="1"/>
  <c r="AH1002" i="2" a="1"/>
  <c r="AH1002" i="2" s="1"/>
  <c r="AH1003" i="2" a="1"/>
  <c r="AH1003" i="2" s="1"/>
  <c r="AH1004" i="2" a="1"/>
  <c r="AH1004" i="2" s="1"/>
  <c r="AH1005" i="2" a="1"/>
  <c r="AH1005" i="2" s="1"/>
  <c r="AH1006" i="2" a="1"/>
  <c r="AH1006" i="2" s="1"/>
  <c r="AH1007" i="2" a="1"/>
  <c r="AH1007" i="2" s="1"/>
  <c r="AH1008" i="2" a="1"/>
  <c r="AH1008" i="2" s="1"/>
  <c r="AH1009" i="2" a="1"/>
  <c r="AH1009" i="2" s="1"/>
  <c r="AH1010" i="2" a="1"/>
  <c r="AH1010" i="2" s="1"/>
  <c r="AH1011" i="2" a="1"/>
  <c r="AH1011" i="2" s="1"/>
  <c r="AH1012" i="2" a="1"/>
  <c r="AH1012" i="2" s="1"/>
  <c r="AH1013" i="2" a="1"/>
  <c r="AH1013" i="2" s="1"/>
  <c r="AH1014" i="2" a="1"/>
  <c r="AH1014" i="2" s="1"/>
  <c r="AH1015" i="2" a="1"/>
  <c r="AH1015" i="2" s="1"/>
  <c r="AH1016" i="2" a="1"/>
  <c r="AH1016" i="2" s="1"/>
  <c r="AH1017" i="2" a="1"/>
  <c r="AH1017" i="2" s="1"/>
  <c r="AH1018" i="2" a="1"/>
  <c r="AH1018" i="2" s="1"/>
  <c r="AH1019" i="2" a="1"/>
  <c r="AH1019" i="2" s="1"/>
  <c r="AH1020" i="2" a="1"/>
  <c r="AH1020" i="2" s="1"/>
  <c r="AH1021" i="2" a="1"/>
  <c r="AH1021" i="2" s="1"/>
  <c r="AH1022" i="2" a="1"/>
  <c r="AH1022" i="2" s="1"/>
  <c r="AH1023" i="2" a="1"/>
  <c r="AH1023" i="2" s="1"/>
  <c r="AH1024" i="2" a="1"/>
  <c r="AH1024" i="2" s="1"/>
  <c r="AH1025" i="2" a="1"/>
  <c r="AH1025" i="2" s="1"/>
  <c r="AH1026" i="2" a="1"/>
  <c r="AH1026" i="2" s="1"/>
  <c r="AH1027" i="2" a="1"/>
  <c r="AH1027" i="2" s="1"/>
  <c r="AH1028" i="2" a="1"/>
  <c r="AH1028" i="2" s="1"/>
  <c r="AH1029" i="2" a="1"/>
  <c r="AH1029" i="2" s="1"/>
  <c r="AH1030" i="2" a="1"/>
  <c r="AH1030" i="2" s="1"/>
  <c r="AH1031" i="2" a="1"/>
  <c r="AH1031" i="2" s="1"/>
  <c r="AH1032" i="2" a="1"/>
  <c r="AH1032" i="2" s="1"/>
  <c r="AH1033" i="2" a="1"/>
  <c r="AH1033" i="2" s="1"/>
  <c r="AH1034" i="2" a="1"/>
  <c r="AH1034" i="2" s="1"/>
  <c r="AH1035" i="2" a="1"/>
  <c r="AH1035" i="2" s="1"/>
  <c r="AH1036" i="2" a="1"/>
  <c r="AH1036" i="2" s="1"/>
  <c r="AH1037" i="2" a="1"/>
  <c r="AH1037" i="2" s="1"/>
  <c r="AH1038" i="2" a="1"/>
  <c r="AH1038" i="2" s="1"/>
  <c r="AH1039" i="2" a="1"/>
  <c r="AH1039" i="2" s="1"/>
  <c r="AH1040" i="2" a="1"/>
  <c r="AH1040" i="2" s="1"/>
  <c r="AH1041" i="2" a="1"/>
  <c r="AH1041" i="2" s="1"/>
  <c r="AH1042" i="2" a="1"/>
  <c r="AH1042" i="2" s="1"/>
  <c r="AH1043" i="2" a="1"/>
  <c r="AH1043" i="2" s="1"/>
  <c r="AH1044" i="2" a="1"/>
  <c r="AH1044" i="2" s="1"/>
  <c r="AH1045" i="2" a="1"/>
  <c r="AH1045" i="2" s="1"/>
  <c r="AH1046" i="2" a="1"/>
  <c r="AH1046" i="2" s="1"/>
  <c r="AH1047" i="2" a="1"/>
  <c r="AH1047" i="2" s="1"/>
  <c r="AH1048" i="2" a="1"/>
  <c r="AH1048" i="2" s="1"/>
  <c r="AH1049" i="2" a="1"/>
  <c r="AH1049" i="2" s="1"/>
  <c r="AH1050" i="2" a="1"/>
  <c r="AH1050" i="2" s="1"/>
  <c r="AH1051" i="2" a="1"/>
  <c r="AH1051" i="2" s="1"/>
  <c r="AH1052" i="2" a="1"/>
  <c r="AH1052" i="2" s="1"/>
  <c r="AH1053" i="2" a="1"/>
  <c r="AH1053" i="2" s="1"/>
  <c r="AH1054" i="2" a="1"/>
  <c r="AH1054" i="2" s="1"/>
  <c r="AH1055" i="2" a="1"/>
  <c r="AH1055" i="2" s="1"/>
  <c r="AH1056" i="2" a="1"/>
  <c r="AH1056" i="2" s="1"/>
  <c r="AH1057" i="2" a="1"/>
  <c r="AH1057" i="2" s="1"/>
  <c r="AH1058" i="2" a="1"/>
  <c r="AH1058" i="2" s="1"/>
  <c r="AH1059" i="2" a="1"/>
  <c r="AH1059" i="2" s="1"/>
  <c r="AH1060" i="2" a="1"/>
  <c r="AH1060" i="2" s="1"/>
  <c r="AH1061" i="2" a="1"/>
  <c r="AH1061" i="2" s="1"/>
  <c r="AH1062" i="2" a="1"/>
  <c r="AH1062" i="2" s="1"/>
  <c r="AH1063" i="2" a="1"/>
  <c r="AH1063" i="2" s="1"/>
  <c r="AH1064" i="2" a="1"/>
  <c r="AH1064" i="2" s="1"/>
  <c r="AH1065" i="2" a="1"/>
  <c r="AH1065" i="2" s="1"/>
  <c r="AH1066" i="2" a="1"/>
  <c r="AH1066" i="2" s="1"/>
  <c r="AH1067" i="2" a="1"/>
  <c r="AH1067" i="2" s="1"/>
  <c r="AH1068" i="2" a="1"/>
  <c r="AH1068" i="2" s="1"/>
  <c r="AH1069" i="2" a="1"/>
  <c r="AH1069" i="2" s="1"/>
  <c r="AH1070" i="2" a="1"/>
  <c r="AH1070" i="2" s="1"/>
  <c r="AH1071" i="2" a="1"/>
  <c r="AH1071" i="2" s="1"/>
  <c r="AH1072" i="2" a="1"/>
  <c r="AH1072" i="2" s="1"/>
  <c r="AH1073" i="2" a="1"/>
  <c r="AH1073" i="2" s="1"/>
  <c r="AH1074" i="2" a="1"/>
  <c r="AH1074" i="2" s="1"/>
  <c r="AH1075" i="2" a="1"/>
  <c r="AH1075" i="2" s="1"/>
  <c r="AH1076" i="2" a="1"/>
  <c r="AH1076" i="2" s="1"/>
  <c r="AH1077" i="2" a="1"/>
  <c r="AH1077" i="2" s="1"/>
  <c r="AH1078" i="2" a="1"/>
  <c r="AH1078" i="2" s="1"/>
  <c r="AH1079" i="2" a="1"/>
  <c r="AH1079" i="2" s="1"/>
  <c r="AH1080" i="2" a="1"/>
  <c r="AH1080" i="2" s="1"/>
  <c r="AH1081" i="2" a="1"/>
  <c r="AH1081" i="2" s="1"/>
  <c r="AH1082" i="2" a="1"/>
  <c r="AH1082" i="2" s="1"/>
  <c r="AH1083" i="2" a="1"/>
  <c r="AH1083" i="2" s="1"/>
  <c r="AH1084" i="2" a="1"/>
  <c r="AH1084" i="2" s="1"/>
  <c r="AH1085" i="2" a="1"/>
  <c r="AH1085" i="2" s="1"/>
  <c r="AH1086" i="2" a="1"/>
  <c r="AH1086" i="2" s="1"/>
  <c r="AH1087" i="2" a="1"/>
  <c r="AH1087" i="2" s="1"/>
  <c r="AH1088" i="2" a="1"/>
  <c r="AH1088" i="2" s="1"/>
  <c r="AH1089" i="2" a="1"/>
  <c r="AH1089" i="2" s="1"/>
  <c r="AH1090" i="2" a="1"/>
  <c r="AH1090" i="2" s="1"/>
  <c r="AH1091" i="2" a="1"/>
  <c r="AH1091" i="2" s="1"/>
  <c r="AH1092" i="2" a="1"/>
  <c r="AH1092" i="2" s="1"/>
  <c r="AH1093" i="2" a="1"/>
  <c r="AH1093" i="2" s="1"/>
  <c r="AH1094" i="2" a="1"/>
  <c r="AH1094" i="2" s="1"/>
  <c r="AH1095" i="2" a="1"/>
  <c r="AH1095" i="2" s="1"/>
  <c r="AH1096" i="2" a="1"/>
  <c r="AH1096" i="2" s="1"/>
  <c r="AH1097" i="2" a="1"/>
  <c r="AH1097" i="2" s="1"/>
  <c r="AH1098" i="2" a="1"/>
  <c r="AH1098" i="2" s="1"/>
  <c r="AH1099" i="2" a="1"/>
  <c r="AH1099" i="2" s="1"/>
  <c r="AH1100" i="2" a="1"/>
  <c r="AH1100" i="2" s="1"/>
  <c r="AH1101" i="2" a="1"/>
  <c r="AH1101" i="2" s="1"/>
  <c r="AH1102" i="2" a="1"/>
  <c r="AH1102" i="2" s="1"/>
  <c r="AH1103" i="2" a="1"/>
  <c r="AH1103" i="2" s="1"/>
  <c r="AH1104" i="2" a="1"/>
  <c r="AH1104" i="2" s="1"/>
  <c r="AH1105" i="2" a="1"/>
  <c r="AH1105" i="2" s="1"/>
  <c r="AH1106" i="2" a="1"/>
  <c r="AH1106" i="2" s="1"/>
  <c r="AH1107" i="2" a="1"/>
  <c r="AH1107" i="2" s="1"/>
  <c r="AH1108" i="2" a="1"/>
  <c r="AH1108" i="2" s="1"/>
  <c r="AH1109" i="2" a="1"/>
  <c r="AH1109" i="2" s="1"/>
  <c r="AH1110" i="2" a="1"/>
  <c r="AH1110" i="2" s="1"/>
  <c r="AH1111" i="2" a="1"/>
  <c r="AH1111" i="2" s="1"/>
  <c r="AH1112" i="2" a="1"/>
  <c r="AH1112" i="2" s="1"/>
  <c r="AH1113" i="2" a="1"/>
  <c r="AH1113" i="2" s="1"/>
  <c r="AH1114" i="2" a="1"/>
  <c r="AH1114" i="2" s="1"/>
  <c r="AH1115" i="2" a="1"/>
  <c r="AH1115" i="2" s="1"/>
  <c r="AH1116" i="2" a="1"/>
  <c r="AH1116" i="2" s="1"/>
  <c r="AH1117" i="2" a="1"/>
  <c r="AH1117" i="2" s="1"/>
  <c r="AH1118" i="2" a="1"/>
  <c r="AH1118" i="2" s="1"/>
  <c r="AH1119" i="2" a="1"/>
  <c r="AH1119" i="2" s="1"/>
  <c r="AH1120" i="2" a="1"/>
  <c r="AH1120" i="2" s="1"/>
  <c r="AH1121" i="2" a="1"/>
  <c r="AH1121" i="2" s="1"/>
  <c r="AH1122" i="2" a="1"/>
  <c r="AH1122" i="2" s="1"/>
  <c r="AH1123" i="2" a="1"/>
  <c r="AH1123" i="2" s="1"/>
  <c r="AH1124" i="2" a="1"/>
  <c r="AH1124" i="2" s="1"/>
  <c r="AH1125" i="2" a="1"/>
  <c r="AH1125" i="2" s="1"/>
  <c r="AH1126" i="2" a="1"/>
  <c r="AH1126" i="2" s="1"/>
  <c r="AH1127" i="2" a="1"/>
  <c r="AH1127" i="2" s="1"/>
  <c r="AH1128" i="2" a="1"/>
  <c r="AH1128" i="2" s="1"/>
  <c r="AH1129" i="2" a="1"/>
  <c r="AH1129" i="2" s="1"/>
  <c r="AH1130" i="2" a="1"/>
  <c r="AH1130" i="2" s="1"/>
  <c r="AH1131" i="2" a="1"/>
  <c r="AH1131" i="2" s="1"/>
  <c r="AH1132" i="2" a="1"/>
  <c r="AH1132" i="2" s="1"/>
  <c r="AH1133" i="2" a="1"/>
  <c r="AH1133" i="2" s="1"/>
  <c r="AH1134" i="2" a="1"/>
  <c r="AH1134" i="2" s="1"/>
  <c r="AH1135" i="2" a="1"/>
  <c r="AH1135" i="2" s="1"/>
  <c r="AH1136" i="2" a="1"/>
  <c r="AH1136" i="2" s="1"/>
  <c r="AH1137" i="2" a="1"/>
  <c r="AH1137" i="2" s="1"/>
  <c r="AH1138" i="2" a="1"/>
  <c r="AH1138" i="2" s="1"/>
  <c r="AH1139" i="2" a="1"/>
  <c r="AH1139" i="2" s="1"/>
  <c r="AH1140" i="2" a="1"/>
  <c r="AH1140" i="2" s="1"/>
  <c r="AH1141" i="2" a="1"/>
  <c r="AH1141" i="2" s="1"/>
  <c r="AH1142" i="2" a="1"/>
  <c r="AH1142" i="2" s="1"/>
  <c r="AH1143" i="2" a="1"/>
  <c r="AH1143" i="2" s="1"/>
  <c r="AH1144" i="2" a="1"/>
  <c r="AH1144" i="2" s="1"/>
  <c r="AH1145" i="2" a="1"/>
  <c r="AH1145" i="2" s="1"/>
  <c r="AH1146" i="2" a="1"/>
  <c r="AH1146" i="2" s="1"/>
  <c r="AH1147" i="2" a="1"/>
  <c r="AH1147" i="2" s="1"/>
  <c r="AH1148" i="2" a="1"/>
  <c r="AH1148" i="2" s="1"/>
  <c r="AH1149" i="2" a="1"/>
  <c r="AH1149" i="2" s="1"/>
  <c r="AH1150" i="2" a="1"/>
  <c r="AH1150" i="2" s="1"/>
  <c r="AH1151" i="2" a="1"/>
  <c r="AH1151" i="2" s="1"/>
  <c r="AH1152" i="2" a="1"/>
  <c r="AH1152" i="2" s="1"/>
  <c r="AH1153" i="2" a="1"/>
  <c r="AH1153" i="2" s="1"/>
  <c r="AH1154" i="2" a="1"/>
  <c r="AH1154" i="2" s="1"/>
  <c r="AH1155" i="2" a="1"/>
  <c r="AH1155" i="2" s="1"/>
  <c r="AH1156" i="2" a="1"/>
  <c r="AH1156" i="2" s="1"/>
  <c r="AH1157" i="2" a="1"/>
  <c r="AH1157" i="2" s="1"/>
  <c r="AH1158" i="2" a="1"/>
  <c r="AH1158" i="2" s="1"/>
  <c r="AH1159" i="2" a="1"/>
  <c r="AH1159" i="2" s="1"/>
  <c r="AH1160" i="2" a="1"/>
  <c r="AH1160" i="2" s="1"/>
  <c r="AH1161" i="2" a="1"/>
  <c r="AH1161" i="2" s="1"/>
  <c r="AH1162" i="2" a="1"/>
  <c r="AH1162" i="2" s="1"/>
  <c r="AH1163" i="2" a="1"/>
  <c r="AH1163" i="2" s="1"/>
  <c r="AH1164" i="2" a="1"/>
  <c r="AH1164" i="2" s="1"/>
  <c r="AH1165" i="2" a="1"/>
  <c r="AH1165" i="2" s="1"/>
  <c r="AH1166" i="2" a="1"/>
  <c r="AH1166" i="2" s="1"/>
  <c r="AH1167" i="2" a="1"/>
  <c r="AH1167" i="2" s="1"/>
  <c r="AH1168" i="2" a="1"/>
  <c r="AH1168" i="2" s="1"/>
  <c r="AH1169" i="2" a="1"/>
  <c r="AH1169" i="2" s="1"/>
  <c r="AH1170" i="2" a="1"/>
  <c r="AH1170" i="2" s="1"/>
  <c r="AH1171" i="2" a="1"/>
  <c r="AH1171" i="2" s="1"/>
  <c r="AH1172" i="2" a="1"/>
  <c r="AH1172" i="2" s="1"/>
  <c r="AH1173" i="2" a="1"/>
  <c r="AH1173" i="2" s="1"/>
  <c r="AH1174" i="2" a="1"/>
  <c r="AH1174" i="2" s="1"/>
  <c r="AH1175" i="2" a="1"/>
  <c r="AH1175" i="2" s="1"/>
  <c r="AH1176" i="2" a="1"/>
  <c r="AH1176" i="2" s="1"/>
  <c r="AH1177" i="2" a="1"/>
  <c r="AH1177" i="2" s="1"/>
  <c r="AH1178" i="2" a="1"/>
  <c r="AH1178" i="2" s="1"/>
  <c r="AH1179" i="2" a="1"/>
  <c r="AH1179" i="2" s="1"/>
  <c r="AH1180" i="2" a="1"/>
  <c r="AH1180" i="2" s="1"/>
  <c r="AH1181" i="2" a="1"/>
  <c r="AH1181" i="2" s="1"/>
  <c r="AH1182" i="2" a="1"/>
  <c r="AH1182" i="2" s="1"/>
  <c r="AH1183" i="2" a="1"/>
  <c r="AH1183" i="2" s="1"/>
  <c r="AH1184" i="2" a="1"/>
  <c r="AH1184" i="2" s="1"/>
  <c r="AH1185" i="2" a="1"/>
  <c r="AH1185" i="2" s="1"/>
  <c r="AH1186" i="2" a="1"/>
  <c r="AH1186" i="2" s="1"/>
  <c r="AH1187" i="2" a="1"/>
  <c r="AH1187" i="2" s="1"/>
  <c r="AH1188" i="2" a="1"/>
  <c r="AH1188" i="2" s="1"/>
  <c r="AH1189" i="2" a="1"/>
  <c r="AH1189" i="2" s="1"/>
  <c r="AH1190" i="2" a="1"/>
  <c r="AH1190" i="2" s="1"/>
  <c r="AH1191" i="2" a="1"/>
  <c r="AH1191" i="2" s="1"/>
  <c r="AH1192" i="2" a="1"/>
  <c r="AH1192" i="2" s="1"/>
  <c r="AH1193" i="2" a="1"/>
  <c r="AH1193" i="2" s="1"/>
  <c r="AH1194" i="2" a="1"/>
  <c r="AH1194" i="2" s="1"/>
  <c r="AH1195" i="2" a="1"/>
  <c r="AH1195" i="2" s="1"/>
  <c r="AH1196" i="2" a="1"/>
  <c r="AH1196" i="2" s="1"/>
  <c r="AH1197" i="2" a="1"/>
  <c r="AH1197" i="2" s="1"/>
  <c r="AH1198" i="2" a="1"/>
  <c r="AH1198" i="2" s="1"/>
  <c r="AH1199" i="2" a="1"/>
  <c r="AH1199" i="2" s="1"/>
  <c r="AH1200" i="2" a="1"/>
  <c r="AH1200" i="2" s="1"/>
  <c r="AH1201" i="2" a="1"/>
  <c r="AH1201" i="2" s="1"/>
  <c r="AH1202" i="2" a="1"/>
  <c r="AH1202" i="2" s="1"/>
  <c r="AH1203" i="2" a="1"/>
  <c r="AH1203" i="2" s="1"/>
  <c r="AH1204" i="2" a="1"/>
  <c r="AH1204" i="2" s="1"/>
  <c r="AH1205" i="2" a="1"/>
  <c r="AH1205" i="2" s="1"/>
  <c r="AH1206" i="2" a="1"/>
  <c r="AH1206" i="2" s="1"/>
  <c r="AH1207" i="2" a="1"/>
  <c r="AH1207" i="2" s="1"/>
  <c r="AH1208" i="2" a="1"/>
  <c r="AH1208" i="2" s="1"/>
  <c r="AH1209" i="2" a="1"/>
  <c r="AH1209" i="2" s="1"/>
  <c r="AH1210" i="2" a="1"/>
  <c r="AH1210" i="2" s="1"/>
  <c r="AH1211" i="2" a="1"/>
  <c r="AH1211" i="2" s="1"/>
  <c r="AH1212" i="2" a="1"/>
  <c r="AH1212" i="2" s="1"/>
  <c r="AH1213" i="2" a="1"/>
  <c r="AH1213" i="2" s="1"/>
  <c r="AH1214" i="2" a="1"/>
  <c r="AH1214" i="2" s="1"/>
  <c r="AH1215" i="2" a="1"/>
  <c r="AH1215" i="2" s="1"/>
  <c r="AH1216" i="2" a="1"/>
  <c r="AH1216" i="2" s="1"/>
  <c r="AH1217" i="2" a="1"/>
  <c r="AH1217" i="2" s="1"/>
  <c r="AH1218" i="2" a="1"/>
  <c r="AH1218" i="2" s="1"/>
  <c r="AH1219" i="2" a="1"/>
  <c r="AH1219" i="2" s="1"/>
  <c r="AH1220" i="2" a="1"/>
  <c r="AH1220" i="2" s="1"/>
  <c r="AH1221" i="2" a="1"/>
  <c r="AH1221" i="2" s="1"/>
  <c r="AH1222" i="2" a="1"/>
  <c r="AH1222" i="2" s="1"/>
  <c r="AH1223" i="2" a="1"/>
  <c r="AH1223" i="2" s="1"/>
  <c r="AH1224" i="2" a="1"/>
  <c r="AH1224" i="2" s="1"/>
  <c r="AH1225" i="2" a="1"/>
  <c r="AH1225" i="2" s="1"/>
  <c r="AH1226" i="2" a="1"/>
  <c r="AH1226" i="2" s="1"/>
  <c r="AH1227" i="2" a="1"/>
  <c r="AH1227" i="2" s="1"/>
  <c r="AH1228" i="2" a="1"/>
  <c r="AH1228" i="2" s="1"/>
  <c r="AH1229" i="2" a="1"/>
  <c r="AH1229" i="2" s="1"/>
  <c r="AH1230" i="2" a="1"/>
  <c r="AH1230" i="2" s="1"/>
  <c r="AH1231" i="2" a="1"/>
  <c r="AH1231" i="2" s="1"/>
  <c r="AH1232" i="2" a="1"/>
  <c r="AH1232" i="2" s="1"/>
  <c r="AH1233" i="2" a="1"/>
  <c r="AH1233" i="2" s="1"/>
  <c r="AH1234" i="2" a="1"/>
  <c r="AH1234" i="2" s="1"/>
  <c r="AH1235" i="2" a="1"/>
  <c r="AH1235" i="2" s="1"/>
  <c r="AH1236" i="2" a="1"/>
  <c r="AH1236" i="2" s="1"/>
  <c r="AH1237" i="2" a="1"/>
  <c r="AH1237" i="2" s="1"/>
  <c r="AH1238" i="2" a="1"/>
  <c r="AH1238" i="2" s="1"/>
  <c r="AH1239" i="2" a="1"/>
  <c r="AH1239" i="2" s="1"/>
  <c r="AH1240" i="2" a="1"/>
  <c r="AH1240" i="2" s="1"/>
  <c r="AH1241" i="2" a="1"/>
  <c r="AH1241" i="2" s="1"/>
  <c r="AH1242" i="2" a="1"/>
  <c r="AH1242" i="2" s="1"/>
  <c r="AH1243" i="2" a="1"/>
  <c r="AH1243" i="2" s="1"/>
  <c r="AH1244" i="2" a="1"/>
  <c r="AH1244" i="2" s="1"/>
  <c r="AH1245" i="2" a="1"/>
  <c r="AH1245" i="2" s="1"/>
  <c r="AH1246" i="2" a="1"/>
  <c r="AH1246" i="2" s="1"/>
  <c r="AH1247" i="2" a="1"/>
  <c r="AH1247" i="2" s="1"/>
  <c r="AH1248" i="2" a="1"/>
  <c r="AH1248" i="2" s="1"/>
  <c r="AH1249" i="2" a="1"/>
  <c r="AH1249" i="2" s="1"/>
  <c r="AH1250" i="2" a="1"/>
  <c r="AH1250" i="2" s="1"/>
  <c r="AH1251" i="2" a="1"/>
  <c r="AH1251" i="2" s="1"/>
  <c r="AH1252" i="2" a="1"/>
  <c r="AH1252" i="2" s="1"/>
  <c r="AH1253" i="2" a="1"/>
  <c r="AH1253" i="2" s="1"/>
  <c r="AH1254" i="2" a="1"/>
  <c r="AH1254" i="2" s="1"/>
  <c r="AH1255" i="2" a="1"/>
  <c r="AH1255" i="2" s="1"/>
  <c r="AH1256" i="2" a="1"/>
  <c r="AH1256" i="2" s="1"/>
  <c r="AH1257" i="2" a="1"/>
  <c r="AH1257" i="2" s="1"/>
  <c r="AH1258" i="2" a="1"/>
  <c r="AH1258" i="2" s="1"/>
  <c r="AH1259" i="2" a="1"/>
  <c r="AH1259" i="2" s="1"/>
  <c r="AH1260" i="2" a="1"/>
  <c r="AH1260" i="2" s="1"/>
  <c r="AH1261" i="2" a="1"/>
  <c r="AH1261" i="2" s="1"/>
  <c r="AH1262" i="2" a="1"/>
  <c r="AH1262" i="2" s="1"/>
  <c r="AH1263" i="2" a="1"/>
  <c r="AH1263" i="2" s="1"/>
  <c r="AH1264" i="2" a="1"/>
  <c r="AH1264" i="2" s="1"/>
  <c r="AH1265" i="2" a="1"/>
  <c r="AH1265" i="2" s="1"/>
  <c r="AH1266" i="2" a="1"/>
  <c r="AH1266" i="2" s="1"/>
  <c r="AH1267" i="2" a="1"/>
  <c r="AH1267" i="2" s="1"/>
  <c r="AH1268" i="2" a="1"/>
  <c r="AH1268" i="2" s="1"/>
  <c r="AH1269" i="2" a="1"/>
  <c r="AH1269" i="2" s="1"/>
  <c r="AH1270" i="2" a="1"/>
  <c r="AH1270" i="2" s="1"/>
  <c r="AH1271" i="2" a="1"/>
  <c r="AH1271" i="2" s="1"/>
  <c r="AH1272" i="2" a="1"/>
  <c r="AH1272" i="2" s="1"/>
  <c r="AH1273" i="2" a="1"/>
  <c r="AH1273" i="2" s="1"/>
  <c r="AH1274" i="2" a="1"/>
  <c r="AH1274" i="2" s="1"/>
  <c r="AH1275" i="2" a="1"/>
  <c r="AH1275" i="2" s="1"/>
  <c r="AH1276" i="2" a="1"/>
  <c r="AH1276" i="2" s="1"/>
  <c r="AH1277" i="2" a="1"/>
  <c r="AH1277" i="2" s="1"/>
  <c r="AH1278" i="2" a="1"/>
  <c r="AH1278" i="2" s="1"/>
  <c r="AH1279" i="2" a="1"/>
  <c r="AH1279" i="2" s="1"/>
  <c r="AH1280" i="2" a="1"/>
  <c r="AH1280" i="2" s="1"/>
  <c r="AH1281" i="2" a="1"/>
  <c r="AH1281" i="2" s="1"/>
  <c r="AH1282" i="2" a="1"/>
  <c r="AH1282" i="2" s="1"/>
  <c r="AH1283" i="2" a="1"/>
  <c r="AH1283" i="2" s="1"/>
  <c r="AH1284" i="2" a="1"/>
  <c r="AH1284" i="2" s="1"/>
  <c r="AH1285" i="2" a="1"/>
  <c r="AH1285" i="2" s="1"/>
  <c r="AH1286" i="2" a="1"/>
  <c r="AH1286" i="2" s="1"/>
  <c r="AH1287" i="2" a="1"/>
  <c r="AH1287" i="2" s="1"/>
  <c r="AH1288" i="2" a="1"/>
  <c r="AH1288" i="2" s="1"/>
  <c r="AH1289" i="2" a="1"/>
  <c r="AH1289" i="2" s="1"/>
  <c r="AH1290" i="2" a="1"/>
  <c r="AH1290" i="2" s="1"/>
  <c r="AH1291" i="2" a="1"/>
  <c r="AH1291" i="2" s="1"/>
  <c r="AH1292" i="2" a="1"/>
  <c r="AH1292" i="2" s="1"/>
  <c r="AH1293" i="2" a="1"/>
  <c r="AH1293" i="2" s="1"/>
  <c r="AH1294" i="2" a="1"/>
  <c r="AH1294" i="2" s="1"/>
  <c r="AH1295" i="2" a="1"/>
  <c r="AH1295" i="2" s="1"/>
  <c r="AH1296" i="2" a="1"/>
  <c r="AH1296" i="2" s="1"/>
  <c r="AH1297" i="2" a="1"/>
  <c r="AH1297" i="2" s="1"/>
  <c r="AH1298" i="2" a="1"/>
  <c r="AH1298" i="2" s="1"/>
  <c r="AH1299" i="2" a="1"/>
  <c r="AH1299" i="2" s="1"/>
  <c r="AH1300" i="2" a="1"/>
  <c r="AH1300" i="2" s="1"/>
  <c r="AH1301" i="2" a="1"/>
  <c r="AH1301" i="2" s="1"/>
  <c r="AH1302" i="2" a="1"/>
  <c r="AH1302" i="2" s="1"/>
  <c r="AH1303" i="2" a="1"/>
  <c r="AH1303" i="2" s="1"/>
  <c r="AH1304" i="2" a="1"/>
  <c r="AH1304" i="2" s="1"/>
  <c r="AH1305" i="2" a="1"/>
  <c r="AH1305" i="2" s="1"/>
  <c r="AH1306" i="2" a="1"/>
  <c r="AH1306" i="2" s="1"/>
  <c r="AH1307" i="2" a="1"/>
  <c r="AH1307" i="2" s="1"/>
  <c r="AH1308" i="2" a="1"/>
  <c r="AH1308" i="2" s="1"/>
  <c r="AH1309" i="2" a="1"/>
  <c r="AH1309" i="2" s="1"/>
  <c r="AH1310" i="2" a="1"/>
  <c r="AH1310" i="2" s="1"/>
  <c r="AH1311" i="2" a="1"/>
  <c r="AH1311" i="2" s="1"/>
  <c r="AH1312" i="2" a="1"/>
  <c r="AH1312" i="2" s="1"/>
  <c r="AH1313" i="2" a="1"/>
  <c r="AH1313" i="2" s="1"/>
  <c r="AH1314" i="2" a="1"/>
  <c r="AH1314" i="2" s="1"/>
  <c r="AH1315" i="2" a="1"/>
  <c r="AH1315" i="2" s="1"/>
  <c r="AH1316" i="2" a="1"/>
  <c r="AH1316" i="2" s="1"/>
  <c r="AH1317" i="2" a="1"/>
  <c r="AH1317" i="2" s="1"/>
  <c r="AH1318" i="2" a="1"/>
  <c r="AH1318" i="2" s="1"/>
  <c r="AH1319" i="2" a="1"/>
  <c r="AH1319" i="2" s="1"/>
  <c r="AH1320" i="2" a="1"/>
  <c r="AH1320" i="2" s="1"/>
  <c r="AH1321" i="2" a="1"/>
  <c r="AH1321" i="2" s="1"/>
  <c r="AH1322" i="2" a="1"/>
  <c r="AH1322" i="2" s="1"/>
  <c r="AH1323" i="2" a="1"/>
  <c r="AH1323" i="2" s="1"/>
  <c r="AH1324" i="2" a="1"/>
  <c r="AH1324" i="2" s="1"/>
  <c r="AH1325" i="2" a="1"/>
  <c r="AH1325" i="2" s="1"/>
  <c r="AH1326" i="2" a="1"/>
  <c r="AH1326" i="2" s="1"/>
  <c r="AH1327" i="2" a="1"/>
  <c r="AH1327" i="2" s="1"/>
  <c r="AH1328" i="2" a="1"/>
  <c r="AH1328" i="2" s="1"/>
  <c r="AH1329" i="2" a="1"/>
  <c r="AH1329" i="2" s="1"/>
  <c r="AH1330" i="2" a="1"/>
  <c r="AH1330" i="2" s="1"/>
  <c r="AH1331" i="2" a="1"/>
  <c r="AH1331" i="2" s="1"/>
  <c r="AH1332" i="2" a="1"/>
  <c r="AH1332" i="2" s="1"/>
  <c r="AH1333" i="2" a="1"/>
  <c r="AH1333" i="2" s="1"/>
  <c r="AH1334" i="2" a="1"/>
  <c r="AH1334" i="2" s="1"/>
  <c r="AH1335" i="2" a="1"/>
  <c r="AH1335" i="2" s="1"/>
  <c r="AH1336" i="2" a="1"/>
  <c r="AH1336" i="2" s="1"/>
  <c r="AH1337" i="2" a="1"/>
  <c r="AH1337" i="2" s="1"/>
  <c r="AH1338" i="2" a="1"/>
  <c r="AH1338" i="2" s="1"/>
  <c r="AH1339" i="2" a="1"/>
  <c r="AH1339" i="2" s="1"/>
  <c r="AH1340" i="2" a="1"/>
  <c r="AH1340" i="2" s="1"/>
  <c r="AH1341" i="2" a="1"/>
  <c r="AH1341" i="2" s="1"/>
  <c r="AH1342" i="2" a="1"/>
  <c r="AH1342" i="2" s="1"/>
  <c r="AH1343" i="2" a="1"/>
  <c r="AH1343" i="2" s="1"/>
  <c r="AH1344" i="2" a="1"/>
  <c r="AH1344" i="2" s="1"/>
  <c r="AH1345" i="2" a="1"/>
  <c r="AH1345" i="2" s="1"/>
  <c r="AH1346" i="2" a="1"/>
  <c r="AH1346" i="2" s="1"/>
  <c r="AH1347" i="2" a="1"/>
  <c r="AH1347" i="2" s="1"/>
  <c r="AH1348" i="2" a="1"/>
  <c r="AH1348" i="2" s="1"/>
  <c r="AH1349" i="2" a="1"/>
  <c r="AH1349" i="2" s="1"/>
  <c r="AH1350" i="2" a="1"/>
  <c r="AH1350" i="2" s="1"/>
  <c r="AH1351" i="2" a="1"/>
  <c r="AH1351" i="2" s="1"/>
  <c r="AH1352" i="2" a="1"/>
  <c r="AH1352" i="2" s="1"/>
  <c r="AH1353" i="2" a="1"/>
  <c r="AH1353" i="2" s="1"/>
  <c r="AH1354" i="2" a="1"/>
  <c r="AH1354" i="2" s="1"/>
  <c r="AH1355" i="2" a="1"/>
  <c r="AH1355" i="2" s="1"/>
  <c r="AH1356" i="2" a="1"/>
  <c r="AH1356" i="2" s="1"/>
  <c r="AH1357" i="2" a="1"/>
  <c r="AH1357" i="2" s="1"/>
  <c r="AH1358" i="2" a="1"/>
  <c r="AH1358" i="2" s="1"/>
  <c r="AH1359" i="2" a="1"/>
  <c r="AH1359" i="2" s="1"/>
  <c r="AH1360" i="2" a="1"/>
  <c r="AH1360" i="2" s="1"/>
  <c r="AH1361" i="2" a="1"/>
  <c r="AH1361" i="2" s="1"/>
  <c r="AH1362" i="2" a="1"/>
  <c r="AH1362" i="2" s="1"/>
  <c r="AH1363" i="2" a="1"/>
  <c r="AH1363" i="2" s="1"/>
  <c r="AH1364" i="2" a="1"/>
  <c r="AH1364" i="2" s="1"/>
  <c r="AH1365" i="2" a="1"/>
  <c r="AH1365" i="2" s="1"/>
  <c r="AH1366" i="2" a="1"/>
  <c r="AH1366" i="2" s="1"/>
  <c r="AH1367" i="2" a="1"/>
  <c r="AH1367" i="2" s="1"/>
  <c r="AH1368" i="2" a="1"/>
  <c r="AH1368" i="2" s="1"/>
  <c r="AH1369" i="2" a="1"/>
  <c r="AH1369" i="2" s="1"/>
  <c r="AH1370" i="2" a="1"/>
  <c r="AH1370" i="2" s="1"/>
  <c r="AH1371" i="2" a="1"/>
  <c r="AH1371" i="2" s="1"/>
  <c r="AH1372" i="2" a="1"/>
  <c r="AH1372" i="2" s="1"/>
  <c r="AH1373" i="2" a="1"/>
  <c r="AH1373" i="2" s="1"/>
  <c r="AH1374" i="2" a="1"/>
  <c r="AH1374" i="2" s="1"/>
  <c r="AH1375" i="2" a="1"/>
  <c r="AH1375" i="2" s="1"/>
  <c r="AH1376" i="2" a="1"/>
  <c r="AH1376" i="2" s="1"/>
  <c r="AH1377" i="2" a="1"/>
  <c r="AH1377" i="2" s="1"/>
  <c r="AH1378" i="2" a="1"/>
  <c r="AH1378" i="2" s="1"/>
  <c r="AH1379" i="2" a="1"/>
  <c r="AH1379" i="2" s="1"/>
  <c r="AH1380" i="2" a="1"/>
  <c r="AH1380" i="2" s="1"/>
  <c r="AH1381" i="2" a="1"/>
  <c r="AH1381" i="2" s="1"/>
  <c r="AH1382" i="2" a="1"/>
  <c r="AH1382" i="2" s="1"/>
  <c r="AH1383" i="2" a="1"/>
  <c r="AH1383" i="2" s="1"/>
  <c r="AH1384" i="2" a="1"/>
  <c r="AH1384" i="2" s="1"/>
  <c r="AH1385" i="2" a="1"/>
  <c r="AH1385" i="2" s="1"/>
  <c r="AH1386" i="2" a="1"/>
  <c r="AH1386" i="2" s="1"/>
  <c r="AH1387" i="2" a="1"/>
  <c r="AH1387" i="2" s="1"/>
  <c r="AH1388" i="2" a="1"/>
  <c r="AH1388" i="2" s="1"/>
  <c r="AH1389" i="2" a="1"/>
  <c r="AH1389" i="2" s="1"/>
  <c r="AH1390" i="2" a="1"/>
  <c r="AH1390" i="2" s="1"/>
  <c r="AH1391" i="2" a="1"/>
  <c r="AH1391" i="2" s="1"/>
  <c r="AH1392" i="2" a="1"/>
  <c r="AH1392" i="2" s="1"/>
  <c r="AH1393" i="2" a="1"/>
  <c r="AH1393" i="2" s="1"/>
  <c r="AH1394" i="2" a="1"/>
  <c r="AH1394" i="2" s="1"/>
  <c r="AH1395" i="2" a="1"/>
  <c r="AH1395" i="2" s="1"/>
  <c r="AH1396" i="2" a="1"/>
  <c r="AH1396" i="2" s="1"/>
  <c r="AH1397" i="2" a="1"/>
  <c r="AH1397" i="2" s="1"/>
  <c r="AH1398" i="2" a="1"/>
  <c r="AH1398" i="2" s="1"/>
  <c r="AH1399" i="2" a="1"/>
  <c r="AH1399" i="2" s="1"/>
  <c r="AH1400" i="2" a="1"/>
  <c r="AH1400" i="2" s="1"/>
  <c r="AH1401" i="2" a="1"/>
  <c r="AH1401" i="2" s="1"/>
  <c r="AH1402" i="2" a="1"/>
  <c r="AH1402" i="2" s="1"/>
  <c r="AH1403" i="2" a="1"/>
  <c r="AH1403" i="2" s="1"/>
  <c r="AH1404" i="2" a="1"/>
  <c r="AH1404" i="2" s="1"/>
  <c r="AH1405" i="2" a="1"/>
  <c r="AH1405" i="2" s="1"/>
  <c r="AH1406" i="2" a="1"/>
  <c r="AH1406" i="2" s="1"/>
  <c r="AH1407" i="2" a="1"/>
  <c r="AH1407" i="2" s="1"/>
  <c r="AH1408" i="2" a="1"/>
  <c r="AH1408" i="2" s="1"/>
  <c r="AH1409" i="2" a="1"/>
  <c r="AH1409" i="2" s="1"/>
  <c r="AH1410" i="2" a="1"/>
  <c r="AH1410" i="2" s="1"/>
  <c r="AH1411" i="2" a="1"/>
  <c r="AH1411" i="2" s="1"/>
  <c r="AH1412" i="2" a="1"/>
  <c r="AH1412" i="2" s="1"/>
  <c r="AH1413" i="2" a="1"/>
  <c r="AH1413" i="2" s="1"/>
  <c r="AH1414" i="2" a="1"/>
  <c r="AH1414" i="2" s="1"/>
  <c r="AH1415" i="2" a="1"/>
  <c r="AH1415" i="2" s="1"/>
  <c r="AH1416" i="2" a="1"/>
  <c r="AH1416" i="2" s="1"/>
  <c r="AH1417" i="2" a="1"/>
  <c r="AH1417" i="2" s="1"/>
  <c r="AH1418" i="2" a="1"/>
  <c r="AH1418" i="2" s="1"/>
  <c r="AH1419" i="2" a="1"/>
  <c r="AH1419" i="2" s="1"/>
  <c r="AH1420" i="2" a="1"/>
  <c r="AH1420" i="2" s="1"/>
  <c r="AH1421" i="2" a="1"/>
  <c r="AH1421" i="2" s="1"/>
  <c r="AH1422" i="2" a="1"/>
  <c r="AH1422" i="2" s="1"/>
  <c r="AH1423" i="2" a="1"/>
  <c r="AH1423" i="2" s="1"/>
  <c r="AH1424" i="2" a="1"/>
  <c r="AH1424" i="2" s="1"/>
  <c r="AH1425" i="2" a="1"/>
  <c r="AH1425" i="2" s="1"/>
  <c r="AH1426" i="2" a="1"/>
  <c r="AH1426" i="2" s="1"/>
  <c r="AH1427" i="2" a="1"/>
  <c r="AH1427" i="2" s="1"/>
  <c r="AH1428" i="2" a="1"/>
  <c r="AH1428" i="2" s="1"/>
  <c r="AH1429" i="2" a="1"/>
  <c r="AH1429" i="2" s="1"/>
  <c r="AH1430" i="2" a="1"/>
  <c r="AH1430" i="2" s="1"/>
  <c r="AH1431" i="2" a="1"/>
  <c r="AH1431" i="2" s="1"/>
  <c r="AH1432" i="2" a="1"/>
  <c r="AH1432" i="2" s="1"/>
  <c r="AH1433" i="2" a="1"/>
  <c r="AH1433" i="2" s="1"/>
  <c r="AH1434" i="2" a="1"/>
  <c r="AH1434" i="2" s="1"/>
  <c r="AH1435" i="2" a="1"/>
  <c r="AH1435" i="2" s="1"/>
  <c r="AH1436" i="2" a="1"/>
  <c r="AH1436" i="2" s="1"/>
  <c r="AH1437" i="2" a="1"/>
  <c r="AH1437" i="2" s="1"/>
  <c r="AH1438" i="2" a="1"/>
  <c r="AH1438" i="2" s="1"/>
  <c r="AH1439" i="2" a="1"/>
  <c r="AH1439" i="2" s="1"/>
  <c r="AH1440" i="2" a="1"/>
  <c r="AH1440" i="2" s="1"/>
  <c r="AH1441" i="2" a="1"/>
  <c r="AH1441" i="2" s="1"/>
  <c r="AH1442" i="2" a="1"/>
  <c r="AH1442" i="2" s="1"/>
  <c r="AH1443" i="2" a="1"/>
  <c r="AH1443" i="2" s="1"/>
  <c r="AH1444" i="2" a="1"/>
  <c r="AH1444" i="2" s="1"/>
  <c r="AH1445" i="2" a="1"/>
  <c r="AH1445" i="2" s="1"/>
  <c r="AH1446" i="2" a="1"/>
  <c r="AH1446" i="2" s="1"/>
  <c r="AH1447" i="2" a="1"/>
  <c r="AH1447" i="2" s="1"/>
  <c r="AH1448" i="2" a="1"/>
  <c r="AH1448" i="2" s="1"/>
  <c r="AH1449" i="2" a="1"/>
  <c r="AH1449" i="2" s="1"/>
  <c r="AH1450" i="2" a="1"/>
  <c r="AH1450" i="2" s="1"/>
  <c r="AH1451" i="2" a="1"/>
  <c r="AH1451" i="2" s="1"/>
  <c r="AH1452" i="2" a="1"/>
  <c r="AH1452" i="2" s="1"/>
  <c r="AH1453" i="2" a="1"/>
  <c r="AH1453" i="2" s="1"/>
  <c r="AH1454" i="2" a="1"/>
  <c r="AH1454" i="2" s="1"/>
  <c r="AH1455" i="2" a="1"/>
  <c r="AH1455" i="2" s="1"/>
  <c r="AH1456" i="2" a="1"/>
  <c r="AH1456" i="2" s="1"/>
  <c r="AH1457" i="2" a="1"/>
  <c r="AH1457" i="2" s="1"/>
  <c r="AH1458" i="2" a="1"/>
  <c r="AH1458" i="2" s="1"/>
  <c r="AH1459" i="2" a="1"/>
  <c r="AH1459" i="2" s="1"/>
  <c r="AH1460" i="2" a="1"/>
  <c r="AH1460" i="2" s="1"/>
  <c r="AH1461" i="2" a="1"/>
  <c r="AH1461" i="2" s="1"/>
  <c r="AH1462" i="2" a="1"/>
  <c r="AH1462" i="2" s="1"/>
  <c r="AH1463" i="2" a="1"/>
  <c r="AH1463" i="2" s="1"/>
  <c r="AH1464" i="2" a="1"/>
  <c r="AH1464" i="2" s="1"/>
  <c r="AH1465" i="2" a="1"/>
  <c r="AH1465" i="2" s="1"/>
  <c r="AH1466" i="2" a="1"/>
  <c r="AH1466" i="2" s="1"/>
  <c r="AH1467" i="2" a="1"/>
  <c r="AH1467" i="2" s="1"/>
  <c r="AH1468" i="2" a="1"/>
  <c r="AH1468" i="2" s="1"/>
  <c r="AH1469" i="2" a="1"/>
  <c r="AH1469" i="2" s="1"/>
  <c r="AH1470" i="2" a="1"/>
  <c r="AH1470" i="2" s="1"/>
  <c r="AH1471" i="2" a="1"/>
  <c r="AH1471" i="2" s="1"/>
  <c r="I2" i="2" a="1"/>
  <c r="I2" i="2" s="1"/>
  <c r="I3" i="2" a="1"/>
  <c r="I3" i="2" s="1"/>
  <c r="I4" i="2" a="1"/>
  <c r="I4" i="2" s="1"/>
  <c r="I5" i="2" a="1"/>
  <c r="I5" i="2" s="1"/>
  <c r="I6" i="2" a="1"/>
  <c r="I6" i="2" s="1"/>
  <c r="I7" i="2" a="1"/>
  <c r="I7" i="2" s="1"/>
  <c r="I8" i="2" a="1"/>
  <c r="I8" i="2" s="1"/>
  <c r="I9" i="2" a="1"/>
  <c r="I9" i="2" s="1"/>
  <c r="I10" i="2" a="1"/>
  <c r="I10" i="2" s="1"/>
  <c r="I11" i="2" a="1"/>
  <c r="I11" i="2" s="1"/>
  <c r="I12" i="2" a="1"/>
  <c r="I12" i="2" s="1"/>
  <c r="I13" i="2" a="1"/>
  <c r="I13" i="2" s="1"/>
  <c r="I14" i="2" a="1"/>
  <c r="I14" i="2" s="1"/>
  <c r="I15" i="2" a="1"/>
  <c r="I15" i="2" s="1"/>
  <c r="I16" i="2" a="1"/>
  <c r="I16" i="2" s="1"/>
  <c r="I17" i="2" a="1"/>
  <c r="I17" i="2" s="1"/>
  <c r="I18" i="2" a="1"/>
  <c r="I18" i="2" s="1"/>
  <c r="I19" i="2" a="1"/>
  <c r="I19" i="2" s="1"/>
  <c r="I20" i="2" a="1"/>
  <c r="I20" i="2" s="1"/>
  <c r="I21" i="2" a="1"/>
  <c r="I21" i="2" s="1"/>
  <c r="I22" i="2" a="1"/>
  <c r="I22" i="2" s="1"/>
  <c r="I23" i="2" a="1"/>
  <c r="I23" i="2" s="1"/>
  <c r="I24" i="2" a="1"/>
  <c r="I24" i="2" s="1"/>
  <c r="I25" i="2" a="1"/>
  <c r="I25" i="2" s="1"/>
  <c r="I26" i="2" a="1"/>
  <c r="I26" i="2" s="1"/>
  <c r="I27" i="2" a="1"/>
  <c r="I27" i="2" s="1"/>
  <c r="I28" i="2" a="1"/>
  <c r="I28" i="2" s="1"/>
  <c r="I29" i="2" a="1"/>
  <c r="I29" i="2" s="1"/>
  <c r="I30" i="2" a="1"/>
  <c r="I30" i="2" s="1"/>
  <c r="I31" i="2" a="1"/>
  <c r="I31" i="2" s="1"/>
  <c r="I32" i="2" a="1"/>
  <c r="I32" i="2" s="1"/>
  <c r="I33" i="2" a="1"/>
  <c r="I33" i="2" s="1"/>
  <c r="I34" i="2" a="1"/>
  <c r="I34" i="2" s="1"/>
  <c r="I35" i="2" a="1"/>
  <c r="I35" i="2" s="1"/>
  <c r="I36" i="2" a="1"/>
  <c r="I36" i="2" s="1"/>
  <c r="I37" i="2" a="1"/>
  <c r="I37" i="2" s="1"/>
  <c r="I38" i="2" a="1"/>
  <c r="I38" i="2" s="1"/>
  <c r="I39" i="2" a="1"/>
  <c r="I39" i="2" s="1"/>
  <c r="I40" i="2" a="1"/>
  <c r="I40" i="2" s="1"/>
  <c r="I41" i="2" a="1"/>
  <c r="I41" i="2" s="1"/>
  <c r="I42" i="2" a="1"/>
  <c r="I42" i="2" s="1"/>
  <c r="I43" i="2" a="1"/>
  <c r="I43" i="2" s="1"/>
  <c r="I44" i="2" a="1"/>
  <c r="I44" i="2" s="1"/>
  <c r="I45" i="2" a="1"/>
  <c r="I45" i="2" s="1"/>
  <c r="I46" i="2" a="1"/>
  <c r="I46" i="2" s="1"/>
  <c r="I47" i="2" a="1"/>
  <c r="I47" i="2" s="1"/>
  <c r="I48" i="2" a="1"/>
  <c r="I48" i="2" s="1"/>
  <c r="I49" i="2" a="1"/>
  <c r="I49" i="2" s="1"/>
  <c r="I50" i="2" a="1"/>
  <c r="I50" i="2" s="1"/>
  <c r="I51" i="2" a="1"/>
  <c r="I51" i="2" s="1"/>
  <c r="I52" i="2" a="1"/>
  <c r="I52" i="2" s="1"/>
  <c r="I53" i="2" a="1"/>
  <c r="I53" i="2" s="1"/>
  <c r="I54" i="2" a="1"/>
  <c r="I54" i="2" s="1"/>
  <c r="I55" i="2" a="1"/>
  <c r="I55" i="2" s="1"/>
  <c r="I56" i="2" a="1"/>
  <c r="I56" i="2" s="1"/>
  <c r="I57" i="2" a="1"/>
  <c r="I57" i="2" s="1"/>
  <c r="I58" i="2" a="1"/>
  <c r="I58" i="2" s="1"/>
  <c r="I59" i="2" a="1"/>
  <c r="I59" i="2" s="1"/>
  <c r="I60" i="2" a="1"/>
  <c r="I60" i="2" s="1"/>
  <c r="I61" i="2" a="1"/>
  <c r="I61" i="2" s="1"/>
  <c r="I62" i="2" a="1"/>
  <c r="I62" i="2" s="1"/>
  <c r="I63" i="2" a="1"/>
  <c r="I63" i="2" s="1"/>
  <c r="I64" i="2" a="1"/>
  <c r="I64" i="2" s="1"/>
  <c r="I65" i="2" a="1"/>
  <c r="I65" i="2" s="1"/>
  <c r="I66" i="2" a="1"/>
  <c r="I66" i="2" s="1"/>
  <c r="I67" i="2" a="1"/>
  <c r="I67" i="2" s="1"/>
  <c r="I68" i="2" a="1"/>
  <c r="I68" i="2" s="1"/>
  <c r="I69" i="2" a="1"/>
  <c r="I69" i="2" s="1"/>
  <c r="I70" i="2" a="1"/>
  <c r="I70" i="2" s="1"/>
  <c r="I71" i="2" a="1"/>
  <c r="I71" i="2" s="1"/>
  <c r="I72" i="2" a="1"/>
  <c r="I72" i="2" s="1"/>
  <c r="I73" i="2" a="1"/>
  <c r="I73" i="2" s="1"/>
  <c r="I74" i="2" a="1"/>
  <c r="I74" i="2" s="1"/>
  <c r="I75" i="2" a="1"/>
  <c r="I75" i="2" s="1"/>
  <c r="I76" i="2" a="1"/>
  <c r="I76" i="2" s="1"/>
  <c r="I77" i="2" a="1"/>
  <c r="I77" i="2" s="1"/>
  <c r="I78" i="2" a="1"/>
  <c r="I78" i="2" s="1"/>
  <c r="I79" i="2" a="1"/>
  <c r="I79" i="2" s="1"/>
  <c r="I80" i="2" a="1"/>
  <c r="I80" i="2" s="1"/>
  <c r="I81" i="2" a="1"/>
  <c r="I81" i="2" s="1"/>
  <c r="I82" i="2" a="1"/>
  <c r="I82" i="2" s="1"/>
  <c r="I83" i="2" a="1"/>
  <c r="I83" i="2" s="1"/>
  <c r="I84" i="2" a="1"/>
  <c r="I84" i="2" s="1"/>
  <c r="I85" i="2" a="1"/>
  <c r="I85" i="2" s="1"/>
  <c r="I86" i="2" a="1"/>
  <c r="I86" i="2" s="1"/>
  <c r="I87" i="2" a="1"/>
  <c r="I87" i="2" s="1"/>
  <c r="I88" i="2" a="1"/>
  <c r="I88" i="2" s="1"/>
  <c r="I89" i="2" a="1"/>
  <c r="I89" i="2" s="1"/>
  <c r="I90" i="2" a="1"/>
  <c r="I90" i="2" s="1"/>
  <c r="I91" i="2" a="1"/>
  <c r="I91" i="2" s="1"/>
  <c r="I92" i="2" a="1"/>
  <c r="I92" i="2" s="1"/>
  <c r="I93" i="2" a="1"/>
  <c r="I93" i="2" s="1"/>
  <c r="I94" i="2" a="1"/>
  <c r="I94" i="2" s="1"/>
  <c r="I95" i="2" a="1"/>
  <c r="I95" i="2" s="1"/>
  <c r="I96" i="2" a="1"/>
  <c r="I96" i="2" s="1"/>
  <c r="I97" i="2" a="1"/>
  <c r="I97" i="2" s="1"/>
  <c r="I98" i="2" a="1"/>
  <c r="I98" i="2" s="1"/>
  <c r="I99" i="2" a="1"/>
  <c r="I99" i="2" s="1"/>
  <c r="I100" i="2" a="1"/>
  <c r="I100" i="2" s="1"/>
  <c r="I101" i="2" a="1"/>
  <c r="I101" i="2" s="1"/>
  <c r="I102" i="2" a="1"/>
  <c r="I102" i="2" s="1"/>
  <c r="I103" i="2" a="1"/>
  <c r="I103" i="2" s="1"/>
  <c r="I104" i="2" a="1"/>
  <c r="I104" i="2" s="1"/>
  <c r="I105" i="2" a="1"/>
  <c r="I105" i="2" s="1"/>
  <c r="I106" i="2" a="1"/>
  <c r="I106" i="2" s="1"/>
  <c r="I107" i="2" a="1"/>
  <c r="I107" i="2" s="1"/>
  <c r="I108" i="2" a="1"/>
  <c r="I108" i="2" s="1"/>
  <c r="I109" i="2" a="1"/>
  <c r="I109" i="2" s="1"/>
  <c r="I110" i="2" a="1"/>
  <c r="I110" i="2" s="1"/>
  <c r="I111" i="2" a="1"/>
  <c r="I111" i="2" s="1"/>
  <c r="I112" i="2" a="1"/>
  <c r="I112" i="2" s="1"/>
  <c r="I113" i="2" a="1"/>
  <c r="I113" i="2" s="1"/>
  <c r="I114" i="2" a="1"/>
  <c r="I114" i="2" s="1"/>
  <c r="I115" i="2" a="1"/>
  <c r="I115" i="2" s="1"/>
  <c r="I116" i="2" a="1"/>
  <c r="I116" i="2" s="1"/>
  <c r="I117" i="2" a="1"/>
  <c r="I117" i="2" s="1"/>
  <c r="I118" i="2" a="1"/>
  <c r="I118" i="2" s="1"/>
  <c r="I119" i="2" a="1"/>
  <c r="I119" i="2" s="1"/>
  <c r="I120" i="2" a="1"/>
  <c r="I120" i="2" s="1"/>
  <c r="I121" i="2" a="1"/>
  <c r="I121" i="2" s="1"/>
  <c r="I122" i="2" a="1"/>
  <c r="I122" i="2" s="1"/>
  <c r="I123" i="2" a="1"/>
  <c r="I123" i="2" s="1"/>
  <c r="I124" i="2" a="1"/>
  <c r="I124" i="2" s="1"/>
  <c r="I125" i="2" a="1"/>
  <c r="I125" i="2" s="1"/>
  <c r="I126" i="2" a="1"/>
  <c r="I126" i="2" s="1"/>
  <c r="I127" i="2" a="1"/>
  <c r="I127" i="2" s="1"/>
  <c r="I128" i="2" a="1"/>
  <c r="I128" i="2" s="1"/>
  <c r="I129" i="2" a="1"/>
  <c r="I129" i="2" s="1"/>
  <c r="I130" i="2" a="1"/>
  <c r="I130" i="2" s="1"/>
  <c r="I131" i="2" a="1"/>
  <c r="I131" i="2" s="1"/>
  <c r="I132" i="2" a="1"/>
  <c r="I132" i="2" s="1"/>
  <c r="I133" i="2" a="1"/>
  <c r="I133" i="2" s="1"/>
  <c r="I134" i="2" a="1"/>
  <c r="I134" i="2" s="1"/>
  <c r="I135" i="2" a="1"/>
  <c r="I135" i="2" s="1"/>
  <c r="I136" i="2" a="1"/>
  <c r="I136" i="2" s="1"/>
  <c r="I137" i="2" a="1"/>
  <c r="I137" i="2" s="1"/>
  <c r="I138" i="2" a="1"/>
  <c r="I138" i="2" s="1"/>
  <c r="I139" i="2" a="1"/>
  <c r="I139" i="2" s="1"/>
  <c r="I140" i="2" a="1"/>
  <c r="I140" i="2" s="1"/>
  <c r="I141" i="2" a="1"/>
  <c r="I141" i="2" s="1"/>
  <c r="I142" i="2" a="1"/>
  <c r="I142" i="2" s="1"/>
  <c r="I143" i="2" a="1"/>
  <c r="I143" i="2" s="1"/>
  <c r="I144" i="2" a="1"/>
  <c r="I144" i="2" s="1"/>
  <c r="I145" i="2" a="1"/>
  <c r="I145" i="2" s="1"/>
  <c r="I146" i="2" a="1"/>
  <c r="I146" i="2" s="1"/>
  <c r="I147" i="2" a="1"/>
  <c r="I147" i="2" s="1"/>
  <c r="I148" i="2" a="1"/>
  <c r="I148" i="2" s="1"/>
  <c r="I149" i="2" a="1"/>
  <c r="I149" i="2" s="1"/>
  <c r="I150" i="2" a="1"/>
  <c r="I150" i="2" s="1"/>
  <c r="I151" i="2" a="1"/>
  <c r="I151" i="2" s="1"/>
  <c r="I152" i="2" a="1"/>
  <c r="I152" i="2" s="1"/>
  <c r="I153" i="2" a="1"/>
  <c r="I153" i="2" s="1"/>
  <c r="I154" i="2" a="1"/>
  <c r="I154" i="2" s="1"/>
  <c r="I155" i="2" a="1"/>
  <c r="I155" i="2" s="1"/>
  <c r="I156" i="2" a="1"/>
  <c r="I156" i="2" s="1"/>
  <c r="I157" i="2" a="1"/>
  <c r="I157" i="2" s="1"/>
  <c r="I158" i="2" a="1"/>
  <c r="I158" i="2" s="1"/>
  <c r="I159" i="2" a="1"/>
  <c r="I159" i="2" s="1"/>
  <c r="I160" i="2" a="1"/>
  <c r="I160" i="2" s="1"/>
  <c r="I161" i="2" a="1"/>
  <c r="I161" i="2" s="1"/>
  <c r="I162" i="2" a="1"/>
  <c r="I162" i="2" s="1"/>
  <c r="I163" i="2" a="1"/>
  <c r="I163" i="2" s="1"/>
  <c r="I164" i="2" a="1"/>
  <c r="I164" i="2" s="1"/>
  <c r="I165" i="2" a="1"/>
  <c r="I165" i="2" s="1"/>
  <c r="I166" i="2" a="1"/>
  <c r="I166" i="2" s="1"/>
  <c r="I167" i="2" a="1"/>
  <c r="I167" i="2" s="1"/>
  <c r="I168" i="2" a="1"/>
  <c r="I168" i="2" s="1"/>
  <c r="I169" i="2" a="1"/>
  <c r="I169" i="2" s="1"/>
  <c r="I170" i="2" a="1"/>
  <c r="I170" i="2" s="1"/>
  <c r="I171" i="2" a="1"/>
  <c r="I171" i="2" s="1"/>
  <c r="I172" i="2" a="1"/>
  <c r="I172" i="2" s="1"/>
  <c r="I173" i="2" a="1"/>
  <c r="I173" i="2" s="1"/>
  <c r="I174" i="2" a="1"/>
  <c r="I174" i="2" s="1"/>
  <c r="I175" i="2" a="1"/>
  <c r="I175" i="2" s="1"/>
  <c r="I176" i="2" a="1"/>
  <c r="I176" i="2" s="1"/>
  <c r="I177" i="2" a="1"/>
  <c r="I177" i="2" s="1"/>
  <c r="I178" i="2" a="1"/>
  <c r="I178" i="2" s="1"/>
  <c r="I179" i="2" a="1"/>
  <c r="I179" i="2" s="1"/>
  <c r="I180" i="2" a="1"/>
  <c r="I180" i="2" s="1"/>
  <c r="I181" i="2" a="1"/>
  <c r="I181" i="2" s="1"/>
  <c r="I182" i="2" a="1"/>
  <c r="I182" i="2" s="1"/>
  <c r="I183" i="2" a="1"/>
  <c r="I183" i="2" s="1"/>
  <c r="I184" i="2" a="1"/>
  <c r="I184" i="2" s="1"/>
  <c r="I185" i="2" a="1"/>
  <c r="I185" i="2" s="1"/>
  <c r="I186" i="2" a="1"/>
  <c r="I186" i="2" s="1"/>
  <c r="I187" i="2" a="1"/>
  <c r="I187" i="2" s="1"/>
  <c r="I188" i="2" a="1"/>
  <c r="I188" i="2" s="1"/>
  <c r="I189" i="2" a="1"/>
  <c r="I189" i="2" s="1"/>
  <c r="I190" i="2" a="1"/>
  <c r="I190" i="2" s="1"/>
  <c r="I191" i="2" a="1"/>
  <c r="I191" i="2" s="1"/>
  <c r="I192" i="2" a="1"/>
  <c r="I192" i="2" s="1"/>
  <c r="I193" i="2" a="1"/>
  <c r="I193" i="2" s="1"/>
  <c r="I194" i="2" a="1"/>
  <c r="I194" i="2" s="1"/>
  <c r="I195" i="2" a="1"/>
  <c r="I195" i="2" s="1"/>
  <c r="I196" i="2" a="1"/>
  <c r="I196" i="2" s="1"/>
  <c r="I197" i="2" a="1"/>
  <c r="I197" i="2" s="1"/>
  <c r="I198" i="2" a="1"/>
  <c r="I198" i="2" s="1"/>
  <c r="I199" i="2" a="1"/>
  <c r="I199" i="2" s="1"/>
  <c r="I200" i="2" a="1"/>
  <c r="I200" i="2" s="1"/>
  <c r="I201" i="2" a="1"/>
  <c r="I201" i="2" s="1"/>
  <c r="I202" i="2" a="1"/>
  <c r="I202" i="2" s="1"/>
  <c r="I203" i="2" a="1"/>
  <c r="I203" i="2" s="1"/>
  <c r="I204" i="2" a="1"/>
  <c r="I204" i="2" s="1"/>
  <c r="I205" i="2" a="1"/>
  <c r="I205" i="2" s="1"/>
  <c r="I206" i="2" a="1"/>
  <c r="I206" i="2" s="1"/>
  <c r="I207" i="2" a="1"/>
  <c r="I207" i="2" s="1"/>
  <c r="I208" i="2" a="1"/>
  <c r="I208" i="2" s="1"/>
  <c r="I209" i="2" a="1"/>
  <c r="I209" i="2" s="1"/>
  <c r="I210" i="2" a="1"/>
  <c r="I210" i="2" s="1"/>
  <c r="I211" i="2" a="1"/>
  <c r="I211" i="2" s="1"/>
  <c r="I212" i="2" a="1"/>
  <c r="I212" i="2" s="1"/>
  <c r="I213" i="2" a="1"/>
  <c r="I213" i="2" s="1"/>
  <c r="I214" i="2" a="1"/>
  <c r="I214" i="2" s="1"/>
  <c r="I215" i="2" a="1"/>
  <c r="I215" i="2" s="1"/>
  <c r="I216" i="2" a="1"/>
  <c r="I216" i="2" s="1"/>
  <c r="I217" i="2" a="1"/>
  <c r="I217" i="2" s="1"/>
  <c r="I218" i="2" a="1"/>
  <c r="I218" i="2" s="1"/>
  <c r="I219" i="2" a="1"/>
  <c r="I219" i="2" s="1"/>
  <c r="I220" i="2" a="1"/>
  <c r="I220" i="2" s="1"/>
  <c r="I221" i="2" a="1"/>
  <c r="I221" i="2" s="1"/>
  <c r="I222" i="2" a="1"/>
  <c r="I222" i="2" s="1"/>
  <c r="I223" i="2" a="1"/>
  <c r="I223" i="2" s="1"/>
  <c r="I224" i="2" a="1"/>
  <c r="I224" i="2" s="1"/>
  <c r="I225" i="2" a="1"/>
  <c r="I225" i="2" s="1"/>
  <c r="I226" i="2" a="1"/>
  <c r="I226" i="2" s="1"/>
  <c r="I227" i="2" a="1"/>
  <c r="I227" i="2" s="1"/>
  <c r="I228" i="2" a="1"/>
  <c r="I228" i="2" s="1"/>
  <c r="I229" i="2" a="1"/>
  <c r="I229" i="2" s="1"/>
  <c r="I230" i="2" a="1"/>
  <c r="I230" i="2" s="1"/>
  <c r="I231" i="2" a="1"/>
  <c r="I231" i="2" s="1"/>
  <c r="I232" i="2" a="1"/>
  <c r="I232" i="2" s="1"/>
  <c r="I233" i="2" a="1"/>
  <c r="I233" i="2" s="1"/>
  <c r="I234" i="2" a="1"/>
  <c r="I234" i="2" s="1"/>
  <c r="I235" i="2" a="1"/>
  <c r="I235" i="2" s="1"/>
  <c r="I236" i="2" a="1"/>
  <c r="I236" i="2" s="1"/>
  <c r="I237" i="2" a="1"/>
  <c r="I237" i="2" s="1"/>
  <c r="I238" i="2" a="1"/>
  <c r="I238" i="2" s="1"/>
  <c r="I239" i="2" a="1"/>
  <c r="I239" i="2" s="1"/>
  <c r="I240" i="2" a="1"/>
  <c r="I240" i="2" s="1"/>
  <c r="I241" i="2" a="1"/>
  <c r="I241" i="2" s="1"/>
  <c r="I242" i="2" a="1"/>
  <c r="I242" i="2" s="1"/>
  <c r="I243" i="2" a="1"/>
  <c r="I243" i="2" s="1"/>
  <c r="I244" i="2" a="1"/>
  <c r="I244" i="2" s="1"/>
  <c r="I245" i="2" a="1"/>
  <c r="I245" i="2" s="1"/>
  <c r="I246" i="2" a="1"/>
  <c r="I246" i="2" s="1"/>
  <c r="I247" i="2" a="1"/>
  <c r="I247" i="2" s="1"/>
  <c r="I248" i="2" a="1"/>
  <c r="I248" i="2" s="1"/>
  <c r="I249" i="2" a="1"/>
  <c r="I249" i="2" s="1"/>
  <c r="I250" i="2" a="1"/>
  <c r="I250" i="2" s="1"/>
  <c r="I251" i="2" a="1"/>
  <c r="I251" i="2" s="1"/>
  <c r="I252" i="2" a="1"/>
  <c r="I252" i="2" s="1"/>
  <c r="I253" i="2" a="1"/>
  <c r="I253" i="2" s="1"/>
  <c r="I254" i="2" a="1"/>
  <c r="I254" i="2" s="1"/>
  <c r="I255" i="2" a="1"/>
  <c r="I255" i="2" s="1"/>
  <c r="I256" i="2" a="1"/>
  <c r="I256" i="2" s="1"/>
  <c r="I257" i="2" a="1"/>
  <c r="I257" i="2" s="1"/>
  <c r="I258" i="2" a="1"/>
  <c r="I258" i="2" s="1"/>
  <c r="I259" i="2" a="1"/>
  <c r="I259" i="2" s="1"/>
  <c r="I260" i="2" a="1"/>
  <c r="I260" i="2" s="1"/>
  <c r="I261" i="2" a="1"/>
  <c r="I261" i="2" s="1"/>
  <c r="I262" i="2" a="1"/>
  <c r="I262" i="2" s="1"/>
  <c r="I263" i="2" a="1"/>
  <c r="I263" i="2" s="1"/>
  <c r="I264" i="2" a="1"/>
  <c r="I264" i="2" s="1"/>
  <c r="I265" i="2" a="1"/>
  <c r="I265" i="2" s="1"/>
  <c r="I266" i="2" a="1"/>
  <c r="I266" i="2" s="1"/>
  <c r="I267" i="2" a="1"/>
  <c r="I267" i="2" s="1"/>
  <c r="I268" i="2" a="1"/>
  <c r="I268" i="2" s="1"/>
  <c r="I269" i="2" a="1"/>
  <c r="I269" i="2" s="1"/>
  <c r="I270" i="2" a="1"/>
  <c r="I270" i="2" s="1"/>
  <c r="I271" i="2" a="1"/>
  <c r="I271" i="2" s="1"/>
  <c r="I272" i="2" a="1"/>
  <c r="I272" i="2" s="1"/>
  <c r="I273" i="2" a="1"/>
  <c r="I273" i="2" s="1"/>
  <c r="I274" i="2" a="1"/>
  <c r="I274" i="2" s="1"/>
  <c r="I275" i="2" a="1"/>
  <c r="I275" i="2" s="1"/>
  <c r="I276" i="2" a="1"/>
  <c r="I276" i="2" s="1"/>
  <c r="I277" i="2" a="1"/>
  <c r="I277" i="2" s="1"/>
  <c r="I278" i="2" a="1"/>
  <c r="I278" i="2" s="1"/>
  <c r="I279" i="2" a="1"/>
  <c r="I279" i="2" s="1"/>
  <c r="I280" i="2" a="1"/>
  <c r="I280" i="2" s="1"/>
  <c r="I281" i="2" a="1"/>
  <c r="I281" i="2" s="1"/>
  <c r="I282" i="2" a="1"/>
  <c r="I282" i="2" s="1"/>
  <c r="I283" i="2" a="1"/>
  <c r="I283" i="2" s="1"/>
  <c r="I284" i="2" a="1"/>
  <c r="I284" i="2" s="1"/>
  <c r="I285" i="2" a="1"/>
  <c r="I285" i="2" s="1"/>
  <c r="I286" i="2" a="1"/>
  <c r="I286" i="2" s="1"/>
  <c r="I287" i="2" a="1"/>
  <c r="I287" i="2" s="1"/>
  <c r="I288" i="2" a="1"/>
  <c r="I288" i="2" s="1"/>
  <c r="I289" i="2" a="1"/>
  <c r="I289" i="2" s="1"/>
  <c r="I290" i="2" a="1"/>
  <c r="I290" i="2" s="1"/>
  <c r="I291" i="2" a="1"/>
  <c r="I291" i="2" s="1"/>
  <c r="I292" i="2" a="1"/>
  <c r="I292" i="2" s="1"/>
  <c r="I293" i="2" a="1"/>
  <c r="I293" i="2" s="1"/>
  <c r="I294" i="2" a="1"/>
  <c r="I294" i="2" s="1"/>
  <c r="I295" i="2" a="1"/>
  <c r="I295" i="2" s="1"/>
  <c r="I296" i="2" a="1"/>
  <c r="I296" i="2" s="1"/>
  <c r="I297" i="2" a="1"/>
  <c r="I297" i="2" s="1"/>
  <c r="I298" i="2" a="1"/>
  <c r="I298" i="2" s="1"/>
  <c r="I299" i="2" a="1"/>
  <c r="I299" i="2" s="1"/>
  <c r="I300" i="2" a="1"/>
  <c r="I300" i="2" s="1"/>
  <c r="I301" i="2" a="1"/>
  <c r="I301" i="2" s="1"/>
  <c r="I302" i="2" a="1"/>
  <c r="I302" i="2" s="1"/>
  <c r="I303" i="2" a="1"/>
  <c r="I303" i="2" s="1"/>
  <c r="I304" i="2" a="1"/>
  <c r="I304" i="2" s="1"/>
  <c r="I305" i="2" a="1"/>
  <c r="I305" i="2" s="1"/>
  <c r="I306" i="2" a="1"/>
  <c r="I306" i="2" s="1"/>
  <c r="I307" i="2" a="1"/>
  <c r="I307" i="2" s="1"/>
  <c r="I308" i="2" a="1"/>
  <c r="I308" i="2" s="1"/>
  <c r="I309" i="2" a="1"/>
  <c r="I309" i="2" s="1"/>
  <c r="I310" i="2" a="1"/>
  <c r="I310" i="2" s="1"/>
  <c r="I311" i="2" a="1"/>
  <c r="I311" i="2" s="1"/>
  <c r="I312" i="2" a="1"/>
  <c r="I312" i="2" s="1"/>
  <c r="I313" i="2" a="1"/>
  <c r="I313" i="2" s="1"/>
  <c r="I314" i="2" a="1"/>
  <c r="I314" i="2" s="1"/>
  <c r="I315" i="2" a="1"/>
  <c r="I315" i="2" s="1"/>
  <c r="I316" i="2" a="1"/>
  <c r="I316" i="2" s="1"/>
  <c r="I317" i="2" a="1"/>
  <c r="I317" i="2" s="1"/>
  <c r="I318" i="2" a="1"/>
  <c r="I318" i="2" s="1"/>
  <c r="I319" i="2" a="1"/>
  <c r="I319" i="2" s="1"/>
  <c r="I320" i="2" a="1"/>
  <c r="I320" i="2" s="1"/>
  <c r="I321" i="2" a="1"/>
  <c r="I321" i="2" s="1"/>
  <c r="I322" i="2" a="1"/>
  <c r="I322" i="2" s="1"/>
  <c r="I323" i="2" a="1"/>
  <c r="I323" i="2" s="1"/>
  <c r="I324" i="2" a="1"/>
  <c r="I324" i="2" s="1"/>
  <c r="I325" i="2" a="1"/>
  <c r="I325" i="2" s="1"/>
  <c r="I326" i="2" a="1"/>
  <c r="I326" i="2" s="1"/>
  <c r="I327" i="2" a="1"/>
  <c r="I327" i="2" s="1"/>
  <c r="I328" i="2" a="1"/>
  <c r="I328" i="2" s="1"/>
  <c r="I329" i="2" a="1"/>
  <c r="I329" i="2" s="1"/>
  <c r="I330" i="2" a="1"/>
  <c r="I330" i="2" s="1"/>
  <c r="I331" i="2" a="1"/>
  <c r="I331" i="2" s="1"/>
  <c r="I332" i="2" a="1"/>
  <c r="I332" i="2" s="1"/>
  <c r="I333" i="2" a="1"/>
  <c r="I333" i="2" s="1"/>
  <c r="I334" i="2" a="1"/>
  <c r="I334" i="2" s="1"/>
  <c r="I335" i="2" a="1"/>
  <c r="I335" i="2" s="1"/>
  <c r="I336" i="2" a="1"/>
  <c r="I336" i="2" s="1"/>
  <c r="I337" i="2" a="1"/>
  <c r="I337" i="2" s="1"/>
  <c r="I338" i="2" a="1"/>
  <c r="I338" i="2" s="1"/>
  <c r="I339" i="2" a="1"/>
  <c r="I339" i="2" s="1"/>
  <c r="I340" i="2" a="1"/>
  <c r="I340" i="2" s="1"/>
  <c r="I341" i="2" a="1"/>
  <c r="I341" i="2" s="1"/>
  <c r="I342" i="2" a="1"/>
  <c r="I342" i="2" s="1"/>
  <c r="I343" i="2" a="1"/>
  <c r="I343" i="2" s="1"/>
  <c r="I344" i="2" a="1"/>
  <c r="I344" i="2" s="1"/>
  <c r="I345" i="2" a="1"/>
  <c r="I345" i="2" s="1"/>
  <c r="I346" i="2" a="1"/>
  <c r="I346" i="2" s="1"/>
  <c r="I347" i="2" a="1"/>
  <c r="I347" i="2" s="1"/>
  <c r="I348" i="2" a="1"/>
  <c r="I348" i="2" s="1"/>
  <c r="I349" i="2" a="1"/>
  <c r="I349" i="2" s="1"/>
  <c r="I350" i="2" a="1"/>
  <c r="I350" i="2" s="1"/>
  <c r="I351" i="2" a="1"/>
  <c r="I351" i="2" s="1"/>
  <c r="I352" i="2" a="1"/>
  <c r="I352" i="2" s="1"/>
  <c r="I353" i="2" a="1"/>
  <c r="I353" i="2" s="1"/>
  <c r="I354" i="2" a="1"/>
  <c r="I354" i="2" s="1"/>
  <c r="I355" i="2" a="1"/>
  <c r="I355" i="2" s="1"/>
  <c r="I356" i="2" a="1"/>
  <c r="I356" i="2" s="1"/>
  <c r="I357" i="2" a="1"/>
  <c r="I357" i="2" s="1"/>
  <c r="I358" i="2" a="1"/>
  <c r="I358" i="2" s="1"/>
  <c r="I359" i="2" a="1"/>
  <c r="I359" i="2" s="1"/>
  <c r="I360" i="2" a="1"/>
  <c r="I360" i="2" s="1"/>
  <c r="I361" i="2" a="1"/>
  <c r="I361" i="2" s="1"/>
  <c r="I362" i="2" a="1"/>
  <c r="I362" i="2" s="1"/>
  <c r="I363" i="2" a="1"/>
  <c r="I363" i="2" s="1"/>
  <c r="I364" i="2" a="1"/>
  <c r="I364" i="2" s="1"/>
  <c r="I365" i="2" a="1"/>
  <c r="I365" i="2" s="1"/>
  <c r="I366" i="2" a="1"/>
  <c r="I366" i="2" s="1"/>
  <c r="I367" i="2" a="1"/>
  <c r="I367" i="2" s="1"/>
  <c r="I368" i="2" a="1"/>
  <c r="I368" i="2" s="1"/>
  <c r="I369" i="2" a="1"/>
  <c r="I369" i="2" s="1"/>
  <c r="I370" i="2" a="1"/>
  <c r="I370" i="2" s="1"/>
  <c r="I371" i="2" a="1"/>
  <c r="I371" i="2" s="1"/>
  <c r="I372" i="2" a="1"/>
  <c r="I372" i="2" s="1"/>
  <c r="I373" i="2" a="1"/>
  <c r="I373" i="2" s="1"/>
  <c r="I374" i="2" a="1"/>
  <c r="I374" i="2" s="1"/>
  <c r="I375" i="2" a="1"/>
  <c r="I375" i="2" s="1"/>
  <c r="I376" i="2" a="1"/>
  <c r="I376" i="2" s="1"/>
  <c r="I377" i="2" a="1"/>
  <c r="I377" i="2" s="1"/>
  <c r="I378" i="2" a="1"/>
  <c r="I378" i="2" s="1"/>
  <c r="I379" i="2" a="1"/>
  <c r="I379" i="2" s="1"/>
  <c r="I380" i="2" a="1"/>
  <c r="I380" i="2" s="1"/>
  <c r="I381" i="2" a="1"/>
  <c r="I381" i="2" s="1"/>
  <c r="I382" i="2" a="1"/>
  <c r="I382" i="2" s="1"/>
  <c r="I383" i="2" a="1"/>
  <c r="I383" i="2" s="1"/>
  <c r="I384" i="2" a="1"/>
  <c r="I384" i="2" s="1"/>
  <c r="I385" i="2" a="1"/>
  <c r="I385" i="2" s="1"/>
  <c r="I386" i="2" a="1"/>
  <c r="I386" i="2" s="1"/>
  <c r="I387" i="2" a="1"/>
  <c r="I387" i="2" s="1"/>
  <c r="I388" i="2" a="1"/>
  <c r="I388" i="2" s="1"/>
  <c r="I389" i="2" a="1"/>
  <c r="I389" i="2" s="1"/>
  <c r="I390" i="2" a="1"/>
  <c r="I390" i="2" s="1"/>
  <c r="I391" i="2" a="1"/>
  <c r="I391" i="2" s="1"/>
  <c r="I392" i="2" a="1"/>
  <c r="I392" i="2" s="1"/>
  <c r="I393" i="2" a="1"/>
  <c r="I393" i="2" s="1"/>
  <c r="I394" i="2" a="1"/>
  <c r="I394" i="2" s="1"/>
  <c r="I395" i="2" a="1"/>
  <c r="I395" i="2" s="1"/>
  <c r="I396" i="2" a="1"/>
  <c r="I396" i="2" s="1"/>
  <c r="I397" i="2" a="1"/>
  <c r="I397" i="2" s="1"/>
  <c r="I398" i="2" a="1"/>
  <c r="I398" i="2" s="1"/>
  <c r="I399" i="2" a="1"/>
  <c r="I399" i="2" s="1"/>
  <c r="I400" i="2" a="1"/>
  <c r="I400" i="2" s="1"/>
  <c r="I401" i="2" a="1"/>
  <c r="I401" i="2" s="1"/>
  <c r="I402" i="2" a="1"/>
  <c r="I402" i="2" s="1"/>
  <c r="I403" i="2" a="1"/>
  <c r="I403" i="2" s="1"/>
  <c r="I404" i="2" a="1"/>
  <c r="I404" i="2" s="1"/>
  <c r="I405" i="2" a="1"/>
  <c r="I405" i="2" s="1"/>
  <c r="I406" i="2" a="1"/>
  <c r="I406" i="2" s="1"/>
  <c r="I407" i="2" a="1"/>
  <c r="I407" i="2" s="1"/>
  <c r="I408" i="2" a="1"/>
  <c r="I408" i="2" s="1"/>
  <c r="I409" i="2" a="1"/>
  <c r="I409" i="2" s="1"/>
  <c r="I410" i="2" a="1"/>
  <c r="I410" i="2" s="1"/>
  <c r="I411" i="2" a="1"/>
  <c r="I411" i="2" s="1"/>
  <c r="I412" i="2" a="1"/>
  <c r="I412" i="2" s="1"/>
  <c r="I413" i="2" a="1"/>
  <c r="I413" i="2" s="1"/>
  <c r="I414" i="2" a="1"/>
  <c r="I414" i="2" s="1"/>
  <c r="I415" i="2" a="1"/>
  <c r="I415" i="2" s="1"/>
  <c r="I416" i="2" a="1"/>
  <c r="I416" i="2" s="1"/>
  <c r="I417" i="2" a="1"/>
  <c r="I417" i="2" s="1"/>
  <c r="I418" i="2" a="1"/>
  <c r="I418" i="2" s="1"/>
  <c r="I419" i="2" a="1"/>
  <c r="I419" i="2" s="1"/>
  <c r="I420" i="2" a="1"/>
  <c r="I420" i="2" s="1"/>
  <c r="I421" i="2" a="1"/>
  <c r="I421" i="2" s="1"/>
  <c r="I422" i="2" a="1"/>
  <c r="I422" i="2" s="1"/>
  <c r="I423" i="2" a="1"/>
  <c r="I423" i="2" s="1"/>
  <c r="I424" i="2" a="1"/>
  <c r="I424" i="2" s="1"/>
  <c r="I425" i="2" a="1"/>
  <c r="I425" i="2" s="1"/>
  <c r="I426" i="2" a="1"/>
  <c r="I426" i="2" s="1"/>
  <c r="I427" i="2" a="1"/>
  <c r="I427" i="2" s="1"/>
  <c r="I428" i="2" a="1"/>
  <c r="I428" i="2" s="1"/>
  <c r="I429" i="2" a="1"/>
  <c r="I429" i="2" s="1"/>
  <c r="I430" i="2" a="1"/>
  <c r="I430" i="2" s="1"/>
  <c r="I431" i="2" a="1"/>
  <c r="I431" i="2" s="1"/>
  <c r="I432" i="2" a="1"/>
  <c r="I432" i="2" s="1"/>
  <c r="I433" i="2" a="1"/>
  <c r="I433" i="2" s="1"/>
  <c r="I434" i="2" a="1"/>
  <c r="I434" i="2" s="1"/>
  <c r="I435" i="2" a="1"/>
  <c r="I435" i="2" s="1"/>
  <c r="I436" i="2" a="1"/>
  <c r="I436" i="2" s="1"/>
  <c r="I437" i="2" a="1"/>
  <c r="I437" i="2" s="1"/>
  <c r="I438" i="2" a="1"/>
  <c r="I438" i="2" s="1"/>
  <c r="I439" i="2" a="1"/>
  <c r="I439" i="2" s="1"/>
  <c r="I440" i="2" a="1"/>
  <c r="I440" i="2" s="1"/>
  <c r="I441" i="2" a="1"/>
  <c r="I441" i="2" s="1"/>
  <c r="I442" i="2" a="1"/>
  <c r="I442" i="2" s="1"/>
  <c r="I443" i="2" a="1"/>
  <c r="I443" i="2" s="1"/>
  <c r="I444" i="2" a="1"/>
  <c r="I444" i="2" s="1"/>
  <c r="I445" i="2" a="1"/>
  <c r="I445" i="2" s="1"/>
  <c r="I446" i="2" a="1"/>
  <c r="I446" i="2" s="1"/>
  <c r="I447" i="2" a="1"/>
  <c r="I447" i="2" s="1"/>
  <c r="I448" i="2" a="1"/>
  <c r="I448" i="2" s="1"/>
  <c r="I449" i="2" a="1"/>
  <c r="I449" i="2" s="1"/>
  <c r="I450" i="2" a="1"/>
  <c r="I450" i="2" s="1"/>
  <c r="I451" i="2" a="1"/>
  <c r="I451" i="2" s="1"/>
  <c r="I452" i="2" a="1"/>
  <c r="I452" i="2" s="1"/>
  <c r="I453" i="2" a="1"/>
  <c r="I453" i="2" s="1"/>
  <c r="I454" i="2" a="1"/>
  <c r="I454" i="2" s="1"/>
  <c r="I455" i="2" a="1"/>
  <c r="I455" i="2" s="1"/>
  <c r="I456" i="2" a="1"/>
  <c r="I456" i="2" s="1"/>
  <c r="I457" i="2" a="1"/>
  <c r="I457" i="2" s="1"/>
  <c r="I458" i="2" a="1"/>
  <c r="I458" i="2" s="1"/>
  <c r="I459" i="2" a="1"/>
  <c r="I459" i="2" s="1"/>
  <c r="I460" i="2" a="1"/>
  <c r="I460" i="2" s="1"/>
  <c r="I461" i="2" a="1"/>
  <c r="I461" i="2" s="1"/>
  <c r="I462" i="2" a="1"/>
  <c r="I462" i="2" s="1"/>
  <c r="I463" i="2" a="1"/>
  <c r="I463" i="2" s="1"/>
  <c r="I464" i="2" a="1"/>
  <c r="I464" i="2" s="1"/>
  <c r="I465" i="2" a="1"/>
  <c r="I465" i="2" s="1"/>
  <c r="I466" i="2" a="1"/>
  <c r="I466" i="2" s="1"/>
  <c r="I467" i="2" a="1"/>
  <c r="I467" i="2" s="1"/>
  <c r="I468" i="2" a="1"/>
  <c r="I468" i="2" s="1"/>
  <c r="I469" i="2" a="1"/>
  <c r="I469" i="2" s="1"/>
  <c r="I470" i="2" a="1"/>
  <c r="I470" i="2" s="1"/>
  <c r="I471" i="2" a="1"/>
  <c r="I471" i="2" s="1"/>
  <c r="I472" i="2" a="1"/>
  <c r="I472" i="2" s="1"/>
  <c r="I473" i="2" a="1"/>
  <c r="I473" i="2" s="1"/>
  <c r="I474" i="2" a="1"/>
  <c r="I474" i="2" s="1"/>
  <c r="I475" i="2" a="1"/>
  <c r="I475" i="2" s="1"/>
  <c r="I476" i="2" a="1"/>
  <c r="I476" i="2" s="1"/>
  <c r="I477" i="2" a="1"/>
  <c r="I477" i="2" s="1"/>
  <c r="I478" i="2" a="1"/>
  <c r="I478" i="2" s="1"/>
  <c r="I479" i="2" a="1"/>
  <c r="I479" i="2" s="1"/>
  <c r="I480" i="2" a="1"/>
  <c r="I480" i="2" s="1"/>
  <c r="I481" i="2" a="1"/>
  <c r="I481" i="2" s="1"/>
  <c r="I482" i="2" a="1"/>
  <c r="I482" i="2" s="1"/>
  <c r="I483" i="2" a="1"/>
  <c r="I483" i="2" s="1"/>
  <c r="I484" i="2" a="1"/>
  <c r="I484" i="2" s="1"/>
  <c r="I485" i="2" a="1"/>
  <c r="I485" i="2" s="1"/>
  <c r="I486" i="2" a="1"/>
  <c r="I486" i="2" s="1"/>
  <c r="I487" i="2" a="1"/>
  <c r="I487" i="2" s="1"/>
  <c r="I488" i="2" a="1"/>
  <c r="I488" i="2" s="1"/>
  <c r="I489" i="2" a="1"/>
  <c r="I489" i="2" s="1"/>
  <c r="I490" i="2" a="1"/>
  <c r="I490" i="2" s="1"/>
  <c r="I491" i="2" a="1"/>
  <c r="I491" i="2" s="1"/>
  <c r="I492" i="2" a="1"/>
  <c r="I492" i="2" s="1"/>
  <c r="I493" i="2" a="1"/>
  <c r="I493" i="2" s="1"/>
  <c r="I494" i="2" a="1"/>
  <c r="I494" i="2" s="1"/>
  <c r="I495" i="2" a="1"/>
  <c r="I495" i="2" s="1"/>
  <c r="I496" i="2" a="1"/>
  <c r="I496" i="2" s="1"/>
  <c r="I497" i="2" a="1"/>
  <c r="I497" i="2" s="1"/>
  <c r="I498" i="2" a="1"/>
  <c r="I498" i="2" s="1"/>
  <c r="I499" i="2" a="1"/>
  <c r="I499" i="2" s="1"/>
  <c r="I500" i="2" a="1"/>
  <c r="I500" i="2" s="1"/>
  <c r="I501" i="2" a="1"/>
  <c r="I501" i="2" s="1"/>
  <c r="I502" i="2" a="1"/>
  <c r="I502" i="2" s="1"/>
  <c r="I503" i="2" a="1"/>
  <c r="I503" i="2" s="1"/>
  <c r="I504" i="2" a="1"/>
  <c r="I504" i="2" s="1"/>
  <c r="I505" i="2" a="1"/>
  <c r="I505" i="2" s="1"/>
  <c r="I506" i="2" a="1"/>
  <c r="I506" i="2" s="1"/>
  <c r="I507" i="2" a="1"/>
  <c r="I507" i="2" s="1"/>
  <c r="I508" i="2" a="1"/>
  <c r="I508" i="2" s="1"/>
  <c r="I509" i="2" a="1"/>
  <c r="I509" i="2" s="1"/>
  <c r="I510" i="2" a="1"/>
  <c r="I510" i="2" s="1"/>
  <c r="I511" i="2" a="1"/>
  <c r="I511" i="2" s="1"/>
  <c r="I512" i="2" a="1"/>
  <c r="I512" i="2" s="1"/>
  <c r="I513" i="2" a="1"/>
  <c r="I513" i="2" s="1"/>
  <c r="I514" i="2" a="1"/>
  <c r="I514" i="2" s="1"/>
  <c r="I515" i="2" a="1"/>
  <c r="I515" i="2" s="1"/>
  <c r="I516" i="2" a="1"/>
  <c r="I516" i="2" s="1"/>
  <c r="I517" i="2" a="1"/>
  <c r="I517" i="2" s="1"/>
  <c r="I518" i="2" a="1"/>
  <c r="I518" i="2" s="1"/>
  <c r="I519" i="2" a="1"/>
  <c r="I519" i="2" s="1"/>
  <c r="I520" i="2" a="1"/>
  <c r="I520" i="2" s="1"/>
  <c r="I521" i="2" a="1"/>
  <c r="I521" i="2" s="1"/>
  <c r="I522" i="2" a="1"/>
  <c r="I522" i="2" s="1"/>
  <c r="I523" i="2" a="1"/>
  <c r="I523" i="2" s="1"/>
  <c r="I524" i="2" a="1"/>
  <c r="I524" i="2" s="1"/>
  <c r="I525" i="2" a="1"/>
  <c r="I525" i="2" s="1"/>
  <c r="I526" i="2" a="1"/>
  <c r="I526" i="2" s="1"/>
  <c r="I527" i="2" a="1"/>
  <c r="I527" i="2" s="1"/>
  <c r="I528" i="2" a="1"/>
  <c r="I528" i="2" s="1"/>
  <c r="I529" i="2" a="1"/>
  <c r="I529" i="2" s="1"/>
  <c r="I530" i="2" a="1"/>
  <c r="I530" i="2" s="1"/>
  <c r="I531" i="2" a="1"/>
  <c r="I531" i="2" s="1"/>
  <c r="I532" i="2" a="1"/>
  <c r="I532" i="2" s="1"/>
  <c r="I533" i="2" a="1"/>
  <c r="I533" i="2" s="1"/>
  <c r="I534" i="2" a="1"/>
  <c r="I534" i="2" s="1"/>
  <c r="I535" i="2" a="1"/>
  <c r="I535" i="2" s="1"/>
  <c r="I536" i="2" a="1"/>
  <c r="I536" i="2" s="1"/>
  <c r="I537" i="2" a="1"/>
  <c r="I537" i="2" s="1"/>
  <c r="I538" i="2" a="1"/>
  <c r="I538" i="2" s="1"/>
  <c r="I539" i="2" a="1"/>
  <c r="I539" i="2" s="1"/>
  <c r="I540" i="2" a="1"/>
  <c r="I540" i="2" s="1"/>
  <c r="I541" i="2" a="1"/>
  <c r="I541" i="2" s="1"/>
  <c r="I542" i="2" a="1"/>
  <c r="I542" i="2" s="1"/>
  <c r="I543" i="2" a="1"/>
  <c r="I543" i="2" s="1"/>
  <c r="I544" i="2" a="1"/>
  <c r="I544" i="2" s="1"/>
  <c r="I545" i="2" a="1"/>
  <c r="I545" i="2" s="1"/>
  <c r="I546" i="2" a="1"/>
  <c r="I546" i="2" s="1"/>
  <c r="I547" i="2" a="1"/>
  <c r="I547" i="2" s="1"/>
  <c r="I548" i="2" a="1"/>
  <c r="I548" i="2" s="1"/>
  <c r="I549" i="2" a="1"/>
  <c r="I549" i="2" s="1"/>
  <c r="I550" i="2" a="1"/>
  <c r="I550" i="2" s="1"/>
  <c r="I551" i="2" a="1"/>
  <c r="I551" i="2" s="1"/>
  <c r="I552" i="2" a="1"/>
  <c r="I552" i="2" s="1"/>
  <c r="I553" i="2" a="1"/>
  <c r="I553" i="2" s="1"/>
  <c r="I554" i="2" a="1"/>
  <c r="I554" i="2" s="1"/>
  <c r="I555" i="2" a="1"/>
  <c r="I555" i="2" s="1"/>
  <c r="I556" i="2" a="1"/>
  <c r="I556" i="2" s="1"/>
  <c r="I557" i="2" a="1"/>
  <c r="I557" i="2" s="1"/>
  <c r="I558" i="2" a="1"/>
  <c r="I558" i="2" s="1"/>
  <c r="I559" i="2" a="1"/>
  <c r="I559" i="2" s="1"/>
  <c r="I560" i="2" a="1"/>
  <c r="I560" i="2" s="1"/>
  <c r="I561" i="2" a="1"/>
  <c r="I561" i="2" s="1"/>
  <c r="I562" i="2" a="1"/>
  <c r="I562" i="2" s="1"/>
  <c r="I563" i="2" a="1"/>
  <c r="I563" i="2" s="1"/>
  <c r="I564" i="2" a="1"/>
  <c r="I564" i="2" s="1"/>
  <c r="I565" i="2" a="1"/>
  <c r="I565" i="2" s="1"/>
  <c r="I566" i="2" a="1"/>
  <c r="I566" i="2" s="1"/>
  <c r="I567" i="2" a="1"/>
  <c r="I567" i="2" s="1"/>
  <c r="I568" i="2" a="1"/>
  <c r="I568" i="2" s="1"/>
  <c r="I569" i="2" a="1"/>
  <c r="I569" i="2" s="1"/>
  <c r="I570" i="2" a="1"/>
  <c r="I570" i="2" s="1"/>
  <c r="I571" i="2" a="1"/>
  <c r="I571" i="2" s="1"/>
  <c r="I572" i="2" a="1"/>
  <c r="I572" i="2" s="1"/>
  <c r="I573" i="2" a="1"/>
  <c r="I573" i="2" s="1"/>
  <c r="I574" i="2" a="1"/>
  <c r="I574" i="2" s="1"/>
  <c r="I575" i="2" a="1"/>
  <c r="I575" i="2" s="1"/>
  <c r="I576" i="2" a="1"/>
  <c r="I576" i="2" s="1"/>
  <c r="I577" i="2" a="1"/>
  <c r="I577" i="2" s="1"/>
  <c r="I578" i="2" a="1"/>
  <c r="I578" i="2" s="1"/>
  <c r="I579" i="2" a="1"/>
  <c r="I579" i="2" s="1"/>
  <c r="I580" i="2" a="1"/>
  <c r="I580" i="2" s="1"/>
  <c r="I581" i="2" a="1"/>
  <c r="I581" i="2" s="1"/>
  <c r="I582" i="2" a="1"/>
  <c r="I582" i="2" s="1"/>
  <c r="I583" i="2" a="1"/>
  <c r="I583" i="2" s="1"/>
  <c r="I584" i="2" a="1"/>
  <c r="I584" i="2" s="1"/>
  <c r="I585" i="2" a="1"/>
  <c r="I585" i="2" s="1"/>
  <c r="I586" i="2" a="1"/>
  <c r="I586" i="2" s="1"/>
  <c r="I587" i="2" a="1"/>
  <c r="I587" i="2" s="1"/>
  <c r="I588" i="2" a="1"/>
  <c r="I588" i="2" s="1"/>
  <c r="I589" i="2" a="1"/>
  <c r="I589" i="2" s="1"/>
  <c r="I590" i="2" a="1"/>
  <c r="I590" i="2" s="1"/>
  <c r="I591" i="2" a="1"/>
  <c r="I591" i="2" s="1"/>
  <c r="I592" i="2" a="1"/>
  <c r="I592" i="2" s="1"/>
  <c r="I593" i="2" a="1"/>
  <c r="I593" i="2" s="1"/>
  <c r="I594" i="2" a="1"/>
  <c r="I594" i="2" s="1"/>
  <c r="I595" i="2" a="1"/>
  <c r="I595" i="2" s="1"/>
  <c r="I596" i="2" a="1"/>
  <c r="I596" i="2" s="1"/>
  <c r="I597" i="2" a="1"/>
  <c r="I597" i="2" s="1"/>
  <c r="I598" i="2" a="1"/>
  <c r="I598" i="2" s="1"/>
  <c r="I599" i="2" a="1"/>
  <c r="I599" i="2" s="1"/>
  <c r="I600" i="2" a="1"/>
  <c r="I600" i="2" s="1"/>
  <c r="I601" i="2" a="1"/>
  <c r="I601" i="2" s="1"/>
  <c r="I602" i="2" a="1"/>
  <c r="I602" i="2" s="1"/>
  <c r="I603" i="2" a="1"/>
  <c r="I603" i="2" s="1"/>
  <c r="I604" i="2" a="1"/>
  <c r="I604" i="2" s="1"/>
  <c r="I605" i="2" a="1"/>
  <c r="I605" i="2" s="1"/>
  <c r="I606" i="2" a="1"/>
  <c r="I606" i="2" s="1"/>
  <c r="I607" i="2" a="1"/>
  <c r="I607" i="2" s="1"/>
  <c r="I608" i="2" a="1"/>
  <c r="I608" i="2" s="1"/>
  <c r="I609" i="2" a="1"/>
  <c r="I609" i="2" s="1"/>
  <c r="I610" i="2" a="1"/>
  <c r="I610" i="2" s="1"/>
  <c r="I611" i="2" a="1"/>
  <c r="I611" i="2" s="1"/>
  <c r="I612" i="2" a="1"/>
  <c r="I612" i="2" s="1"/>
  <c r="I613" i="2" a="1"/>
  <c r="I613" i="2" s="1"/>
  <c r="I614" i="2" a="1"/>
  <c r="I614" i="2" s="1"/>
  <c r="I615" i="2" a="1"/>
  <c r="I615" i="2" s="1"/>
  <c r="I616" i="2" a="1"/>
  <c r="I616" i="2" s="1"/>
  <c r="I617" i="2" a="1"/>
  <c r="I617" i="2" s="1"/>
  <c r="I618" i="2" a="1"/>
  <c r="I618" i="2" s="1"/>
  <c r="I619" i="2" a="1"/>
  <c r="I619" i="2" s="1"/>
  <c r="I620" i="2" a="1"/>
  <c r="I620" i="2" s="1"/>
  <c r="I621" i="2" a="1"/>
  <c r="I621" i="2" s="1"/>
  <c r="I622" i="2" a="1"/>
  <c r="I622" i="2" s="1"/>
  <c r="I623" i="2" a="1"/>
  <c r="I623" i="2" s="1"/>
  <c r="I624" i="2" a="1"/>
  <c r="I624" i="2" s="1"/>
  <c r="I625" i="2" a="1"/>
  <c r="I625" i="2" s="1"/>
  <c r="I626" i="2" a="1"/>
  <c r="I626" i="2" s="1"/>
  <c r="I627" i="2" a="1"/>
  <c r="I627" i="2" s="1"/>
  <c r="I628" i="2" a="1"/>
  <c r="I628" i="2" s="1"/>
  <c r="I629" i="2" a="1"/>
  <c r="I629" i="2" s="1"/>
  <c r="I630" i="2" a="1"/>
  <c r="I630" i="2" s="1"/>
  <c r="I631" i="2" a="1"/>
  <c r="I631" i="2" s="1"/>
  <c r="I632" i="2" a="1"/>
  <c r="I632" i="2" s="1"/>
  <c r="I633" i="2" a="1"/>
  <c r="I633" i="2" s="1"/>
  <c r="I634" i="2" a="1"/>
  <c r="I634" i="2" s="1"/>
  <c r="I635" i="2" a="1"/>
  <c r="I635" i="2" s="1"/>
  <c r="I636" i="2" a="1"/>
  <c r="I636" i="2" s="1"/>
  <c r="I637" i="2" a="1"/>
  <c r="I637" i="2" s="1"/>
  <c r="I638" i="2" a="1"/>
  <c r="I638" i="2" s="1"/>
  <c r="I639" i="2" a="1"/>
  <c r="I639" i="2" s="1"/>
  <c r="I640" i="2" a="1"/>
  <c r="I640" i="2" s="1"/>
  <c r="I641" i="2" a="1"/>
  <c r="I641" i="2" s="1"/>
  <c r="I642" i="2" a="1"/>
  <c r="I642" i="2" s="1"/>
  <c r="I643" i="2" a="1"/>
  <c r="I643" i="2" s="1"/>
  <c r="I644" i="2" a="1"/>
  <c r="I644" i="2" s="1"/>
  <c r="I645" i="2" a="1"/>
  <c r="I645" i="2" s="1"/>
  <c r="I646" i="2" a="1"/>
  <c r="I646" i="2" s="1"/>
  <c r="I647" i="2" a="1"/>
  <c r="I647" i="2" s="1"/>
  <c r="I648" i="2" a="1"/>
  <c r="I648" i="2" s="1"/>
  <c r="I649" i="2" a="1"/>
  <c r="I649" i="2" s="1"/>
  <c r="I650" i="2" a="1"/>
  <c r="I650" i="2" s="1"/>
  <c r="I651" i="2" a="1"/>
  <c r="I651" i="2" s="1"/>
  <c r="I652" i="2" a="1"/>
  <c r="I652" i="2" s="1"/>
  <c r="I653" i="2" a="1"/>
  <c r="I653" i="2" s="1"/>
  <c r="I654" i="2" a="1"/>
  <c r="I654" i="2" s="1"/>
  <c r="I655" i="2" a="1"/>
  <c r="I655" i="2" s="1"/>
  <c r="I656" i="2" a="1"/>
  <c r="I656" i="2" s="1"/>
  <c r="I657" i="2" a="1"/>
  <c r="I657" i="2" s="1"/>
  <c r="I658" i="2" a="1"/>
  <c r="I658" i="2" s="1"/>
  <c r="I659" i="2" a="1"/>
  <c r="I659" i="2" s="1"/>
  <c r="I660" i="2" a="1"/>
  <c r="I660" i="2" s="1"/>
  <c r="I661" i="2" a="1"/>
  <c r="I661" i="2" s="1"/>
  <c r="I662" i="2" a="1"/>
  <c r="I662" i="2" s="1"/>
  <c r="I663" i="2" a="1"/>
  <c r="I663" i="2" s="1"/>
  <c r="I664" i="2" a="1"/>
  <c r="I664" i="2" s="1"/>
  <c r="I665" i="2" a="1"/>
  <c r="I665" i="2" s="1"/>
  <c r="I666" i="2" a="1"/>
  <c r="I666" i="2" s="1"/>
  <c r="I667" i="2" a="1"/>
  <c r="I667" i="2" s="1"/>
  <c r="I668" i="2" a="1"/>
  <c r="I668" i="2" s="1"/>
  <c r="I669" i="2" a="1"/>
  <c r="I669" i="2" s="1"/>
  <c r="I670" i="2" a="1"/>
  <c r="I670" i="2" s="1"/>
  <c r="I671" i="2" a="1"/>
  <c r="I671" i="2" s="1"/>
  <c r="I672" i="2" a="1"/>
  <c r="I672" i="2" s="1"/>
  <c r="I673" i="2" a="1"/>
  <c r="I673" i="2" s="1"/>
  <c r="I674" i="2" a="1"/>
  <c r="I674" i="2" s="1"/>
  <c r="I675" i="2" a="1"/>
  <c r="I675" i="2" s="1"/>
  <c r="I676" i="2" a="1"/>
  <c r="I676" i="2" s="1"/>
  <c r="I677" i="2" a="1"/>
  <c r="I677" i="2" s="1"/>
  <c r="I678" i="2" a="1"/>
  <c r="I678" i="2" s="1"/>
  <c r="I679" i="2" a="1"/>
  <c r="I679" i="2" s="1"/>
  <c r="I680" i="2" a="1"/>
  <c r="I680" i="2" s="1"/>
  <c r="I681" i="2" a="1"/>
  <c r="I681" i="2" s="1"/>
  <c r="I682" i="2" a="1"/>
  <c r="I682" i="2" s="1"/>
  <c r="I683" i="2" a="1"/>
  <c r="I683" i="2" s="1"/>
  <c r="I684" i="2" a="1"/>
  <c r="I684" i="2" s="1"/>
  <c r="I685" i="2" a="1"/>
  <c r="I685" i="2" s="1"/>
  <c r="I686" i="2" a="1"/>
  <c r="I686" i="2" s="1"/>
  <c r="I687" i="2" a="1"/>
  <c r="I687" i="2" s="1"/>
  <c r="I688" i="2" a="1"/>
  <c r="I688" i="2" s="1"/>
  <c r="I689" i="2" a="1"/>
  <c r="I689" i="2" s="1"/>
  <c r="I690" i="2" a="1"/>
  <c r="I690" i="2" s="1"/>
  <c r="I691" i="2" a="1"/>
  <c r="I691" i="2" s="1"/>
  <c r="I692" i="2" a="1"/>
  <c r="I692" i="2" s="1"/>
  <c r="I693" i="2" a="1"/>
  <c r="I693" i="2" s="1"/>
  <c r="I694" i="2" a="1"/>
  <c r="I694" i="2" s="1"/>
  <c r="I695" i="2" a="1"/>
  <c r="I695" i="2" s="1"/>
  <c r="I696" i="2" a="1"/>
  <c r="I696" i="2" s="1"/>
  <c r="I697" i="2" a="1"/>
  <c r="I697" i="2" s="1"/>
  <c r="I698" i="2" a="1"/>
  <c r="I698" i="2" s="1"/>
  <c r="I699" i="2" a="1"/>
  <c r="I699" i="2" s="1"/>
  <c r="I700" i="2" a="1"/>
  <c r="I700" i="2" s="1"/>
  <c r="I701" i="2" a="1"/>
  <c r="I701" i="2" s="1"/>
  <c r="I702" i="2" a="1"/>
  <c r="I702" i="2" s="1"/>
  <c r="I703" i="2" a="1"/>
  <c r="I703" i="2" s="1"/>
  <c r="I704" i="2" a="1"/>
  <c r="I704" i="2" s="1"/>
  <c r="I705" i="2" a="1"/>
  <c r="I705" i="2" s="1"/>
  <c r="I706" i="2" a="1"/>
  <c r="I706" i="2" s="1"/>
  <c r="I707" i="2" a="1"/>
  <c r="I707" i="2" s="1"/>
  <c r="I708" i="2" a="1"/>
  <c r="I708" i="2" s="1"/>
  <c r="I709" i="2" a="1"/>
  <c r="I709" i="2" s="1"/>
  <c r="I710" i="2" a="1"/>
  <c r="I710" i="2" s="1"/>
  <c r="I711" i="2" a="1"/>
  <c r="I711" i="2" s="1"/>
  <c r="I712" i="2" a="1"/>
  <c r="I712" i="2" s="1"/>
  <c r="I713" i="2" a="1"/>
  <c r="I713" i="2" s="1"/>
  <c r="I714" i="2" a="1"/>
  <c r="I714" i="2" s="1"/>
  <c r="I715" i="2" a="1"/>
  <c r="I715" i="2" s="1"/>
  <c r="I716" i="2" a="1"/>
  <c r="I716" i="2" s="1"/>
  <c r="I717" i="2" a="1"/>
  <c r="I717" i="2" s="1"/>
  <c r="I718" i="2" a="1"/>
  <c r="I718" i="2" s="1"/>
  <c r="I719" i="2" a="1"/>
  <c r="I719" i="2" s="1"/>
  <c r="I720" i="2" a="1"/>
  <c r="I720" i="2" s="1"/>
  <c r="I721" i="2" a="1"/>
  <c r="I721" i="2" s="1"/>
  <c r="I722" i="2" a="1"/>
  <c r="I722" i="2" s="1"/>
  <c r="I723" i="2" a="1"/>
  <c r="I723" i="2" s="1"/>
  <c r="I724" i="2" a="1"/>
  <c r="I724" i="2" s="1"/>
  <c r="I725" i="2" a="1"/>
  <c r="I725" i="2" s="1"/>
  <c r="I726" i="2" a="1"/>
  <c r="I726" i="2" s="1"/>
  <c r="I727" i="2" a="1"/>
  <c r="I727" i="2" s="1"/>
  <c r="I728" i="2" a="1"/>
  <c r="I728" i="2" s="1"/>
  <c r="I729" i="2" a="1"/>
  <c r="I729" i="2" s="1"/>
  <c r="I730" i="2" a="1"/>
  <c r="I730" i="2" s="1"/>
  <c r="I731" i="2" a="1"/>
  <c r="I731" i="2" s="1"/>
  <c r="I732" i="2" a="1"/>
  <c r="I732" i="2" s="1"/>
  <c r="I733" i="2" a="1"/>
  <c r="I733" i="2" s="1"/>
  <c r="I734" i="2" a="1"/>
  <c r="I734" i="2" s="1"/>
  <c r="I735" i="2" a="1"/>
  <c r="I735" i="2" s="1"/>
  <c r="I736" i="2" a="1"/>
  <c r="I736" i="2" s="1"/>
  <c r="I737" i="2" a="1"/>
  <c r="I737" i="2" s="1"/>
  <c r="I738" i="2" a="1"/>
  <c r="I738" i="2" s="1"/>
  <c r="I739" i="2" a="1"/>
  <c r="I739" i="2" s="1"/>
  <c r="I740" i="2" a="1"/>
  <c r="I740" i="2" s="1"/>
  <c r="I741" i="2" a="1"/>
  <c r="I741" i="2" s="1"/>
  <c r="I742" i="2" a="1"/>
  <c r="I742" i="2" s="1"/>
  <c r="I743" i="2" a="1"/>
  <c r="I743" i="2" s="1"/>
  <c r="I744" i="2" a="1"/>
  <c r="I744" i="2" s="1"/>
  <c r="I745" i="2" a="1"/>
  <c r="I745" i="2" s="1"/>
  <c r="I746" i="2" a="1"/>
  <c r="I746" i="2" s="1"/>
  <c r="I747" i="2" a="1"/>
  <c r="I747" i="2" s="1"/>
  <c r="I748" i="2" a="1"/>
  <c r="I748" i="2" s="1"/>
  <c r="I749" i="2" a="1"/>
  <c r="I749" i="2" s="1"/>
  <c r="I750" i="2" a="1"/>
  <c r="I750" i="2" s="1"/>
  <c r="I751" i="2" a="1"/>
  <c r="I751" i="2" s="1"/>
  <c r="I752" i="2" a="1"/>
  <c r="I752" i="2" s="1"/>
  <c r="I753" i="2" a="1"/>
  <c r="I753" i="2" s="1"/>
  <c r="I754" i="2" a="1"/>
  <c r="I754" i="2" s="1"/>
  <c r="I755" i="2" a="1"/>
  <c r="I755" i="2" s="1"/>
  <c r="I756" i="2" a="1"/>
  <c r="I756" i="2" s="1"/>
  <c r="I757" i="2" a="1"/>
  <c r="I757" i="2" s="1"/>
  <c r="I758" i="2" a="1"/>
  <c r="I758" i="2" s="1"/>
  <c r="I759" i="2" a="1"/>
  <c r="I759" i="2" s="1"/>
  <c r="I760" i="2" a="1"/>
  <c r="I760" i="2" s="1"/>
  <c r="I761" i="2" a="1"/>
  <c r="I761" i="2" s="1"/>
  <c r="I762" i="2" a="1"/>
  <c r="I762" i="2" s="1"/>
  <c r="I763" i="2" a="1"/>
  <c r="I763" i="2" s="1"/>
  <c r="I764" i="2" a="1"/>
  <c r="I764" i="2" s="1"/>
  <c r="I765" i="2" a="1"/>
  <c r="I765" i="2" s="1"/>
  <c r="I766" i="2" a="1"/>
  <c r="I766" i="2" s="1"/>
  <c r="I767" i="2" a="1"/>
  <c r="I767" i="2" s="1"/>
  <c r="I768" i="2" a="1"/>
  <c r="I768" i="2" s="1"/>
  <c r="I769" i="2" a="1"/>
  <c r="I769" i="2" s="1"/>
  <c r="I770" i="2" a="1"/>
  <c r="I770" i="2" s="1"/>
  <c r="I771" i="2" a="1"/>
  <c r="I771" i="2" s="1"/>
  <c r="I772" i="2" a="1"/>
  <c r="I772" i="2" s="1"/>
  <c r="I773" i="2" a="1"/>
  <c r="I773" i="2" s="1"/>
  <c r="I774" i="2" a="1"/>
  <c r="I774" i="2" s="1"/>
  <c r="I775" i="2" a="1"/>
  <c r="I775" i="2" s="1"/>
  <c r="I776" i="2" a="1"/>
  <c r="I776" i="2" s="1"/>
  <c r="I777" i="2" a="1"/>
  <c r="I777" i="2" s="1"/>
  <c r="I778" i="2" a="1"/>
  <c r="I778" i="2" s="1"/>
  <c r="I779" i="2" a="1"/>
  <c r="I779" i="2" s="1"/>
  <c r="I780" i="2" a="1"/>
  <c r="I780" i="2" s="1"/>
  <c r="I781" i="2" a="1"/>
  <c r="I781" i="2" s="1"/>
  <c r="I782" i="2" a="1"/>
  <c r="I782" i="2" s="1"/>
  <c r="I783" i="2" a="1"/>
  <c r="I783" i="2" s="1"/>
  <c r="I784" i="2" a="1"/>
  <c r="I784" i="2" s="1"/>
  <c r="I785" i="2" a="1"/>
  <c r="I785" i="2" s="1"/>
  <c r="I786" i="2" a="1"/>
  <c r="I786" i="2" s="1"/>
  <c r="I787" i="2" a="1"/>
  <c r="I787" i="2" s="1"/>
  <c r="I788" i="2" a="1"/>
  <c r="I788" i="2" s="1"/>
  <c r="I789" i="2" a="1"/>
  <c r="I789" i="2" s="1"/>
  <c r="I790" i="2" a="1"/>
  <c r="I790" i="2" s="1"/>
  <c r="I791" i="2" a="1"/>
  <c r="I791" i="2" s="1"/>
  <c r="I792" i="2" a="1"/>
  <c r="I792" i="2" s="1"/>
  <c r="I793" i="2" a="1"/>
  <c r="I793" i="2" s="1"/>
  <c r="I794" i="2" a="1"/>
  <c r="I794" i="2" s="1"/>
  <c r="I795" i="2" a="1"/>
  <c r="I795" i="2" s="1"/>
  <c r="I796" i="2" a="1"/>
  <c r="I796" i="2" s="1"/>
  <c r="I797" i="2" a="1"/>
  <c r="I797" i="2" s="1"/>
  <c r="I798" i="2" a="1"/>
  <c r="I798" i="2" s="1"/>
  <c r="I799" i="2" a="1"/>
  <c r="I799" i="2" s="1"/>
  <c r="I800" i="2" a="1"/>
  <c r="I800" i="2" s="1"/>
  <c r="I801" i="2" a="1"/>
  <c r="I801" i="2" s="1"/>
  <c r="I802" i="2" a="1"/>
  <c r="I802" i="2" s="1"/>
  <c r="I803" i="2" a="1"/>
  <c r="I803" i="2" s="1"/>
  <c r="I804" i="2" a="1"/>
  <c r="I804" i="2" s="1"/>
  <c r="I805" i="2" a="1"/>
  <c r="I805" i="2" s="1"/>
  <c r="I806" i="2" a="1"/>
  <c r="I806" i="2" s="1"/>
  <c r="I807" i="2" a="1"/>
  <c r="I807" i="2" s="1"/>
  <c r="I808" i="2" a="1"/>
  <c r="I808" i="2" s="1"/>
  <c r="I809" i="2" a="1"/>
  <c r="I809" i="2" s="1"/>
  <c r="I810" i="2" a="1"/>
  <c r="I810" i="2" s="1"/>
  <c r="I811" i="2" a="1"/>
  <c r="I811" i="2" s="1"/>
  <c r="I812" i="2" a="1"/>
  <c r="I812" i="2" s="1"/>
  <c r="I813" i="2" a="1"/>
  <c r="I813" i="2" s="1"/>
  <c r="I814" i="2" a="1"/>
  <c r="I814" i="2" s="1"/>
  <c r="I815" i="2" a="1"/>
  <c r="I815" i="2" s="1"/>
  <c r="I816" i="2" a="1"/>
  <c r="I816" i="2" s="1"/>
  <c r="I817" i="2" a="1"/>
  <c r="I817" i="2" s="1"/>
  <c r="I818" i="2" a="1"/>
  <c r="I818" i="2" s="1"/>
  <c r="I819" i="2" a="1"/>
  <c r="I819" i="2" s="1"/>
  <c r="I820" i="2" a="1"/>
  <c r="I820" i="2" s="1"/>
  <c r="I821" i="2" a="1"/>
  <c r="I821" i="2" s="1"/>
  <c r="I822" i="2" a="1"/>
  <c r="I822" i="2" s="1"/>
  <c r="I823" i="2" a="1"/>
  <c r="I823" i="2" s="1"/>
  <c r="I824" i="2" a="1"/>
  <c r="I824" i="2" s="1"/>
  <c r="I825" i="2" a="1"/>
  <c r="I825" i="2" s="1"/>
  <c r="I826" i="2" a="1"/>
  <c r="I826" i="2" s="1"/>
  <c r="I827" i="2" a="1"/>
  <c r="I827" i="2" s="1"/>
  <c r="I828" i="2" a="1"/>
  <c r="I828" i="2" s="1"/>
  <c r="I829" i="2" a="1"/>
  <c r="I829" i="2" s="1"/>
  <c r="I830" i="2" a="1"/>
  <c r="I830" i="2" s="1"/>
  <c r="I831" i="2" a="1"/>
  <c r="I831" i="2" s="1"/>
  <c r="I832" i="2" a="1"/>
  <c r="I832" i="2" s="1"/>
  <c r="I833" i="2" a="1"/>
  <c r="I833" i="2" s="1"/>
  <c r="I834" i="2" a="1"/>
  <c r="I834" i="2" s="1"/>
  <c r="I835" i="2" a="1"/>
  <c r="I835" i="2" s="1"/>
  <c r="I836" i="2" a="1"/>
  <c r="I836" i="2" s="1"/>
  <c r="I837" i="2" a="1"/>
  <c r="I837" i="2" s="1"/>
  <c r="I838" i="2" a="1"/>
  <c r="I838" i="2" s="1"/>
  <c r="I839" i="2" a="1"/>
  <c r="I839" i="2" s="1"/>
  <c r="I840" i="2" a="1"/>
  <c r="I840" i="2" s="1"/>
  <c r="I841" i="2" a="1"/>
  <c r="I841" i="2" s="1"/>
  <c r="I842" i="2" a="1"/>
  <c r="I842" i="2" s="1"/>
  <c r="I843" i="2" a="1"/>
  <c r="I843" i="2" s="1"/>
  <c r="I844" i="2" a="1"/>
  <c r="I844" i="2" s="1"/>
  <c r="I845" i="2" a="1"/>
  <c r="I845" i="2" s="1"/>
  <c r="I846" i="2" a="1"/>
  <c r="I846" i="2" s="1"/>
  <c r="I847" i="2" a="1"/>
  <c r="I847" i="2" s="1"/>
  <c r="I848" i="2" a="1"/>
  <c r="I848" i="2" s="1"/>
  <c r="I849" i="2" a="1"/>
  <c r="I849" i="2" s="1"/>
  <c r="I850" i="2" a="1"/>
  <c r="I850" i="2" s="1"/>
  <c r="I851" i="2" a="1"/>
  <c r="I851" i="2" s="1"/>
  <c r="I852" i="2" a="1"/>
  <c r="I852" i="2" s="1"/>
  <c r="I853" i="2" a="1"/>
  <c r="I853" i="2" s="1"/>
  <c r="I854" i="2" a="1"/>
  <c r="I854" i="2" s="1"/>
  <c r="I855" i="2" a="1"/>
  <c r="I855" i="2" s="1"/>
  <c r="I856" i="2" a="1"/>
  <c r="I856" i="2" s="1"/>
  <c r="I857" i="2" a="1"/>
  <c r="I857" i="2" s="1"/>
  <c r="I858" i="2" a="1"/>
  <c r="I858" i="2" s="1"/>
  <c r="I859" i="2" a="1"/>
  <c r="I859" i="2" s="1"/>
  <c r="I860" i="2" a="1"/>
  <c r="I860" i="2" s="1"/>
  <c r="I861" i="2" a="1"/>
  <c r="I861" i="2" s="1"/>
  <c r="I862" i="2" a="1"/>
  <c r="I862" i="2" s="1"/>
  <c r="I863" i="2" a="1"/>
  <c r="I863" i="2" s="1"/>
  <c r="I864" i="2" a="1"/>
  <c r="I864" i="2" s="1"/>
  <c r="I865" i="2" a="1"/>
  <c r="I865" i="2" s="1"/>
  <c r="I866" i="2" a="1"/>
  <c r="I866" i="2" s="1"/>
  <c r="I867" i="2" a="1"/>
  <c r="I867" i="2" s="1"/>
  <c r="I868" i="2" a="1"/>
  <c r="I868" i="2" s="1"/>
  <c r="I869" i="2" a="1"/>
  <c r="I869" i="2" s="1"/>
  <c r="I870" i="2" a="1"/>
  <c r="I870" i="2" s="1"/>
  <c r="I871" i="2" a="1"/>
  <c r="I871" i="2" s="1"/>
  <c r="I872" i="2" a="1"/>
  <c r="I872" i="2" s="1"/>
  <c r="I873" i="2" a="1"/>
  <c r="I873" i="2" s="1"/>
  <c r="I874" i="2" a="1"/>
  <c r="I874" i="2" s="1"/>
  <c r="I875" i="2" a="1"/>
  <c r="I875" i="2" s="1"/>
  <c r="I876" i="2" a="1"/>
  <c r="I876" i="2" s="1"/>
  <c r="I877" i="2" a="1"/>
  <c r="I877" i="2" s="1"/>
  <c r="I878" i="2" a="1"/>
  <c r="I878" i="2" s="1"/>
  <c r="I879" i="2" a="1"/>
  <c r="I879" i="2" s="1"/>
  <c r="I880" i="2" a="1"/>
  <c r="I880" i="2" s="1"/>
  <c r="I881" i="2" a="1"/>
  <c r="I881" i="2" s="1"/>
  <c r="I882" i="2" a="1"/>
  <c r="I882" i="2" s="1"/>
  <c r="I883" i="2" a="1"/>
  <c r="I883" i="2" s="1"/>
  <c r="I884" i="2" a="1"/>
  <c r="I884" i="2" s="1"/>
  <c r="I885" i="2" a="1"/>
  <c r="I885" i="2" s="1"/>
  <c r="I886" i="2" a="1"/>
  <c r="I886" i="2" s="1"/>
  <c r="I887" i="2" a="1"/>
  <c r="I887" i="2" s="1"/>
  <c r="I888" i="2" a="1"/>
  <c r="I888" i="2" s="1"/>
  <c r="I889" i="2" a="1"/>
  <c r="I889" i="2" s="1"/>
  <c r="I890" i="2" a="1"/>
  <c r="I890" i="2" s="1"/>
  <c r="I891" i="2" a="1"/>
  <c r="I891" i="2" s="1"/>
  <c r="I892" i="2" a="1"/>
  <c r="I892" i="2" s="1"/>
  <c r="I893" i="2" a="1"/>
  <c r="I893" i="2" s="1"/>
  <c r="I894" i="2" a="1"/>
  <c r="I894" i="2" s="1"/>
  <c r="I895" i="2" a="1"/>
  <c r="I895" i="2" s="1"/>
  <c r="I896" i="2" a="1"/>
  <c r="I896" i="2" s="1"/>
  <c r="I897" i="2" a="1"/>
  <c r="I897" i="2" s="1"/>
  <c r="I898" i="2" a="1"/>
  <c r="I898" i="2" s="1"/>
  <c r="I899" i="2" a="1"/>
  <c r="I899" i="2" s="1"/>
  <c r="I900" i="2" a="1"/>
  <c r="I900" i="2" s="1"/>
  <c r="I901" i="2" a="1"/>
  <c r="I901" i="2" s="1"/>
  <c r="I902" i="2" a="1"/>
  <c r="I902" i="2" s="1"/>
  <c r="I903" i="2" a="1"/>
  <c r="I903" i="2" s="1"/>
  <c r="I904" i="2" a="1"/>
  <c r="I904" i="2" s="1"/>
  <c r="I905" i="2" a="1"/>
  <c r="I905" i="2" s="1"/>
  <c r="I906" i="2" a="1"/>
  <c r="I906" i="2" s="1"/>
  <c r="I907" i="2" a="1"/>
  <c r="I907" i="2" s="1"/>
  <c r="I908" i="2" a="1"/>
  <c r="I908" i="2" s="1"/>
  <c r="I909" i="2" a="1"/>
  <c r="I909" i="2" s="1"/>
  <c r="I910" i="2" a="1"/>
  <c r="I910" i="2" s="1"/>
  <c r="I911" i="2" a="1"/>
  <c r="I911" i="2" s="1"/>
  <c r="I912" i="2" a="1"/>
  <c r="I912" i="2" s="1"/>
  <c r="I913" i="2" a="1"/>
  <c r="I913" i="2" s="1"/>
  <c r="I914" i="2" a="1"/>
  <c r="I914" i="2" s="1"/>
  <c r="I915" i="2" a="1"/>
  <c r="I915" i="2" s="1"/>
  <c r="I916" i="2" a="1"/>
  <c r="I916" i="2" s="1"/>
  <c r="I917" i="2" a="1"/>
  <c r="I917" i="2" s="1"/>
  <c r="I918" i="2" a="1"/>
  <c r="I918" i="2" s="1"/>
  <c r="I919" i="2" a="1"/>
  <c r="I919" i="2" s="1"/>
  <c r="I920" i="2" a="1"/>
  <c r="I920" i="2" s="1"/>
  <c r="I921" i="2" a="1"/>
  <c r="I921" i="2" s="1"/>
  <c r="I922" i="2" a="1"/>
  <c r="I922" i="2" s="1"/>
  <c r="I923" i="2" a="1"/>
  <c r="I923" i="2" s="1"/>
  <c r="I924" i="2" a="1"/>
  <c r="I924" i="2" s="1"/>
  <c r="I925" i="2" a="1"/>
  <c r="I925" i="2" s="1"/>
  <c r="I926" i="2" a="1"/>
  <c r="I926" i="2" s="1"/>
  <c r="I927" i="2" a="1"/>
  <c r="I927" i="2" s="1"/>
  <c r="I928" i="2" a="1"/>
  <c r="I928" i="2" s="1"/>
  <c r="I929" i="2" a="1"/>
  <c r="I929" i="2" s="1"/>
  <c r="I930" i="2" a="1"/>
  <c r="I930" i="2" s="1"/>
  <c r="I931" i="2" a="1"/>
  <c r="I931" i="2" s="1"/>
  <c r="I932" i="2" a="1"/>
  <c r="I932" i="2" s="1"/>
  <c r="I933" i="2" a="1"/>
  <c r="I933" i="2" s="1"/>
  <c r="I934" i="2" a="1"/>
  <c r="I934" i="2" s="1"/>
  <c r="I935" i="2" a="1"/>
  <c r="I935" i="2" s="1"/>
  <c r="I936" i="2" a="1"/>
  <c r="I936" i="2" s="1"/>
  <c r="I937" i="2" a="1"/>
  <c r="I937" i="2" s="1"/>
  <c r="I938" i="2" a="1"/>
  <c r="I938" i="2" s="1"/>
  <c r="I939" i="2" a="1"/>
  <c r="I939" i="2" s="1"/>
  <c r="I940" i="2" a="1"/>
  <c r="I940" i="2" s="1"/>
  <c r="I941" i="2" a="1"/>
  <c r="I941" i="2" s="1"/>
  <c r="I942" i="2" a="1"/>
  <c r="I942" i="2" s="1"/>
  <c r="I943" i="2" a="1"/>
  <c r="I943" i="2" s="1"/>
  <c r="I944" i="2" a="1"/>
  <c r="I944" i="2" s="1"/>
  <c r="I945" i="2" a="1"/>
  <c r="I945" i="2" s="1"/>
  <c r="I946" i="2" a="1"/>
  <c r="I946" i="2" s="1"/>
  <c r="I947" i="2" a="1"/>
  <c r="I947" i="2" s="1"/>
  <c r="I948" i="2" a="1"/>
  <c r="I948" i="2" s="1"/>
  <c r="I949" i="2" a="1"/>
  <c r="I949" i="2" s="1"/>
  <c r="I950" i="2" a="1"/>
  <c r="I950" i="2" s="1"/>
  <c r="I951" i="2" a="1"/>
  <c r="I951" i="2" s="1"/>
  <c r="I952" i="2" a="1"/>
  <c r="I952" i="2" s="1"/>
  <c r="I953" i="2" a="1"/>
  <c r="I953" i="2" s="1"/>
  <c r="I954" i="2" a="1"/>
  <c r="I954" i="2" s="1"/>
  <c r="I955" i="2" a="1"/>
  <c r="I955" i="2" s="1"/>
  <c r="I956" i="2" a="1"/>
  <c r="I956" i="2" s="1"/>
  <c r="I957" i="2" a="1"/>
  <c r="I957" i="2" s="1"/>
  <c r="I958" i="2" a="1"/>
  <c r="I958" i="2" s="1"/>
  <c r="I959" i="2" a="1"/>
  <c r="I959" i="2" s="1"/>
  <c r="I960" i="2" a="1"/>
  <c r="I960" i="2" s="1"/>
  <c r="I961" i="2" a="1"/>
  <c r="I961" i="2" s="1"/>
  <c r="I962" i="2" a="1"/>
  <c r="I962" i="2" s="1"/>
  <c r="I963" i="2" a="1"/>
  <c r="I963" i="2" s="1"/>
  <c r="I964" i="2" a="1"/>
  <c r="I964" i="2" s="1"/>
  <c r="I965" i="2" a="1"/>
  <c r="I965" i="2" s="1"/>
  <c r="I966" i="2" a="1"/>
  <c r="I966" i="2" s="1"/>
  <c r="I967" i="2" a="1"/>
  <c r="I967" i="2" s="1"/>
  <c r="I968" i="2" a="1"/>
  <c r="I968" i="2" s="1"/>
  <c r="I969" i="2" a="1"/>
  <c r="I969" i="2" s="1"/>
  <c r="I970" i="2" a="1"/>
  <c r="I970" i="2" s="1"/>
  <c r="I971" i="2" a="1"/>
  <c r="I971" i="2" s="1"/>
  <c r="I972" i="2" a="1"/>
  <c r="I972" i="2" s="1"/>
  <c r="I973" i="2" a="1"/>
  <c r="I973" i="2" s="1"/>
  <c r="I974" i="2" a="1"/>
  <c r="I974" i="2" s="1"/>
  <c r="I975" i="2" a="1"/>
  <c r="I975" i="2" s="1"/>
  <c r="I976" i="2" a="1"/>
  <c r="I976" i="2" s="1"/>
  <c r="I977" i="2" a="1"/>
  <c r="I977" i="2" s="1"/>
  <c r="I978" i="2" a="1"/>
  <c r="I978" i="2" s="1"/>
  <c r="I979" i="2" a="1"/>
  <c r="I979" i="2" s="1"/>
  <c r="I980" i="2" a="1"/>
  <c r="I980" i="2" s="1"/>
  <c r="I981" i="2" a="1"/>
  <c r="I981" i="2" s="1"/>
  <c r="I982" i="2" a="1"/>
  <c r="I982" i="2" s="1"/>
  <c r="I983" i="2" a="1"/>
  <c r="I983" i="2" s="1"/>
  <c r="I984" i="2" a="1"/>
  <c r="I984" i="2" s="1"/>
  <c r="I985" i="2" a="1"/>
  <c r="I985" i="2" s="1"/>
  <c r="I986" i="2" a="1"/>
  <c r="I986" i="2" s="1"/>
  <c r="I987" i="2" a="1"/>
  <c r="I987" i="2" s="1"/>
  <c r="I988" i="2" a="1"/>
  <c r="I988" i="2" s="1"/>
  <c r="I989" i="2" a="1"/>
  <c r="I989" i="2" s="1"/>
  <c r="I990" i="2" a="1"/>
  <c r="I990" i="2" s="1"/>
  <c r="I991" i="2" a="1"/>
  <c r="I991" i="2" s="1"/>
  <c r="I992" i="2" a="1"/>
  <c r="I992" i="2" s="1"/>
  <c r="I993" i="2" a="1"/>
  <c r="I993" i="2" s="1"/>
  <c r="I994" i="2" a="1"/>
  <c r="I994" i="2" s="1"/>
  <c r="I995" i="2" a="1"/>
  <c r="I995" i="2" s="1"/>
  <c r="I996" i="2" a="1"/>
  <c r="I996" i="2" s="1"/>
  <c r="I997" i="2" a="1"/>
  <c r="I997" i="2" s="1"/>
  <c r="I998" i="2" a="1"/>
  <c r="I998" i="2" s="1"/>
  <c r="I999" i="2" a="1"/>
  <c r="I999" i="2" s="1"/>
  <c r="I1000" i="2" a="1"/>
  <c r="I1000" i="2" s="1"/>
  <c r="I1001" i="2" a="1"/>
  <c r="I1001" i="2" s="1"/>
  <c r="I1002" i="2" a="1"/>
  <c r="I1002" i="2" s="1"/>
  <c r="I1003" i="2" a="1"/>
  <c r="I1003" i="2" s="1"/>
  <c r="I1004" i="2" a="1"/>
  <c r="I1004" i="2" s="1"/>
  <c r="I1005" i="2" a="1"/>
  <c r="I1005" i="2" s="1"/>
  <c r="I1006" i="2" a="1"/>
  <c r="I1006" i="2" s="1"/>
  <c r="I1007" i="2" a="1"/>
  <c r="I1007" i="2" s="1"/>
  <c r="I1008" i="2" a="1"/>
  <c r="I1008" i="2" s="1"/>
  <c r="I1009" i="2" a="1"/>
  <c r="I1009" i="2" s="1"/>
  <c r="I1010" i="2" a="1"/>
  <c r="I1010" i="2" s="1"/>
  <c r="I1011" i="2" a="1"/>
  <c r="I1011" i="2" s="1"/>
  <c r="I1012" i="2" a="1"/>
  <c r="I1012" i="2" s="1"/>
  <c r="I1013" i="2" a="1"/>
  <c r="I1013" i="2" s="1"/>
  <c r="I1014" i="2" a="1"/>
  <c r="I1014" i="2" s="1"/>
  <c r="I1015" i="2" a="1"/>
  <c r="I1015" i="2" s="1"/>
  <c r="I1016" i="2" a="1"/>
  <c r="I1016" i="2" s="1"/>
  <c r="I1017" i="2" a="1"/>
  <c r="I1017" i="2" s="1"/>
  <c r="I1018" i="2" a="1"/>
  <c r="I1018" i="2" s="1"/>
  <c r="I1019" i="2" a="1"/>
  <c r="I1019" i="2" s="1"/>
  <c r="I1020" i="2" a="1"/>
  <c r="I1020" i="2" s="1"/>
  <c r="I1021" i="2" a="1"/>
  <c r="I1021" i="2" s="1"/>
  <c r="I1022" i="2" a="1"/>
  <c r="I1022" i="2" s="1"/>
  <c r="I1023" i="2" a="1"/>
  <c r="I1023" i="2" s="1"/>
  <c r="I1024" i="2" a="1"/>
  <c r="I1024" i="2" s="1"/>
  <c r="I1025" i="2" a="1"/>
  <c r="I1025" i="2" s="1"/>
  <c r="I1026" i="2" a="1"/>
  <c r="I1026" i="2" s="1"/>
  <c r="I1027" i="2" a="1"/>
  <c r="I1027" i="2" s="1"/>
  <c r="I1028" i="2" a="1"/>
  <c r="I1028" i="2" s="1"/>
  <c r="I1029" i="2" a="1"/>
  <c r="I1029" i="2" s="1"/>
  <c r="I1030" i="2" a="1"/>
  <c r="I1030" i="2" s="1"/>
  <c r="I1031" i="2" a="1"/>
  <c r="I1031" i="2" s="1"/>
  <c r="I1032" i="2" a="1"/>
  <c r="I1032" i="2" s="1"/>
  <c r="I1033" i="2" a="1"/>
  <c r="I1033" i="2" s="1"/>
  <c r="I1034" i="2" a="1"/>
  <c r="I1034" i="2" s="1"/>
  <c r="I1035" i="2" a="1"/>
  <c r="I1035" i="2" s="1"/>
  <c r="I1036" i="2" a="1"/>
  <c r="I1036" i="2" s="1"/>
  <c r="I1037" i="2" a="1"/>
  <c r="I1037" i="2" s="1"/>
  <c r="I1038" i="2" a="1"/>
  <c r="I1038" i="2" s="1"/>
  <c r="I1039" i="2" a="1"/>
  <c r="I1039" i="2" s="1"/>
  <c r="I1040" i="2" a="1"/>
  <c r="I1040" i="2" s="1"/>
  <c r="I1041" i="2" a="1"/>
  <c r="I1041" i="2" s="1"/>
  <c r="I1042" i="2" a="1"/>
  <c r="I1042" i="2" s="1"/>
  <c r="I1043" i="2" a="1"/>
  <c r="I1043" i="2" s="1"/>
  <c r="I1044" i="2" a="1"/>
  <c r="I1044" i="2" s="1"/>
  <c r="I1045" i="2" a="1"/>
  <c r="I1045" i="2" s="1"/>
  <c r="I1046" i="2" a="1"/>
  <c r="I1046" i="2" s="1"/>
  <c r="I1047" i="2" a="1"/>
  <c r="I1047" i="2" s="1"/>
  <c r="I1048" i="2" a="1"/>
  <c r="I1048" i="2" s="1"/>
  <c r="I1049" i="2" a="1"/>
  <c r="I1049" i="2" s="1"/>
  <c r="I1050" i="2" a="1"/>
  <c r="I1050" i="2" s="1"/>
  <c r="I1051" i="2" a="1"/>
  <c r="I1051" i="2" s="1"/>
  <c r="I1052" i="2" a="1"/>
  <c r="I1052" i="2" s="1"/>
  <c r="I1053" i="2" a="1"/>
  <c r="I1053" i="2" s="1"/>
  <c r="I1054" i="2" a="1"/>
  <c r="I1054" i="2" s="1"/>
  <c r="I1055" i="2" a="1"/>
  <c r="I1055" i="2" s="1"/>
  <c r="I1056" i="2" a="1"/>
  <c r="I1056" i="2" s="1"/>
  <c r="I1057" i="2" a="1"/>
  <c r="I1057" i="2" s="1"/>
  <c r="I1058" i="2" a="1"/>
  <c r="I1058" i="2" s="1"/>
  <c r="I1059" i="2" a="1"/>
  <c r="I1059" i="2" s="1"/>
  <c r="I1060" i="2" a="1"/>
  <c r="I1060" i="2" s="1"/>
  <c r="I1061" i="2" a="1"/>
  <c r="I1061" i="2" s="1"/>
  <c r="I1062" i="2" a="1"/>
  <c r="I1062" i="2" s="1"/>
  <c r="I1063" i="2" a="1"/>
  <c r="I1063" i="2" s="1"/>
  <c r="I1064" i="2" a="1"/>
  <c r="I1064" i="2" s="1"/>
  <c r="I1065" i="2" a="1"/>
  <c r="I1065" i="2" s="1"/>
  <c r="I1066" i="2" a="1"/>
  <c r="I1066" i="2" s="1"/>
  <c r="I1067" i="2" a="1"/>
  <c r="I1067" i="2" s="1"/>
  <c r="I1068" i="2" a="1"/>
  <c r="I1068" i="2" s="1"/>
  <c r="I1069" i="2" a="1"/>
  <c r="I1069" i="2" s="1"/>
  <c r="I1070" i="2" a="1"/>
  <c r="I1070" i="2" s="1"/>
  <c r="I1071" i="2" a="1"/>
  <c r="I1071" i="2" s="1"/>
  <c r="I1072" i="2" a="1"/>
  <c r="I1072" i="2" s="1"/>
  <c r="I1073" i="2" a="1"/>
  <c r="I1073" i="2" s="1"/>
  <c r="I1074" i="2" a="1"/>
  <c r="I1074" i="2" s="1"/>
  <c r="I1075" i="2" a="1"/>
  <c r="I1075" i="2" s="1"/>
  <c r="I1076" i="2" a="1"/>
  <c r="I1076" i="2" s="1"/>
  <c r="I1077" i="2" a="1"/>
  <c r="I1077" i="2" s="1"/>
  <c r="I1078" i="2" a="1"/>
  <c r="I1078" i="2" s="1"/>
  <c r="I1079" i="2" a="1"/>
  <c r="I1079" i="2" s="1"/>
  <c r="I1080" i="2" a="1"/>
  <c r="I1080" i="2" s="1"/>
  <c r="I1081" i="2" a="1"/>
  <c r="I1081" i="2" s="1"/>
  <c r="I1082" i="2" a="1"/>
  <c r="I1082" i="2" s="1"/>
  <c r="I1083" i="2" a="1"/>
  <c r="I1083" i="2" s="1"/>
  <c r="I1084" i="2" a="1"/>
  <c r="I1084" i="2" s="1"/>
  <c r="I1085" i="2" a="1"/>
  <c r="I1085" i="2" s="1"/>
  <c r="I1086" i="2" a="1"/>
  <c r="I1086" i="2" s="1"/>
  <c r="I1087" i="2" a="1"/>
  <c r="I1087" i="2" s="1"/>
  <c r="I1088" i="2" a="1"/>
  <c r="I1088" i="2" s="1"/>
  <c r="I1089" i="2" a="1"/>
  <c r="I1089" i="2" s="1"/>
  <c r="I1090" i="2" a="1"/>
  <c r="I1090" i="2" s="1"/>
  <c r="I1091" i="2" a="1"/>
  <c r="I1091" i="2" s="1"/>
  <c r="I1092" i="2" a="1"/>
  <c r="I1092" i="2" s="1"/>
  <c r="I1093" i="2" a="1"/>
  <c r="I1093" i="2" s="1"/>
  <c r="I1094" i="2" a="1"/>
  <c r="I1094" i="2" s="1"/>
  <c r="I1095" i="2" a="1"/>
  <c r="I1095" i="2" s="1"/>
  <c r="I1096" i="2" a="1"/>
  <c r="I1096" i="2" s="1"/>
  <c r="I1097" i="2" a="1"/>
  <c r="I1097" i="2" s="1"/>
  <c r="I1098" i="2" a="1"/>
  <c r="I1098" i="2" s="1"/>
  <c r="I1099" i="2" a="1"/>
  <c r="I1099" i="2" s="1"/>
  <c r="I1100" i="2" a="1"/>
  <c r="I1100" i="2" s="1"/>
  <c r="I1101" i="2" a="1"/>
  <c r="I1101" i="2" s="1"/>
  <c r="I1102" i="2" a="1"/>
  <c r="I1102" i="2" s="1"/>
  <c r="I1103" i="2" a="1"/>
  <c r="I1103" i="2" s="1"/>
  <c r="I1104" i="2" a="1"/>
  <c r="I1104" i="2" s="1"/>
  <c r="I1105" i="2" a="1"/>
  <c r="I1105" i="2" s="1"/>
  <c r="I1106" i="2" a="1"/>
  <c r="I1106" i="2" s="1"/>
  <c r="I1107" i="2" a="1"/>
  <c r="I1107" i="2" s="1"/>
  <c r="I1108" i="2" a="1"/>
  <c r="I1108" i="2" s="1"/>
  <c r="I1109" i="2" a="1"/>
  <c r="I1109" i="2" s="1"/>
  <c r="I1110" i="2" a="1"/>
  <c r="I1110" i="2" s="1"/>
  <c r="I1111" i="2" a="1"/>
  <c r="I1111" i="2" s="1"/>
  <c r="I1112" i="2" a="1"/>
  <c r="I1112" i="2" s="1"/>
  <c r="I1113" i="2" a="1"/>
  <c r="I1113" i="2" s="1"/>
  <c r="I1114" i="2" a="1"/>
  <c r="I1114" i="2" s="1"/>
  <c r="I1115" i="2" a="1"/>
  <c r="I1115" i="2" s="1"/>
  <c r="I1116" i="2" a="1"/>
  <c r="I1116" i="2" s="1"/>
  <c r="I1117" i="2" a="1"/>
  <c r="I1117" i="2" s="1"/>
  <c r="I1118" i="2" a="1"/>
  <c r="I1118" i="2" s="1"/>
  <c r="I1119" i="2" a="1"/>
  <c r="I1119" i="2" s="1"/>
  <c r="I1120" i="2" a="1"/>
  <c r="I1120" i="2" s="1"/>
  <c r="I1121" i="2" a="1"/>
  <c r="I1121" i="2" s="1"/>
  <c r="I1122" i="2" a="1"/>
  <c r="I1122" i="2" s="1"/>
  <c r="I1123" i="2" a="1"/>
  <c r="I1123" i="2" s="1"/>
  <c r="I1124" i="2" a="1"/>
  <c r="I1124" i="2" s="1"/>
  <c r="I1125" i="2" a="1"/>
  <c r="I1125" i="2" s="1"/>
  <c r="I1126" i="2" a="1"/>
  <c r="I1126" i="2" s="1"/>
  <c r="I1127" i="2" a="1"/>
  <c r="I1127" i="2" s="1"/>
  <c r="I1128" i="2" a="1"/>
  <c r="I1128" i="2" s="1"/>
  <c r="I1129" i="2" a="1"/>
  <c r="I1129" i="2" s="1"/>
  <c r="I1130" i="2" a="1"/>
  <c r="I1130" i="2" s="1"/>
  <c r="I1131" i="2" a="1"/>
  <c r="I1131" i="2" s="1"/>
  <c r="I1132" i="2" a="1"/>
  <c r="I1132" i="2" s="1"/>
  <c r="I1133" i="2" a="1"/>
  <c r="I1133" i="2" s="1"/>
  <c r="I1134" i="2" a="1"/>
  <c r="I1134" i="2" s="1"/>
  <c r="I1135" i="2" a="1"/>
  <c r="I1135" i="2" s="1"/>
  <c r="I1136" i="2" a="1"/>
  <c r="I1136" i="2" s="1"/>
  <c r="I1137" i="2" a="1"/>
  <c r="I1137" i="2" s="1"/>
  <c r="I1138" i="2" a="1"/>
  <c r="I1138" i="2" s="1"/>
  <c r="I1139" i="2" a="1"/>
  <c r="I1139" i="2" s="1"/>
  <c r="I1140" i="2" a="1"/>
  <c r="I1140" i="2" s="1"/>
  <c r="I1141" i="2" a="1"/>
  <c r="I1141" i="2" s="1"/>
  <c r="I1142" i="2" a="1"/>
  <c r="I1142" i="2" s="1"/>
  <c r="I1143" i="2" a="1"/>
  <c r="I1143" i="2" s="1"/>
  <c r="I1144" i="2" a="1"/>
  <c r="I1144" i="2" s="1"/>
  <c r="I1145" i="2" a="1"/>
  <c r="I1145" i="2" s="1"/>
  <c r="I1146" i="2" a="1"/>
  <c r="I1146" i="2" s="1"/>
  <c r="I1147" i="2" a="1"/>
  <c r="I1147" i="2" s="1"/>
  <c r="I1148" i="2" a="1"/>
  <c r="I1148" i="2" s="1"/>
  <c r="I1149" i="2" a="1"/>
  <c r="I1149" i="2" s="1"/>
  <c r="I1150" i="2" a="1"/>
  <c r="I1150" i="2" s="1"/>
  <c r="I1151" i="2" a="1"/>
  <c r="I1151" i="2" s="1"/>
  <c r="I1152" i="2" a="1"/>
  <c r="I1152" i="2" s="1"/>
  <c r="I1153" i="2" a="1"/>
  <c r="I1153" i="2" s="1"/>
  <c r="I1154" i="2" a="1"/>
  <c r="I1154" i="2" s="1"/>
  <c r="I1155" i="2" a="1"/>
  <c r="I1155" i="2" s="1"/>
  <c r="I1156" i="2" a="1"/>
  <c r="I1156" i="2" s="1"/>
  <c r="I1157" i="2" a="1"/>
  <c r="I1157" i="2" s="1"/>
  <c r="I1158" i="2" a="1"/>
  <c r="I1158" i="2" s="1"/>
  <c r="I1159" i="2" a="1"/>
  <c r="I1159" i="2" s="1"/>
  <c r="I1160" i="2" a="1"/>
  <c r="I1160" i="2" s="1"/>
  <c r="I1161" i="2" a="1"/>
  <c r="I1161" i="2" s="1"/>
  <c r="I1162" i="2" a="1"/>
  <c r="I1162" i="2" s="1"/>
  <c r="I1163" i="2" a="1"/>
  <c r="I1163" i="2" s="1"/>
  <c r="I1164" i="2" a="1"/>
  <c r="I1164" i="2" s="1"/>
  <c r="I1165" i="2" a="1"/>
  <c r="I1165" i="2" s="1"/>
  <c r="I1166" i="2" a="1"/>
  <c r="I1166" i="2" s="1"/>
  <c r="I1167" i="2" a="1"/>
  <c r="I1167" i="2" s="1"/>
  <c r="I1168" i="2" a="1"/>
  <c r="I1168" i="2" s="1"/>
  <c r="I1169" i="2" a="1"/>
  <c r="I1169" i="2" s="1"/>
  <c r="I1170" i="2" a="1"/>
  <c r="I1170" i="2" s="1"/>
  <c r="I1171" i="2" a="1"/>
  <c r="I1171" i="2" s="1"/>
  <c r="I1172" i="2" a="1"/>
  <c r="I1172" i="2" s="1"/>
  <c r="I1173" i="2" a="1"/>
  <c r="I1173" i="2" s="1"/>
  <c r="I1174" i="2" a="1"/>
  <c r="I1174" i="2" s="1"/>
  <c r="I1175" i="2" a="1"/>
  <c r="I1175" i="2" s="1"/>
  <c r="I1176" i="2" a="1"/>
  <c r="I1176" i="2" s="1"/>
  <c r="I1177" i="2" a="1"/>
  <c r="I1177" i="2" s="1"/>
  <c r="I1178" i="2" a="1"/>
  <c r="I1178" i="2" s="1"/>
  <c r="I1179" i="2" a="1"/>
  <c r="I1179" i="2" s="1"/>
  <c r="I1180" i="2" a="1"/>
  <c r="I1180" i="2" s="1"/>
  <c r="I1181" i="2" a="1"/>
  <c r="I1181" i="2" s="1"/>
  <c r="I1182" i="2" a="1"/>
  <c r="I1182" i="2" s="1"/>
  <c r="I1183" i="2" a="1"/>
  <c r="I1183" i="2" s="1"/>
  <c r="I1184" i="2" a="1"/>
  <c r="I1184" i="2" s="1"/>
  <c r="I1185" i="2" a="1"/>
  <c r="I1185" i="2" s="1"/>
  <c r="I1186" i="2" a="1"/>
  <c r="I1186" i="2" s="1"/>
  <c r="I1187" i="2" a="1"/>
  <c r="I1187" i="2" s="1"/>
  <c r="I1188" i="2" a="1"/>
  <c r="I1188" i="2" s="1"/>
  <c r="I1189" i="2" a="1"/>
  <c r="I1189" i="2" s="1"/>
  <c r="I1190" i="2" a="1"/>
  <c r="I1190" i="2" s="1"/>
  <c r="I1191" i="2" a="1"/>
  <c r="I1191" i="2" s="1"/>
  <c r="I1192" i="2" a="1"/>
  <c r="I1192" i="2" s="1"/>
  <c r="I1193" i="2" a="1"/>
  <c r="I1193" i="2" s="1"/>
  <c r="I1194" i="2" a="1"/>
  <c r="I1194" i="2" s="1"/>
  <c r="I1195" i="2" a="1"/>
  <c r="I1195" i="2" s="1"/>
  <c r="I1196" i="2" a="1"/>
  <c r="I1196" i="2" s="1"/>
  <c r="I1197" i="2" a="1"/>
  <c r="I1197" i="2" s="1"/>
  <c r="I1198" i="2" a="1"/>
  <c r="I1198" i="2" s="1"/>
  <c r="I1199" i="2" a="1"/>
  <c r="I1199" i="2" s="1"/>
  <c r="I1200" i="2" a="1"/>
  <c r="I1200" i="2" s="1"/>
  <c r="I1201" i="2" a="1"/>
  <c r="I1201" i="2" s="1"/>
  <c r="I1202" i="2" a="1"/>
  <c r="I1202" i="2" s="1"/>
  <c r="I1203" i="2" a="1"/>
  <c r="I1203" i="2" s="1"/>
  <c r="I1204" i="2" a="1"/>
  <c r="I1204" i="2" s="1"/>
  <c r="I1205" i="2" a="1"/>
  <c r="I1205" i="2" s="1"/>
  <c r="I1206" i="2" a="1"/>
  <c r="I1206" i="2" s="1"/>
  <c r="I1207" i="2" a="1"/>
  <c r="I1207" i="2" s="1"/>
  <c r="I1208" i="2" a="1"/>
  <c r="I1208" i="2" s="1"/>
  <c r="I1209" i="2" a="1"/>
  <c r="I1209" i="2" s="1"/>
  <c r="I1210" i="2" a="1"/>
  <c r="I1210" i="2" s="1"/>
  <c r="I1211" i="2" a="1"/>
  <c r="I1211" i="2" s="1"/>
  <c r="I1212" i="2" a="1"/>
  <c r="I1212" i="2" s="1"/>
  <c r="I1213" i="2" a="1"/>
  <c r="I1213" i="2" s="1"/>
  <c r="I1214" i="2" a="1"/>
  <c r="I1214" i="2" s="1"/>
  <c r="I1215" i="2" a="1"/>
  <c r="I1215" i="2" s="1"/>
  <c r="I1216" i="2" a="1"/>
  <c r="I1216" i="2" s="1"/>
  <c r="I1217" i="2" a="1"/>
  <c r="I1217" i="2" s="1"/>
  <c r="I1218" i="2" a="1"/>
  <c r="I1218" i="2" s="1"/>
  <c r="I1219" i="2" a="1"/>
  <c r="I1219" i="2" s="1"/>
  <c r="I1220" i="2" a="1"/>
  <c r="I1220" i="2" s="1"/>
  <c r="I1221" i="2" a="1"/>
  <c r="I1221" i="2" s="1"/>
  <c r="I1222" i="2" a="1"/>
  <c r="I1222" i="2" s="1"/>
  <c r="I1223" i="2" a="1"/>
  <c r="I1223" i="2" s="1"/>
  <c r="I1224" i="2" a="1"/>
  <c r="I1224" i="2" s="1"/>
  <c r="I1225" i="2" a="1"/>
  <c r="I1225" i="2" s="1"/>
  <c r="I1226" i="2" a="1"/>
  <c r="I1226" i="2" s="1"/>
  <c r="I1227" i="2" a="1"/>
  <c r="I1227" i="2" s="1"/>
  <c r="I1228" i="2" a="1"/>
  <c r="I1228" i="2" s="1"/>
  <c r="I1229" i="2" a="1"/>
  <c r="I1229" i="2" s="1"/>
  <c r="I1230" i="2" a="1"/>
  <c r="I1230" i="2" s="1"/>
  <c r="I1231" i="2" a="1"/>
  <c r="I1231" i="2" s="1"/>
  <c r="I1232" i="2" a="1"/>
  <c r="I1232" i="2" s="1"/>
  <c r="I1233" i="2" a="1"/>
  <c r="I1233" i="2" s="1"/>
  <c r="I1234" i="2" a="1"/>
  <c r="I1234" i="2" s="1"/>
  <c r="I1235" i="2" a="1"/>
  <c r="I1235" i="2" s="1"/>
  <c r="I1236" i="2" a="1"/>
  <c r="I1236" i="2" s="1"/>
  <c r="I1237" i="2" a="1"/>
  <c r="I1237" i="2" s="1"/>
  <c r="I1238" i="2" a="1"/>
  <c r="I1238" i="2" s="1"/>
  <c r="I1239" i="2" a="1"/>
  <c r="I1239" i="2" s="1"/>
  <c r="I1240" i="2" a="1"/>
  <c r="I1240" i="2" s="1"/>
  <c r="I1241" i="2" a="1"/>
  <c r="I1241" i="2" s="1"/>
  <c r="I1242" i="2" a="1"/>
  <c r="I1242" i="2" s="1"/>
  <c r="I1243" i="2" a="1"/>
  <c r="I1243" i="2" s="1"/>
  <c r="I1244" i="2" a="1"/>
  <c r="I1244" i="2" s="1"/>
  <c r="I1245" i="2" a="1"/>
  <c r="I1245" i="2" s="1"/>
  <c r="I1246" i="2" a="1"/>
  <c r="I1246" i="2" s="1"/>
  <c r="I1247" i="2" a="1"/>
  <c r="I1247" i="2" s="1"/>
  <c r="I1248" i="2" a="1"/>
  <c r="I1248" i="2" s="1"/>
  <c r="I1249" i="2" a="1"/>
  <c r="I1249" i="2" s="1"/>
  <c r="I1250" i="2" a="1"/>
  <c r="I1250" i="2" s="1"/>
  <c r="I1251" i="2" a="1"/>
  <c r="I1251" i="2" s="1"/>
  <c r="I1252" i="2" a="1"/>
  <c r="I1252" i="2" s="1"/>
  <c r="I1253" i="2" a="1"/>
  <c r="I1253" i="2" s="1"/>
  <c r="I1254" i="2" a="1"/>
  <c r="I1254" i="2" s="1"/>
  <c r="I1255" i="2" a="1"/>
  <c r="I1255" i="2" s="1"/>
  <c r="I1256" i="2" a="1"/>
  <c r="I1256" i="2" s="1"/>
  <c r="I1257" i="2" a="1"/>
  <c r="I1257" i="2" s="1"/>
  <c r="I1258" i="2" a="1"/>
  <c r="I1258" i="2" s="1"/>
  <c r="I1259" i="2" a="1"/>
  <c r="I1259" i="2" s="1"/>
  <c r="I1260" i="2" a="1"/>
  <c r="I1260" i="2" s="1"/>
  <c r="I1261" i="2" a="1"/>
  <c r="I1261" i="2" s="1"/>
  <c r="I1262" i="2" a="1"/>
  <c r="I1262" i="2" s="1"/>
  <c r="I1263" i="2" a="1"/>
  <c r="I1263" i="2" s="1"/>
  <c r="I1264" i="2" a="1"/>
  <c r="I1264" i="2" s="1"/>
  <c r="I1265" i="2" a="1"/>
  <c r="I1265" i="2" s="1"/>
  <c r="I1266" i="2" a="1"/>
  <c r="I1266" i="2" s="1"/>
  <c r="I1267" i="2" a="1"/>
  <c r="I1267" i="2" s="1"/>
  <c r="I1268" i="2" a="1"/>
  <c r="I1268" i="2" s="1"/>
  <c r="I1269" i="2" a="1"/>
  <c r="I1269" i="2" s="1"/>
  <c r="I1270" i="2" a="1"/>
  <c r="I1270" i="2" s="1"/>
  <c r="I1271" i="2" a="1"/>
  <c r="I1271" i="2" s="1"/>
  <c r="I1272" i="2" a="1"/>
  <c r="I1272" i="2" s="1"/>
  <c r="I1273" i="2" a="1"/>
  <c r="I1273" i="2" s="1"/>
  <c r="I1274" i="2" a="1"/>
  <c r="I1274" i="2" s="1"/>
  <c r="I1275" i="2" a="1"/>
  <c r="I1275" i="2" s="1"/>
  <c r="I1276" i="2" a="1"/>
  <c r="I1276" i="2" s="1"/>
  <c r="I1277" i="2" a="1"/>
  <c r="I1277" i="2" s="1"/>
  <c r="I1278" i="2" a="1"/>
  <c r="I1278" i="2" s="1"/>
  <c r="I1279" i="2" a="1"/>
  <c r="I1279" i="2" s="1"/>
  <c r="I1280" i="2" a="1"/>
  <c r="I1280" i="2" s="1"/>
  <c r="I1281" i="2" a="1"/>
  <c r="I1281" i="2" s="1"/>
  <c r="I1282" i="2" a="1"/>
  <c r="I1282" i="2" s="1"/>
  <c r="I1283" i="2" a="1"/>
  <c r="I1283" i="2" s="1"/>
  <c r="I1284" i="2" a="1"/>
  <c r="I1284" i="2" s="1"/>
  <c r="I1285" i="2" a="1"/>
  <c r="I1285" i="2" s="1"/>
  <c r="I1286" i="2" a="1"/>
  <c r="I1286" i="2" s="1"/>
  <c r="I1287" i="2" a="1"/>
  <c r="I1287" i="2" s="1"/>
  <c r="I1288" i="2" a="1"/>
  <c r="I1288" i="2" s="1"/>
  <c r="I1289" i="2" a="1"/>
  <c r="I1289" i="2" s="1"/>
  <c r="I1290" i="2" a="1"/>
  <c r="I1290" i="2" s="1"/>
  <c r="I1291" i="2" a="1"/>
  <c r="I1291" i="2" s="1"/>
  <c r="I1292" i="2" a="1"/>
  <c r="I1292" i="2" s="1"/>
  <c r="I1293" i="2" a="1"/>
  <c r="I1293" i="2" s="1"/>
  <c r="I1294" i="2" a="1"/>
  <c r="I1294" i="2" s="1"/>
  <c r="I1295" i="2" a="1"/>
  <c r="I1295" i="2" s="1"/>
  <c r="I1296" i="2" a="1"/>
  <c r="I1296" i="2" s="1"/>
  <c r="I1297" i="2" a="1"/>
  <c r="I1297" i="2" s="1"/>
  <c r="I1298" i="2" a="1"/>
  <c r="I1298" i="2" s="1"/>
  <c r="I1299" i="2" a="1"/>
  <c r="I1299" i="2" s="1"/>
  <c r="I1300" i="2" a="1"/>
  <c r="I1300" i="2" s="1"/>
  <c r="I1301" i="2" a="1"/>
  <c r="I1301" i="2" s="1"/>
  <c r="I1302" i="2" a="1"/>
  <c r="I1302" i="2" s="1"/>
  <c r="I1303" i="2" a="1"/>
  <c r="I1303" i="2" s="1"/>
  <c r="I1304" i="2" a="1"/>
  <c r="I1304" i="2" s="1"/>
  <c r="I1305" i="2" a="1"/>
  <c r="I1305" i="2" s="1"/>
  <c r="I1306" i="2" a="1"/>
  <c r="I1306" i="2" s="1"/>
  <c r="I1307" i="2" a="1"/>
  <c r="I1307" i="2" s="1"/>
  <c r="I1308" i="2" a="1"/>
  <c r="I1308" i="2" s="1"/>
  <c r="I1309" i="2" a="1"/>
  <c r="I1309" i="2" s="1"/>
  <c r="I1310" i="2" a="1"/>
  <c r="I1310" i="2" s="1"/>
  <c r="I1311" i="2" a="1"/>
  <c r="I1311" i="2" s="1"/>
  <c r="I1312" i="2" a="1"/>
  <c r="I1312" i="2" s="1"/>
  <c r="I1313" i="2" a="1"/>
  <c r="I1313" i="2" s="1"/>
  <c r="I1314" i="2" a="1"/>
  <c r="I1314" i="2" s="1"/>
  <c r="I1315" i="2" a="1"/>
  <c r="I1315" i="2" s="1"/>
  <c r="I1316" i="2" a="1"/>
  <c r="I1316" i="2" s="1"/>
  <c r="I1317" i="2" a="1"/>
  <c r="I1317" i="2" s="1"/>
  <c r="I1318" i="2" a="1"/>
  <c r="I1318" i="2" s="1"/>
  <c r="I1319" i="2" a="1"/>
  <c r="I1319" i="2" s="1"/>
  <c r="I1320" i="2" a="1"/>
  <c r="I1320" i="2" s="1"/>
  <c r="I1321" i="2" a="1"/>
  <c r="I1321" i="2" s="1"/>
  <c r="I1322" i="2" a="1"/>
  <c r="I1322" i="2" s="1"/>
  <c r="I1323" i="2" a="1"/>
  <c r="I1323" i="2" s="1"/>
  <c r="I1324" i="2" a="1"/>
  <c r="I1324" i="2" s="1"/>
  <c r="I1325" i="2" a="1"/>
  <c r="I1325" i="2" s="1"/>
  <c r="I1326" i="2" a="1"/>
  <c r="I1326" i="2" s="1"/>
  <c r="I1327" i="2" a="1"/>
  <c r="I1327" i="2" s="1"/>
  <c r="I1328" i="2" a="1"/>
  <c r="I1328" i="2" s="1"/>
  <c r="I1329" i="2" a="1"/>
  <c r="I1329" i="2" s="1"/>
  <c r="I1330" i="2" a="1"/>
  <c r="I1330" i="2" s="1"/>
  <c r="I1331" i="2" a="1"/>
  <c r="I1331" i="2" s="1"/>
  <c r="I1332" i="2" a="1"/>
  <c r="I1332" i="2" s="1"/>
  <c r="I1333" i="2" a="1"/>
  <c r="I1333" i="2" s="1"/>
  <c r="I1334" i="2" a="1"/>
  <c r="I1334" i="2" s="1"/>
  <c r="I1335" i="2" a="1"/>
  <c r="I1335" i="2" s="1"/>
  <c r="I1336" i="2" a="1"/>
  <c r="I1336" i="2" s="1"/>
  <c r="I1337" i="2" a="1"/>
  <c r="I1337" i="2" s="1"/>
  <c r="I1338" i="2" a="1"/>
  <c r="I1338" i="2" s="1"/>
  <c r="I1339" i="2" a="1"/>
  <c r="I1339" i="2" s="1"/>
  <c r="I1340" i="2" a="1"/>
  <c r="I1340" i="2" s="1"/>
  <c r="I1341" i="2" a="1"/>
  <c r="I1341" i="2" s="1"/>
  <c r="I1342" i="2" a="1"/>
  <c r="I1342" i="2" s="1"/>
  <c r="I1343" i="2" a="1"/>
  <c r="I1343" i="2" s="1"/>
  <c r="I1344" i="2" a="1"/>
  <c r="I1344" i="2" s="1"/>
  <c r="I1345" i="2" a="1"/>
  <c r="I1345" i="2" s="1"/>
  <c r="I1346" i="2" a="1"/>
  <c r="I1346" i="2" s="1"/>
  <c r="I1347" i="2" a="1"/>
  <c r="I1347" i="2" s="1"/>
  <c r="I1348" i="2" a="1"/>
  <c r="I1348" i="2" s="1"/>
  <c r="I1349" i="2" a="1"/>
  <c r="I1349" i="2" s="1"/>
  <c r="I1350" i="2" a="1"/>
  <c r="I1350" i="2" s="1"/>
  <c r="I1351" i="2" a="1"/>
  <c r="I1351" i="2" s="1"/>
  <c r="I1352" i="2" a="1"/>
  <c r="I1352" i="2" s="1"/>
  <c r="I1353" i="2" a="1"/>
  <c r="I1353" i="2" s="1"/>
  <c r="I1354" i="2" a="1"/>
  <c r="I1354" i="2" s="1"/>
  <c r="I1355" i="2" a="1"/>
  <c r="I1355" i="2" s="1"/>
  <c r="I1356" i="2" a="1"/>
  <c r="I1356" i="2" s="1"/>
  <c r="I1357" i="2" a="1"/>
  <c r="I1357" i="2" s="1"/>
  <c r="I1358" i="2" a="1"/>
  <c r="I1358" i="2" s="1"/>
  <c r="I1359" i="2" a="1"/>
  <c r="I1359" i="2" s="1"/>
  <c r="I1360" i="2" a="1"/>
  <c r="I1360" i="2" s="1"/>
  <c r="I1361" i="2" a="1"/>
  <c r="I1361" i="2" s="1"/>
  <c r="I1362" i="2" a="1"/>
  <c r="I1362" i="2" s="1"/>
  <c r="I1363" i="2" a="1"/>
  <c r="I1363" i="2" s="1"/>
  <c r="I1364" i="2" a="1"/>
  <c r="I1364" i="2" s="1"/>
  <c r="I1365" i="2" a="1"/>
  <c r="I1365" i="2" s="1"/>
  <c r="I1366" i="2" a="1"/>
  <c r="I1366" i="2" s="1"/>
  <c r="I1367" i="2" a="1"/>
  <c r="I1367" i="2" s="1"/>
  <c r="I1368" i="2" a="1"/>
  <c r="I1368" i="2" s="1"/>
  <c r="I1369" i="2" a="1"/>
  <c r="I1369" i="2" s="1"/>
  <c r="I1370" i="2" a="1"/>
  <c r="I1370" i="2" s="1"/>
  <c r="I1371" i="2" a="1"/>
  <c r="I1371" i="2" s="1"/>
  <c r="I1372" i="2" a="1"/>
  <c r="I1372" i="2" s="1"/>
  <c r="I1373" i="2" a="1"/>
  <c r="I1373" i="2" s="1"/>
  <c r="I1374" i="2" a="1"/>
  <c r="I1374" i="2" s="1"/>
  <c r="I1375" i="2" a="1"/>
  <c r="I1375" i="2" s="1"/>
  <c r="I1376" i="2" a="1"/>
  <c r="I1376" i="2" s="1"/>
  <c r="I1377" i="2" a="1"/>
  <c r="I1377" i="2" s="1"/>
  <c r="I1378" i="2" a="1"/>
  <c r="I1378" i="2" s="1"/>
  <c r="I1379" i="2" a="1"/>
  <c r="I1379" i="2" s="1"/>
  <c r="I1380" i="2" a="1"/>
  <c r="I1380" i="2" s="1"/>
  <c r="I1381" i="2" a="1"/>
  <c r="I1381" i="2" s="1"/>
  <c r="I1382" i="2" a="1"/>
  <c r="I1382" i="2" s="1"/>
  <c r="I1383" i="2" a="1"/>
  <c r="I1383" i="2" s="1"/>
  <c r="I1384" i="2" a="1"/>
  <c r="I1384" i="2" s="1"/>
  <c r="I1385" i="2" a="1"/>
  <c r="I1385" i="2" s="1"/>
  <c r="I1386" i="2" a="1"/>
  <c r="I1386" i="2" s="1"/>
  <c r="I1387" i="2" a="1"/>
  <c r="I1387" i="2" s="1"/>
  <c r="I1388" i="2" a="1"/>
  <c r="I1388" i="2" s="1"/>
  <c r="I1389" i="2" a="1"/>
  <c r="I1389" i="2" s="1"/>
  <c r="I1390" i="2" a="1"/>
  <c r="I1390" i="2" s="1"/>
  <c r="I1391" i="2" a="1"/>
  <c r="I1391" i="2" s="1"/>
  <c r="I1392" i="2" a="1"/>
  <c r="I1392" i="2" s="1"/>
  <c r="I1393" i="2" a="1"/>
  <c r="I1393" i="2" s="1"/>
  <c r="I1394" i="2" a="1"/>
  <c r="I1394" i="2" s="1"/>
  <c r="I1395" i="2" a="1"/>
  <c r="I1395" i="2" s="1"/>
  <c r="I1396" i="2" a="1"/>
  <c r="I1396" i="2" s="1"/>
  <c r="I1397" i="2" a="1"/>
  <c r="I1397" i="2" s="1"/>
  <c r="I1398" i="2" a="1"/>
  <c r="I1398" i="2" s="1"/>
  <c r="I1399" i="2" a="1"/>
  <c r="I1399" i="2" s="1"/>
  <c r="I1400" i="2" a="1"/>
  <c r="I1400" i="2" s="1"/>
  <c r="I1401" i="2" a="1"/>
  <c r="I1401" i="2" s="1"/>
  <c r="I1402" i="2" a="1"/>
  <c r="I1402" i="2" s="1"/>
  <c r="I1403" i="2" a="1"/>
  <c r="I1403" i="2" s="1"/>
  <c r="I1404" i="2" a="1"/>
  <c r="I1404" i="2" s="1"/>
  <c r="I1405" i="2" a="1"/>
  <c r="I1405" i="2" s="1"/>
  <c r="I1406" i="2" a="1"/>
  <c r="I1406" i="2" s="1"/>
  <c r="I1407" i="2" a="1"/>
  <c r="I1407" i="2" s="1"/>
  <c r="I1408" i="2" a="1"/>
  <c r="I1408" i="2" s="1"/>
  <c r="I1409" i="2" a="1"/>
  <c r="I1409" i="2" s="1"/>
  <c r="I1410" i="2" a="1"/>
  <c r="I1410" i="2" s="1"/>
  <c r="I1411" i="2" a="1"/>
  <c r="I1411" i="2" s="1"/>
  <c r="I1412" i="2" a="1"/>
  <c r="I1412" i="2" s="1"/>
  <c r="I1413" i="2" a="1"/>
  <c r="I1413" i="2" s="1"/>
  <c r="I1414" i="2" a="1"/>
  <c r="I1414" i="2" s="1"/>
  <c r="I1415" i="2" a="1"/>
  <c r="I1415" i="2" s="1"/>
  <c r="I1416" i="2" a="1"/>
  <c r="I1416" i="2" s="1"/>
  <c r="I1417" i="2" a="1"/>
  <c r="I1417" i="2" s="1"/>
  <c r="I1418" i="2" a="1"/>
  <c r="I1418" i="2" s="1"/>
  <c r="I1419" i="2" a="1"/>
  <c r="I1419" i="2" s="1"/>
  <c r="I1420" i="2" a="1"/>
  <c r="I1420" i="2" s="1"/>
  <c r="I1421" i="2" a="1"/>
  <c r="I1421" i="2" s="1"/>
  <c r="I1422" i="2" a="1"/>
  <c r="I1422" i="2" s="1"/>
  <c r="I1423" i="2" a="1"/>
  <c r="I1423" i="2" s="1"/>
  <c r="I1424" i="2" a="1"/>
  <c r="I1424" i="2" s="1"/>
  <c r="I1425" i="2" a="1"/>
  <c r="I1425" i="2" s="1"/>
  <c r="I1426" i="2" a="1"/>
  <c r="I1426" i="2" s="1"/>
  <c r="I1427" i="2" a="1"/>
  <c r="I1427" i="2" s="1"/>
  <c r="I1428" i="2" a="1"/>
  <c r="I1428" i="2" s="1"/>
  <c r="I1429" i="2" a="1"/>
  <c r="I1429" i="2" s="1"/>
  <c r="I1430" i="2" a="1"/>
  <c r="I1430" i="2" s="1"/>
  <c r="I1431" i="2" a="1"/>
  <c r="I1431" i="2" s="1"/>
  <c r="I1432" i="2" a="1"/>
  <c r="I1432" i="2" s="1"/>
  <c r="I1433" i="2" a="1"/>
  <c r="I1433" i="2" s="1"/>
  <c r="I1434" i="2" a="1"/>
  <c r="I1434" i="2" s="1"/>
  <c r="I1435" i="2" a="1"/>
  <c r="I1435" i="2" s="1"/>
  <c r="I1436" i="2" a="1"/>
  <c r="I1436" i="2" s="1"/>
  <c r="I1437" i="2" a="1"/>
  <c r="I1437" i="2" s="1"/>
  <c r="I1438" i="2" a="1"/>
  <c r="I1438" i="2" s="1"/>
  <c r="I1439" i="2" a="1"/>
  <c r="I1439" i="2" s="1"/>
  <c r="I1440" i="2" a="1"/>
  <c r="I1440" i="2" s="1"/>
  <c r="I1441" i="2" a="1"/>
  <c r="I1441" i="2" s="1"/>
  <c r="I1442" i="2" a="1"/>
  <c r="I1442" i="2" s="1"/>
  <c r="I1443" i="2" a="1"/>
  <c r="I1443" i="2" s="1"/>
  <c r="I1444" i="2" a="1"/>
  <c r="I1444" i="2" s="1"/>
  <c r="I1445" i="2" a="1"/>
  <c r="I1445" i="2" s="1"/>
  <c r="I1446" i="2" a="1"/>
  <c r="I1446" i="2" s="1"/>
  <c r="I1447" i="2" a="1"/>
  <c r="I1447" i="2" s="1"/>
  <c r="I1448" i="2" a="1"/>
  <c r="I1448" i="2" s="1"/>
  <c r="I1449" i="2" a="1"/>
  <c r="I1449" i="2" s="1"/>
  <c r="I1450" i="2" a="1"/>
  <c r="I1450" i="2" s="1"/>
  <c r="I1451" i="2" a="1"/>
  <c r="I1451" i="2" s="1"/>
  <c r="I1452" i="2" a="1"/>
  <c r="I1452" i="2" s="1"/>
  <c r="I1453" i="2" a="1"/>
  <c r="I1453" i="2" s="1"/>
  <c r="I1454" i="2" a="1"/>
  <c r="I1454" i="2" s="1"/>
  <c r="I1455" i="2" a="1"/>
  <c r="I1455" i="2" s="1"/>
  <c r="I1456" i="2" a="1"/>
  <c r="I1456" i="2" s="1"/>
  <c r="I1457" i="2" a="1"/>
  <c r="I1457" i="2" s="1"/>
  <c r="I1458" i="2" a="1"/>
  <c r="I1458" i="2" s="1"/>
  <c r="I1459" i="2" a="1"/>
  <c r="I1459" i="2" s="1"/>
  <c r="I1460" i="2" a="1"/>
  <c r="I1460" i="2" s="1"/>
  <c r="I1461" i="2" a="1"/>
  <c r="I1461" i="2" s="1"/>
  <c r="I1462" i="2" a="1"/>
  <c r="I1462" i="2" s="1"/>
  <c r="I1463" i="2" a="1"/>
  <c r="I1463" i="2" s="1"/>
  <c r="I1464" i="2" a="1"/>
  <c r="I1464" i="2" s="1"/>
  <c r="I1465" i="2" a="1"/>
  <c r="I1465" i="2" s="1"/>
  <c r="I1466" i="2" a="1"/>
  <c r="I1466" i="2" s="1"/>
  <c r="I1467" i="2" a="1"/>
  <c r="I1467" i="2" s="1"/>
  <c r="I1468" i="2" a="1"/>
  <c r="I1468" i="2" s="1"/>
  <c r="I1469" i="2" a="1"/>
  <c r="I1469" i="2" s="1"/>
  <c r="I1470" i="2" a="1"/>
  <c r="I1470" i="2" s="1"/>
  <c r="I1471" i="2" a="1"/>
  <c r="I1471" i="2" s="1"/>
  <c r="B2" i="2" a="1"/>
  <c r="B2" i="2" s="1"/>
  <c r="B3" i="2" a="1"/>
  <c r="B3" i="2" s="1"/>
  <c r="B4" i="2" a="1"/>
  <c r="B4" i="2" s="1"/>
  <c r="B5" i="2" a="1"/>
  <c r="B5" i="2" s="1"/>
  <c r="B6" i="2" a="1"/>
  <c r="B6" i="2" s="1"/>
  <c r="B7" i="2" a="1"/>
  <c r="B7" i="2" s="1"/>
  <c r="B8" i="2" a="1"/>
  <c r="B8" i="2" s="1"/>
  <c r="B9" i="2" a="1"/>
  <c r="B9" i="2" s="1"/>
  <c r="B10" i="2" a="1"/>
  <c r="B10" i="2" s="1"/>
  <c r="B11" i="2" a="1"/>
  <c r="B11" i="2" s="1"/>
  <c r="B12" i="2" a="1"/>
  <c r="B12" i="2" s="1"/>
  <c r="B13" i="2" a="1"/>
  <c r="B13" i="2" s="1"/>
  <c r="B14" i="2" a="1"/>
  <c r="B14" i="2" s="1"/>
  <c r="B15" i="2" a="1"/>
  <c r="B15" i="2" s="1"/>
  <c r="B16" i="2" a="1"/>
  <c r="B16" i="2" s="1"/>
  <c r="B17" i="2" a="1"/>
  <c r="B17" i="2" s="1"/>
  <c r="B18" i="2" a="1"/>
  <c r="B18" i="2" s="1"/>
  <c r="B19" i="2" a="1"/>
  <c r="B19" i="2" s="1"/>
  <c r="B20" i="2" a="1"/>
  <c r="B20" i="2" s="1"/>
  <c r="B21" i="2" a="1"/>
  <c r="B21" i="2" s="1"/>
  <c r="B22" i="2" a="1"/>
  <c r="B22" i="2" s="1"/>
  <c r="B23" i="2" a="1"/>
  <c r="B23" i="2" s="1"/>
  <c r="B24" i="2" a="1"/>
  <c r="B24" i="2" s="1"/>
  <c r="B25" i="2" a="1"/>
  <c r="B25" i="2" s="1"/>
  <c r="B26" i="2" a="1"/>
  <c r="B26" i="2" s="1"/>
  <c r="B27" i="2" a="1"/>
  <c r="B27" i="2" s="1"/>
  <c r="B28" i="2" a="1"/>
  <c r="B28" i="2" s="1"/>
  <c r="B29" i="2" a="1"/>
  <c r="B29" i="2" s="1"/>
  <c r="B30" i="2" a="1"/>
  <c r="B30" i="2" s="1"/>
  <c r="B31" i="2" a="1"/>
  <c r="B31" i="2" s="1"/>
  <c r="B32" i="2" a="1"/>
  <c r="B32" i="2" s="1"/>
  <c r="B33" i="2" a="1"/>
  <c r="B33" i="2" s="1"/>
  <c r="B34" i="2" a="1"/>
  <c r="B34" i="2" s="1"/>
  <c r="B35" i="2" a="1"/>
  <c r="B35" i="2" s="1"/>
  <c r="B36" i="2" a="1"/>
  <c r="B36" i="2" s="1"/>
  <c r="B37" i="2" a="1"/>
  <c r="B37" i="2" s="1"/>
  <c r="B38" i="2" a="1"/>
  <c r="B38" i="2" s="1"/>
  <c r="B39" i="2" a="1"/>
  <c r="B39" i="2" s="1"/>
  <c r="B40" i="2" a="1"/>
  <c r="B40" i="2" s="1"/>
  <c r="B41" i="2" a="1"/>
  <c r="B41" i="2" s="1"/>
  <c r="B42" i="2" a="1"/>
  <c r="B42" i="2" s="1"/>
  <c r="B43" i="2" a="1"/>
  <c r="B43" i="2" s="1"/>
  <c r="B44" i="2" a="1"/>
  <c r="B44" i="2" s="1"/>
  <c r="B45" i="2" a="1"/>
  <c r="B45" i="2" s="1"/>
  <c r="B46" i="2" a="1"/>
  <c r="B46" i="2" s="1"/>
  <c r="B47" i="2" a="1"/>
  <c r="B47" i="2" s="1"/>
  <c r="B48" i="2" a="1"/>
  <c r="B48" i="2" s="1"/>
  <c r="B49" i="2" a="1"/>
  <c r="B49" i="2" s="1"/>
  <c r="B50" i="2" a="1"/>
  <c r="B50" i="2" s="1"/>
  <c r="B51" i="2" a="1"/>
  <c r="B51" i="2" s="1"/>
  <c r="B52" i="2" a="1"/>
  <c r="B52" i="2" s="1"/>
  <c r="B53" i="2" a="1"/>
  <c r="B53" i="2" s="1"/>
  <c r="B54" i="2" a="1"/>
  <c r="B54" i="2" s="1"/>
  <c r="B55" i="2" a="1"/>
  <c r="B55" i="2" s="1"/>
  <c r="B56" i="2" a="1"/>
  <c r="B56" i="2" s="1"/>
  <c r="B57" i="2" a="1"/>
  <c r="B57" i="2" s="1"/>
  <c r="B58" i="2" a="1"/>
  <c r="B58" i="2" s="1"/>
  <c r="B59" i="2" a="1"/>
  <c r="B59" i="2" s="1"/>
  <c r="B60" i="2" a="1"/>
  <c r="B60" i="2" s="1"/>
  <c r="B61" i="2" a="1"/>
  <c r="B61" i="2" s="1"/>
  <c r="B62" i="2" a="1"/>
  <c r="B62" i="2" s="1"/>
  <c r="B63" i="2" a="1"/>
  <c r="B63" i="2" s="1"/>
  <c r="B64" i="2" a="1"/>
  <c r="B64" i="2" s="1"/>
  <c r="B65" i="2" a="1"/>
  <c r="B65" i="2" s="1"/>
  <c r="B66" i="2" a="1"/>
  <c r="B66" i="2" s="1"/>
  <c r="B67" i="2" a="1"/>
  <c r="B67" i="2" s="1"/>
  <c r="B68" i="2" a="1"/>
  <c r="B68" i="2" s="1"/>
  <c r="B69" i="2" a="1"/>
  <c r="B69" i="2" s="1"/>
  <c r="B70" i="2" a="1"/>
  <c r="B70" i="2" s="1"/>
  <c r="B71" i="2" a="1"/>
  <c r="B71" i="2" s="1"/>
  <c r="B72" i="2" a="1"/>
  <c r="B72" i="2" s="1"/>
  <c r="B73" i="2" a="1"/>
  <c r="B73" i="2" s="1"/>
  <c r="B74" i="2" a="1"/>
  <c r="B74" i="2" s="1"/>
  <c r="B75" i="2" a="1"/>
  <c r="B75" i="2" s="1"/>
  <c r="B76" i="2" a="1"/>
  <c r="B76" i="2" s="1"/>
  <c r="B77" i="2" a="1"/>
  <c r="B77" i="2" s="1"/>
  <c r="B78" i="2" a="1"/>
  <c r="B78" i="2" s="1"/>
  <c r="B79" i="2" a="1"/>
  <c r="B79" i="2" s="1"/>
  <c r="B80" i="2" a="1"/>
  <c r="B80" i="2" s="1"/>
  <c r="B81" i="2" a="1"/>
  <c r="B81" i="2" s="1"/>
  <c r="B82" i="2" a="1"/>
  <c r="B82" i="2" s="1"/>
  <c r="B83" i="2" a="1"/>
  <c r="B83" i="2" s="1"/>
  <c r="B84" i="2" a="1"/>
  <c r="B84" i="2" s="1"/>
  <c r="B85" i="2" a="1"/>
  <c r="B85" i="2" s="1"/>
  <c r="B86" i="2" a="1"/>
  <c r="B86" i="2" s="1"/>
  <c r="B87" i="2" a="1"/>
  <c r="B87" i="2" s="1"/>
  <c r="B88" i="2" a="1"/>
  <c r="B88" i="2" s="1"/>
  <c r="B89" i="2" a="1"/>
  <c r="B89" i="2" s="1"/>
  <c r="B90" i="2" a="1"/>
  <c r="B90" i="2" s="1"/>
  <c r="B91" i="2" a="1"/>
  <c r="B91" i="2" s="1"/>
  <c r="B92" i="2" a="1"/>
  <c r="B92" i="2" s="1"/>
  <c r="B93" i="2" a="1"/>
  <c r="B93" i="2" s="1"/>
  <c r="B94" i="2" a="1"/>
  <c r="B94" i="2" s="1"/>
  <c r="B95" i="2" a="1"/>
  <c r="B95" i="2" s="1"/>
  <c r="B96" i="2" a="1"/>
  <c r="B96" i="2" s="1"/>
  <c r="B97" i="2" a="1"/>
  <c r="B97" i="2" s="1"/>
  <c r="B98" i="2" a="1"/>
  <c r="B98" i="2" s="1"/>
  <c r="B99" i="2" a="1"/>
  <c r="B99" i="2" s="1"/>
  <c r="B100" i="2" a="1"/>
  <c r="B100" i="2" s="1"/>
  <c r="B101" i="2" a="1"/>
  <c r="B101" i="2" s="1"/>
  <c r="B102" i="2" a="1"/>
  <c r="B102" i="2" s="1"/>
  <c r="B103" i="2" a="1"/>
  <c r="B103" i="2" s="1"/>
  <c r="B104" i="2" a="1"/>
  <c r="B104" i="2" s="1"/>
  <c r="B105" i="2" a="1"/>
  <c r="B105" i="2" s="1"/>
  <c r="B106" i="2" a="1"/>
  <c r="B106" i="2" s="1"/>
  <c r="B107" i="2" a="1"/>
  <c r="B107" i="2" s="1"/>
  <c r="B108" i="2" a="1"/>
  <c r="B108" i="2" s="1"/>
  <c r="B109" i="2" a="1"/>
  <c r="B109" i="2" s="1"/>
  <c r="B110" i="2" a="1"/>
  <c r="B110" i="2" s="1"/>
  <c r="B111" i="2" a="1"/>
  <c r="B111" i="2" s="1"/>
  <c r="B112" i="2" a="1"/>
  <c r="B112" i="2" s="1"/>
  <c r="B113" i="2" a="1"/>
  <c r="B113" i="2" s="1"/>
  <c r="B114" i="2" a="1"/>
  <c r="B114" i="2" s="1"/>
  <c r="B115" i="2" a="1"/>
  <c r="B115" i="2" s="1"/>
  <c r="B116" i="2" a="1"/>
  <c r="B116" i="2" s="1"/>
  <c r="B117" i="2" a="1"/>
  <c r="B117" i="2" s="1"/>
  <c r="B118" i="2" a="1"/>
  <c r="B118" i="2" s="1"/>
  <c r="B119" i="2" a="1"/>
  <c r="B119" i="2" s="1"/>
  <c r="B120" i="2" a="1"/>
  <c r="B120" i="2" s="1"/>
  <c r="B121" i="2" a="1"/>
  <c r="B121" i="2" s="1"/>
  <c r="B122" i="2" a="1"/>
  <c r="B122" i="2" s="1"/>
  <c r="B123" i="2" a="1"/>
  <c r="B123" i="2" s="1"/>
  <c r="B124" i="2" a="1"/>
  <c r="B124" i="2" s="1"/>
  <c r="B125" i="2" a="1"/>
  <c r="B125" i="2" s="1"/>
  <c r="B126" i="2" a="1"/>
  <c r="B126" i="2" s="1"/>
  <c r="B127" i="2" a="1"/>
  <c r="B127" i="2" s="1"/>
  <c r="B128" i="2" a="1"/>
  <c r="B128" i="2" s="1"/>
  <c r="B129" i="2" a="1"/>
  <c r="B129" i="2" s="1"/>
  <c r="B130" i="2" a="1"/>
  <c r="B130" i="2" s="1"/>
  <c r="B131" i="2" a="1"/>
  <c r="B131" i="2" s="1"/>
  <c r="B132" i="2" a="1"/>
  <c r="B132" i="2" s="1"/>
  <c r="B133" i="2" a="1"/>
  <c r="B133" i="2" s="1"/>
  <c r="B134" i="2" a="1"/>
  <c r="B134" i="2" s="1"/>
  <c r="B135" i="2" a="1"/>
  <c r="B135" i="2" s="1"/>
  <c r="B136" i="2" a="1"/>
  <c r="B136" i="2" s="1"/>
  <c r="B137" i="2" a="1"/>
  <c r="B137" i="2" s="1"/>
  <c r="B138" i="2" a="1"/>
  <c r="B138" i="2" s="1"/>
  <c r="B139" i="2" a="1"/>
  <c r="B139" i="2" s="1"/>
  <c r="B140" i="2" a="1"/>
  <c r="B140" i="2" s="1"/>
  <c r="B141" i="2" a="1"/>
  <c r="B141" i="2" s="1"/>
  <c r="B142" i="2" a="1"/>
  <c r="B142" i="2" s="1"/>
  <c r="B143" i="2" a="1"/>
  <c r="B143" i="2" s="1"/>
  <c r="B144" i="2" a="1"/>
  <c r="B144" i="2" s="1"/>
  <c r="B145" i="2" a="1"/>
  <c r="B145" i="2" s="1"/>
  <c r="B146" i="2" a="1"/>
  <c r="B146" i="2" s="1"/>
  <c r="B147" i="2" a="1"/>
  <c r="B147" i="2" s="1"/>
  <c r="B148" i="2" a="1"/>
  <c r="B148" i="2" s="1"/>
  <c r="B149" i="2" a="1"/>
  <c r="B149" i="2" s="1"/>
  <c r="B150" i="2" a="1"/>
  <c r="B150" i="2" s="1"/>
  <c r="B151" i="2" a="1"/>
  <c r="B151" i="2" s="1"/>
  <c r="B152" i="2" a="1"/>
  <c r="B152" i="2" s="1"/>
  <c r="B153" i="2" a="1"/>
  <c r="B153" i="2" s="1"/>
  <c r="B154" i="2" a="1"/>
  <c r="B154" i="2" s="1"/>
  <c r="B155" i="2" a="1"/>
  <c r="B155" i="2" s="1"/>
  <c r="B156" i="2" a="1"/>
  <c r="B156" i="2" s="1"/>
  <c r="B157" i="2" a="1"/>
  <c r="B157" i="2" s="1"/>
  <c r="B158" i="2" a="1"/>
  <c r="B158" i="2" s="1"/>
  <c r="B159" i="2" a="1"/>
  <c r="B159" i="2" s="1"/>
  <c r="B160" i="2" a="1"/>
  <c r="B160" i="2" s="1"/>
  <c r="B161" i="2" a="1"/>
  <c r="B161" i="2" s="1"/>
  <c r="B162" i="2" a="1"/>
  <c r="B162" i="2" s="1"/>
  <c r="B163" i="2" a="1"/>
  <c r="B163" i="2" s="1"/>
  <c r="B164" i="2" a="1"/>
  <c r="B164" i="2" s="1"/>
  <c r="B165" i="2" a="1"/>
  <c r="B165" i="2" s="1"/>
  <c r="B166" i="2" a="1"/>
  <c r="B166" i="2" s="1"/>
  <c r="B167" i="2" a="1"/>
  <c r="B167" i="2" s="1"/>
  <c r="B168" i="2" a="1"/>
  <c r="B168" i="2" s="1"/>
  <c r="B169" i="2" a="1"/>
  <c r="B169" i="2" s="1"/>
  <c r="B170" i="2" a="1"/>
  <c r="B170" i="2" s="1"/>
  <c r="B171" i="2" a="1"/>
  <c r="B171" i="2" s="1"/>
  <c r="B172" i="2" a="1"/>
  <c r="B172" i="2" s="1"/>
  <c r="B173" i="2" a="1"/>
  <c r="B173" i="2" s="1"/>
  <c r="B174" i="2" a="1"/>
  <c r="B174" i="2" s="1"/>
  <c r="B175" i="2" a="1"/>
  <c r="B175" i="2" s="1"/>
  <c r="B176" i="2" a="1"/>
  <c r="B176" i="2" s="1"/>
  <c r="B177" i="2" a="1"/>
  <c r="B177" i="2" s="1"/>
  <c r="B178" i="2" a="1"/>
  <c r="B178" i="2" s="1"/>
  <c r="B179" i="2" a="1"/>
  <c r="B179" i="2" s="1"/>
  <c r="B180" i="2" a="1"/>
  <c r="B180" i="2" s="1"/>
  <c r="B181" i="2" a="1"/>
  <c r="B181" i="2" s="1"/>
  <c r="B182" i="2" a="1"/>
  <c r="B182" i="2" s="1"/>
  <c r="B183" i="2" a="1"/>
  <c r="B183" i="2" s="1"/>
  <c r="B184" i="2" a="1"/>
  <c r="B184" i="2" s="1"/>
  <c r="B185" i="2" a="1"/>
  <c r="B185" i="2" s="1"/>
  <c r="B186" i="2" a="1"/>
  <c r="B186" i="2" s="1"/>
  <c r="B187" i="2" a="1"/>
  <c r="B187" i="2" s="1"/>
  <c r="B188" i="2" a="1"/>
  <c r="B188" i="2" s="1"/>
  <c r="B189" i="2" a="1"/>
  <c r="B189" i="2" s="1"/>
  <c r="B190" i="2" a="1"/>
  <c r="B190" i="2" s="1"/>
  <c r="B191" i="2" a="1"/>
  <c r="B191" i="2" s="1"/>
  <c r="B192" i="2" a="1"/>
  <c r="B192" i="2" s="1"/>
  <c r="B193" i="2" a="1"/>
  <c r="B193" i="2" s="1"/>
  <c r="B194" i="2" a="1"/>
  <c r="B194" i="2" s="1"/>
  <c r="B195" i="2" a="1"/>
  <c r="B195" i="2" s="1"/>
  <c r="B196" i="2" a="1"/>
  <c r="B196" i="2" s="1"/>
  <c r="B197" i="2" a="1"/>
  <c r="B197" i="2" s="1"/>
  <c r="B198" i="2" a="1"/>
  <c r="B198" i="2" s="1"/>
  <c r="B199" i="2" a="1"/>
  <c r="B199" i="2" s="1"/>
  <c r="B200" i="2" a="1"/>
  <c r="B200" i="2" s="1"/>
  <c r="B201" i="2" a="1"/>
  <c r="B201" i="2" s="1"/>
  <c r="B202" i="2" a="1"/>
  <c r="B202" i="2" s="1"/>
  <c r="B203" i="2" a="1"/>
  <c r="B203" i="2" s="1"/>
  <c r="B204" i="2" a="1"/>
  <c r="B204" i="2" s="1"/>
  <c r="B205" i="2" a="1"/>
  <c r="B205" i="2" s="1"/>
  <c r="B206" i="2" a="1"/>
  <c r="B206" i="2" s="1"/>
  <c r="B207" i="2" a="1"/>
  <c r="B207" i="2" s="1"/>
  <c r="B208" i="2" a="1"/>
  <c r="B208" i="2" s="1"/>
  <c r="B209" i="2" a="1"/>
  <c r="B209" i="2" s="1"/>
  <c r="B210" i="2" a="1"/>
  <c r="B210" i="2" s="1"/>
  <c r="B211" i="2" a="1"/>
  <c r="B211" i="2" s="1"/>
  <c r="B212" i="2" a="1"/>
  <c r="B212" i="2" s="1"/>
  <c r="B213" i="2" a="1"/>
  <c r="B213" i="2" s="1"/>
  <c r="B214" i="2" a="1"/>
  <c r="B214" i="2" s="1"/>
  <c r="B215" i="2" a="1"/>
  <c r="B215" i="2" s="1"/>
  <c r="B216" i="2" a="1"/>
  <c r="B216" i="2" s="1"/>
  <c r="B217" i="2" a="1"/>
  <c r="B217" i="2" s="1"/>
  <c r="B218" i="2" a="1"/>
  <c r="B218" i="2" s="1"/>
  <c r="B219" i="2" a="1"/>
  <c r="B219" i="2" s="1"/>
  <c r="B220" i="2" a="1"/>
  <c r="B220" i="2" s="1"/>
  <c r="B221" i="2" a="1"/>
  <c r="B221" i="2" s="1"/>
  <c r="B222" i="2" a="1"/>
  <c r="B222" i="2" s="1"/>
  <c r="B223" i="2" a="1"/>
  <c r="B223" i="2" s="1"/>
  <c r="B224" i="2" a="1"/>
  <c r="B224" i="2" s="1"/>
  <c r="B225" i="2" a="1"/>
  <c r="B225" i="2" s="1"/>
  <c r="B226" i="2" a="1"/>
  <c r="B226" i="2" s="1"/>
  <c r="B227" i="2" a="1"/>
  <c r="B227" i="2" s="1"/>
  <c r="B228" i="2" a="1"/>
  <c r="B228" i="2" s="1"/>
  <c r="B229" i="2" a="1"/>
  <c r="B229" i="2" s="1"/>
  <c r="B230" i="2" a="1"/>
  <c r="B230" i="2" s="1"/>
  <c r="B231" i="2" a="1"/>
  <c r="B231" i="2" s="1"/>
  <c r="B232" i="2" a="1"/>
  <c r="B232" i="2" s="1"/>
  <c r="B233" i="2" a="1"/>
  <c r="B233" i="2" s="1"/>
  <c r="B234" i="2" a="1"/>
  <c r="B234" i="2" s="1"/>
  <c r="B235" i="2" a="1"/>
  <c r="B235" i="2" s="1"/>
  <c r="B236" i="2" a="1"/>
  <c r="B236" i="2" s="1"/>
  <c r="B237" i="2" a="1"/>
  <c r="B237" i="2" s="1"/>
  <c r="B238" i="2" a="1"/>
  <c r="B238" i="2" s="1"/>
  <c r="B239" i="2" a="1"/>
  <c r="B239" i="2" s="1"/>
  <c r="B240" i="2" a="1"/>
  <c r="B240" i="2" s="1"/>
  <c r="B241" i="2" a="1"/>
  <c r="B241" i="2" s="1"/>
  <c r="B242" i="2" a="1"/>
  <c r="B242" i="2" s="1"/>
  <c r="B243" i="2" a="1"/>
  <c r="B243" i="2" s="1"/>
  <c r="B244" i="2" a="1"/>
  <c r="B244" i="2" s="1"/>
  <c r="B245" i="2" a="1"/>
  <c r="B245" i="2" s="1"/>
  <c r="B246" i="2" a="1"/>
  <c r="B246" i="2" s="1"/>
  <c r="B247" i="2" a="1"/>
  <c r="B247" i="2" s="1"/>
  <c r="B248" i="2" a="1"/>
  <c r="B248" i="2" s="1"/>
  <c r="B249" i="2" a="1"/>
  <c r="B249" i="2" s="1"/>
  <c r="B250" i="2" a="1"/>
  <c r="B250" i="2" s="1"/>
  <c r="B251" i="2" a="1"/>
  <c r="B251" i="2" s="1"/>
  <c r="B252" i="2" a="1"/>
  <c r="B252" i="2" s="1"/>
  <c r="B253" i="2" a="1"/>
  <c r="B253" i="2" s="1"/>
  <c r="B254" i="2" a="1"/>
  <c r="B254" i="2" s="1"/>
  <c r="B255" i="2" a="1"/>
  <c r="B255" i="2" s="1"/>
  <c r="B256" i="2" a="1"/>
  <c r="B256" i="2" s="1"/>
  <c r="B257" i="2" a="1"/>
  <c r="B257" i="2" s="1"/>
  <c r="B258" i="2" a="1"/>
  <c r="B258" i="2" s="1"/>
  <c r="B259" i="2" a="1"/>
  <c r="B259" i="2" s="1"/>
  <c r="B260" i="2" a="1"/>
  <c r="B260" i="2" s="1"/>
  <c r="B261" i="2" a="1"/>
  <c r="B261" i="2" s="1"/>
  <c r="B262" i="2" a="1"/>
  <c r="B262" i="2" s="1"/>
  <c r="B263" i="2" a="1"/>
  <c r="B263" i="2" s="1"/>
  <c r="B264" i="2" a="1"/>
  <c r="B264" i="2" s="1"/>
  <c r="B265" i="2" a="1"/>
  <c r="B265" i="2" s="1"/>
  <c r="B266" i="2" a="1"/>
  <c r="B266" i="2" s="1"/>
  <c r="B267" i="2" a="1"/>
  <c r="B267" i="2" s="1"/>
  <c r="B268" i="2" a="1"/>
  <c r="B268" i="2" s="1"/>
  <c r="B269" i="2" a="1"/>
  <c r="B269" i="2" s="1"/>
  <c r="B270" i="2" a="1"/>
  <c r="B270" i="2" s="1"/>
  <c r="B271" i="2" a="1"/>
  <c r="B271" i="2" s="1"/>
  <c r="B272" i="2" a="1"/>
  <c r="B272" i="2" s="1"/>
  <c r="B273" i="2" a="1"/>
  <c r="B273" i="2" s="1"/>
  <c r="B274" i="2" a="1"/>
  <c r="B274" i="2" s="1"/>
  <c r="B275" i="2" a="1"/>
  <c r="B275" i="2" s="1"/>
  <c r="B276" i="2" a="1"/>
  <c r="B276" i="2" s="1"/>
  <c r="B277" i="2" a="1"/>
  <c r="B277" i="2" s="1"/>
  <c r="B278" i="2" a="1"/>
  <c r="B278" i="2" s="1"/>
  <c r="B279" i="2" a="1"/>
  <c r="B279" i="2" s="1"/>
  <c r="B280" i="2" a="1"/>
  <c r="B280" i="2" s="1"/>
  <c r="B281" i="2" a="1"/>
  <c r="B281" i="2" s="1"/>
  <c r="B282" i="2" a="1"/>
  <c r="B282" i="2" s="1"/>
  <c r="B283" i="2" a="1"/>
  <c r="B283" i="2" s="1"/>
  <c r="B284" i="2" a="1"/>
  <c r="B284" i="2" s="1"/>
  <c r="B285" i="2" a="1"/>
  <c r="B285" i="2" s="1"/>
  <c r="B286" i="2" a="1"/>
  <c r="B286" i="2" s="1"/>
  <c r="B287" i="2" a="1"/>
  <c r="B287" i="2" s="1"/>
  <c r="B288" i="2" a="1"/>
  <c r="B288" i="2" s="1"/>
  <c r="B289" i="2" a="1"/>
  <c r="B289" i="2" s="1"/>
  <c r="B290" i="2" a="1"/>
  <c r="B290" i="2" s="1"/>
  <c r="B291" i="2" a="1"/>
  <c r="B291" i="2" s="1"/>
  <c r="B292" i="2" a="1"/>
  <c r="B292" i="2" s="1"/>
  <c r="B293" i="2" a="1"/>
  <c r="B293" i="2" s="1"/>
  <c r="B294" i="2" a="1"/>
  <c r="B294" i="2" s="1"/>
  <c r="B295" i="2" a="1"/>
  <c r="B295" i="2" s="1"/>
  <c r="B296" i="2" a="1"/>
  <c r="B296" i="2" s="1"/>
  <c r="B297" i="2" a="1"/>
  <c r="B297" i="2" s="1"/>
  <c r="B298" i="2" a="1"/>
  <c r="B298" i="2" s="1"/>
  <c r="B299" i="2" a="1"/>
  <c r="B299" i="2" s="1"/>
  <c r="B300" i="2" a="1"/>
  <c r="B300" i="2" s="1"/>
  <c r="B301" i="2" a="1"/>
  <c r="B301" i="2" s="1"/>
  <c r="B302" i="2" a="1"/>
  <c r="B302" i="2" s="1"/>
  <c r="B303" i="2" a="1"/>
  <c r="B303" i="2" s="1"/>
  <c r="B304" i="2" a="1"/>
  <c r="B304" i="2" s="1"/>
  <c r="B305" i="2" a="1"/>
  <c r="B305" i="2" s="1"/>
  <c r="B306" i="2" a="1"/>
  <c r="B306" i="2" s="1"/>
  <c r="B307" i="2" a="1"/>
  <c r="B307" i="2" s="1"/>
  <c r="B308" i="2" a="1"/>
  <c r="B308" i="2" s="1"/>
  <c r="B309" i="2" a="1"/>
  <c r="B309" i="2" s="1"/>
  <c r="B310" i="2" a="1"/>
  <c r="B310" i="2" s="1"/>
  <c r="B311" i="2" a="1"/>
  <c r="B311" i="2" s="1"/>
  <c r="B312" i="2" a="1"/>
  <c r="B312" i="2" s="1"/>
  <c r="B313" i="2" a="1"/>
  <c r="B313" i="2" s="1"/>
  <c r="B314" i="2" a="1"/>
  <c r="B314" i="2" s="1"/>
  <c r="B315" i="2" a="1"/>
  <c r="B315" i="2" s="1"/>
  <c r="B316" i="2" a="1"/>
  <c r="B316" i="2" s="1"/>
  <c r="B317" i="2" a="1"/>
  <c r="B317" i="2" s="1"/>
  <c r="B318" i="2" a="1"/>
  <c r="B318" i="2" s="1"/>
  <c r="B319" i="2" a="1"/>
  <c r="B319" i="2" s="1"/>
  <c r="B320" i="2" a="1"/>
  <c r="B320" i="2" s="1"/>
  <c r="B321" i="2" a="1"/>
  <c r="B321" i="2" s="1"/>
  <c r="B322" i="2" a="1"/>
  <c r="B322" i="2" s="1"/>
  <c r="B323" i="2" a="1"/>
  <c r="B323" i="2" s="1"/>
  <c r="B324" i="2" a="1"/>
  <c r="B324" i="2" s="1"/>
  <c r="B325" i="2" a="1"/>
  <c r="B325" i="2" s="1"/>
  <c r="B326" i="2" a="1"/>
  <c r="B326" i="2" s="1"/>
  <c r="B327" i="2" a="1"/>
  <c r="B327" i="2" s="1"/>
  <c r="B328" i="2" a="1"/>
  <c r="B328" i="2" s="1"/>
  <c r="B329" i="2" a="1"/>
  <c r="B329" i="2" s="1"/>
  <c r="B330" i="2" a="1"/>
  <c r="B330" i="2" s="1"/>
  <c r="B331" i="2" a="1"/>
  <c r="B331" i="2" s="1"/>
  <c r="B332" i="2" a="1"/>
  <c r="B332" i="2" s="1"/>
  <c r="B333" i="2" a="1"/>
  <c r="B333" i="2" s="1"/>
  <c r="B334" i="2" a="1"/>
  <c r="B334" i="2" s="1"/>
  <c r="B335" i="2" a="1"/>
  <c r="B335" i="2" s="1"/>
  <c r="B336" i="2" a="1"/>
  <c r="B336" i="2" s="1"/>
  <c r="B337" i="2" a="1"/>
  <c r="B337" i="2" s="1"/>
  <c r="B338" i="2" a="1"/>
  <c r="B338" i="2" s="1"/>
  <c r="B339" i="2" a="1"/>
  <c r="B339" i="2" s="1"/>
  <c r="B340" i="2" a="1"/>
  <c r="B340" i="2" s="1"/>
  <c r="B341" i="2" a="1"/>
  <c r="B341" i="2" s="1"/>
  <c r="B342" i="2" a="1"/>
  <c r="B342" i="2" s="1"/>
  <c r="B343" i="2" a="1"/>
  <c r="B343" i="2" s="1"/>
  <c r="B344" i="2" a="1"/>
  <c r="B344" i="2" s="1"/>
  <c r="B345" i="2" a="1"/>
  <c r="B345" i="2" s="1"/>
  <c r="B346" i="2" a="1"/>
  <c r="B346" i="2" s="1"/>
  <c r="B347" i="2" a="1"/>
  <c r="B347" i="2" s="1"/>
  <c r="B348" i="2" a="1"/>
  <c r="B348" i="2" s="1"/>
  <c r="B349" i="2" a="1"/>
  <c r="B349" i="2" s="1"/>
  <c r="B350" i="2" a="1"/>
  <c r="B350" i="2" s="1"/>
  <c r="B351" i="2" a="1"/>
  <c r="B351" i="2" s="1"/>
  <c r="B352" i="2" a="1"/>
  <c r="B352" i="2" s="1"/>
  <c r="B353" i="2" a="1"/>
  <c r="B353" i="2" s="1"/>
  <c r="B354" i="2" a="1"/>
  <c r="B354" i="2" s="1"/>
  <c r="B355" i="2" a="1"/>
  <c r="B355" i="2" s="1"/>
  <c r="B356" i="2" a="1"/>
  <c r="B356" i="2" s="1"/>
  <c r="B357" i="2" a="1"/>
  <c r="B357" i="2" s="1"/>
  <c r="B358" i="2" a="1"/>
  <c r="B358" i="2" s="1"/>
  <c r="B359" i="2" a="1"/>
  <c r="B359" i="2" s="1"/>
  <c r="B360" i="2" a="1"/>
  <c r="B360" i="2" s="1"/>
  <c r="B361" i="2" a="1"/>
  <c r="B361" i="2" s="1"/>
  <c r="B362" i="2" a="1"/>
  <c r="B362" i="2" s="1"/>
  <c r="B363" i="2" a="1"/>
  <c r="B363" i="2" s="1"/>
  <c r="B364" i="2" a="1"/>
  <c r="B364" i="2" s="1"/>
  <c r="B365" i="2" a="1"/>
  <c r="B365" i="2" s="1"/>
  <c r="B366" i="2" a="1"/>
  <c r="B366" i="2" s="1"/>
  <c r="B367" i="2" a="1"/>
  <c r="B367" i="2" s="1"/>
  <c r="B368" i="2" a="1"/>
  <c r="B368" i="2" s="1"/>
  <c r="B369" i="2" a="1"/>
  <c r="B369" i="2" s="1"/>
  <c r="B370" i="2" a="1"/>
  <c r="B370" i="2" s="1"/>
  <c r="B371" i="2" a="1"/>
  <c r="B371" i="2" s="1"/>
  <c r="B372" i="2" a="1"/>
  <c r="B372" i="2" s="1"/>
  <c r="B373" i="2" a="1"/>
  <c r="B373" i="2" s="1"/>
  <c r="B374" i="2" a="1"/>
  <c r="B374" i="2" s="1"/>
  <c r="B375" i="2" a="1"/>
  <c r="B375" i="2" s="1"/>
  <c r="B376" i="2" a="1"/>
  <c r="B376" i="2" s="1"/>
  <c r="B377" i="2" a="1"/>
  <c r="B377" i="2" s="1"/>
  <c r="B378" i="2" a="1"/>
  <c r="B378" i="2" s="1"/>
  <c r="B379" i="2" a="1"/>
  <c r="B379" i="2" s="1"/>
  <c r="B380" i="2" a="1"/>
  <c r="B380" i="2" s="1"/>
  <c r="B381" i="2" a="1"/>
  <c r="B381" i="2" s="1"/>
  <c r="B382" i="2" a="1"/>
  <c r="B382" i="2" s="1"/>
  <c r="B383" i="2" a="1"/>
  <c r="B383" i="2" s="1"/>
  <c r="B384" i="2" a="1"/>
  <c r="B384" i="2" s="1"/>
  <c r="B385" i="2" a="1"/>
  <c r="B385" i="2" s="1"/>
  <c r="B386" i="2" a="1"/>
  <c r="B386" i="2" s="1"/>
  <c r="B387" i="2" a="1"/>
  <c r="B387" i="2" s="1"/>
  <c r="B388" i="2" a="1"/>
  <c r="B388" i="2" s="1"/>
  <c r="B389" i="2" a="1"/>
  <c r="B389" i="2" s="1"/>
  <c r="B390" i="2" a="1"/>
  <c r="B390" i="2" s="1"/>
  <c r="B391" i="2" a="1"/>
  <c r="B391" i="2" s="1"/>
  <c r="B392" i="2" a="1"/>
  <c r="B392" i="2" s="1"/>
  <c r="B393" i="2" a="1"/>
  <c r="B393" i="2" s="1"/>
  <c r="B394" i="2" a="1"/>
  <c r="B394" i="2" s="1"/>
  <c r="B395" i="2" a="1"/>
  <c r="B395" i="2" s="1"/>
  <c r="B396" i="2" a="1"/>
  <c r="B396" i="2" s="1"/>
  <c r="B397" i="2" a="1"/>
  <c r="B397" i="2" s="1"/>
  <c r="B398" i="2" a="1"/>
  <c r="B398" i="2" s="1"/>
  <c r="B399" i="2" a="1"/>
  <c r="B399" i="2" s="1"/>
  <c r="B400" i="2" a="1"/>
  <c r="B400" i="2" s="1"/>
  <c r="B401" i="2" a="1"/>
  <c r="B401" i="2" s="1"/>
  <c r="B402" i="2" a="1"/>
  <c r="B402" i="2" s="1"/>
  <c r="B403" i="2" a="1"/>
  <c r="B403" i="2" s="1"/>
  <c r="B404" i="2" a="1"/>
  <c r="B404" i="2" s="1"/>
  <c r="B405" i="2" a="1"/>
  <c r="B405" i="2" s="1"/>
  <c r="B406" i="2" a="1"/>
  <c r="B406" i="2" s="1"/>
  <c r="B407" i="2" a="1"/>
  <c r="B407" i="2" s="1"/>
  <c r="B408" i="2" a="1"/>
  <c r="B408" i="2" s="1"/>
  <c r="B409" i="2" a="1"/>
  <c r="B409" i="2" s="1"/>
  <c r="B410" i="2" a="1"/>
  <c r="B410" i="2" s="1"/>
  <c r="B411" i="2" a="1"/>
  <c r="B411" i="2" s="1"/>
  <c r="B412" i="2" a="1"/>
  <c r="B412" i="2" s="1"/>
  <c r="B413" i="2" a="1"/>
  <c r="B413" i="2" s="1"/>
  <c r="B414" i="2" a="1"/>
  <c r="B414" i="2" s="1"/>
  <c r="B415" i="2" a="1"/>
  <c r="B415" i="2" s="1"/>
  <c r="B416" i="2" a="1"/>
  <c r="B416" i="2" s="1"/>
  <c r="B417" i="2" a="1"/>
  <c r="B417" i="2" s="1"/>
  <c r="B418" i="2" a="1"/>
  <c r="B418" i="2" s="1"/>
  <c r="B419" i="2" a="1"/>
  <c r="B419" i="2" s="1"/>
  <c r="B420" i="2" a="1"/>
  <c r="B420" i="2" s="1"/>
  <c r="B421" i="2" a="1"/>
  <c r="B421" i="2" s="1"/>
  <c r="B422" i="2" a="1"/>
  <c r="B422" i="2" s="1"/>
  <c r="B423" i="2" a="1"/>
  <c r="B423" i="2" s="1"/>
  <c r="B424" i="2" a="1"/>
  <c r="B424" i="2" s="1"/>
  <c r="B425" i="2" a="1"/>
  <c r="B425" i="2" s="1"/>
  <c r="B426" i="2" a="1"/>
  <c r="B426" i="2" s="1"/>
  <c r="B427" i="2" a="1"/>
  <c r="B427" i="2" s="1"/>
  <c r="B428" i="2" a="1"/>
  <c r="B428" i="2" s="1"/>
  <c r="B429" i="2" a="1"/>
  <c r="B429" i="2" s="1"/>
  <c r="B430" i="2" a="1"/>
  <c r="B430" i="2" s="1"/>
  <c r="B431" i="2" a="1"/>
  <c r="B431" i="2" s="1"/>
  <c r="B432" i="2" a="1"/>
  <c r="B432" i="2" s="1"/>
  <c r="B433" i="2" a="1"/>
  <c r="B433" i="2" s="1"/>
  <c r="B434" i="2" a="1"/>
  <c r="B434" i="2" s="1"/>
  <c r="B435" i="2" a="1"/>
  <c r="B435" i="2" s="1"/>
  <c r="B436" i="2" a="1"/>
  <c r="B436" i="2" s="1"/>
  <c r="B437" i="2" a="1"/>
  <c r="B437" i="2" s="1"/>
  <c r="B438" i="2" a="1"/>
  <c r="B438" i="2" s="1"/>
  <c r="B439" i="2" a="1"/>
  <c r="B439" i="2" s="1"/>
  <c r="B440" i="2" a="1"/>
  <c r="B440" i="2" s="1"/>
  <c r="B441" i="2" a="1"/>
  <c r="B441" i="2" s="1"/>
  <c r="B442" i="2" a="1"/>
  <c r="B442" i="2" s="1"/>
  <c r="B443" i="2" a="1"/>
  <c r="B443" i="2" s="1"/>
  <c r="B444" i="2" a="1"/>
  <c r="B444" i="2" s="1"/>
  <c r="B445" i="2" a="1"/>
  <c r="B445" i="2" s="1"/>
  <c r="B446" i="2" a="1"/>
  <c r="B446" i="2" s="1"/>
  <c r="B447" i="2" a="1"/>
  <c r="B447" i="2" s="1"/>
  <c r="B448" i="2" a="1"/>
  <c r="B448" i="2" s="1"/>
  <c r="B449" i="2" a="1"/>
  <c r="B449" i="2" s="1"/>
  <c r="B450" i="2" a="1"/>
  <c r="B450" i="2" s="1"/>
  <c r="B451" i="2" a="1"/>
  <c r="B451" i="2" s="1"/>
  <c r="B452" i="2" a="1"/>
  <c r="B452" i="2" s="1"/>
  <c r="B453" i="2" a="1"/>
  <c r="B453" i="2" s="1"/>
  <c r="B454" i="2" a="1"/>
  <c r="B454" i="2" s="1"/>
  <c r="B455" i="2" a="1"/>
  <c r="B455" i="2" s="1"/>
  <c r="B456" i="2" a="1"/>
  <c r="B456" i="2" s="1"/>
  <c r="B457" i="2" a="1"/>
  <c r="B457" i="2" s="1"/>
  <c r="B458" i="2" a="1"/>
  <c r="B458" i="2" s="1"/>
  <c r="B459" i="2" a="1"/>
  <c r="B459" i="2" s="1"/>
  <c r="B460" i="2" a="1"/>
  <c r="B460" i="2" s="1"/>
  <c r="B461" i="2" a="1"/>
  <c r="B461" i="2" s="1"/>
  <c r="B462" i="2" a="1"/>
  <c r="B462" i="2" s="1"/>
  <c r="B463" i="2" a="1"/>
  <c r="B463" i="2" s="1"/>
  <c r="B464" i="2" a="1"/>
  <c r="B464" i="2" s="1"/>
  <c r="B465" i="2" a="1"/>
  <c r="B465" i="2" s="1"/>
  <c r="B466" i="2" a="1"/>
  <c r="B466" i="2" s="1"/>
  <c r="B467" i="2" a="1"/>
  <c r="B467" i="2" s="1"/>
  <c r="B468" i="2" a="1"/>
  <c r="B468" i="2" s="1"/>
  <c r="B469" i="2" a="1"/>
  <c r="B469" i="2" s="1"/>
  <c r="B470" i="2" a="1"/>
  <c r="B470" i="2" s="1"/>
  <c r="B471" i="2" a="1"/>
  <c r="B471" i="2" s="1"/>
  <c r="B472" i="2" a="1"/>
  <c r="B472" i="2" s="1"/>
  <c r="B473" i="2" a="1"/>
  <c r="B473" i="2" s="1"/>
  <c r="B474" i="2" a="1"/>
  <c r="B474" i="2" s="1"/>
  <c r="B475" i="2" a="1"/>
  <c r="B475" i="2" s="1"/>
  <c r="B476" i="2" a="1"/>
  <c r="B476" i="2" s="1"/>
  <c r="B477" i="2" a="1"/>
  <c r="B477" i="2" s="1"/>
  <c r="B478" i="2" a="1"/>
  <c r="B478" i="2" s="1"/>
  <c r="B479" i="2" a="1"/>
  <c r="B479" i="2" s="1"/>
  <c r="B480" i="2" a="1"/>
  <c r="B480" i="2" s="1"/>
  <c r="B481" i="2" a="1"/>
  <c r="B481" i="2" s="1"/>
  <c r="B482" i="2" a="1"/>
  <c r="B482" i="2" s="1"/>
  <c r="B483" i="2" a="1"/>
  <c r="B483" i="2" s="1"/>
  <c r="B484" i="2" a="1"/>
  <c r="B484" i="2" s="1"/>
  <c r="B485" i="2" a="1"/>
  <c r="B485" i="2" s="1"/>
  <c r="B486" i="2" a="1"/>
  <c r="B486" i="2" s="1"/>
  <c r="B487" i="2" a="1"/>
  <c r="B487" i="2" s="1"/>
  <c r="B488" i="2" a="1"/>
  <c r="B488" i="2" s="1"/>
  <c r="B489" i="2" a="1"/>
  <c r="B489" i="2" s="1"/>
  <c r="B490" i="2" a="1"/>
  <c r="B490" i="2" s="1"/>
  <c r="B491" i="2" a="1"/>
  <c r="B491" i="2" s="1"/>
  <c r="B492" i="2" a="1"/>
  <c r="B492" i="2" s="1"/>
  <c r="B493" i="2" a="1"/>
  <c r="B493" i="2" s="1"/>
  <c r="B494" i="2" a="1"/>
  <c r="B494" i="2" s="1"/>
  <c r="B495" i="2" a="1"/>
  <c r="B495" i="2" s="1"/>
  <c r="B496" i="2" a="1"/>
  <c r="B496" i="2" s="1"/>
  <c r="B497" i="2" a="1"/>
  <c r="B497" i="2" s="1"/>
  <c r="B498" i="2" a="1"/>
  <c r="B498" i="2" s="1"/>
  <c r="B499" i="2" a="1"/>
  <c r="B499" i="2" s="1"/>
  <c r="B500" i="2" a="1"/>
  <c r="B500" i="2" s="1"/>
  <c r="B501" i="2" a="1"/>
  <c r="B501" i="2" s="1"/>
  <c r="B502" i="2" a="1"/>
  <c r="B502" i="2" s="1"/>
  <c r="B503" i="2" a="1"/>
  <c r="B503" i="2" s="1"/>
  <c r="B504" i="2" a="1"/>
  <c r="B504" i="2" s="1"/>
  <c r="B505" i="2" a="1"/>
  <c r="B505" i="2" s="1"/>
  <c r="B506" i="2" a="1"/>
  <c r="B506" i="2" s="1"/>
  <c r="B507" i="2" a="1"/>
  <c r="B507" i="2" s="1"/>
  <c r="B508" i="2" a="1"/>
  <c r="B508" i="2" s="1"/>
  <c r="B509" i="2" a="1"/>
  <c r="B509" i="2" s="1"/>
  <c r="B510" i="2" a="1"/>
  <c r="B510" i="2" s="1"/>
  <c r="B511" i="2" a="1"/>
  <c r="B511" i="2" s="1"/>
  <c r="B512" i="2" a="1"/>
  <c r="B512" i="2" s="1"/>
  <c r="B513" i="2" a="1"/>
  <c r="B513" i="2" s="1"/>
  <c r="B514" i="2" a="1"/>
  <c r="B514" i="2" s="1"/>
  <c r="B515" i="2" a="1"/>
  <c r="B515" i="2" s="1"/>
  <c r="B516" i="2" a="1"/>
  <c r="B516" i="2" s="1"/>
  <c r="B517" i="2" a="1"/>
  <c r="B517" i="2" s="1"/>
  <c r="B518" i="2" a="1"/>
  <c r="B518" i="2" s="1"/>
  <c r="B519" i="2" a="1"/>
  <c r="B519" i="2" s="1"/>
  <c r="B520" i="2" a="1"/>
  <c r="B520" i="2" s="1"/>
  <c r="B521" i="2" a="1"/>
  <c r="B521" i="2" s="1"/>
  <c r="B522" i="2" a="1"/>
  <c r="B522" i="2" s="1"/>
  <c r="B523" i="2" a="1"/>
  <c r="B523" i="2" s="1"/>
  <c r="B524" i="2" a="1"/>
  <c r="B524" i="2" s="1"/>
  <c r="B525" i="2" a="1"/>
  <c r="B525" i="2" s="1"/>
  <c r="B526" i="2" a="1"/>
  <c r="B526" i="2" s="1"/>
  <c r="B527" i="2" a="1"/>
  <c r="B527" i="2" s="1"/>
  <c r="B528" i="2" a="1"/>
  <c r="B528" i="2" s="1"/>
  <c r="B529" i="2" a="1"/>
  <c r="B529" i="2" s="1"/>
  <c r="B530" i="2" a="1"/>
  <c r="B530" i="2" s="1"/>
  <c r="B531" i="2" a="1"/>
  <c r="B531" i="2" s="1"/>
  <c r="B532" i="2" a="1"/>
  <c r="B532" i="2" s="1"/>
  <c r="B533" i="2" a="1"/>
  <c r="B533" i="2" s="1"/>
  <c r="B534" i="2" a="1"/>
  <c r="B534" i="2" s="1"/>
  <c r="B535" i="2" a="1"/>
  <c r="B535" i="2" s="1"/>
  <c r="B536" i="2" a="1"/>
  <c r="B536" i="2" s="1"/>
  <c r="B537" i="2" a="1"/>
  <c r="B537" i="2" s="1"/>
  <c r="B538" i="2" a="1"/>
  <c r="B538" i="2" s="1"/>
  <c r="B539" i="2" a="1"/>
  <c r="B539" i="2" s="1"/>
  <c r="B540" i="2" a="1"/>
  <c r="B540" i="2" s="1"/>
  <c r="B541" i="2" a="1"/>
  <c r="B541" i="2" s="1"/>
  <c r="B542" i="2" a="1"/>
  <c r="B542" i="2" s="1"/>
  <c r="B543" i="2" a="1"/>
  <c r="B543" i="2" s="1"/>
  <c r="B544" i="2" a="1"/>
  <c r="B544" i="2" s="1"/>
  <c r="B545" i="2" a="1"/>
  <c r="B545" i="2" s="1"/>
  <c r="B546" i="2" a="1"/>
  <c r="B546" i="2" s="1"/>
  <c r="B547" i="2" a="1"/>
  <c r="B547" i="2" s="1"/>
  <c r="B548" i="2" a="1"/>
  <c r="B548" i="2" s="1"/>
  <c r="B549" i="2" a="1"/>
  <c r="B549" i="2" s="1"/>
  <c r="B550" i="2" a="1"/>
  <c r="B550" i="2" s="1"/>
  <c r="B551" i="2" a="1"/>
  <c r="B551" i="2" s="1"/>
  <c r="B552" i="2" a="1"/>
  <c r="B552" i="2" s="1"/>
  <c r="B553" i="2" a="1"/>
  <c r="B553" i="2" s="1"/>
  <c r="B554" i="2" a="1"/>
  <c r="B554" i="2" s="1"/>
  <c r="B555" i="2" a="1"/>
  <c r="B555" i="2" s="1"/>
  <c r="B556" i="2" a="1"/>
  <c r="B556" i="2" s="1"/>
  <c r="B557" i="2" a="1"/>
  <c r="B557" i="2" s="1"/>
  <c r="B558" i="2" a="1"/>
  <c r="B558" i="2" s="1"/>
  <c r="B559" i="2" a="1"/>
  <c r="B559" i="2" s="1"/>
  <c r="B560" i="2" a="1"/>
  <c r="B560" i="2" s="1"/>
  <c r="B561" i="2" a="1"/>
  <c r="B561" i="2" s="1"/>
  <c r="B562" i="2" a="1"/>
  <c r="B562" i="2" s="1"/>
  <c r="B563" i="2" a="1"/>
  <c r="B563" i="2" s="1"/>
  <c r="B564" i="2" a="1"/>
  <c r="B564" i="2" s="1"/>
  <c r="B565" i="2" a="1"/>
  <c r="B565" i="2" s="1"/>
  <c r="B566" i="2" a="1"/>
  <c r="B566" i="2" s="1"/>
  <c r="B567" i="2" a="1"/>
  <c r="B567" i="2" s="1"/>
  <c r="B568" i="2" a="1"/>
  <c r="B568" i="2" s="1"/>
  <c r="B569" i="2" a="1"/>
  <c r="B569" i="2" s="1"/>
  <c r="B570" i="2" a="1"/>
  <c r="B570" i="2" s="1"/>
  <c r="B571" i="2" a="1"/>
  <c r="B571" i="2" s="1"/>
  <c r="B572" i="2" a="1"/>
  <c r="B572" i="2" s="1"/>
  <c r="B573" i="2" a="1"/>
  <c r="B573" i="2" s="1"/>
  <c r="B574" i="2" a="1"/>
  <c r="B574" i="2" s="1"/>
  <c r="B575" i="2" a="1"/>
  <c r="B575" i="2" s="1"/>
  <c r="B576" i="2" a="1"/>
  <c r="B576" i="2" s="1"/>
  <c r="B577" i="2" a="1"/>
  <c r="B577" i="2" s="1"/>
  <c r="B578" i="2" a="1"/>
  <c r="B578" i="2" s="1"/>
  <c r="B579" i="2" a="1"/>
  <c r="B579" i="2" s="1"/>
  <c r="B580" i="2" a="1"/>
  <c r="B580" i="2" s="1"/>
  <c r="B581" i="2" a="1"/>
  <c r="B581" i="2" s="1"/>
  <c r="B582" i="2" a="1"/>
  <c r="B582" i="2" s="1"/>
  <c r="B583" i="2" a="1"/>
  <c r="B583" i="2" s="1"/>
  <c r="B584" i="2" a="1"/>
  <c r="B584" i="2" s="1"/>
  <c r="B585" i="2" a="1"/>
  <c r="B585" i="2" s="1"/>
  <c r="B586" i="2" a="1"/>
  <c r="B586" i="2" s="1"/>
  <c r="B587" i="2" a="1"/>
  <c r="B587" i="2" s="1"/>
  <c r="B588" i="2" a="1"/>
  <c r="B588" i="2" s="1"/>
  <c r="B589" i="2" a="1"/>
  <c r="B589" i="2" s="1"/>
  <c r="B590" i="2" a="1"/>
  <c r="B590" i="2" s="1"/>
  <c r="B591" i="2" a="1"/>
  <c r="B591" i="2" s="1"/>
  <c r="B592" i="2" a="1"/>
  <c r="B592" i="2" s="1"/>
  <c r="B593" i="2" a="1"/>
  <c r="B593" i="2" s="1"/>
  <c r="B594" i="2" a="1"/>
  <c r="B594" i="2" s="1"/>
  <c r="B595" i="2" a="1"/>
  <c r="B595" i="2" s="1"/>
  <c r="B596" i="2" a="1"/>
  <c r="B596" i="2" s="1"/>
  <c r="B597" i="2" a="1"/>
  <c r="B597" i="2" s="1"/>
  <c r="B598" i="2" a="1"/>
  <c r="B598" i="2" s="1"/>
  <c r="B599" i="2" a="1"/>
  <c r="B599" i="2" s="1"/>
  <c r="B600" i="2" a="1"/>
  <c r="B600" i="2" s="1"/>
  <c r="B601" i="2" a="1"/>
  <c r="B601" i="2" s="1"/>
  <c r="B602" i="2" a="1"/>
  <c r="B602" i="2" s="1"/>
  <c r="B603" i="2" a="1"/>
  <c r="B603" i="2" s="1"/>
  <c r="B604" i="2" a="1"/>
  <c r="B604" i="2" s="1"/>
  <c r="B605" i="2" a="1"/>
  <c r="B605" i="2" s="1"/>
  <c r="B606" i="2" a="1"/>
  <c r="B606" i="2" s="1"/>
  <c r="B607" i="2" a="1"/>
  <c r="B607" i="2" s="1"/>
  <c r="B608" i="2" a="1"/>
  <c r="B608" i="2" s="1"/>
  <c r="B609" i="2" a="1"/>
  <c r="B609" i="2" s="1"/>
  <c r="B610" i="2" a="1"/>
  <c r="B610" i="2" s="1"/>
  <c r="B611" i="2" a="1"/>
  <c r="B611" i="2" s="1"/>
  <c r="B612" i="2" a="1"/>
  <c r="B612" i="2" s="1"/>
  <c r="B613" i="2" a="1"/>
  <c r="B613" i="2" s="1"/>
  <c r="B614" i="2" a="1"/>
  <c r="B614" i="2" s="1"/>
  <c r="B615" i="2" a="1"/>
  <c r="B615" i="2" s="1"/>
  <c r="B616" i="2" a="1"/>
  <c r="B616" i="2" s="1"/>
  <c r="B617" i="2" a="1"/>
  <c r="B617" i="2" s="1"/>
  <c r="B618" i="2" a="1"/>
  <c r="B618" i="2" s="1"/>
  <c r="B619" i="2" a="1"/>
  <c r="B619" i="2" s="1"/>
  <c r="B620" i="2" a="1"/>
  <c r="B620" i="2" s="1"/>
  <c r="B621" i="2" a="1"/>
  <c r="B621" i="2" s="1"/>
  <c r="B622" i="2" a="1"/>
  <c r="B622" i="2" s="1"/>
  <c r="B623" i="2" a="1"/>
  <c r="B623" i="2" s="1"/>
  <c r="B624" i="2" a="1"/>
  <c r="B624" i="2" s="1"/>
  <c r="B625" i="2" a="1"/>
  <c r="B625" i="2" s="1"/>
  <c r="B626" i="2" a="1"/>
  <c r="B626" i="2" s="1"/>
  <c r="B627" i="2" a="1"/>
  <c r="B627" i="2" s="1"/>
  <c r="B628" i="2" a="1"/>
  <c r="B628" i="2" s="1"/>
  <c r="B629" i="2" a="1"/>
  <c r="B629" i="2" s="1"/>
  <c r="B630" i="2" a="1"/>
  <c r="B630" i="2" s="1"/>
  <c r="B631" i="2" a="1"/>
  <c r="B631" i="2" s="1"/>
  <c r="B632" i="2" a="1"/>
  <c r="B632" i="2" s="1"/>
  <c r="B633" i="2" a="1"/>
  <c r="B633" i="2" s="1"/>
  <c r="B634" i="2" a="1"/>
  <c r="B634" i="2" s="1"/>
  <c r="B635" i="2" a="1"/>
  <c r="B635" i="2" s="1"/>
  <c r="B636" i="2" a="1"/>
  <c r="B636" i="2" s="1"/>
  <c r="B637" i="2" a="1"/>
  <c r="B637" i="2" s="1"/>
  <c r="B638" i="2" a="1"/>
  <c r="B638" i="2" s="1"/>
  <c r="B639" i="2" a="1"/>
  <c r="B639" i="2" s="1"/>
  <c r="B640" i="2" a="1"/>
  <c r="B640" i="2" s="1"/>
  <c r="B641" i="2" a="1"/>
  <c r="B641" i="2" s="1"/>
  <c r="B642" i="2" a="1"/>
  <c r="B642" i="2" s="1"/>
  <c r="B643" i="2" a="1"/>
  <c r="B643" i="2" s="1"/>
  <c r="B644" i="2" a="1"/>
  <c r="B644" i="2" s="1"/>
  <c r="B645" i="2" a="1"/>
  <c r="B645" i="2" s="1"/>
  <c r="B646" i="2" a="1"/>
  <c r="B646" i="2" s="1"/>
  <c r="B647" i="2" a="1"/>
  <c r="B647" i="2" s="1"/>
  <c r="B648" i="2" a="1"/>
  <c r="B648" i="2" s="1"/>
  <c r="B649" i="2" a="1"/>
  <c r="B649" i="2" s="1"/>
  <c r="B650" i="2" a="1"/>
  <c r="B650" i="2" s="1"/>
  <c r="B651" i="2" a="1"/>
  <c r="B651" i="2" s="1"/>
  <c r="B652" i="2" a="1"/>
  <c r="B652" i="2" s="1"/>
  <c r="B653" i="2" a="1"/>
  <c r="B653" i="2" s="1"/>
  <c r="B654" i="2" a="1"/>
  <c r="B654" i="2" s="1"/>
  <c r="B655" i="2" a="1"/>
  <c r="B655" i="2" s="1"/>
  <c r="B656" i="2" a="1"/>
  <c r="B656" i="2" s="1"/>
  <c r="B657" i="2" a="1"/>
  <c r="B657" i="2" s="1"/>
  <c r="B658" i="2" a="1"/>
  <c r="B658" i="2" s="1"/>
  <c r="B659" i="2" a="1"/>
  <c r="B659" i="2" s="1"/>
  <c r="B660" i="2" a="1"/>
  <c r="B660" i="2" s="1"/>
  <c r="B661" i="2" a="1"/>
  <c r="B661" i="2" s="1"/>
  <c r="B662" i="2" a="1"/>
  <c r="B662" i="2" s="1"/>
  <c r="B663" i="2" a="1"/>
  <c r="B663" i="2" s="1"/>
  <c r="B664" i="2" a="1"/>
  <c r="B664" i="2" s="1"/>
  <c r="B665" i="2" a="1"/>
  <c r="B665" i="2" s="1"/>
  <c r="B666" i="2" a="1"/>
  <c r="B666" i="2" s="1"/>
  <c r="B667" i="2" a="1"/>
  <c r="B667" i="2" s="1"/>
  <c r="B668" i="2" a="1"/>
  <c r="B668" i="2" s="1"/>
  <c r="B669" i="2" a="1"/>
  <c r="B669" i="2" s="1"/>
  <c r="B670" i="2" a="1"/>
  <c r="B670" i="2" s="1"/>
  <c r="B671" i="2" a="1"/>
  <c r="B671" i="2" s="1"/>
  <c r="B672" i="2" a="1"/>
  <c r="B672" i="2" s="1"/>
  <c r="B673" i="2" a="1"/>
  <c r="B673" i="2" s="1"/>
  <c r="B674" i="2" a="1"/>
  <c r="B674" i="2" s="1"/>
  <c r="B675" i="2" a="1"/>
  <c r="B675" i="2" s="1"/>
  <c r="B676" i="2" a="1"/>
  <c r="B676" i="2" s="1"/>
  <c r="B677" i="2" a="1"/>
  <c r="B677" i="2" s="1"/>
  <c r="B678" i="2" a="1"/>
  <c r="B678" i="2" s="1"/>
  <c r="B679" i="2" a="1"/>
  <c r="B679" i="2" s="1"/>
  <c r="B680" i="2" a="1"/>
  <c r="B680" i="2" s="1"/>
  <c r="B681" i="2" a="1"/>
  <c r="B681" i="2" s="1"/>
  <c r="B682" i="2" a="1"/>
  <c r="B682" i="2" s="1"/>
  <c r="B683" i="2" a="1"/>
  <c r="B683" i="2" s="1"/>
  <c r="B684" i="2" a="1"/>
  <c r="B684" i="2" s="1"/>
  <c r="B685" i="2" a="1"/>
  <c r="B685" i="2" s="1"/>
  <c r="B686" i="2" a="1"/>
  <c r="B686" i="2" s="1"/>
  <c r="B687" i="2" a="1"/>
  <c r="B687" i="2" s="1"/>
  <c r="B688" i="2" a="1"/>
  <c r="B688" i="2" s="1"/>
  <c r="B689" i="2" a="1"/>
  <c r="B689" i="2" s="1"/>
  <c r="B690" i="2" a="1"/>
  <c r="B690" i="2" s="1"/>
  <c r="B691" i="2" a="1"/>
  <c r="B691" i="2" s="1"/>
  <c r="B692" i="2" a="1"/>
  <c r="B692" i="2" s="1"/>
  <c r="B693" i="2" a="1"/>
  <c r="B693" i="2" s="1"/>
  <c r="B694" i="2" a="1"/>
  <c r="B694" i="2" s="1"/>
  <c r="B695" i="2" a="1"/>
  <c r="B695" i="2" s="1"/>
  <c r="B696" i="2" a="1"/>
  <c r="B696" i="2" s="1"/>
  <c r="B697" i="2" a="1"/>
  <c r="B697" i="2" s="1"/>
  <c r="B698" i="2" a="1"/>
  <c r="B698" i="2" s="1"/>
  <c r="B699" i="2" a="1"/>
  <c r="B699" i="2" s="1"/>
  <c r="B700" i="2" a="1"/>
  <c r="B700" i="2" s="1"/>
  <c r="B701" i="2" a="1"/>
  <c r="B701" i="2" s="1"/>
  <c r="B702" i="2" a="1"/>
  <c r="B702" i="2" s="1"/>
  <c r="B703" i="2" a="1"/>
  <c r="B703" i="2" s="1"/>
  <c r="B704" i="2" a="1"/>
  <c r="B704" i="2" s="1"/>
  <c r="B705" i="2" a="1"/>
  <c r="B705" i="2" s="1"/>
  <c r="B706" i="2" a="1"/>
  <c r="B706" i="2" s="1"/>
  <c r="B707" i="2" a="1"/>
  <c r="B707" i="2" s="1"/>
  <c r="B708" i="2" a="1"/>
  <c r="B708" i="2" s="1"/>
  <c r="B709" i="2" a="1"/>
  <c r="B709" i="2" s="1"/>
  <c r="B710" i="2" a="1"/>
  <c r="B710" i="2" s="1"/>
  <c r="B711" i="2" a="1"/>
  <c r="B711" i="2" s="1"/>
  <c r="B712" i="2" a="1"/>
  <c r="B712" i="2" s="1"/>
  <c r="B713" i="2" a="1"/>
  <c r="B713" i="2" s="1"/>
  <c r="B714" i="2" a="1"/>
  <c r="B714" i="2" s="1"/>
  <c r="B715" i="2" a="1"/>
  <c r="B715" i="2" s="1"/>
  <c r="B716" i="2" a="1"/>
  <c r="B716" i="2" s="1"/>
  <c r="B717" i="2" a="1"/>
  <c r="B717" i="2" s="1"/>
  <c r="B718" i="2" a="1"/>
  <c r="B718" i="2" s="1"/>
  <c r="B719" i="2" a="1"/>
  <c r="B719" i="2" s="1"/>
  <c r="B720" i="2" a="1"/>
  <c r="B720" i="2" s="1"/>
  <c r="B721" i="2" a="1"/>
  <c r="B721" i="2" s="1"/>
  <c r="B722" i="2" a="1"/>
  <c r="B722" i="2" s="1"/>
  <c r="B723" i="2" a="1"/>
  <c r="B723" i="2" s="1"/>
  <c r="B724" i="2" a="1"/>
  <c r="B724" i="2" s="1"/>
  <c r="B725" i="2" a="1"/>
  <c r="B725" i="2" s="1"/>
  <c r="B726" i="2" a="1"/>
  <c r="B726" i="2" s="1"/>
  <c r="B727" i="2" a="1"/>
  <c r="B727" i="2" s="1"/>
  <c r="B728" i="2" a="1"/>
  <c r="B728" i="2" s="1"/>
  <c r="B729" i="2" a="1"/>
  <c r="B729" i="2" s="1"/>
  <c r="B730" i="2" a="1"/>
  <c r="B730" i="2" s="1"/>
  <c r="B731" i="2" a="1"/>
  <c r="B731" i="2" s="1"/>
  <c r="B732" i="2" a="1"/>
  <c r="B732" i="2" s="1"/>
  <c r="B733" i="2" a="1"/>
  <c r="B733" i="2" s="1"/>
  <c r="B734" i="2" a="1"/>
  <c r="B734" i="2" s="1"/>
  <c r="B735" i="2" a="1"/>
  <c r="B735" i="2" s="1"/>
  <c r="B736" i="2" a="1"/>
  <c r="B736" i="2" s="1"/>
  <c r="B737" i="2" a="1"/>
  <c r="B737" i="2" s="1"/>
  <c r="B738" i="2" a="1"/>
  <c r="B738" i="2" s="1"/>
  <c r="B739" i="2" a="1"/>
  <c r="B739" i="2" s="1"/>
  <c r="B740" i="2" a="1"/>
  <c r="B740" i="2" s="1"/>
  <c r="B741" i="2" a="1"/>
  <c r="B741" i="2" s="1"/>
  <c r="B742" i="2" a="1"/>
  <c r="B742" i="2" s="1"/>
  <c r="B743" i="2" a="1"/>
  <c r="B743" i="2" s="1"/>
  <c r="B744" i="2" a="1"/>
  <c r="B744" i="2" s="1"/>
  <c r="B745" i="2" a="1"/>
  <c r="B745" i="2" s="1"/>
  <c r="B746" i="2" a="1"/>
  <c r="B746" i="2" s="1"/>
  <c r="B747" i="2" a="1"/>
  <c r="B747" i="2" s="1"/>
  <c r="B748" i="2" a="1"/>
  <c r="B748" i="2" s="1"/>
  <c r="B749" i="2" a="1"/>
  <c r="B749" i="2" s="1"/>
  <c r="B750" i="2" a="1"/>
  <c r="B750" i="2" s="1"/>
  <c r="B751" i="2" a="1"/>
  <c r="B751" i="2" s="1"/>
  <c r="B752" i="2" a="1"/>
  <c r="B752" i="2" s="1"/>
  <c r="B753" i="2" a="1"/>
  <c r="B753" i="2" s="1"/>
  <c r="B754" i="2" a="1"/>
  <c r="B754" i="2" s="1"/>
  <c r="B755" i="2" a="1"/>
  <c r="B755" i="2" s="1"/>
  <c r="B756" i="2" a="1"/>
  <c r="B756" i="2" s="1"/>
  <c r="B757" i="2" a="1"/>
  <c r="B757" i="2" s="1"/>
  <c r="B758" i="2" a="1"/>
  <c r="B758" i="2" s="1"/>
  <c r="B759" i="2" a="1"/>
  <c r="B759" i="2" s="1"/>
  <c r="B760" i="2" a="1"/>
  <c r="B760" i="2" s="1"/>
  <c r="B761" i="2" a="1"/>
  <c r="B761" i="2" s="1"/>
  <c r="B762" i="2" a="1"/>
  <c r="B762" i="2" s="1"/>
  <c r="B763" i="2" a="1"/>
  <c r="B763" i="2" s="1"/>
  <c r="B764" i="2" a="1"/>
  <c r="B764" i="2" s="1"/>
  <c r="B765" i="2" a="1"/>
  <c r="B765" i="2" s="1"/>
  <c r="B766" i="2" a="1"/>
  <c r="B766" i="2" s="1"/>
  <c r="B767" i="2" a="1"/>
  <c r="B767" i="2" s="1"/>
  <c r="B768" i="2" a="1"/>
  <c r="B768" i="2" s="1"/>
  <c r="B769" i="2" a="1"/>
  <c r="B769" i="2" s="1"/>
  <c r="B770" i="2" a="1"/>
  <c r="B770" i="2" s="1"/>
  <c r="B771" i="2" a="1"/>
  <c r="B771" i="2" s="1"/>
  <c r="B772" i="2" a="1"/>
  <c r="B772" i="2" s="1"/>
  <c r="B773" i="2" a="1"/>
  <c r="B773" i="2" s="1"/>
  <c r="B774" i="2" a="1"/>
  <c r="B774" i="2" s="1"/>
  <c r="B775" i="2" a="1"/>
  <c r="B775" i="2" s="1"/>
  <c r="B776" i="2" a="1"/>
  <c r="B776" i="2" s="1"/>
  <c r="B777" i="2" a="1"/>
  <c r="B777" i="2" s="1"/>
  <c r="B778" i="2" a="1"/>
  <c r="B778" i="2" s="1"/>
  <c r="B779" i="2" a="1"/>
  <c r="B779" i="2" s="1"/>
  <c r="B780" i="2" a="1"/>
  <c r="B780" i="2" s="1"/>
  <c r="B781" i="2" a="1"/>
  <c r="B781" i="2" s="1"/>
  <c r="B782" i="2" a="1"/>
  <c r="B782" i="2" s="1"/>
  <c r="B783" i="2" a="1"/>
  <c r="B783" i="2" s="1"/>
  <c r="B784" i="2" a="1"/>
  <c r="B784" i="2" s="1"/>
  <c r="B785" i="2" a="1"/>
  <c r="B785" i="2" s="1"/>
  <c r="B786" i="2" a="1"/>
  <c r="B786" i="2" s="1"/>
  <c r="B787" i="2" a="1"/>
  <c r="B787" i="2" s="1"/>
  <c r="B788" i="2" a="1"/>
  <c r="B788" i="2" s="1"/>
  <c r="B789" i="2" a="1"/>
  <c r="B789" i="2" s="1"/>
  <c r="B790" i="2" a="1"/>
  <c r="B790" i="2" s="1"/>
  <c r="B791" i="2" a="1"/>
  <c r="B791" i="2" s="1"/>
  <c r="B792" i="2" a="1"/>
  <c r="B792" i="2" s="1"/>
  <c r="B793" i="2" a="1"/>
  <c r="B793" i="2" s="1"/>
  <c r="B794" i="2" a="1"/>
  <c r="B794" i="2" s="1"/>
  <c r="B795" i="2" a="1"/>
  <c r="B795" i="2" s="1"/>
  <c r="B796" i="2" a="1"/>
  <c r="B796" i="2" s="1"/>
  <c r="B797" i="2" a="1"/>
  <c r="B797" i="2" s="1"/>
  <c r="B798" i="2" a="1"/>
  <c r="B798" i="2" s="1"/>
  <c r="B799" i="2" a="1"/>
  <c r="B799" i="2" s="1"/>
  <c r="B800" i="2" a="1"/>
  <c r="B800" i="2" s="1"/>
  <c r="B801" i="2" a="1"/>
  <c r="B801" i="2" s="1"/>
  <c r="B802" i="2" a="1"/>
  <c r="B802" i="2" s="1"/>
  <c r="B803" i="2" a="1"/>
  <c r="B803" i="2" s="1"/>
  <c r="B804" i="2" a="1"/>
  <c r="B804" i="2" s="1"/>
  <c r="B805" i="2" a="1"/>
  <c r="B805" i="2" s="1"/>
  <c r="B806" i="2" a="1"/>
  <c r="B806" i="2" s="1"/>
  <c r="B807" i="2" a="1"/>
  <c r="B807" i="2" s="1"/>
  <c r="B808" i="2" a="1"/>
  <c r="B808" i="2" s="1"/>
  <c r="B809" i="2" a="1"/>
  <c r="B809" i="2" s="1"/>
  <c r="B810" i="2" a="1"/>
  <c r="B810" i="2" s="1"/>
  <c r="B811" i="2" a="1"/>
  <c r="B811" i="2" s="1"/>
  <c r="B812" i="2" a="1"/>
  <c r="B812" i="2" s="1"/>
  <c r="B813" i="2" a="1"/>
  <c r="B813" i="2" s="1"/>
  <c r="B814" i="2" a="1"/>
  <c r="B814" i="2" s="1"/>
  <c r="B815" i="2" a="1"/>
  <c r="B815" i="2" s="1"/>
  <c r="B816" i="2" a="1"/>
  <c r="B816" i="2" s="1"/>
  <c r="B817" i="2" a="1"/>
  <c r="B817" i="2" s="1"/>
  <c r="B818" i="2" a="1"/>
  <c r="B818" i="2" s="1"/>
  <c r="B819" i="2" a="1"/>
  <c r="B819" i="2" s="1"/>
  <c r="B820" i="2" a="1"/>
  <c r="B820" i="2" s="1"/>
  <c r="B821" i="2" a="1"/>
  <c r="B821" i="2" s="1"/>
  <c r="B822" i="2" a="1"/>
  <c r="B822" i="2" s="1"/>
  <c r="B823" i="2" a="1"/>
  <c r="B823" i="2" s="1"/>
  <c r="B824" i="2" a="1"/>
  <c r="B824" i="2" s="1"/>
  <c r="B825" i="2" a="1"/>
  <c r="B825" i="2" s="1"/>
  <c r="B826" i="2" a="1"/>
  <c r="B826" i="2" s="1"/>
  <c r="B827" i="2" a="1"/>
  <c r="B827" i="2" s="1"/>
  <c r="B828" i="2" a="1"/>
  <c r="B828" i="2" s="1"/>
  <c r="B829" i="2" a="1"/>
  <c r="B829" i="2" s="1"/>
  <c r="B830" i="2" a="1"/>
  <c r="B830" i="2" s="1"/>
  <c r="B831" i="2" a="1"/>
  <c r="B831" i="2" s="1"/>
  <c r="B832" i="2" a="1"/>
  <c r="B832" i="2" s="1"/>
  <c r="B833" i="2" a="1"/>
  <c r="B833" i="2" s="1"/>
  <c r="B834" i="2" a="1"/>
  <c r="B834" i="2" s="1"/>
  <c r="B835" i="2" a="1"/>
  <c r="B835" i="2" s="1"/>
  <c r="B836" i="2" a="1"/>
  <c r="B836" i="2" s="1"/>
  <c r="B837" i="2" a="1"/>
  <c r="B837" i="2" s="1"/>
  <c r="B838" i="2" a="1"/>
  <c r="B838" i="2" s="1"/>
  <c r="B839" i="2" a="1"/>
  <c r="B839" i="2" s="1"/>
  <c r="B840" i="2" a="1"/>
  <c r="B840" i="2" s="1"/>
  <c r="B841" i="2" a="1"/>
  <c r="B841" i="2" s="1"/>
  <c r="B842" i="2" a="1"/>
  <c r="B842" i="2" s="1"/>
  <c r="B843" i="2" a="1"/>
  <c r="B843" i="2" s="1"/>
  <c r="B844" i="2" a="1"/>
  <c r="B844" i="2" s="1"/>
  <c r="B845" i="2" a="1"/>
  <c r="B845" i="2" s="1"/>
  <c r="B846" i="2" a="1"/>
  <c r="B846" i="2" s="1"/>
  <c r="B847" i="2" a="1"/>
  <c r="B847" i="2" s="1"/>
  <c r="B848" i="2" a="1"/>
  <c r="B848" i="2" s="1"/>
  <c r="B849" i="2" a="1"/>
  <c r="B849" i="2" s="1"/>
  <c r="B850" i="2" a="1"/>
  <c r="B850" i="2" s="1"/>
  <c r="B851" i="2" a="1"/>
  <c r="B851" i="2" s="1"/>
  <c r="B852" i="2" a="1"/>
  <c r="B852" i="2" s="1"/>
  <c r="B853" i="2" a="1"/>
  <c r="B853" i="2" s="1"/>
  <c r="B854" i="2" a="1"/>
  <c r="B854" i="2" s="1"/>
  <c r="B855" i="2" a="1"/>
  <c r="B855" i="2" s="1"/>
  <c r="B856" i="2" a="1"/>
  <c r="B856" i="2" s="1"/>
  <c r="B857" i="2" a="1"/>
  <c r="B857" i="2" s="1"/>
  <c r="B858" i="2" a="1"/>
  <c r="B858" i="2" s="1"/>
  <c r="B859" i="2" a="1"/>
  <c r="B859" i="2" s="1"/>
  <c r="B860" i="2" a="1"/>
  <c r="B860" i="2" s="1"/>
  <c r="B861" i="2" a="1"/>
  <c r="B861" i="2" s="1"/>
  <c r="B862" i="2" a="1"/>
  <c r="B862" i="2" s="1"/>
  <c r="B863" i="2" a="1"/>
  <c r="B863" i="2" s="1"/>
  <c r="B864" i="2" a="1"/>
  <c r="B864" i="2" s="1"/>
  <c r="B865" i="2" a="1"/>
  <c r="B865" i="2" s="1"/>
  <c r="B866" i="2" a="1"/>
  <c r="B866" i="2" s="1"/>
  <c r="B867" i="2" a="1"/>
  <c r="B867" i="2" s="1"/>
  <c r="B868" i="2" a="1"/>
  <c r="B868" i="2" s="1"/>
  <c r="B869" i="2" a="1"/>
  <c r="B869" i="2" s="1"/>
  <c r="B870" i="2" a="1"/>
  <c r="B870" i="2" s="1"/>
  <c r="B871" i="2" a="1"/>
  <c r="B871" i="2" s="1"/>
  <c r="B872" i="2" a="1"/>
  <c r="B872" i="2" s="1"/>
  <c r="B873" i="2" a="1"/>
  <c r="B873" i="2" s="1"/>
  <c r="B874" i="2" a="1"/>
  <c r="B874" i="2" s="1"/>
  <c r="B875" i="2" a="1"/>
  <c r="B875" i="2" s="1"/>
  <c r="B876" i="2" a="1"/>
  <c r="B876" i="2" s="1"/>
  <c r="B877" i="2" a="1"/>
  <c r="B877" i="2" s="1"/>
  <c r="B878" i="2" a="1"/>
  <c r="B878" i="2" s="1"/>
  <c r="B879" i="2" a="1"/>
  <c r="B879" i="2" s="1"/>
  <c r="B880" i="2" a="1"/>
  <c r="B880" i="2" s="1"/>
  <c r="B881" i="2" a="1"/>
  <c r="B881" i="2" s="1"/>
  <c r="B882" i="2" a="1"/>
  <c r="B882" i="2" s="1"/>
  <c r="B883" i="2" a="1"/>
  <c r="B883" i="2" s="1"/>
  <c r="B884" i="2" a="1"/>
  <c r="B884" i="2" s="1"/>
  <c r="B885" i="2" a="1"/>
  <c r="B885" i="2" s="1"/>
  <c r="B886" i="2" a="1"/>
  <c r="B886" i="2" s="1"/>
  <c r="B887" i="2" a="1"/>
  <c r="B887" i="2" s="1"/>
  <c r="B888" i="2" a="1"/>
  <c r="B888" i="2" s="1"/>
  <c r="B889" i="2" a="1"/>
  <c r="B889" i="2" s="1"/>
  <c r="B890" i="2" a="1"/>
  <c r="B890" i="2" s="1"/>
  <c r="B891" i="2" a="1"/>
  <c r="B891" i="2" s="1"/>
  <c r="B892" i="2" a="1"/>
  <c r="B892" i="2" s="1"/>
  <c r="B893" i="2" a="1"/>
  <c r="B893" i="2" s="1"/>
  <c r="B894" i="2" a="1"/>
  <c r="B894" i="2" s="1"/>
  <c r="B895" i="2" a="1"/>
  <c r="B895" i="2" s="1"/>
  <c r="B896" i="2" a="1"/>
  <c r="B896" i="2" s="1"/>
  <c r="B897" i="2" a="1"/>
  <c r="B897" i="2" s="1"/>
  <c r="B898" i="2" a="1"/>
  <c r="B898" i="2" s="1"/>
  <c r="B899" i="2" a="1"/>
  <c r="B899" i="2" s="1"/>
  <c r="B900" i="2" a="1"/>
  <c r="B900" i="2" s="1"/>
  <c r="B901" i="2" a="1"/>
  <c r="B901" i="2" s="1"/>
  <c r="B902" i="2" a="1"/>
  <c r="B902" i="2" s="1"/>
  <c r="B903" i="2" a="1"/>
  <c r="B903" i="2" s="1"/>
  <c r="B904" i="2" a="1"/>
  <c r="B904" i="2" s="1"/>
  <c r="B905" i="2" a="1"/>
  <c r="B905" i="2" s="1"/>
  <c r="B906" i="2" a="1"/>
  <c r="B906" i="2" s="1"/>
  <c r="B907" i="2" a="1"/>
  <c r="B907" i="2" s="1"/>
  <c r="B908" i="2" a="1"/>
  <c r="B908" i="2" s="1"/>
  <c r="B909" i="2" a="1"/>
  <c r="B909" i="2" s="1"/>
  <c r="B910" i="2" a="1"/>
  <c r="B910" i="2" s="1"/>
  <c r="B911" i="2" a="1"/>
  <c r="B911" i="2" s="1"/>
  <c r="B912" i="2" a="1"/>
  <c r="B912" i="2" s="1"/>
  <c r="B913" i="2" a="1"/>
  <c r="B913" i="2" s="1"/>
  <c r="B914" i="2" a="1"/>
  <c r="B914" i="2" s="1"/>
  <c r="B915" i="2" a="1"/>
  <c r="B915" i="2" s="1"/>
  <c r="B916" i="2" a="1"/>
  <c r="B916" i="2" s="1"/>
  <c r="B917" i="2" a="1"/>
  <c r="B917" i="2" s="1"/>
  <c r="B918" i="2" a="1"/>
  <c r="B918" i="2" s="1"/>
  <c r="B919" i="2" a="1"/>
  <c r="B919" i="2" s="1"/>
  <c r="B920" i="2" a="1"/>
  <c r="B920" i="2" s="1"/>
  <c r="B921" i="2" a="1"/>
  <c r="B921" i="2" s="1"/>
  <c r="B922" i="2" a="1"/>
  <c r="B922" i="2" s="1"/>
  <c r="B923" i="2" a="1"/>
  <c r="B923" i="2" s="1"/>
  <c r="B924" i="2" a="1"/>
  <c r="B924" i="2" s="1"/>
  <c r="B925" i="2" a="1"/>
  <c r="B925" i="2" s="1"/>
  <c r="B926" i="2" a="1"/>
  <c r="B926" i="2" s="1"/>
  <c r="B927" i="2" a="1"/>
  <c r="B927" i="2" s="1"/>
  <c r="B928" i="2" a="1"/>
  <c r="B928" i="2" s="1"/>
  <c r="B929" i="2" a="1"/>
  <c r="B929" i="2" s="1"/>
  <c r="B930" i="2" a="1"/>
  <c r="B930" i="2" s="1"/>
  <c r="B931" i="2" a="1"/>
  <c r="B931" i="2" s="1"/>
  <c r="B932" i="2" a="1"/>
  <c r="B932" i="2" s="1"/>
  <c r="B933" i="2" a="1"/>
  <c r="B933" i="2" s="1"/>
  <c r="B934" i="2" a="1"/>
  <c r="B934" i="2" s="1"/>
  <c r="B935" i="2" a="1"/>
  <c r="B935" i="2" s="1"/>
  <c r="B936" i="2" a="1"/>
  <c r="B936" i="2" s="1"/>
  <c r="B937" i="2" a="1"/>
  <c r="B937" i="2" s="1"/>
  <c r="B938" i="2" a="1"/>
  <c r="B938" i="2" s="1"/>
  <c r="B939" i="2" a="1"/>
  <c r="B939" i="2" s="1"/>
  <c r="B940" i="2" a="1"/>
  <c r="B940" i="2" s="1"/>
  <c r="B941" i="2" a="1"/>
  <c r="B941" i="2" s="1"/>
  <c r="B942" i="2" a="1"/>
  <c r="B942" i="2" s="1"/>
  <c r="B943" i="2" a="1"/>
  <c r="B943" i="2" s="1"/>
  <c r="B944" i="2" a="1"/>
  <c r="B944" i="2" s="1"/>
  <c r="B945" i="2" a="1"/>
  <c r="B945" i="2" s="1"/>
  <c r="B946" i="2" a="1"/>
  <c r="B946" i="2" s="1"/>
  <c r="B947" i="2" a="1"/>
  <c r="B947" i="2" s="1"/>
  <c r="B948" i="2" a="1"/>
  <c r="B948" i="2" s="1"/>
  <c r="B949" i="2" a="1"/>
  <c r="B949" i="2" s="1"/>
  <c r="B950" i="2" a="1"/>
  <c r="B950" i="2" s="1"/>
  <c r="B951" i="2" a="1"/>
  <c r="B951" i="2" s="1"/>
  <c r="B952" i="2" a="1"/>
  <c r="B952" i="2" s="1"/>
  <c r="B953" i="2" a="1"/>
  <c r="B953" i="2" s="1"/>
  <c r="B954" i="2" a="1"/>
  <c r="B954" i="2" s="1"/>
  <c r="B955" i="2" a="1"/>
  <c r="B955" i="2" s="1"/>
  <c r="B956" i="2" a="1"/>
  <c r="B956" i="2" s="1"/>
  <c r="B957" i="2" a="1"/>
  <c r="B957" i="2" s="1"/>
  <c r="B958" i="2" a="1"/>
  <c r="B958" i="2" s="1"/>
  <c r="B959" i="2" a="1"/>
  <c r="B959" i="2" s="1"/>
  <c r="B960" i="2" a="1"/>
  <c r="B960" i="2" s="1"/>
  <c r="B961" i="2" a="1"/>
  <c r="B961" i="2" s="1"/>
  <c r="B962" i="2" a="1"/>
  <c r="B962" i="2" s="1"/>
  <c r="B963" i="2" a="1"/>
  <c r="B963" i="2" s="1"/>
  <c r="B964" i="2" a="1"/>
  <c r="B964" i="2" s="1"/>
  <c r="B965" i="2" a="1"/>
  <c r="B965" i="2" s="1"/>
  <c r="B966" i="2" a="1"/>
  <c r="B966" i="2" s="1"/>
  <c r="B967" i="2" a="1"/>
  <c r="B967" i="2" s="1"/>
  <c r="B968" i="2" a="1"/>
  <c r="B968" i="2" s="1"/>
  <c r="B969" i="2" a="1"/>
  <c r="B969" i="2" s="1"/>
  <c r="B970" i="2" a="1"/>
  <c r="B970" i="2" s="1"/>
  <c r="B971" i="2" a="1"/>
  <c r="B971" i="2" s="1"/>
  <c r="B972" i="2" a="1"/>
  <c r="B972" i="2" s="1"/>
  <c r="B973" i="2" a="1"/>
  <c r="B973" i="2" s="1"/>
  <c r="B974" i="2" a="1"/>
  <c r="B974" i="2" s="1"/>
  <c r="B975" i="2" a="1"/>
  <c r="B975" i="2" s="1"/>
  <c r="B976" i="2" a="1"/>
  <c r="B976" i="2" s="1"/>
  <c r="B977" i="2" a="1"/>
  <c r="B977" i="2" s="1"/>
  <c r="B978" i="2" a="1"/>
  <c r="B978" i="2" s="1"/>
  <c r="B979" i="2" a="1"/>
  <c r="B979" i="2" s="1"/>
  <c r="B980" i="2" a="1"/>
  <c r="B980" i="2" s="1"/>
  <c r="B981" i="2" a="1"/>
  <c r="B981" i="2" s="1"/>
  <c r="B982" i="2" a="1"/>
  <c r="B982" i="2" s="1"/>
  <c r="B983" i="2" a="1"/>
  <c r="B983" i="2" s="1"/>
  <c r="B984" i="2" a="1"/>
  <c r="B984" i="2" s="1"/>
  <c r="B985" i="2" a="1"/>
  <c r="B985" i="2" s="1"/>
  <c r="B986" i="2" a="1"/>
  <c r="B986" i="2" s="1"/>
  <c r="B987" i="2" a="1"/>
  <c r="B987" i="2" s="1"/>
  <c r="B988" i="2" a="1"/>
  <c r="B988" i="2" s="1"/>
  <c r="B989" i="2" a="1"/>
  <c r="B989" i="2" s="1"/>
  <c r="B990" i="2" a="1"/>
  <c r="B990" i="2" s="1"/>
  <c r="B991" i="2" a="1"/>
  <c r="B991" i="2" s="1"/>
  <c r="B992" i="2" a="1"/>
  <c r="B992" i="2" s="1"/>
  <c r="B993" i="2" a="1"/>
  <c r="B993" i="2" s="1"/>
  <c r="B994" i="2" a="1"/>
  <c r="B994" i="2" s="1"/>
  <c r="B995" i="2" a="1"/>
  <c r="B995" i="2" s="1"/>
  <c r="B996" i="2" a="1"/>
  <c r="B996" i="2" s="1"/>
  <c r="B997" i="2" a="1"/>
  <c r="B997" i="2" s="1"/>
  <c r="B998" i="2" a="1"/>
  <c r="B998" i="2" s="1"/>
  <c r="B999" i="2" a="1"/>
  <c r="B999" i="2" s="1"/>
  <c r="B1000" i="2" a="1"/>
  <c r="B1000" i="2" s="1"/>
  <c r="B1001" i="2" a="1"/>
  <c r="B1001" i="2" s="1"/>
  <c r="B1002" i="2" a="1"/>
  <c r="B1002" i="2" s="1"/>
  <c r="B1003" i="2" a="1"/>
  <c r="B1003" i="2" s="1"/>
  <c r="B1004" i="2" a="1"/>
  <c r="B1004" i="2" s="1"/>
  <c r="B1005" i="2" a="1"/>
  <c r="B1005" i="2" s="1"/>
  <c r="B1006" i="2" a="1"/>
  <c r="B1006" i="2" s="1"/>
  <c r="B1007" i="2" a="1"/>
  <c r="B1007" i="2" s="1"/>
  <c r="B1008" i="2" a="1"/>
  <c r="B1008" i="2" s="1"/>
  <c r="B1009" i="2" a="1"/>
  <c r="B1009" i="2" s="1"/>
  <c r="B1010" i="2" a="1"/>
  <c r="B1010" i="2" s="1"/>
  <c r="B1011" i="2" a="1"/>
  <c r="B1011" i="2" s="1"/>
  <c r="B1012" i="2" a="1"/>
  <c r="B1012" i="2" s="1"/>
  <c r="B1013" i="2" a="1"/>
  <c r="B1013" i="2" s="1"/>
  <c r="B1014" i="2" a="1"/>
  <c r="B1014" i="2" s="1"/>
  <c r="B1015" i="2" a="1"/>
  <c r="B1015" i="2" s="1"/>
  <c r="B1016" i="2" a="1"/>
  <c r="B1016" i="2" s="1"/>
  <c r="B1017" i="2" a="1"/>
  <c r="B1017" i="2" s="1"/>
  <c r="B1018" i="2" a="1"/>
  <c r="B1018" i="2" s="1"/>
  <c r="B1019" i="2" a="1"/>
  <c r="B1019" i="2" s="1"/>
  <c r="B1020" i="2" a="1"/>
  <c r="B1020" i="2" s="1"/>
  <c r="B1021" i="2" a="1"/>
  <c r="B1021" i="2" s="1"/>
  <c r="B1022" i="2" a="1"/>
  <c r="B1022" i="2" s="1"/>
  <c r="B1023" i="2" a="1"/>
  <c r="B1023" i="2" s="1"/>
  <c r="B1024" i="2" a="1"/>
  <c r="B1024" i="2" s="1"/>
  <c r="B1025" i="2" a="1"/>
  <c r="B1025" i="2" s="1"/>
  <c r="B1026" i="2" a="1"/>
  <c r="B1026" i="2" s="1"/>
  <c r="B1027" i="2" a="1"/>
  <c r="B1027" i="2" s="1"/>
  <c r="B1028" i="2" a="1"/>
  <c r="B1028" i="2" s="1"/>
  <c r="B1029" i="2" a="1"/>
  <c r="B1029" i="2" s="1"/>
  <c r="B1030" i="2" a="1"/>
  <c r="B1030" i="2" s="1"/>
  <c r="B1031" i="2" a="1"/>
  <c r="B1031" i="2" s="1"/>
  <c r="B1032" i="2" a="1"/>
  <c r="B1032" i="2" s="1"/>
  <c r="B1033" i="2" a="1"/>
  <c r="B1033" i="2" s="1"/>
  <c r="B1034" i="2" a="1"/>
  <c r="B1034" i="2" s="1"/>
  <c r="B1035" i="2" a="1"/>
  <c r="B1035" i="2" s="1"/>
  <c r="B1036" i="2" a="1"/>
  <c r="B1036" i="2" s="1"/>
  <c r="B1037" i="2" a="1"/>
  <c r="B1037" i="2" s="1"/>
  <c r="B1038" i="2" a="1"/>
  <c r="B1038" i="2" s="1"/>
  <c r="B1039" i="2" a="1"/>
  <c r="B1039" i="2" s="1"/>
  <c r="B1040" i="2" a="1"/>
  <c r="B1040" i="2" s="1"/>
  <c r="B1041" i="2" a="1"/>
  <c r="B1041" i="2" s="1"/>
  <c r="B1042" i="2" a="1"/>
  <c r="B1042" i="2" s="1"/>
  <c r="B1043" i="2" a="1"/>
  <c r="B1043" i="2" s="1"/>
  <c r="B1044" i="2" a="1"/>
  <c r="B1044" i="2" s="1"/>
  <c r="B1045" i="2" a="1"/>
  <c r="B1045" i="2" s="1"/>
  <c r="B1046" i="2" a="1"/>
  <c r="B1046" i="2" s="1"/>
  <c r="B1047" i="2" a="1"/>
  <c r="B1047" i="2" s="1"/>
  <c r="B1048" i="2" a="1"/>
  <c r="B1048" i="2" s="1"/>
  <c r="B1049" i="2" a="1"/>
  <c r="B1049" i="2" s="1"/>
  <c r="B1050" i="2" a="1"/>
  <c r="B1050" i="2" s="1"/>
  <c r="B1051" i="2" a="1"/>
  <c r="B1051" i="2" s="1"/>
  <c r="B1052" i="2" a="1"/>
  <c r="B1052" i="2" s="1"/>
  <c r="B1053" i="2" a="1"/>
  <c r="B1053" i="2" s="1"/>
  <c r="B1054" i="2" a="1"/>
  <c r="B1054" i="2" s="1"/>
  <c r="B1055" i="2" a="1"/>
  <c r="B1055" i="2" s="1"/>
  <c r="B1056" i="2" a="1"/>
  <c r="B1056" i="2" s="1"/>
  <c r="B1057" i="2" a="1"/>
  <c r="B1057" i="2" s="1"/>
  <c r="B1058" i="2" a="1"/>
  <c r="B1058" i="2" s="1"/>
  <c r="B1059" i="2" a="1"/>
  <c r="B1059" i="2" s="1"/>
  <c r="B1060" i="2" a="1"/>
  <c r="B1060" i="2" s="1"/>
  <c r="B1061" i="2" a="1"/>
  <c r="B1061" i="2" s="1"/>
  <c r="B1062" i="2" a="1"/>
  <c r="B1062" i="2" s="1"/>
  <c r="B1063" i="2" a="1"/>
  <c r="B1063" i="2" s="1"/>
  <c r="B1064" i="2" a="1"/>
  <c r="B1064" i="2" s="1"/>
  <c r="B1065" i="2" a="1"/>
  <c r="B1065" i="2" s="1"/>
  <c r="B1066" i="2" a="1"/>
  <c r="B1066" i="2" s="1"/>
  <c r="B1067" i="2" a="1"/>
  <c r="B1067" i="2" s="1"/>
  <c r="B1068" i="2" a="1"/>
  <c r="B1068" i="2" s="1"/>
  <c r="B1069" i="2" a="1"/>
  <c r="B1069" i="2" s="1"/>
  <c r="B1070" i="2" a="1"/>
  <c r="B1070" i="2" s="1"/>
  <c r="B1071" i="2" a="1"/>
  <c r="B1071" i="2" s="1"/>
  <c r="B1072" i="2" a="1"/>
  <c r="B1072" i="2" s="1"/>
  <c r="B1073" i="2" a="1"/>
  <c r="B1073" i="2" s="1"/>
  <c r="B1074" i="2" a="1"/>
  <c r="B1074" i="2" s="1"/>
  <c r="B1075" i="2" a="1"/>
  <c r="B1075" i="2" s="1"/>
  <c r="B1076" i="2" a="1"/>
  <c r="B1076" i="2" s="1"/>
  <c r="B1077" i="2" a="1"/>
  <c r="B1077" i="2" s="1"/>
  <c r="B1078" i="2" a="1"/>
  <c r="B1078" i="2" s="1"/>
  <c r="B1079" i="2" a="1"/>
  <c r="B1079" i="2" s="1"/>
  <c r="B1080" i="2" a="1"/>
  <c r="B1080" i="2" s="1"/>
  <c r="B1081" i="2" a="1"/>
  <c r="B1081" i="2" s="1"/>
  <c r="B1082" i="2" a="1"/>
  <c r="B1082" i="2" s="1"/>
  <c r="B1083" i="2" a="1"/>
  <c r="B1083" i="2" s="1"/>
  <c r="B1084" i="2" a="1"/>
  <c r="B1084" i="2" s="1"/>
  <c r="B1085" i="2" a="1"/>
  <c r="B1085" i="2" s="1"/>
  <c r="B1086" i="2" a="1"/>
  <c r="B1086" i="2" s="1"/>
  <c r="B1087" i="2" a="1"/>
  <c r="B1087" i="2" s="1"/>
  <c r="B1088" i="2" a="1"/>
  <c r="B1088" i="2" s="1"/>
  <c r="B1089" i="2" a="1"/>
  <c r="B1089" i="2" s="1"/>
  <c r="B1090" i="2" a="1"/>
  <c r="B1090" i="2" s="1"/>
  <c r="B1091" i="2" a="1"/>
  <c r="B1091" i="2" s="1"/>
  <c r="B1092" i="2" a="1"/>
  <c r="B1092" i="2" s="1"/>
  <c r="B1093" i="2" a="1"/>
  <c r="B1093" i="2" s="1"/>
  <c r="B1094" i="2" a="1"/>
  <c r="B1094" i="2" s="1"/>
  <c r="B1095" i="2" a="1"/>
  <c r="B1095" i="2" s="1"/>
  <c r="B1096" i="2" a="1"/>
  <c r="B1096" i="2" s="1"/>
  <c r="B1097" i="2" a="1"/>
  <c r="B1097" i="2" s="1"/>
  <c r="B1098" i="2" a="1"/>
  <c r="B1098" i="2" s="1"/>
  <c r="B1099" i="2" a="1"/>
  <c r="B1099" i="2" s="1"/>
  <c r="B1100" i="2" a="1"/>
  <c r="B1100" i="2" s="1"/>
  <c r="B1101" i="2" a="1"/>
  <c r="B1101" i="2" s="1"/>
  <c r="B1102" i="2" a="1"/>
  <c r="B1102" i="2" s="1"/>
  <c r="B1103" i="2" a="1"/>
  <c r="B1103" i="2" s="1"/>
  <c r="B1104" i="2" a="1"/>
  <c r="B1104" i="2" s="1"/>
  <c r="B1105" i="2" a="1"/>
  <c r="B1105" i="2" s="1"/>
  <c r="B1106" i="2" a="1"/>
  <c r="B1106" i="2" s="1"/>
  <c r="B1107" i="2" a="1"/>
  <c r="B1107" i="2" s="1"/>
  <c r="B1108" i="2" a="1"/>
  <c r="B1108" i="2" s="1"/>
  <c r="B1109" i="2" a="1"/>
  <c r="B1109" i="2" s="1"/>
  <c r="B1110" i="2" a="1"/>
  <c r="B1110" i="2" s="1"/>
  <c r="B1111" i="2" a="1"/>
  <c r="B1111" i="2" s="1"/>
  <c r="B1112" i="2" a="1"/>
  <c r="B1112" i="2" s="1"/>
  <c r="B1113" i="2" a="1"/>
  <c r="B1113" i="2" s="1"/>
  <c r="B1114" i="2" a="1"/>
  <c r="B1114" i="2" s="1"/>
  <c r="B1115" i="2" a="1"/>
  <c r="B1115" i="2" s="1"/>
  <c r="B1116" i="2" a="1"/>
  <c r="B1116" i="2" s="1"/>
  <c r="B1117" i="2" a="1"/>
  <c r="B1117" i="2" s="1"/>
  <c r="B1118" i="2" a="1"/>
  <c r="B1118" i="2" s="1"/>
  <c r="B1119" i="2" a="1"/>
  <c r="B1119" i="2" s="1"/>
  <c r="B1120" i="2" a="1"/>
  <c r="B1120" i="2" s="1"/>
  <c r="B1121" i="2" a="1"/>
  <c r="B1121" i="2" s="1"/>
  <c r="B1122" i="2" a="1"/>
  <c r="B1122" i="2" s="1"/>
  <c r="B1123" i="2" a="1"/>
  <c r="B1123" i="2" s="1"/>
  <c r="B1124" i="2" a="1"/>
  <c r="B1124" i="2" s="1"/>
  <c r="B1125" i="2" a="1"/>
  <c r="B1125" i="2" s="1"/>
  <c r="B1126" i="2" a="1"/>
  <c r="B1126" i="2" s="1"/>
  <c r="B1127" i="2" a="1"/>
  <c r="B1127" i="2" s="1"/>
  <c r="B1128" i="2" a="1"/>
  <c r="B1128" i="2" s="1"/>
  <c r="B1129" i="2" a="1"/>
  <c r="B1129" i="2" s="1"/>
  <c r="B1130" i="2" a="1"/>
  <c r="B1130" i="2" s="1"/>
  <c r="B1131" i="2" a="1"/>
  <c r="B1131" i="2" s="1"/>
  <c r="B1132" i="2" a="1"/>
  <c r="B1132" i="2" s="1"/>
  <c r="B1133" i="2" a="1"/>
  <c r="B1133" i="2" s="1"/>
  <c r="B1134" i="2" a="1"/>
  <c r="B1134" i="2" s="1"/>
  <c r="B1135" i="2" a="1"/>
  <c r="B1135" i="2" s="1"/>
  <c r="B1136" i="2" a="1"/>
  <c r="B1136" i="2" s="1"/>
  <c r="B1137" i="2" a="1"/>
  <c r="B1137" i="2" s="1"/>
  <c r="B1138" i="2" a="1"/>
  <c r="B1138" i="2" s="1"/>
  <c r="B1139" i="2" a="1"/>
  <c r="B1139" i="2" s="1"/>
  <c r="B1140" i="2" a="1"/>
  <c r="B1140" i="2" s="1"/>
  <c r="B1141" i="2" a="1"/>
  <c r="B1141" i="2" s="1"/>
  <c r="B1142" i="2" a="1"/>
  <c r="B1142" i="2" s="1"/>
  <c r="B1143" i="2" a="1"/>
  <c r="B1143" i="2" s="1"/>
  <c r="B1144" i="2" a="1"/>
  <c r="B1144" i="2" s="1"/>
  <c r="B1145" i="2" a="1"/>
  <c r="B1145" i="2" s="1"/>
  <c r="B1146" i="2" a="1"/>
  <c r="B1146" i="2" s="1"/>
  <c r="B1147" i="2" a="1"/>
  <c r="B1147" i="2" s="1"/>
  <c r="B1148" i="2" a="1"/>
  <c r="B1148" i="2" s="1"/>
  <c r="B1149" i="2" a="1"/>
  <c r="B1149" i="2" s="1"/>
  <c r="B1150" i="2" a="1"/>
  <c r="B1150" i="2" s="1"/>
  <c r="B1151" i="2" a="1"/>
  <c r="B1151" i="2" s="1"/>
  <c r="B1152" i="2" a="1"/>
  <c r="B1152" i="2" s="1"/>
  <c r="B1153" i="2" a="1"/>
  <c r="B1153" i="2" s="1"/>
  <c r="B1154" i="2" a="1"/>
  <c r="B1154" i="2" s="1"/>
  <c r="B1155" i="2" a="1"/>
  <c r="B1155" i="2" s="1"/>
  <c r="B1156" i="2" a="1"/>
  <c r="B1156" i="2" s="1"/>
  <c r="B1157" i="2" a="1"/>
  <c r="B1157" i="2" s="1"/>
  <c r="B1158" i="2" a="1"/>
  <c r="B1158" i="2" s="1"/>
  <c r="B1159" i="2" a="1"/>
  <c r="B1159" i="2" s="1"/>
  <c r="B1160" i="2" a="1"/>
  <c r="B1160" i="2" s="1"/>
  <c r="B1161" i="2" a="1"/>
  <c r="B1161" i="2" s="1"/>
  <c r="B1162" i="2" a="1"/>
  <c r="B1162" i="2" s="1"/>
  <c r="B1163" i="2" a="1"/>
  <c r="B1163" i="2" s="1"/>
  <c r="B1164" i="2" a="1"/>
  <c r="B1164" i="2" s="1"/>
  <c r="B1165" i="2" a="1"/>
  <c r="B1165" i="2" s="1"/>
  <c r="B1166" i="2" a="1"/>
  <c r="B1166" i="2" s="1"/>
  <c r="B1167" i="2" a="1"/>
  <c r="B1167" i="2" s="1"/>
  <c r="B1168" i="2" a="1"/>
  <c r="B1168" i="2" s="1"/>
  <c r="B1169" i="2" a="1"/>
  <c r="B1169" i="2" s="1"/>
  <c r="B1170" i="2" a="1"/>
  <c r="B1170" i="2" s="1"/>
  <c r="B1171" i="2" a="1"/>
  <c r="B1171" i="2" s="1"/>
  <c r="B1172" i="2" a="1"/>
  <c r="B1172" i="2" s="1"/>
  <c r="B1173" i="2" a="1"/>
  <c r="B1173" i="2" s="1"/>
  <c r="B1174" i="2" a="1"/>
  <c r="B1174" i="2" s="1"/>
  <c r="B1175" i="2" a="1"/>
  <c r="B1175" i="2" s="1"/>
  <c r="B1176" i="2" a="1"/>
  <c r="B1176" i="2" s="1"/>
  <c r="B1177" i="2" a="1"/>
  <c r="B1177" i="2" s="1"/>
  <c r="B1178" i="2" a="1"/>
  <c r="B1178" i="2" s="1"/>
  <c r="B1179" i="2" a="1"/>
  <c r="B1179" i="2" s="1"/>
  <c r="B1180" i="2" a="1"/>
  <c r="B1180" i="2" s="1"/>
  <c r="B1181" i="2" a="1"/>
  <c r="B1181" i="2" s="1"/>
  <c r="B1182" i="2" a="1"/>
  <c r="B1182" i="2" s="1"/>
  <c r="B1183" i="2" a="1"/>
  <c r="B1183" i="2" s="1"/>
  <c r="B1184" i="2" a="1"/>
  <c r="B1184" i="2" s="1"/>
  <c r="B1185" i="2" a="1"/>
  <c r="B1185" i="2" s="1"/>
  <c r="B1186" i="2" a="1"/>
  <c r="B1186" i="2" s="1"/>
  <c r="B1187" i="2" a="1"/>
  <c r="B1187" i="2" s="1"/>
  <c r="B1188" i="2" a="1"/>
  <c r="B1188" i="2" s="1"/>
  <c r="B1189" i="2" a="1"/>
  <c r="B1189" i="2" s="1"/>
  <c r="B1190" i="2" a="1"/>
  <c r="B1190" i="2" s="1"/>
  <c r="B1191" i="2" a="1"/>
  <c r="B1191" i="2" s="1"/>
  <c r="B1192" i="2" a="1"/>
  <c r="B1192" i="2" s="1"/>
  <c r="B1193" i="2" a="1"/>
  <c r="B1193" i="2" s="1"/>
  <c r="B1194" i="2" a="1"/>
  <c r="B1194" i="2" s="1"/>
  <c r="B1195" i="2" a="1"/>
  <c r="B1195" i="2" s="1"/>
  <c r="B1196" i="2" a="1"/>
  <c r="B1196" i="2" s="1"/>
  <c r="B1197" i="2" a="1"/>
  <c r="B1197" i="2" s="1"/>
  <c r="B1198" i="2" a="1"/>
  <c r="B1198" i="2" s="1"/>
  <c r="B1199" i="2" a="1"/>
  <c r="B1199" i="2" s="1"/>
  <c r="B1200" i="2" a="1"/>
  <c r="B1200" i="2" s="1"/>
  <c r="B1201" i="2" a="1"/>
  <c r="B1201" i="2" s="1"/>
  <c r="B1202" i="2" a="1"/>
  <c r="B1202" i="2" s="1"/>
  <c r="B1203" i="2" a="1"/>
  <c r="B1203" i="2" s="1"/>
  <c r="B1204" i="2" a="1"/>
  <c r="B1204" i="2" s="1"/>
  <c r="B1205" i="2" a="1"/>
  <c r="B1205" i="2" s="1"/>
  <c r="B1206" i="2" a="1"/>
  <c r="B1206" i="2" s="1"/>
  <c r="B1207" i="2" a="1"/>
  <c r="B1207" i="2" s="1"/>
  <c r="B1208" i="2" a="1"/>
  <c r="B1208" i="2" s="1"/>
  <c r="B1209" i="2" a="1"/>
  <c r="B1209" i="2" s="1"/>
  <c r="B1210" i="2" a="1"/>
  <c r="B1210" i="2" s="1"/>
  <c r="B1211" i="2" a="1"/>
  <c r="B1211" i="2" s="1"/>
  <c r="B1212" i="2" a="1"/>
  <c r="B1212" i="2" s="1"/>
  <c r="B1213" i="2" a="1"/>
  <c r="B1213" i="2" s="1"/>
  <c r="B1214" i="2" a="1"/>
  <c r="B1214" i="2" s="1"/>
  <c r="B1215" i="2" a="1"/>
  <c r="B1215" i="2" s="1"/>
  <c r="B1216" i="2" a="1"/>
  <c r="B1216" i="2" s="1"/>
  <c r="B1217" i="2" a="1"/>
  <c r="B1217" i="2" s="1"/>
  <c r="B1218" i="2" a="1"/>
  <c r="B1218" i="2" s="1"/>
  <c r="B1219" i="2" a="1"/>
  <c r="B1219" i="2" s="1"/>
  <c r="B1220" i="2" a="1"/>
  <c r="B1220" i="2" s="1"/>
  <c r="B1221" i="2" a="1"/>
  <c r="B1221" i="2" s="1"/>
  <c r="B1222" i="2" a="1"/>
  <c r="B1222" i="2" s="1"/>
  <c r="B1223" i="2" a="1"/>
  <c r="B1223" i="2" s="1"/>
  <c r="B1224" i="2" a="1"/>
  <c r="B1224" i="2" s="1"/>
  <c r="B1225" i="2" a="1"/>
  <c r="B1225" i="2" s="1"/>
  <c r="B1226" i="2" a="1"/>
  <c r="B1226" i="2" s="1"/>
  <c r="B1227" i="2" a="1"/>
  <c r="B1227" i="2" s="1"/>
  <c r="B1228" i="2" a="1"/>
  <c r="B1228" i="2" s="1"/>
  <c r="B1229" i="2" a="1"/>
  <c r="B1229" i="2" s="1"/>
  <c r="B1230" i="2" a="1"/>
  <c r="B1230" i="2" s="1"/>
  <c r="B1231" i="2" a="1"/>
  <c r="B1231" i="2" s="1"/>
  <c r="B1232" i="2" a="1"/>
  <c r="B1232" i="2" s="1"/>
  <c r="B1233" i="2" a="1"/>
  <c r="B1233" i="2" s="1"/>
  <c r="B1234" i="2" a="1"/>
  <c r="B1234" i="2" s="1"/>
  <c r="B1235" i="2" a="1"/>
  <c r="B1235" i="2" s="1"/>
  <c r="B1236" i="2" a="1"/>
  <c r="B1236" i="2" s="1"/>
  <c r="B1237" i="2" a="1"/>
  <c r="B1237" i="2" s="1"/>
  <c r="B1238" i="2" a="1"/>
  <c r="B1238" i="2" s="1"/>
  <c r="B1239" i="2" a="1"/>
  <c r="B1239" i="2" s="1"/>
  <c r="B1240" i="2" a="1"/>
  <c r="B1240" i="2" s="1"/>
  <c r="B1241" i="2" a="1"/>
  <c r="B1241" i="2" s="1"/>
  <c r="B1242" i="2" a="1"/>
  <c r="B1242" i="2" s="1"/>
  <c r="B1243" i="2" a="1"/>
  <c r="B1243" i="2" s="1"/>
  <c r="B1244" i="2" a="1"/>
  <c r="B1244" i="2" s="1"/>
  <c r="B1245" i="2" a="1"/>
  <c r="B1245" i="2" s="1"/>
  <c r="B1246" i="2" a="1"/>
  <c r="B1246" i="2" s="1"/>
  <c r="B1247" i="2" a="1"/>
  <c r="B1247" i="2" s="1"/>
  <c r="B1248" i="2" a="1"/>
  <c r="B1248" i="2" s="1"/>
  <c r="B1249" i="2" a="1"/>
  <c r="B1249" i="2" s="1"/>
  <c r="B1250" i="2" a="1"/>
  <c r="B1250" i="2" s="1"/>
  <c r="B1251" i="2" a="1"/>
  <c r="B1251" i="2" s="1"/>
  <c r="B1252" i="2" a="1"/>
  <c r="B1252" i="2" s="1"/>
  <c r="B1253" i="2" a="1"/>
  <c r="B1253" i="2" s="1"/>
  <c r="B1254" i="2" a="1"/>
  <c r="B1254" i="2" s="1"/>
  <c r="B1255" i="2" a="1"/>
  <c r="B1255" i="2" s="1"/>
  <c r="B1256" i="2" a="1"/>
  <c r="B1256" i="2" s="1"/>
  <c r="B1257" i="2" a="1"/>
  <c r="B1257" i="2" s="1"/>
  <c r="B1258" i="2" a="1"/>
  <c r="B1258" i="2" s="1"/>
  <c r="B1259" i="2" a="1"/>
  <c r="B1259" i="2" s="1"/>
  <c r="B1260" i="2" a="1"/>
  <c r="B1260" i="2" s="1"/>
  <c r="B1261" i="2" a="1"/>
  <c r="B1261" i="2" s="1"/>
  <c r="B1262" i="2" a="1"/>
  <c r="B1262" i="2" s="1"/>
  <c r="B1263" i="2" a="1"/>
  <c r="B1263" i="2" s="1"/>
  <c r="B1264" i="2" a="1"/>
  <c r="B1264" i="2" s="1"/>
  <c r="B1265" i="2" a="1"/>
  <c r="B1265" i="2" s="1"/>
  <c r="B1266" i="2" a="1"/>
  <c r="B1266" i="2" s="1"/>
  <c r="B1267" i="2" a="1"/>
  <c r="B1267" i="2" s="1"/>
  <c r="B1268" i="2" a="1"/>
  <c r="B1268" i="2" s="1"/>
  <c r="B1269" i="2" a="1"/>
  <c r="B1269" i="2" s="1"/>
  <c r="B1270" i="2" a="1"/>
  <c r="B1270" i="2" s="1"/>
  <c r="B1271" i="2" a="1"/>
  <c r="B1271" i="2" s="1"/>
  <c r="B1272" i="2" a="1"/>
  <c r="B1272" i="2" s="1"/>
  <c r="B1273" i="2" a="1"/>
  <c r="B1273" i="2" s="1"/>
  <c r="B1274" i="2" a="1"/>
  <c r="B1274" i="2" s="1"/>
  <c r="B1275" i="2" a="1"/>
  <c r="B1275" i="2" s="1"/>
  <c r="B1276" i="2" a="1"/>
  <c r="B1276" i="2" s="1"/>
  <c r="B1277" i="2" a="1"/>
  <c r="B1277" i="2" s="1"/>
  <c r="B1278" i="2" a="1"/>
  <c r="B1278" i="2" s="1"/>
  <c r="B1279" i="2" a="1"/>
  <c r="B1279" i="2" s="1"/>
  <c r="B1280" i="2" a="1"/>
  <c r="B1280" i="2" s="1"/>
  <c r="B1281" i="2" a="1"/>
  <c r="B1281" i="2" s="1"/>
  <c r="B1282" i="2" a="1"/>
  <c r="B1282" i="2" s="1"/>
  <c r="B1283" i="2" a="1"/>
  <c r="B1283" i="2" s="1"/>
  <c r="B1284" i="2" a="1"/>
  <c r="B1284" i="2" s="1"/>
  <c r="B1285" i="2" a="1"/>
  <c r="B1285" i="2" s="1"/>
  <c r="B1286" i="2" a="1"/>
  <c r="B1286" i="2" s="1"/>
  <c r="B1287" i="2" a="1"/>
  <c r="B1287" i="2" s="1"/>
  <c r="B1288" i="2" a="1"/>
  <c r="B1288" i="2" s="1"/>
  <c r="B1289" i="2" a="1"/>
  <c r="B1289" i="2" s="1"/>
  <c r="B1290" i="2" a="1"/>
  <c r="B1290" i="2" s="1"/>
  <c r="B1291" i="2" a="1"/>
  <c r="B1291" i="2" s="1"/>
  <c r="B1292" i="2" a="1"/>
  <c r="B1292" i="2" s="1"/>
  <c r="B1293" i="2" a="1"/>
  <c r="B1293" i="2" s="1"/>
  <c r="B1294" i="2" a="1"/>
  <c r="B1294" i="2" s="1"/>
  <c r="B1295" i="2" a="1"/>
  <c r="B1295" i="2" s="1"/>
  <c r="B1296" i="2" a="1"/>
  <c r="B1296" i="2" s="1"/>
  <c r="B1297" i="2" a="1"/>
  <c r="B1297" i="2" s="1"/>
  <c r="B1298" i="2" a="1"/>
  <c r="B1298" i="2" s="1"/>
  <c r="B1299" i="2" a="1"/>
  <c r="B1299" i="2" s="1"/>
  <c r="B1300" i="2" a="1"/>
  <c r="B1300" i="2" s="1"/>
  <c r="B1301" i="2" a="1"/>
  <c r="B1301" i="2" s="1"/>
  <c r="B1302" i="2" a="1"/>
  <c r="B1302" i="2" s="1"/>
  <c r="B1303" i="2" a="1"/>
  <c r="B1303" i="2" s="1"/>
  <c r="B1304" i="2" a="1"/>
  <c r="B1304" i="2" s="1"/>
  <c r="B1305" i="2" a="1"/>
  <c r="B1305" i="2" s="1"/>
  <c r="B1306" i="2" a="1"/>
  <c r="B1306" i="2" s="1"/>
  <c r="B1307" i="2" a="1"/>
  <c r="B1307" i="2" s="1"/>
  <c r="B1308" i="2" a="1"/>
  <c r="B1308" i="2" s="1"/>
  <c r="B1309" i="2" a="1"/>
  <c r="B1309" i="2" s="1"/>
  <c r="B1310" i="2" a="1"/>
  <c r="B1310" i="2" s="1"/>
  <c r="B1311" i="2" a="1"/>
  <c r="B1311" i="2" s="1"/>
  <c r="B1312" i="2" a="1"/>
  <c r="B1312" i="2" s="1"/>
  <c r="B1313" i="2" a="1"/>
  <c r="B1313" i="2" s="1"/>
  <c r="B1314" i="2" a="1"/>
  <c r="B1314" i="2" s="1"/>
  <c r="B1315" i="2" a="1"/>
  <c r="B1315" i="2" s="1"/>
  <c r="B1316" i="2" a="1"/>
  <c r="B1316" i="2" s="1"/>
  <c r="B1317" i="2" a="1"/>
  <c r="B1317" i="2" s="1"/>
  <c r="B1318" i="2" a="1"/>
  <c r="B1318" i="2" s="1"/>
  <c r="B1319" i="2" a="1"/>
  <c r="B1319" i="2" s="1"/>
  <c r="B1320" i="2" a="1"/>
  <c r="B1320" i="2" s="1"/>
  <c r="B1321" i="2" a="1"/>
  <c r="B1321" i="2" s="1"/>
  <c r="B1322" i="2" a="1"/>
  <c r="B1322" i="2" s="1"/>
  <c r="B1323" i="2" a="1"/>
  <c r="B1323" i="2" s="1"/>
  <c r="B1324" i="2" a="1"/>
  <c r="B1324" i="2" s="1"/>
  <c r="B1325" i="2" a="1"/>
  <c r="B1325" i="2" s="1"/>
  <c r="B1326" i="2" a="1"/>
  <c r="B1326" i="2" s="1"/>
  <c r="B1327" i="2" a="1"/>
  <c r="B1327" i="2" s="1"/>
  <c r="B1328" i="2" a="1"/>
  <c r="B1328" i="2" s="1"/>
  <c r="B1329" i="2" a="1"/>
  <c r="B1329" i="2" s="1"/>
  <c r="B1330" i="2" a="1"/>
  <c r="B1330" i="2" s="1"/>
  <c r="B1331" i="2" a="1"/>
  <c r="B1331" i="2" s="1"/>
  <c r="B1332" i="2" a="1"/>
  <c r="B1332" i="2" s="1"/>
  <c r="B1333" i="2" a="1"/>
  <c r="B1333" i="2" s="1"/>
  <c r="B1334" i="2" a="1"/>
  <c r="B1334" i="2" s="1"/>
  <c r="B1335" i="2" a="1"/>
  <c r="B1335" i="2" s="1"/>
  <c r="B1336" i="2" a="1"/>
  <c r="B1336" i="2" s="1"/>
  <c r="B1337" i="2" a="1"/>
  <c r="B1337" i="2" s="1"/>
  <c r="B1338" i="2" a="1"/>
  <c r="B1338" i="2" s="1"/>
  <c r="B1339" i="2" a="1"/>
  <c r="B1339" i="2" s="1"/>
  <c r="B1340" i="2" a="1"/>
  <c r="B1340" i="2" s="1"/>
  <c r="B1341" i="2" a="1"/>
  <c r="B1341" i="2" s="1"/>
  <c r="B1342" i="2" a="1"/>
  <c r="B1342" i="2" s="1"/>
  <c r="B1343" i="2" a="1"/>
  <c r="B1343" i="2" s="1"/>
  <c r="B1344" i="2" a="1"/>
  <c r="B1344" i="2" s="1"/>
  <c r="B1345" i="2" a="1"/>
  <c r="B1345" i="2" s="1"/>
  <c r="B1346" i="2" a="1"/>
  <c r="B1346" i="2" s="1"/>
  <c r="B1347" i="2" a="1"/>
  <c r="B1347" i="2" s="1"/>
  <c r="B1348" i="2" a="1"/>
  <c r="B1348" i="2" s="1"/>
  <c r="B1349" i="2" a="1"/>
  <c r="B1349" i="2" s="1"/>
  <c r="B1350" i="2" a="1"/>
  <c r="B1350" i="2" s="1"/>
  <c r="B1351" i="2" a="1"/>
  <c r="B1351" i="2" s="1"/>
  <c r="B1352" i="2" a="1"/>
  <c r="B1352" i="2" s="1"/>
  <c r="B1353" i="2" a="1"/>
  <c r="B1353" i="2" s="1"/>
  <c r="B1354" i="2" a="1"/>
  <c r="B1354" i="2" s="1"/>
  <c r="B1355" i="2" a="1"/>
  <c r="B1355" i="2" s="1"/>
  <c r="B1356" i="2" a="1"/>
  <c r="B1356" i="2" s="1"/>
  <c r="B1357" i="2" a="1"/>
  <c r="B1357" i="2" s="1"/>
  <c r="B1358" i="2" a="1"/>
  <c r="B1358" i="2" s="1"/>
  <c r="B1359" i="2" a="1"/>
  <c r="B1359" i="2" s="1"/>
  <c r="B1360" i="2" a="1"/>
  <c r="B1360" i="2" s="1"/>
  <c r="B1361" i="2" a="1"/>
  <c r="B1361" i="2" s="1"/>
  <c r="B1362" i="2" a="1"/>
  <c r="B1362" i="2" s="1"/>
  <c r="B1363" i="2" a="1"/>
  <c r="B1363" i="2" s="1"/>
  <c r="B1364" i="2" a="1"/>
  <c r="B1364" i="2" s="1"/>
  <c r="B1365" i="2" a="1"/>
  <c r="B1365" i="2" s="1"/>
  <c r="B1366" i="2" a="1"/>
  <c r="B1366" i="2" s="1"/>
  <c r="B1367" i="2" a="1"/>
  <c r="B1367" i="2" s="1"/>
  <c r="B1368" i="2" a="1"/>
  <c r="B1368" i="2" s="1"/>
  <c r="B1369" i="2" a="1"/>
  <c r="B1369" i="2" s="1"/>
  <c r="B1370" i="2" a="1"/>
  <c r="B1370" i="2" s="1"/>
  <c r="B1371" i="2" a="1"/>
  <c r="B1371" i="2" s="1"/>
  <c r="B1372" i="2" a="1"/>
  <c r="B1372" i="2" s="1"/>
  <c r="B1373" i="2" a="1"/>
  <c r="B1373" i="2" s="1"/>
  <c r="B1374" i="2" a="1"/>
  <c r="B1374" i="2" s="1"/>
  <c r="B1375" i="2" a="1"/>
  <c r="B1375" i="2" s="1"/>
  <c r="B1376" i="2" a="1"/>
  <c r="B1376" i="2" s="1"/>
  <c r="B1377" i="2" a="1"/>
  <c r="B1377" i="2" s="1"/>
  <c r="B1378" i="2" a="1"/>
  <c r="B1378" i="2" s="1"/>
  <c r="B1379" i="2" a="1"/>
  <c r="B1379" i="2" s="1"/>
  <c r="B1380" i="2" a="1"/>
  <c r="B1380" i="2" s="1"/>
  <c r="B1381" i="2" a="1"/>
  <c r="B1381" i="2" s="1"/>
  <c r="B1382" i="2" a="1"/>
  <c r="B1382" i="2" s="1"/>
  <c r="B1383" i="2" a="1"/>
  <c r="B1383" i="2" s="1"/>
  <c r="B1384" i="2" a="1"/>
  <c r="B1384" i="2" s="1"/>
  <c r="B1385" i="2" a="1"/>
  <c r="B1385" i="2" s="1"/>
  <c r="B1386" i="2" a="1"/>
  <c r="B1386" i="2" s="1"/>
  <c r="B1387" i="2" a="1"/>
  <c r="B1387" i="2" s="1"/>
  <c r="B1388" i="2" a="1"/>
  <c r="B1388" i="2" s="1"/>
  <c r="B1389" i="2" a="1"/>
  <c r="B1389" i="2" s="1"/>
  <c r="B1390" i="2" a="1"/>
  <c r="B1390" i="2" s="1"/>
  <c r="B1391" i="2" a="1"/>
  <c r="B1391" i="2" s="1"/>
  <c r="B1392" i="2" a="1"/>
  <c r="B1392" i="2" s="1"/>
  <c r="B1393" i="2" a="1"/>
  <c r="B1393" i="2" s="1"/>
  <c r="B1394" i="2" a="1"/>
  <c r="B1394" i="2" s="1"/>
  <c r="B1395" i="2" a="1"/>
  <c r="B1395" i="2" s="1"/>
  <c r="B1396" i="2" a="1"/>
  <c r="B1396" i="2" s="1"/>
  <c r="B1397" i="2" a="1"/>
  <c r="B1397" i="2" s="1"/>
  <c r="B1398" i="2" a="1"/>
  <c r="B1398" i="2" s="1"/>
  <c r="B1399" i="2" a="1"/>
  <c r="B1399" i="2" s="1"/>
  <c r="B1400" i="2" a="1"/>
  <c r="B1400" i="2" s="1"/>
  <c r="B1401" i="2" a="1"/>
  <c r="B1401" i="2" s="1"/>
  <c r="B1402" i="2" a="1"/>
  <c r="B1402" i="2" s="1"/>
  <c r="B1403" i="2" a="1"/>
  <c r="B1403" i="2" s="1"/>
  <c r="B1404" i="2" a="1"/>
  <c r="B1404" i="2" s="1"/>
  <c r="B1405" i="2" a="1"/>
  <c r="B1405" i="2" s="1"/>
  <c r="B1406" i="2" a="1"/>
  <c r="B1406" i="2" s="1"/>
  <c r="B1407" i="2" a="1"/>
  <c r="B1407" i="2" s="1"/>
  <c r="B1408" i="2" a="1"/>
  <c r="B1408" i="2" s="1"/>
  <c r="B1409" i="2" a="1"/>
  <c r="B1409" i="2" s="1"/>
  <c r="B1410" i="2" a="1"/>
  <c r="B1410" i="2" s="1"/>
  <c r="B1411" i="2" a="1"/>
  <c r="B1411" i="2" s="1"/>
  <c r="B1412" i="2" a="1"/>
  <c r="B1412" i="2" s="1"/>
  <c r="B1413" i="2" a="1"/>
  <c r="B1413" i="2" s="1"/>
  <c r="B1414" i="2" a="1"/>
  <c r="B1414" i="2" s="1"/>
  <c r="B1415" i="2" a="1"/>
  <c r="B1415" i="2" s="1"/>
  <c r="B1416" i="2" a="1"/>
  <c r="B1416" i="2" s="1"/>
  <c r="B1417" i="2" a="1"/>
  <c r="B1417" i="2" s="1"/>
  <c r="B1418" i="2" a="1"/>
  <c r="B1418" i="2" s="1"/>
  <c r="B1419" i="2" a="1"/>
  <c r="B1419" i="2" s="1"/>
  <c r="B1420" i="2" a="1"/>
  <c r="B1420" i="2" s="1"/>
  <c r="B1421" i="2" a="1"/>
  <c r="B1421" i="2" s="1"/>
  <c r="B1422" i="2" a="1"/>
  <c r="B1422" i="2" s="1"/>
  <c r="B1423" i="2" a="1"/>
  <c r="B1423" i="2" s="1"/>
  <c r="B1424" i="2" a="1"/>
  <c r="B1424" i="2" s="1"/>
  <c r="B1425" i="2" a="1"/>
  <c r="B1425" i="2" s="1"/>
  <c r="B1426" i="2" a="1"/>
  <c r="B1426" i="2" s="1"/>
  <c r="B1427" i="2" a="1"/>
  <c r="B1427" i="2" s="1"/>
  <c r="B1428" i="2" a="1"/>
  <c r="B1428" i="2" s="1"/>
  <c r="B1429" i="2" a="1"/>
  <c r="B1429" i="2" s="1"/>
  <c r="B1430" i="2" a="1"/>
  <c r="B1430" i="2" s="1"/>
  <c r="B1431" i="2" a="1"/>
  <c r="B1431" i="2" s="1"/>
  <c r="B1432" i="2" a="1"/>
  <c r="B1432" i="2" s="1"/>
  <c r="B1433" i="2" a="1"/>
  <c r="B1433" i="2" s="1"/>
  <c r="B1434" i="2" a="1"/>
  <c r="B1434" i="2" s="1"/>
  <c r="B1435" i="2" a="1"/>
  <c r="B1435" i="2" s="1"/>
  <c r="B1436" i="2" a="1"/>
  <c r="B1436" i="2" s="1"/>
  <c r="B1437" i="2" a="1"/>
  <c r="B1437" i="2" s="1"/>
  <c r="B1438" i="2" a="1"/>
  <c r="B1438" i="2" s="1"/>
  <c r="B1439" i="2" a="1"/>
  <c r="B1439" i="2" s="1"/>
  <c r="B1440" i="2" a="1"/>
  <c r="B1440" i="2" s="1"/>
  <c r="B1441" i="2" a="1"/>
  <c r="B1441" i="2" s="1"/>
  <c r="B1442" i="2" a="1"/>
  <c r="B1442" i="2" s="1"/>
  <c r="B1443" i="2" a="1"/>
  <c r="B1443" i="2" s="1"/>
  <c r="B1444" i="2" a="1"/>
  <c r="B1444" i="2" s="1"/>
  <c r="B1445" i="2" a="1"/>
  <c r="B1445" i="2" s="1"/>
  <c r="B1446" i="2" a="1"/>
  <c r="B1446" i="2" s="1"/>
  <c r="B1447" i="2" a="1"/>
  <c r="B1447" i="2" s="1"/>
  <c r="B1448" i="2" a="1"/>
  <c r="B1448" i="2" s="1"/>
  <c r="B1449" i="2" a="1"/>
  <c r="B1449" i="2" s="1"/>
  <c r="B1450" i="2" a="1"/>
  <c r="B1450" i="2" s="1"/>
  <c r="B1451" i="2" a="1"/>
  <c r="B1451" i="2" s="1"/>
  <c r="B1452" i="2" a="1"/>
  <c r="B1452" i="2" s="1"/>
  <c r="B1453" i="2" a="1"/>
  <c r="B1453" i="2" s="1"/>
  <c r="B1454" i="2" a="1"/>
  <c r="B1454" i="2" s="1"/>
  <c r="B1455" i="2" a="1"/>
  <c r="B1455" i="2" s="1"/>
  <c r="B1456" i="2" a="1"/>
  <c r="B1456" i="2" s="1"/>
  <c r="B1457" i="2" a="1"/>
  <c r="B1457" i="2" s="1"/>
  <c r="B1458" i="2" a="1"/>
  <c r="B1458" i="2" s="1"/>
  <c r="B1459" i="2" a="1"/>
  <c r="B1459" i="2" s="1"/>
  <c r="B1460" i="2" a="1"/>
  <c r="B1460" i="2" s="1"/>
  <c r="B1461" i="2" a="1"/>
  <c r="B1461" i="2" s="1"/>
  <c r="B1462" i="2" a="1"/>
  <c r="B1462" i="2" s="1"/>
  <c r="B1463" i="2" a="1"/>
  <c r="B1463" i="2" s="1"/>
  <c r="B1464" i="2" a="1"/>
  <c r="B1464" i="2" s="1"/>
  <c r="B1465" i="2" a="1"/>
  <c r="B1465" i="2" s="1"/>
  <c r="B1466" i="2" a="1"/>
  <c r="B1466" i="2" s="1"/>
  <c r="B1467" i="2" a="1"/>
  <c r="B1467" i="2" s="1"/>
  <c r="B1468" i="2" a="1"/>
  <c r="B1468" i="2" s="1"/>
  <c r="B1469" i="2" a="1"/>
  <c r="B1469" i="2" s="1"/>
  <c r="B1470" i="2" a="1"/>
  <c r="B1470" i="2" s="1"/>
  <c r="B1471" i="2" a="1"/>
  <c r="B147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<sst xmlns="http://schemas.openxmlformats.org/spreadsheetml/2006/main" count="26539" uniqueCount="101">
  <si>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</si>
  <si>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</si>
  <si>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</si>
  <si>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</si>
  <si>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</si>
  <si>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</si>
  <si>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</si>
  <si>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</si>
  <si>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</si>
  <si>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</si>
  <si>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</si>
  <si>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</si>
  <si>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</si>
  <si>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</si>
  <si>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</si>
  <si>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</si>
  <si>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</si>
  <si>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</si>
  <si>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</si>
  <si>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</si>
  <si>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</si>
  <si>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</si>
  <si>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</si>
  <si>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</si>
  <si>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</si>
  <si>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</si>
  <si>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</si>
  <si>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</si>
  <si>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</si>
  <si>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</si>
  <si>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</si>
  <si>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</si>
  <si>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</si>
  <si>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</si>
  <si>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</si>
  <si>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</si>
  <si>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</si>
  <si>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</si>
  <si>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</si>
  <si>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</si>
  <si>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</si>
  <si>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</si>
  <si>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</si>
  <si>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</si>
  <si>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</si>
  <si>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</si>
  <si>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</si>
  <si>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</si>
  <si>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</si>
  <si>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</si>
  <si>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</si>
  <si>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</si>
  <si>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</si>
  <si>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</si>
  <si>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</si>
  <si>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</si>
  <si>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</si>
  <si>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</si>
  <si>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</si>
  <si>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</si>
  <si>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</si>
  <si>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</si>
  <si>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Non_Travel</t>
  </si>
  <si>
    <t>Business Travel</t>
  </si>
  <si>
    <t>Daily Rate</t>
  </si>
  <si>
    <t>Distance From Home</t>
  </si>
  <si>
    <t>Education Field</t>
  </si>
  <si>
    <t>Employee Count</t>
  </si>
  <si>
    <t>Employee Number</t>
  </si>
  <si>
    <t>Environment Satisfaction</t>
  </si>
  <si>
    <t>Hourly Rate</t>
  </si>
  <si>
    <t>Job Involvement</t>
  </si>
  <si>
    <t>Job Level</t>
  </si>
  <si>
    <t>Job Role</t>
  </si>
  <si>
    <t>Job Satisfaction</t>
  </si>
  <si>
    <t>Marital Status</t>
  </si>
  <si>
    <t>Monthly Income</t>
  </si>
  <si>
    <t>Monthly Rate</t>
  </si>
  <si>
    <t>Num Companies Worked</t>
  </si>
  <si>
    <t>Over 18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</si>
  <si>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</si>
  <si>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</si>
  <si>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</si>
  <si>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</si>
  <si>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</si>
  <si>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</si>
  <si>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Training Times Last Year</t>
  </si>
  <si>
    <t>Years At Company</t>
  </si>
  <si>
    <t>Years In CurrentRole</t>
  </si>
  <si>
    <t>Years Since Last Promotion</t>
  </si>
  <si>
    <t>Years With Curr Manager</t>
  </si>
  <si>
    <t>Work Life Balance</t>
  </si>
  <si>
    <t>Age Group</t>
  </si>
  <si>
    <t>Distance From Home Group</t>
  </si>
  <si>
    <t>Percent Salary Hike Group</t>
  </si>
  <si>
    <t>Total Working Years Group</t>
  </si>
  <si>
    <t>Years At Company Group</t>
  </si>
  <si>
    <t>Years In CurrentRole Group</t>
  </si>
  <si>
    <t>Years Since Last Promotion Group</t>
  </si>
  <si>
    <t>Years With Curr Manager Group</t>
  </si>
  <si>
    <t>Attrition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</si>
</sst>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" fontId="0" fillId="0" borderId="0" xfId="0" applyNumberFormat="1"/>
    <xf numFmtId="49" fontId="16" fillId="0" borderId="0" xfId="0" applyNumberFormat="1" applyFont="1"/>
    <xf numFmtId="49" fontId="0" fillId="0" borderId="0" xfId="0" applyNumberFormat="1"/>
    <xf numFmtId="44" fontId="0" fillId="0" borderId="0" xfId="0" applyNumberFormat="1"/>
    <xf numFmtId="9" fontId="0" fillId="0" borderId="0" xfId="0" applyNumberFormat="1"/>
    <xf numFmtId="0" fontId="16" fillId="0" borderId="0" xfId="0" applyFont="1"/>
    <xf numFmtId="49" fontId="16" fillId="33" borderId="0" xfId="0" applyNumberFormat="1" applyFont="1" applyFill="1"/>
    <xf numFmtId="2" fontId="0" fillId="33" borderId="0" xfId="0" applyNumberFormat="1" applyFill="1"/>
    <xf numFmtId="1" fontId="0" fillId="33" borderId="0" xfId="0" applyNumberFormat="1" applyFill="1"/>
    <xf numFmtId="9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4">
    <dxf>
      <numFmt numFmtId="1" formatCode="0"/>
      <fill>
        <patternFill patternType="solid">
          <fgColor indexed="64"/>
          <bgColor theme="9" tint="0.59999389629810485"/>
        </patternFill>
      </fill>
    </dxf>
    <dxf>
      <numFmt numFmtId="1" formatCode="0"/>
    </dxf>
    <dxf>
      <numFmt numFmtId="1" formatCode="0"/>
      <fill>
        <patternFill patternType="solid">
          <fgColor indexed="64"/>
          <bgColor theme="9" tint="0.59999389629810485"/>
        </patternFill>
      </fill>
    </dxf>
    <dxf>
      <numFmt numFmtId="1" formatCode="0"/>
    </dxf>
    <dxf>
      <numFmt numFmtId="1" formatCode="0"/>
      <fill>
        <patternFill patternType="solid">
          <fgColor indexed="64"/>
          <bgColor theme="9" tint="0.59999389629810485"/>
        </patternFill>
      </fill>
    </dxf>
    <dxf>
      <numFmt numFmtId="1" formatCode="0"/>
    </dxf>
    <dxf>
      <numFmt numFmtId="1" formatCode="0"/>
      <fill>
        <patternFill patternType="solid">
          <fgColor indexed="64"/>
          <bgColor theme="9" tint="0.59999389629810485"/>
        </patternFill>
      </fill>
    </dxf>
    <dxf>
      <numFmt numFmtId="1" formatCode="0"/>
    </dxf>
    <dxf>
      <numFmt numFmtId="1" formatCode="0"/>
      <fill>
        <patternFill patternType="solid">
          <fgColor indexed="64"/>
          <bgColor theme="9" tint="0.59999389629810485"/>
        </patternFill>
      </fill>
    </dxf>
    <dxf>
      <numFmt numFmtId="1" formatCode="0"/>
    </dxf>
    <dxf>
      <numFmt numFmtId="1" formatCode="0"/>
    </dxf>
    <dxf>
      <numFmt numFmtId="13" formatCode="0%"/>
      <fill>
        <patternFill patternType="solid">
          <fgColor indexed="64"/>
          <bgColor theme="9" tint="0.59999389629810485"/>
        </patternFill>
      </fill>
    </dxf>
    <dxf>
      <numFmt numFmtId="1" formatCode="0"/>
    </dxf>
    <dxf>
      <numFmt numFmtId="13" formatCode="0%"/>
    </dxf>
    <dxf>
      <numFmt numFmtId="1" formatCode="0"/>
      <fill>
        <patternFill patternType="solid">
          <fgColor indexed="64"/>
          <bgColor theme="9" tint="0.59999389629810485"/>
        </patternFill>
      </fill>
    </dxf>
    <dxf>
      <numFmt numFmtId="1" formatCode="0"/>
    </dxf>
    <dxf>
      <numFmt numFmtId="1" formatCode="0"/>
    </dxf>
    <dxf>
      <numFmt numFmtId="2" formatCode="0.00"/>
      <fill>
        <patternFill patternType="solid">
          <fgColor indexed="64"/>
          <bgColor theme="9" tint="0.59999389629810485"/>
        </patternFill>
      </fill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34" formatCode="_(&quot;$&quot;* #,##0.00_);_(&quot;$&quot;* \(#,##0.00\);_(&quot;$&quot;* &quot;-&quot;??_);_(@_)"/>
    </dxf>
    <dxf>
      <numFmt numFmtId="30" formatCode="@"/>
    </dxf>
    <dxf>
      <numFmt numFmtId="1" formatCode="0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1" formatCode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2CC13A-B7AF-4D88-BF37-5E5E6FE48167}" name="IBM_HR_Employee_Attrition" displayName="IBM_HR_Employee_Attrition" ref="A1:AR1471" totalsRowShown="0" headerRowDxfId="43">
  <autoFilter ref="A1:AR1471" xr:uid="{F80A1AAA-449E-4D8C-9A7C-DE3B023564CC}"/>
  <tableColumns count="44">
    <tableColumn id="1" xr3:uid="{61E981F9-40D1-4B27-8DBF-8A0A7C48D75B}" name="Age" dataDxfId="19"/>
    <tableColumn id="36" xr3:uid="{88176010-C593-45C6-A896-EDAD7317FD66}" name="Age Group" dataDxfId="17">
      <calculatedColumnFormula array="1">_xlfn.IFS(A2 &lt;= 25, "[18-25]", A2 &lt;= 35, "[26-35]", A2 &lt;=45, "[36-45]", A2 &lt;= 60, "[46- 60]")</calculatedColumnFormula>
    </tableColumn>
    <tableColumn id="2" xr3:uid="{C7DB51AE-C178-4E27-A865-1E0D836B023F}" name="Attrition" dataDxfId="18"/>
    <tableColumn id="44" xr3:uid="{DA82DB3E-8E1A-465D-8763-34ED98031398}" name="Attrition Count" dataDxfId="42">
      <calculatedColumnFormula>IF(C2 = "Yes",1, 0)</calculatedColumnFormula>
    </tableColumn>
    <tableColumn id="3" xr3:uid="{F9315075-022D-4706-83D0-7C41DAA489CA}" name="Business Travel"/>
    <tableColumn id="4" xr3:uid="{6436974A-0BEF-41F2-A088-9381E82B5343}" name="Daily Rate" dataDxfId="41"/>
    <tableColumn id="5" xr3:uid="{32934431-0B8D-4719-8A1E-A23BB6311160}" name="Department" dataDxfId="40"/>
    <tableColumn id="6" xr3:uid="{385686B5-DA4A-4A5B-A4A0-8B36FDB5B972}" name="Distance From Home" dataDxfId="16"/>
    <tableColumn id="37" xr3:uid="{1975FD0F-F79F-4C62-A3CC-60CE495A6196}" name="Distance From Home Group" dataDxfId="14">
      <calculatedColumnFormula array="1">_xlfn.IFS(H2 &lt;= 2, "[1-2] very close", H2 &lt;= 10, "[3-10] close", H2 &lt;= 20, "[11-20] moderate", H2 &lt;= 30, "[21-30] far")</calculatedColumnFormula>
    </tableColumn>
    <tableColumn id="7" xr3:uid="{B05AB98D-E698-4CC0-879C-EE73C285094C}" name="Education" dataDxfId="15"/>
    <tableColumn id="8" xr3:uid="{F87FC592-54D9-49B9-A488-173864C1B291}" name="Education Field" dataDxfId="39"/>
    <tableColumn id="9" xr3:uid="{D591D5D3-79A1-471B-B6D1-0EDB756EE53E}" name="Employee Count" dataDxfId="38"/>
    <tableColumn id="10" xr3:uid="{59234C48-EDB0-443D-9715-B6EABC804A00}" name="Employee Number" dataDxfId="37"/>
    <tableColumn id="11" xr3:uid="{EACFAEDB-A879-4B71-89ED-412EB32D7FAB}" name="Environment Satisfaction" dataDxfId="36"/>
    <tableColumn id="12" xr3:uid="{B5702A44-9140-44DB-A225-630EAD460A26}" name="Gender" dataDxfId="35"/>
    <tableColumn id="13" xr3:uid="{B14CB3D9-D5E2-41AC-92C0-1D3A80B35E5E}" name="Hourly Rate" dataDxfId="34"/>
    <tableColumn id="14" xr3:uid="{7CB6FBE0-D5C8-4174-BB56-B1D25E645A2D}" name="Job Involvement" dataDxfId="33"/>
    <tableColumn id="15" xr3:uid="{2328416A-9091-4032-B325-15941D282ACA}" name="Job Level" dataDxfId="32"/>
    <tableColumn id="16" xr3:uid="{FFE7B411-7015-4BBA-A99F-56BE50119898}" name="Job Role" dataDxfId="31"/>
    <tableColumn id="17" xr3:uid="{617182BF-3110-4A0B-B857-D1CF86010CD6}" name="Job Satisfaction" dataDxfId="30"/>
    <tableColumn id="18" xr3:uid="{C66AA7FF-E823-43D1-9776-8E64FD9C8F0C}" name="Marital Status" dataDxfId="29"/>
    <tableColumn id="19" xr3:uid="{32006C9E-88BB-48BF-AC39-C19B91FA9E15}" name="Monthly Income" dataDxfId="28"/>
    <tableColumn id="20" xr3:uid="{5A6DC5C1-4428-4CE1-B670-52687F656B4D}" name="Monthly Rate" dataDxfId="27"/>
    <tableColumn id="21" xr3:uid="{05CD93A6-6F6E-4237-9D7F-25E2C786356F}" name="Num Companies Worked" dataDxfId="26"/>
    <tableColumn id="22" xr3:uid="{A7664E67-FCEB-47F4-8507-657B53B2F8FD}" name="Over 18" dataDxfId="25"/>
    <tableColumn id="23" xr3:uid="{CF3BAD35-2F6E-43C9-8597-753764430D20}" name="OverTime" dataDxfId="24"/>
    <tableColumn id="24" xr3:uid="{7827C07B-C689-4BC2-82E4-56E50D180755}" name="Percent Salary Hike" dataDxfId="13"/>
    <tableColumn id="38" xr3:uid="{E227FC4F-74C4-46E1-ADB1-C6F88DAB7934}" name="Percent Salary Hike Group" dataDxfId="11">
      <calculatedColumnFormula array="1">_xlfn.IFS(AA2 &lt;= 15%, "Low Hike[11-15%]", AA2 &lt;= 20%, "Moderate Hike[16-20%]", AA2 &lt;= 25%,"High Hike[21-25%]")</calculatedColumnFormula>
    </tableColumn>
    <tableColumn id="25" xr3:uid="{F28D67A6-6455-49D2-AEE9-53D546928CE1}" name="Performance Rating" dataDxfId="12"/>
    <tableColumn id="26" xr3:uid="{6FDA2C7B-F3B6-4B14-B0B4-4CDEC3F9ADF6}" name="Relationship Satisfaction" dataDxfId="23"/>
    <tableColumn id="27" xr3:uid="{61F6A9A4-71F9-4D10-9059-BA73663A0B13}" name="Standard Hours" dataDxfId="22"/>
    <tableColumn id="28" xr3:uid="{AE5523B0-92EE-47D3-B48D-C2F5E643656A}" name="Stock Option Level" dataDxfId="21"/>
    <tableColumn id="29" xr3:uid="{FB48D73F-C5D5-413F-B0FF-E1B8C882485D}" name="Total Working Years" dataDxfId="10"/>
    <tableColumn id="39" xr3:uid="{AC22C65C-4B82-44BF-AB50-82C668BE19D8}" name="Total Working Years Group" dataDxfId="8">
      <calculatedColumnFormula array="1">_xlfn.IFS(AG2 &lt;= 5, "New[1-5]", AG2 &lt;= 10, "Early Career[6-10]", AG2 &lt;= 20, "Established[11-20]", AG2 &lt;= 30, "Veteran[21-30]", AG2 &lt;= 40, "Late Career[31-40]")</calculatedColumnFormula>
    </tableColumn>
    <tableColumn id="30" xr3:uid="{DC1DD8ED-6127-4CFE-9223-1B6E6B0AE5D8}" name="Training Times Last Year" dataDxfId="9"/>
    <tableColumn id="31" xr3:uid="{05294FBC-AEB1-48C3-8831-1785A562F755}" name="Work Life Balance" dataDxfId="20"/>
    <tableColumn id="32" xr3:uid="{77C4B4B6-F2F4-48AD-84E4-7C9BA4A658AB}" name="Years At Company" dataDxfId="7"/>
    <tableColumn id="40" xr3:uid="{099A42F0-4B87-45A3-8AFD-3B2C51CF88B2}" name="Years At Company Group" dataDxfId="6">
      <calculatedColumnFormula array="1">_xlfn.IFS(AK2 &lt;= 5, "New[1-5]", AK2 &lt;= 10, "Early Career[6-10]", AK2 &lt;= 20, "Established[11-20]", AK2 &lt;= 30, "Veteran[21-30]", AK2 &lt;= 40, "Late Career[31-40]")</calculatedColumnFormula>
    </tableColumn>
    <tableColumn id="33" xr3:uid="{376E312C-41EE-448F-90B2-6E845965FA08}" name="Years In CurrentRole" dataDxfId="5"/>
    <tableColumn id="41" xr3:uid="{9D0DCBC8-B720-4390-972E-F3B938AD0CB4}" name="Years In CurrentRole Group" dataDxfId="4">
      <calculatedColumnFormula array="1">_xlfn.IFS(AM2 &lt;= 3, "New to Role[1-3]", AM2 &lt;= 7, "Settled[4-7]", AM2 &lt;= 12, "Experienced[[8-12]", AM2 &lt;= 18, "Long Tenured[13-18]")</calculatedColumnFormula>
    </tableColumn>
    <tableColumn id="34" xr3:uid="{B5E400A7-5917-4481-88C3-EE1803BC3016}" name="Years Since Last Promotion" dataDxfId="3"/>
    <tableColumn id="42" xr3:uid="{C1E99101-D651-49CE-B930-5BC17755BF05}" name="Years Since Last Promotion Group" dataDxfId="2">
      <calculatedColumnFormula array="1">_xlfn.IFS(AO2 &lt;= 3, "Recently[1-3]", AO2 &lt;= 6, "Due Soon[4-6]", AO2 &lt;= 10, "Overdue[7-10]", AO2 &lt;= 15, "Long Overdue[11-15]")</calculatedColumnFormula>
    </tableColumn>
    <tableColumn id="43" xr3:uid="{67055736-34F1-41A4-9409-5F691AFE4B69}" name="Years With Curr Manager Group" dataDxfId="0">
      <calculatedColumnFormula array="1">_xlfn.IFS(AR2 &lt;= 3, "New Relationship[1-3]", AR2 &lt;= 7, "Established Relationship[4-7]", AR2 &lt;= 12, "Long Term Relationship[8-12]", AR2 &lt;= 17, "Very Long Term Relationship[13-17]")</calculatedColumnFormula>
    </tableColumn>
    <tableColumn id="35" xr3:uid="{D8910358-E051-482D-8B45-D972D44862FF}" name="Years With Curr Manager" dataDxfId="1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27FAF-830D-4FE1-A20C-F5A1EACE4248}">
  <dimension ref="A1:AI1471"/>
  <sheetViews>
    <sheetView topLeftCell="AA1" workbookViewId="0">
      <selection activeCell="C1" sqref="C1"/>
    </sheetView>
  </sheetViews>
  <sheetFormatPr defaultRowHeight="15" x14ac:dyDescent="0.25"/>
  <cols>
    <col min="1" max="1" width="4.42578125" bestFit="1" customWidth="1"/>
    <col min="2" max="2" width="8.5703125" bestFit="1" customWidth="1"/>
    <col min="3" max="3" width="17.42578125" bestFit="1" customWidth="1"/>
    <col min="4" max="4" width="9.42578125" bestFit="1" customWidth="1"/>
    <col min="5" max="5" width="23.85546875" bestFit="1" customWidth="1"/>
    <col min="6" max="6" width="18.7109375" bestFit="1" customWidth="1"/>
    <col min="7" max="7" width="9.7109375" bestFit="1" customWidth="1"/>
    <col min="8" max="8" width="16.85546875" bestFit="1" customWidth="1"/>
    <col min="9" max="9" width="15.28515625" bestFit="1" customWidth="1"/>
    <col min="10" max="10" width="17.42578125" bestFit="1" customWidth="1"/>
    <col min="11" max="11" width="23.140625" bestFit="1" customWidth="1"/>
    <col min="12" max="12" width="7.5703125" bestFit="1" customWidth="1"/>
    <col min="13" max="13" width="10.85546875" bestFit="1" customWidth="1"/>
    <col min="14" max="14" width="15.42578125" bestFit="1" customWidth="1"/>
    <col min="15" max="15" width="8.7109375" bestFit="1" customWidth="1"/>
    <col min="16" max="16" width="25" bestFit="1" customWidth="1"/>
    <col min="17" max="17" width="14.42578125" bestFit="1" customWidth="1"/>
    <col min="18" max="18" width="12.7109375" bestFit="1" customWidth="1"/>
    <col min="19" max="19" width="15.140625" bestFit="1" customWidth="1"/>
    <col min="20" max="20" width="12.42578125" bestFit="1" customWidth="1"/>
    <col min="21" max="21" width="22.5703125" bestFit="1" customWidth="1"/>
    <col min="22" max="22" width="7.28515625" bestFit="1" customWidth="1"/>
    <col min="23" max="23" width="9.7109375" bestFit="1" customWidth="1"/>
    <col min="24" max="24" width="17.42578125" bestFit="1" customWidth="1"/>
    <col min="25" max="25" width="18.28515625" bestFit="1" customWidth="1"/>
    <col min="26" max="26" width="22.85546875" bestFit="1" customWidth="1"/>
    <col min="27" max="27" width="14.140625" bestFit="1" customWidth="1"/>
    <col min="28" max="28" width="16.7109375" bestFit="1" customWidth="1"/>
    <col min="29" max="29" width="17.85546875" bestFit="1" customWidth="1"/>
    <col min="30" max="30" width="21" bestFit="1" customWidth="1"/>
    <col min="31" max="31" width="16" bestFit="1" customWidth="1"/>
    <col min="32" max="32" width="16.140625" bestFit="1" customWidth="1"/>
    <col min="33" max="33" width="18.42578125" bestFit="1" customWidth="1"/>
    <col min="34" max="34" width="23.7109375" bestFit="1" customWidth="1"/>
    <col min="35" max="35" width="21.8554687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A1AAA-449E-4D8C-9A7C-DE3B023564CC}">
  <dimension ref="A1:AR1471"/>
  <sheetViews>
    <sheetView tabSelected="1" topLeftCell="AK1" workbookViewId="0">
      <selection activeCell="AQ1" sqref="AQ1:AQ1048576"/>
    </sheetView>
  </sheetViews>
  <sheetFormatPr defaultRowHeight="15" x14ac:dyDescent="0.25"/>
  <cols>
    <col min="1" max="1" width="6.7109375" style="1" bestFit="1" customWidth="1"/>
    <col min="2" max="2" width="11.140625" style="8" bestFit="1" customWidth="1"/>
    <col min="3" max="3" width="10.85546875" style="3" bestFit="1" customWidth="1"/>
    <col min="4" max="4" width="10.85546875" customWidth="1"/>
    <col min="5" max="5" width="17.42578125" bestFit="1" customWidth="1"/>
    <col min="6" max="6" width="11.7109375" style="1" bestFit="1" customWidth="1"/>
    <col min="7" max="7" width="23.85546875" style="3" bestFit="1" customWidth="1"/>
    <col min="8" max="8" width="21" style="1" bestFit="1" customWidth="1"/>
    <col min="9" max="9" width="21" style="9" customWidth="1"/>
    <col min="10" max="10" width="12" style="1" bestFit="1" customWidth="1"/>
    <col min="11" max="11" width="16.85546875" style="3" bestFit="1" customWidth="1"/>
    <col min="12" max="12" width="17.5703125" style="1" bestFit="1" customWidth="1"/>
    <col min="13" max="13" width="19.7109375" style="1" bestFit="1" customWidth="1"/>
    <col min="14" max="14" width="25.42578125" style="1" bestFit="1" customWidth="1"/>
    <col min="15" max="15" width="10" style="3" bestFit="1" customWidth="1"/>
    <col min="16" max="16" width="13.140625" style="1" bestFit="1" customWidth="1"/>
    <col min="17" max="17" width="17.7109375" style="1" bestFit="1" customWidth="1"/>
    <col min="18" max="18" width="11" style="1" bestFit="1" customWidth="1"/>
    <col min="19" max="19" width="25" style="3" bestFit="1" customWidth="1"/>
    <col min="20" max="20" width="16.7109375" style="1" bestFit="1" customWidth="1"/>
    <col min="21" max="21" width="15.140625" style="3" bestFit="1" customWidth="1"/>
    <col min="22" max="22" width="18.7109375" style="4" customWidth="1"/>
    <col min="23" max="23" width="14.85546875" style="1" bestFit="1" customWidth="1"/>
    <col min="24" max="24" width="25" style="1" bestFit="1" customWidth="1"/>
    <col min="25" max="25" width="9.5703125" style="3" bestFit="1" customWidth="1"/>
    <col min="26" max="26" width="12" style="3" bestFit="1" customWidth="1"/>
    <col min="27" max="27" width="19.7109375" style="5" bestFit="1" customWidth="1"/>
    <col min="28" max="28" width="19.7109375" style="10" customWidth="1"/>
    <col min="29" max="29" width="20.5703125" style="1" bestFit="1" customWidth="1"/>
    <col min="30" max="30" width="25.140625" style="1" bestFit="1" customWidth="1"/>
    <col min="31" max="31" width="16.42578125" style="1" bestFit="1" customWidth="1"/>
    <col min="32" max="32" width="19" style="1" bestFit="1" customWidth="1"/>
    <col min="33" max="33" width="20.42578125" style="1" bestFit="1" customWidth="1"/>
    <col min="34" max="34" width="20.42578125" style="9" customWidth="1"/>
    <col min="35" max="35" width="23.42578125" style="1" bestFit="1" customWidth="1"/>
    <col min="36" max="36" width="18.42578125" style="1" bestFit="1" customWidth="1"/>
    <col min="37" max="37" width="18.5703125" style="1" bestFit="1" customWidth="1"/>
    <col min="38" max="38" width="18.5703125" style="9" customWidth="1"/>
    <col min="39" max="39" width="20.85546875" style="1" bestFit="1" customWidth="1"/>
    <col min="40" max="40" width="20.85546875" style="9" customWidth="1"/>
    <col min="41" max="41" width="26.140625" style="1" bestFit="1" customWidth="1"/>
    <col min="42" max="43" width="26.140625" style="9" customWidth="1"/>
    <col min="44" max="44" width="24.5703125" style="1" bestFit="1" customWidth="1"/>
  </cols>
  <sheetData>
    <row r="1" spans="1:44" s="2" customFormat="1" x14ac:dyDescent="0.25">
      <c r="A1" s="2" t="s">
        <v>0</v>
      </c>
      <c r="B1" s="7" t="s">
        <v>92</v>
      </c>
      <c r="C1" s="2" t="s">
        <v>1</v>
      </c>
      <c r="D1" s="6" t="s">
        <v>100</v>
      </c>
      <c r="E1" s="2" t="s">
        <v>63</v>
      </c>
      <c r="F1" s="2" t="s">
        <v>64</v>
      </c>
      <c r="G1" s="2" t="s">
        <v>4</v>
      </c>
      <c r="H1" s="2" t="s">
        <v>65</v>
      </c>
      <c r="I1" s="7" t="s">
        <v>93</v>
      </c>
      <c r="J1" s="2" t="s">
        <v>6</v>
      </c>
      <c r="K1" s="2" t="s">
        <v>66</v>
      </c>
      <c r="L1" s="2" t="s">
        <v>67</v>
      </c>
      <c r="M1" s="2" t="s">
        <v>68</v>
      </c>
      <c r="N1" s="2" t="s">
        <v>69</v>
      </c>
      <c r="O1" s="2" t="s">
        <v>11</v>
      </c>
      <c r="P1" s="2" t="s">
        <v>70</v>
      </c>
      <c r="Q1" s="2" t="s">
        <v>71</v>
      </c>
      <c r="R1" s="2" t="s">
        <v>72</v>
      </c>
      <c r="S1" s="2" t="s">
        <v>73</v>
      </c>
      <c r="T1" s="2" t="s">
        <v>74</v>
      </c>
      <c r="U1" s="2" t="s">
        <v>75</v>
      </c>
      <c r="V1" s="2" t="s">
        <v>76</v>
      </c>
      <c r="W1" s="2" t="s">
        <v>77</v>
      </c>
      <c r="X1" s="2" t="s">
        <v>78</v>
      </c>
      <c r="Y1" s="2" t="s">
        <v>79</v>
      </c>
      <c r="Z1" s="2" t="s">
        <v>22</v>
      </c>
      <c r="AA1" s="2" t="s">
        <v>80</v>
      </c>
      <c r="AB1" s="7" t="s">
        <v>94</v>
      </c>
      <c r="AC1" s="2" t="s">
        <v>81</v>
      </c>
      <c r="AD1" s="2" t="s">
        <v>82</v>
      </c>
      <c r="AE1" s="2" t="s">
        <v>83</v>
      </c>
      <c r="AF1" s="2" t="s">
        <v>84</v>
      </c>
      <c r="AG1" s="2" t="s">
        <v>85</v>
      </c>
      <c r="AH1" s="7" t="s">
        <v>95</v>
      </c>
      <c r="AI1" s="2" t="s">
        <v>86</v>
      </c>
      <c r="AJ1" s="2" t="s">
        <v>91</v>
      </c>
      <c r="AK1" s="2" t="s">
        <v>87</v>
      </c>
      <c r="AL1" s="7" t="s">
        <v>96</v>
      </c>
      <c r="AM1" s="2" t="s">
        <v>88</v>
      </c>
      <c r="AN1" s="7" t="s">
        <v>97</v>
      </c>
      <c r="AO1" s="2" t="s">
        <v>89</v>
      </c>
      <c r="AP1" s="7" t="s">
        <v>98</v>
      </c>
      <c r="AQ1" s="7" t="s">
        <v>99</v>
      </c>
      <c r="AR1" s="2" t="s">
        <v>90</v>
      </c>
    </row>
    <row r="2" spans="1:44" x14ac:dyDescent="0.25">
      <c r="A2" s="1">
        <v>41</v>
      </c>
      <c r="B2" s="8" t="str" cm="1">
        <f t="array" ref="B2">_xlfn.IFS(A2 &lt;= 25, "[18-25]", A2 &lt;= 35, "[26-35]", A2 &lt;=45, "[36-45]", A2 &lt;= 60, "[46- 60]")</f>
        <v>[36-45]</v>
      </c>
      <c r="C2" s="3" t="s">
        <v>35</v>
      </c>
      <c r="D2">
        <f t="shared" ref="D2:D65" si="0">IF(C2 = "Yes",1, 0)</f>
        <v>1</v>
      </c>
      <c r="E2" t="s">
        <v>36</v>
      </c>
      <c r="F2" s="1">
        <v>1102</v>
      </c>
      <c r="G2" s="3" t="s">
        <v>37</v>
      </c>
      <c r="H2" s="1">
        <v>1</v>
      </c>
      <c r="I2" s="9" t="str" cm="1">
        <f t="array" ref="I2">_xlfn.IFS(H2 &lt;= 2, "[1-2] very close", H2 &lt;= 10, "[3-10] close", H2 &lt;= 20, "[11-20] moderate", H2 &lt;= 30, "[21-30] far")</f>
        <v>[1-2] very close</v>
      </c>
      <c r="J2" s="1">
        <v>2</v>
      </c>
      <c r="K2" s="3" t="s">
        <v>38</v>
      </c>
      <c r="L2" s="1">
        <v>1</v>
      </c>
      <c r="M2" s="1">
        <v>1</v>
      </c>
      <c r="N2" s="1">
        <v>2</v>
      </c>
      <c r="O2" s="3" t="s">
        <v>39</v>
      </c>
      <c r="P2" s="1">
        <v>94</v>
      </c>
      <c r="Q2" s="1">
        <v>3</v>
      </c>
      <c r="R2" s="1">
        <v>2</v>
      </c>
      <c r="S2" s="3" t="s">
        <v>40</v>
      </c>
      <c r="T2" s="1">
        <v>4</v>
      </c>
      <c r="U2" s="3" t="s">
        <v>41</v>
      </c>
      <c r="V2" s="4">
        <v>5993</v>
      </c>
      <c r="W2" s="1">
        <v>19479</v>
      </c>
      <c r="X2" s="1">
        <v>8</v>
      </c>
      <c r="Y2" s="3" t="s">
        <v>42</v>
      </c>
      <c r="Z2" s="3" t="s">
        <v>35</v>
      </c>
      <c r="AA2" s="5">
        <v>0.11</v>
      </c>
      <c r="AB2" s="10" t="str" cm="1">
        <f t="array" ref="AB2">_xlfn.IFS(AA2 &lt;= 15%, "Low Hike[11-15%]", AA2 &lt;= 20%, "Moderate Hike[16-20%]", AA2 &lt;= 25%,"High Hike[21-25%]")</f>
        <v>Low Hike[11-15%]</v>
      </c>
      <c r="AC2" s="1">
        <v>3</v>
      </c>
      <c r="AD2" s="1">
        <v>1</v>
      </c>
      <c r="AE2" s="1">
        <v>80</v>
      </c>
      <c r="AF2" s="1">
        <v>0</v>
      </c>
      <c r="AG2" s="1">
        <v>8</v>
      </c>
      <c r="AH2" s="9" t="str" cm="1">
        <f t="array" ref="AH2">_xlfn.IFS(AG2 &lt;= 5, "New[1-5]", AG2 &lt;= 10, "Early Career[6-10]", AG2 &lt;= 20, "Established[11-20]", AG2 &lt;= 30, "Veteran[21-30]", AG2 &lt;= 40, "Late Career[31-40]")</f>
        <v>Early Career[6-10]</v>
      </c>
      <c r="AI2" s="1">
        <v>0</v>
      </c>
      <c r="AJ2" s="1">
        <v>1</v>
      </c>
      <c r="AK2" s="1">
        <v>6</v>
      </c>
      <c r="AL2" s="9" t="str" cm="1">
        <f t="array" ref="AL2">_xlfn.IFS(AK2 &lt;= 5, "New[1-5]", AK2 &lt;= 10, "Early Career[6-10]", AK2 &lt;= 20, "Established[11-20]", AK2 &lt;= 30, "Veteran[21-30]", AK2 &lt;= 40, "Late Career[31-40]")</f>
        <v>Early Career[6-10]</v>
      </c>
      <c r="AM2" s="1">
        <v>4</v>
      </c>
      <c r="AN2" s="9" t="str" cm="1">
        <f t="array" ref="AN2">_xlfn.IFS(AM2 &lt;= 3, "New to Role[1-3]", AM2 &lt;= 7, "Settled[4-7]", AM2 &lt;= 12, "Experienced[[8-12]", AM2 &lt;= 18, "Long Tenured[13-18]")</f>
        <v>Settled[4-7]</v>
      </c>
      <c r="AO2" s="1">
        <v>0</v>
      </c>
      <c r="AP2" s="9" t="str" cm="1">
        <f t="array" ref="AP2">_xlfn.IFS(AO2 &lt;= 3, "Recently[1-3]", AO2 &lt;= 6, "Due Soon[4-6]", AO2 &lt;= 10, "Overdue[7-10]", AO2 &lt;= 15, "Long Overdue[11-15]")</f>
        <v>Recently[1-3]</v>
      </c>
      <c r="AQ2" s="9" t="str" cm="1">
        <f t="array" ref="AQ2">_xlfn.IFS(AR2 &lt;= 3, "New Relationship[1-3]", AR2 &lt;= 7, "Established Relationship[4-7]", AR2 &lt;= 12, "Long Term Relationship[8-12]", AR2 &lt;= 17, "Very Long Term Relationship[13-17]")</f>
        <v>Established Relationship[4-7]</v>
      </c>
      <c r="AR2" s="1">
        <v>5</v>
      </c>
    </row>
    <row r="3" spans="1:44" x14ac:dyDescent="0.25">
      <c r="A3" s="1">
        <v>49</v>
      </c>
      <c r="B3" s="8" t="str" cm="1">
        <f t="array" ref="B3">_xlfn.IFS(A3 &lt;= 25, "[18-25]", A3 &lt;= 35, "[26-35]", A3 &lt;=45, "[36-45]", A3 &lt;= 60, "[46- 60]")</f>
        <v>[46- 60]</v>
      </c>
      <c r="C3" s="3" t="s">
        <v>43</v>
      </c>
      <c r="D3">
        <f t="shared" si="0"/>
        <v>0</v>
      </c>
      <c r="E3" t="s">
        <v>44</v>
      </c>
      <c r="F3" s="1">
        <v>279</v>
      </c>
      <c r="G3" s="3" t="s">
        <v>45</v>
      </c>
      <c r="H3" s="1">
        <v>8</v>
      </c>
      <c r="I3" s="9" t="str" cm="1">
        <f t="array" ref="I3">_xlfn.IFS(H3 &lt;= 2, "[1-2] very close", H3 &lt;= 10, "[3-10] close", H3 &lt;= 20, "[11-20] moderate", H3 &lt;= 30, "[21-30] far")</f>
        <v>[3-10] close</v>
      </c>
      <c r="J3" s="1">
        <v>1</v>
      </c>
      <c r="K3" s="3" t="s">
        <v>38</v>
      </c>
      <c r="L3" s="1">
        <v>1</v>
      </c>
      <c r="M3" s="1">
        <v>2</v>
      </c>
      <c r="N3" s="1">
        <v>3</v>
      </c>
      <c r="O3" s="3" t="s">
        <v>46</v>
      </c>
      <c r="P3" s="1">
        <v>61</v>
      </c>
      <c r="Q3" s="1">
        <v>2</v>
      </c>
      <c r="R3" s="1">
        <v>2</v>
      </c>
      <c r="S3" s="3" t="s">
        <v>47</v>
      </c>
      <c r="T3" s="1">
        <v>2</v>
      </c>
      <c r="U3" s="3" t="s">
        <v>48</v>
      </c>
      <c r="V3" s="4">
        <v>5130</v>
      </c>
      <c r="W3" s="1">
        <v>24907</v>
      </c>
      <c r="X3" s="1">
        <v>1</v>
      </c>
      <c r="Y3" s="3" t="s">
        <v>42</v>
      </c>
      <c r="Z3" s="3" t="s">
        <v>43</v>
      </c>
      <c r="AA3" s="5">
        <v>0.23</v>
      </c>
      <c r="AB3" s="10" t="str" cm="1">
        <f t="array" ref="AB3">_xlfn.IFS(AA3 &lt;= 15%, "Low Hike[11-15%]", AA3 &lt;= 20%, "Moderate Hike[16-20%]", AA3 &lt;= 25%,"High Hike[21-25%]")</f>
        <v>High Hike[21-25%]</v>
      </c>
      <c r="AC3" s="1">
        <v>4</v>
      </c>
      <c r="AD3" s="1">
        <v>4</v>
      </c>
      <c r="AE3" s="1">
        <v>80</v>
      </c>
      <c r="AF3" s="1">
        <v>1</v>
      </c>
      <c r="AG3" s="1">
        <v>10</v>
      </c>
      <c r="AH3" s="9" t="str" cm="1">
        <f t="array" ref="AH3">_xlfn.IFS(AG3 &lt;= 5, "New[1-5]", AG3 &lt;= 10, "Early Career[6-10]", AG3 &lt;= 20, "Established[11-20]", AG3 &lt;= 30, "Veteran[21-30]", AG3 &lt;= 40, "Late Career[31-40]")</f>
        <v>Early Career[6-10]</v>
      </c>
      <c r="AI3" s="1">
        <v>3</v>
      </c>
      <c r="AJ3" s="1">
        <v>3</v>
      </c>
      <c r="AK3" s="1">
        <v>10</v>
      </c>
      <c r="AL3" s="9" t="str" cm="1">
        <f t="array" ref="AL3">_xlfn.IFS(AK3 &lt;= 5, "New[1-5]", AK3 &lt;= 10, "Early Career[6-10]", AK3 &lt;= 20, "Established[11-20]", AK3 &lt;= 30, "Veteran[21-30]", AK3 &lt;= 40, "Late Career[31-40]")</f>
        <v>Early Career[6-10]</v>
      </c>
      <c r="AM3" s="1">
        <v>7</v>
      </c>
      <c r="AN3" s="9" t="str" cm="1">
        <f t="array" ref="AN3">_xlfn.IFS(AM3 &lt;= 3, "New to Role[1-3]", AM3 &lt;= 7, "Settled[4-7]", AM3 &lt;= 12, "Experienced[[8-12]", AM3 &lt;= 18, "Long Tenured[13-18]")</f>
        <v>Settled[4-7]</v>
      </c>
      <c r="AO3" s="1">
        <v>1</v>
      </c>
      <c r="AP3" s="9" t="str" cm="1">
        <f t="array" ref="AP3">_xlfn.IFS(AO3 &lt;= 3, "Recently[1-3]", AO3 &lt;= 6, "Due Soon[4-6]", AO3 &lt;= 10, "Overdue[7-10]", AO3 &lt;= 15, "Long Overdue[11-15]")</f>
        <v>Recently[1-3]</v>
      </c>
      <c r="AQ3" s="9" t="str" cm="1">
        <f t="array" ref="AQ3">_xlfn.IFS(AR3 &lt;= 3, "New Relationship[1-3]", AR3 &lt;= 7, "Established Relationship[4-7]", AR3 &lt;= 12, "Long Term Relationship[8-12]", AR3 &lt;= 17, "Very Long Term Relationship[13-17]")</f>
        <v>Established Relationship[4-7]</v>
      </c>
      <c r="AR3" s="1">
        <v>7</v>
      </c>
    </row>
    <row r="4" spans="1:44" x14ac:dyDescent="0.25">
      <c r="A4" s="1">
        <v>37</v>
      </c>
      <c r="B4" s="8" t="str" cm="1">
        <f t="array" ref="B4">_xlfn.IFS(A4 &lt;= 25, "[18-25]", A4 &lt;= 35, "[26-35]", A4 &lt;=45, "[36-45]", A4 &lt;= 60, "[46- 60]")</f>
        <v>[36-45]</v>
      </c>
      <c r="C4" s="3" t="s">
        <v>35</v>
      </c>
      <c r="D4">
        <f t="shared" si="0"/>
        <v>1</v>
      </c>
      <c r="E4" t="s">
        <v>36</v>
      </c>
      <c r="F4" s="1">
        <v>1373</v>
      </c>
      <c r="G4" s="3" t="s">
        <v>45</v>
      </c>
      <c r="H4" s="1">
        <v>2</v>
      </c>
      <c r="I4" s="9" t="str" cm="1">
        <f t="array" ref="I4">_xlfn.IFS(H4 &lt;= 2, "[1-2] very close", H4 &lt;= 10, "[3-10] close", H4 &lt;= 20, "[11-20] moderate", H4 &lt;= 30, "[21-30] far")</f>
        <v>[1-2] very close</v>
      </c>
      <c r="J4" s="1">
        <v>2</v>
      </c>
      <c r="K4" s="3" t="s">
        <v>49</v>
      </c>
      <c r="L4" s="1">
        <v>1</v>
      </c>
      <c r="M4" s="1">
        <v>4</v>
      </c>
      <c r="N4" s="1">
        <v>4</v>
      </c>
      <c r="O4" s="3" t="s">
        <v>46</v>
      </c>
      <c r="P4" s="1">
        <v>92</v>
      </c>
      <c r="Q4" s="1">
        <v>2</v>
      </c>
      <c r="R4" s="1">
        <v>1</v>
      </c>
      <c r="S4" s="3" t="s">
        <v>50</v>
      </c>
      <c r="T4" s="1">
        <v>3</v>
      </c>
      <c r="U4" s="3" t="s">
        <v>41</v>
      </c>
      <c r="V4" s="4">
        <v>2090</v>
      </c>
      <c r="W4" s="1">
        <v>2396</v>
      </c>
      <c r="X4" s="1">
        <v>6</v>
      </c>
      <c r="Y4" s="3" t="s">
        <v>42</v>
      </c>
      <c r="Z4" s="3" t="s">
        <v>35</v>
      </c>
      <c r="AA4" s="5">
        <v>0.15</v>
      </c>
      <c r="AB4" s="10" t="str" cm="1">
        <f t="array" ref="AB4">_xlfn.IFS(AA4 &lt;= 15%, "Low Hike[11-15%]", AA4 &lt;= 20%, "Moderate Hike[16-20%]", AA4 &lt;= 25%,"High Hike[21-25%]")</f>
        <v>Low Hike[11-15%]</v>
      </c>
      <c r="AC4" s="1">
        <v>3</v>
      </c>
      <c r="AD4" s="1">
        <v>2</v>
      </c>
      <c r="AE4" s="1">
        <v>80</v>
      </c>
      <c r="AF4" s="1">
        <v>0</v>
      </c>
      <c r="AG4" s="1">
        <v>7</v>
      </c>
      <c r="AH4" s="9" t="str" cm="1">
        <f t="array" ref="AH4">_xlfn.IFS(AG4 &lt;= 5, "New[1-5]", AG4 &lt;= 10, "Early Career[6-10]", AG4 &lt;= 20, "Established[11-20]", AG4 &lt;= 30, "Veteran[21-30]", AG4 &lt;= 40, "Late Career[31-40]")</f>
        <v>Early Career[6-10]</v>
      </c>
      <c r="AI4" s="1">
        <v>3</v>
      </c>
      <c r="AJ4" s="1">
        <v>3</v>
      </c>
      <c r="AK4" s="1">
        <v>0</v>
      </c>
      <c r="AL4" s="9" t="str" cm="1">
        <f t="array" ref="AL4">_xlfn.IFS(AK4 &lt;= 5, "New[1-5]", AK4 &lt;= 10, "Early Career[6-10]", AK4 &lt;= 20, "Established[11-20]", AK4 &lt;= 30, "Veteran[21-30]", AK4 &lt;= 40, "Late Career[31-40]")</f>
        <v>New[1-5]</v>
      </c>
      <c r="AM4" s="1">
        <v>0</v>
      </c>
      <c r="AN4" s="9" t="str" cm="1">
        <f t="array" ref="AN4">_xlfn.IFS(AM4 &lt;= 3, "New to Role[1-3]", AM4 &lt;= 7, "Settled[4-7]", AM4 &lt;= 12, "Experienced[[8-12]", AM4 &lt;= 18, "Long Tenured[13-18]")</f>
        <v>New to Role[1-3]</v>
      </c>
      <c r="AO4" s="1">
        <v>0</v>
      </c>
      <c r="AP4" s="9" t="str" cm="1">
        <f t="array" ref="AP4">_xlfn.IFS(AO4 &lt;= 3, "Recently[1-3]", AO4 &lt;= 6, "Due Soon[4-6]", AO4 &lt;= 10, "Overdue[7-10]", AO4 &lt;= 15, "Long Overdue[11-15]")</f>
        <v>Recently[1-3]</v>
      </c>
      <c r="AQ4" s="9" t="str" cm="1">
        <f t="array" ref="AQ4">_xlfn.IFS(AR4 &lt;= 3, "New Relationship[1-3]", AR4 &lt;= 7, "Established Relationship[4-7]", AR4 &lt;= 12, "Long Term Relationship[8-12]", AR4 &lt;= 17, "Very Long Term Relationship[13-17]")</f>
        <v>New Relationship[1-3]</v>
      </c>
      <c r="AR4" s="1">
        <v>0</v>
      </c>
    </row>
    <row r="5" spans="1:44" x14ac:dyDescent="0.25">
      <c r="A5" s="1">
        <v>33</v>
      </c>
      <c r="B5" s="8" t="str" cm="1">
        <f t="array" ref="B5">_xlfn.IFS(A5 &lt;= 25, "[18-25]", A5 &lt;= 35, "[26-35]", A5 &lt;=45, "[36-45]", A5 &lt;= 60, "[46- 60]")</f>
        <v>[26-35]</v>
      </c>
      <c r="C5" s="3" t="s">
        <v>43</v>
      </c>
      <c r="D5">
        <f t="shared" si="0"/>
        <v>0</v>
      </c>
      <c r="E5" t="s">
        <v>44</v>
      </c>
      <c r="F5" s="1">
        <v>1392</v>
      </c>
      <c r="G5" s="3" t="s">
        <v>45</v>
      </c>
      <c r="H5" s="1">
        <v>3</v>
      </c>
      <c r="I5" s="9" t="str" cm="1">
        <f t="array" ref="I5">_xlfn.IFS(H5 &lt;= 2, "[1-2] very close", H5 &lt;= 10, "[3-10] close", H5 &lt;= 20, "[11-20] moderate", H5 &lt;= 30, "[21-30] far")</f>
        <v>[3-10] close</v>
      </c>
      <c r="J5" s="1">
        <v>4</v>
      </c>
      <c r="K5" s="3" t="s">
        <v>38</v>
      </c>
      <c r="L5" s="1">
        <v>1</v>
      </c>
      <c r="M5" s="1">
        <v>5</v>
      </c>
      <c r="N5" s="1">
        <v>4</v>
      </c>
      <c r="O5" s="3" t="s">
        <v>39</v>
      </c>
      <c r="P5" s="1">
        <v>56</v>
      </c>
      <c r="Q5" s="1">
        <v>3</v>
      </c>
      <c r="R5" s="1">
        <v>1</v>
      </c>
      <c r="S5" s="3" t="s">
        <v>47</v>
      </c>
      <c r="T5" s="1">
        <v>3</v>
      </c>
      <c r="U5" s="3" t="s">
        <v>48</v>
      </c>
      <c r="V5" s="4">
        <v>2909</v>
      </c>
      <c r="W5" s="1">
        <v>23159</v>
      </c>
      <c r="X5" s="1">
        <v>1</v>
      </c>
      <c r="Y5" s="3" t="s">
        <v>42</v>
      </c>
      <c r="Z5" s="3" t="s">
        <v>35</v>
      </c>
      <c r="AA5" s="5">
        <v>0.11</v>
      </c>
      <c r="AB5" s="10" t="str" cm="1">
        <f t="array" ref="AB5">_xlfn.IFS(AA5 &lt;= 15%, "Low Hike[11-15%]", AA5 &lt;= 20%, "Moderate Hike[16-20%]", AA5 &lt;= 25%,"High Hike[21-25%]")</f>
        <v>Low Hike[11-15%]</v>
      </c>
      <c r="AC5" s="1">
        <v>3</v>
      </c>
      <c r="AD5" s="1">
        <v>3</v>
      </c>
      <c r="AE5" s="1">
        <v>80</v>
      </c>
      <c r="AF5" s="1">
        <v>0</v>
      </c>
      <c r="AG5" s="1">
        <v>8</v>
      </c>
      <c r="AH5" s="9" t="str" cm="1">
        <f t="array" ref="AH5">_xlfn.IFS(AG5 &lt;= 5, "New[1-5]", AG5 &lt;= 10, "Early Career[6-10]", AG5 &lt;= 20, "Established[11-20]", AG5 &lt;= 30, "Veteran[21-30]", AG5 &lt;= 40, "Late Career[31-40]")</f>
        <v>Early Career[6-10]</v>
      </c>
      <c r="AI5" s="1">
        <v>3</v>
      </c>
      <c r="AJ5" s="1">
        <v>3</v>
      </c>
      <c r="AK5" s="1">
        <v>8</v>
      </c>
      <c r="AL5" s="9" t="str" cm="1">
        <f t="array" ref="AL5">_xlfn.IFS(AK5 &lt;= 5, "New[1-5]", AK5 &lt;= 10, "Early Career[6-10]", AK5 &lt;= 20, "Established[11-20]", AK5 &lt;= 30, "Veteran[21-30]", AK5 &lt;= 40, "Late Career[31-40]")</f>
        <v>Early Career[6-10]</v>
      </c>
      <c r="AM5" s="1">
        <v>7</v>
      </c>
      <c r="AN5" s="9" t="str" cm="1">
        <f t="array" ref="AN5">_xlfn.IFS(AM5 &lt;= 3, "New to Role[1-3]", AM5 &lt;= 7, "Settled[4-7]", AM5 &lt;= 12, "Experienced[[8-12]", AM5 &lt;= 18, "Long Tenured[13-18]")</f>
        <v>Settled[4-7]</v>
      </c>
      <c r="AO5" s="1">
        <v>3</v>
      </c>
      <c r="AP5" s="9" t="str" cm="1">
        <f t="array" ref="AP5">_xlfn.IFS(AO5 &lt;= 3, "Recently[1-3]", AO5 &lt;= 6, "Due Soon[4-6]", AO5 &lt;= 10, "Overdue[7-10]", AO5 &lt;= 15, "Long Overdue[11-15]")</f>
        <v>Recently[1-3]</v>
      </c>
      <c r="AQ5" s="9" t="str" cm="1">
        <f t="array" ref="AQ5">_xlfn.IFS(AR5 &lt;= 3, "New Relationship[1-3]", AR5 &lt;= 7, "Established Relationship[4-7]", AR5 &lt;= 12, "Long Term Relationship[8-12]", AR5 &lt;= 17, "Very Long Term Relationship[13-17]")</f>
        <v>New Relationship[1-3]</v>
      </c>
      <c r="AR5" s="1">
        <v>0</v>
      </c>
    </row>
    <row r="6" spans="1:44" x14ac:dyDescent="0.25">
      <c r="A6" s="1">
        <v>27</v>
      </c>
      <c r="B6" s="8" t="str" cm="1">
        <f t="array" ref="B6">_xlfn.IFS(A6 &lt;= 25, "[18-25]", A6 &lt;= 35, "[26-35]", A6 &lt;=45, "[36-45]", A6 &lt;= 60, "[46- 60]")</f>
        <v>[26-35]</v>
      </c>
      <c r="C6" s="3" t="s">
        <v>43</v>
      </c>
      <c r="D6">
        <f t="shared" si="0"/>
        <v>0</v>
      </c>
      <c r="E6" t="s">
        <v>36</v>
      </c>
      <c r="F6" s="1">
        <v>591</v>
      </c>
      <c r="G6" s="3" t="s">
        <v>45</v>
      </c>
      <c r="H6" s="1">
        <v>2</v>
      </c>
      <c r="I6" s="9" t="str" cm="1">
        <f t="array" ref="I6">_xlfn.IFS(H6 &lt;= 2, "[1-2] very close", H6 &lt;= 10, "[3-10] close", H6 &lt;= 20, "[11-20] moderate", H6 &lt;= 30, "[21-30] far")</f>
        <v>[1-2] very close</v>
      </c>
      <c r="J6" s="1">
        <v>1</v>
      </c>
      <c r="K6" s="3" t="s">
        <v>51</v>
      </c>
      <c r="L6" s="1">
        <v>1</v>
      </c>
      <c r="M6" s="1">
        <v>7</v>
      </c>
      <c r="N6" s="1">
        <v>1</v>
      </c>
      <c r="O6" s="3" t="s">
        <v>46</v>
      </c>
      <c r="P6" s="1">
        <v>40</v>
      </c>
      <c r="Q6" s="1">
        <v>3</v>
      </c>
      <c r="R6" s="1">
        <v>1</v>
      </c>
      <c r="S6" s="3" t="s">
        <v>50</v>
      </c>
      <c r="T6" s="1">
        <v>2</v>
      </c>
      <c r="U6" s="3" t="s">
        <v>48</v>
      </c>
      <c r="V6" s="4">
        <v>3468</v>
      </c>
      <c r="W6" s="1">
        <v>16632</v>
      </c>
      <c r="X6" s="1">
        <v>9</v>
      </c>
      <c r="Y6" s="3" t="s">
        <v>42</v>
      </c>
      <c r="Z6" s="3" t="s">
        <v>43</v>
      </c>
      <c r="AA6" s="5">
        <v>0.12</v>
      </c>
      <c r="AB6" s="10" t="str" cm="1">
        <f t="array" ref="AB6">_xlfn.IFS(AA6 &lt;= 15%, "Low Hike[11-15%]", AA6 &lt;= 20%, "Moderate Hike[16-20%]", AA6 &lt;= 25%,"High Hike[21-25%]")</f>
        <v>Low Hike[11-15%]</v>
      </c>
      <c r="AC6" s="1">
        <v>3</v>
      </c>
      <c r="AD6" s="1">
        <v>4</v>
      </c>
      <c r="AE6" s="1">
        <v>80</v>
      </c>
      <c r="AF6" s="1">
        <v>1</v>
      </c>
      <c r="AG6" s="1">
        <v>6</v>
      </c>
      <c r="AH6" s="9" t="str" cm="1">
        <f t="array" ref="AH6">_xlfn.IFS(AG6 &lt;= 5, "New[1-5]", AG6 &lt;= 10, "Early Career[6-10]", AG6 &lt;= 20, "Established[11-20]", AG6 &lt;= 30, "Veteran[21-30]", AG6 &lt;= 40, "Late Career[31-40]")</f>
        <v>Early Career[6-10]</v>
      </c>
      <c r="AI6" s="1">
        <v>3</v>
      </c>
      <c r="AJ6" s="1">
        <v>3</v>
      </c>
      <c r="AK6" s="1">
        <v>2</v>
      </c>
      <c r="AL6" s="9" t="str" cm="1">
        <f t="array" ref="AL6">_xlfn.IFS(AK6 &lt;= 5, "New[1-5]", AK6 &lt;= 10, "Early Career[6-10]", AK6 &lt;= 20, "Established[11-20]", AK6 &lt;= 30, "Veteran[21-30]", AK6 &lt;= 40, "Late Career[31-40]")</f>
        <v>New[1-5]</v>
      </c>
      <c r="AM6" s="1">
        <v>2</v>
      </c>
      <c r="AN6" s="9" t="str" cm="1">
        <f t="array" ref="AN6">_xlfn.IFS(AM6 &lt;= 3, "New to Role[1-3]", AM6 &lt;= 7, "Settled[4-7]", AM6 &lt;= 12, "Experienced[[8-12]", AM6 &lt;= 18, "Long Tenured[13-18]")</f>
        <v>New to Role[1-3]</v>
      </c>
      <c r="AO6" s="1">
        <v>2</v>
      </c>
      <c r="AP6" s="9" t="str" cm="1">
        <f t="array" ref="AP6">_xlfn.IFS(AO6 &lt;= 3, "Recently[1-3]", AO6 &lt;= 6, "Due Soon[4-6]", AO6 &lt;= 10, "Overdue[7-10]", AO6 &lt;= 15, "Long Overdue[11-15]")</f>
        <v>Recently[1-3]</v>
      </c>
      <c r="AQ6" s="9" t="str" cm="1">
        <f t="array" ref="AQ6">_xlfn.IFS(AR6 &lt;= 3, "New Relationship[1-3]", AR6 &lt;= 7, "Established Relationship[4-7]", AR6 &lt;= 12, "Long Term Relationship[8-12]", AR6 &lt;= 17, "Very Long Term Relationship[13-17]")</f>
        <v>New Relationship[1-3]</v>
      </c>
      <c r="AR6" s="1">
        <v>2</v>
      </c>
    </row>
    <row r="7" spans="1:44" x14ac:dyDescent="0.25">
      <c r="A7" s="1">
        <v>32</v>
      </c>
      <c r="B7" s="8" t="str" cm="1">
        <f t="array" ref="B7">_xlfn.IFS(A7 &lt;= 25, "[18-25]", A7 &lt;= 35, "[26-35]", A7 &lt;=45, "[36-45]", A7 &lt;= 60, "[46- 60]")</f>
        <v>[26-35]</v>
      </c>
      <c r="C7" s="3" t="s">
        <v>43</v>
      </c>
      <c r="D7">
        <f t="shared" si="0"/>
        <v>0</v>
      </c>
      <c r="E7" t="s">
        <v>44</v>
      </c>
      <c r="F7" s="1">
        <v>1005</v>
      </c>
      <c r="G7" s="3" t="s">
        <v>45</v>
      </c>
      <c r="H7" s="1">
        <v>2</v>
      </c>
      <c r="I7" s="9" t="str" cm="1">
        <f t="array" ref="I7">_xlfn.IFS(H7 &lt;= 2, "[1-2] very close", H7 &lt;= 10, "[3-10] close", H7 &lt;= 20, "[11-20] moderate", H7 &lt;= 30, "[21-30] far")</f>
        <v>[1-2] very close</v>
      </c>
      <c r="J7" s="1">
        <v>2</v>
      </c>
      <c r="K7" s="3" t="s">
        <v>38</v>
      </c>
      <c r="L7" s="1">
        <v>1</v>
      </c>
      <c r="M7" s="1">
        <v>8</v>
      </c>
      <c r="N7" s="1">
        <v>4</v>
      </c>
      <c r="O7" s="3" t="s">
        <v>46</v>
      </c>
      <c r="P7" s="1">
        <v>79</v>
      </c>
      <c r="Q7" s="1">
        <v>3</v>
      </c>
      <c r="R7" s="1">
        <v>1</v>
      </c>
      <c r="S7" s="3" t="s">
        <v>50</v>
      </c>
      <c r="T7" s="1">
        <v>4</v>
      </c>
      <c r="U7" s="3" t="s">
        <v>41</v>
      </c>
      <c r="V7" s="4">
        <v>3068</v>
      </c>
      <c r="W7" s="1">
        <v>11864</v>
      </c>
      <c r="X7" s="1">
        <v>0</v>
      </c>
      <c r="Y7" s="3" t="s">
        <v>42</v>
      </c>
      <c r="Z7" s="3" t="s">
        <v>43</v>
      </c>
      <c r="AA7" s="5">
        <v>0.13</v>
      </c>
      <c r="AB7" s="10" t="str" cm="1">
        <f t="array" ref="AB7">_xlfn.IFS(AA7 &lt;= 15%, "Low Hike[11-15%]", AA7 &lt;= 20%, "Moderate Hike[16-20%]", AA7 &lt;= 25%,"High Hike[21-25%]")</f>
        <v>Low Hike[11-15%]</v>
      </c>
      <c r="AC7" s="1">
        <v>3</v>
      </c>
      <c r="AD7" s="1">
        <v>3</v>
      </c>
      <c r="AE7" s="1">
        <v>80</v>
      </c>
      <c r="AF7" s="1">
        <v>0</v>
      </c>
      <c r="AG7" s="1">
        <v>8</v>
      </c>
      <c r="AH7" s="9" t="str" cm="1">
        <f t="array" ref="AH7">_xlfn.IFS(AG7 &lt;= 5, "New[1-5]", AG7 &lt;= 10, "Early Career[6-10]", AG7 &lt;= 20, "Established[11-20]", AG7 &lt;= 30, "Veteran[21-30]", AG7 &lt;= 40, "Late Career[31-40]")</f>
        <v>Early Career[6-10]</v>
      </c>
      <c r="AI7" s="1">
        <v>2</v>
      </c>
      <c r="AJ7" s="1">
        <v>2</v>
      </c>
      <c r="AK7" s="1">
        <v>7</v>
      </c>
      <c r="AL7" s="9" t="str" cm="1">
        <f t="array" ref="AL7">_xlfn.IFS(AK7 &lt;= 5, "New[1-5]", AK7 &lt;= 10, "Early Career[6-10]", AK7 &lt;= 20, "Established[11-20]", AK7 &lt;= 30, "Veteran[21-30]", AK7 &lt;= 40, "Late Career[31-40]")</f>
        <v>Early Career[6-10]</v>
      </c>
      <c r="AM7" s="1">
        <v>7</v>
      </c>
      <c r="AN7" s="9" t="str" cm="1">
        <f t="array" ref="AN7">_xlfn.IFS(AM7 &lt;= 3, "New to Role[1-3]", AM7 &lt;= 7, "Settled[4-7]", AM7 &lt;= 12, "Experienced[[8-12]", AM7 &lt;= 18, "Long Tenured[13-18]")</f>
        <v>Settled[4-7]</v>
      </c>
      <c r="AO7" s="1">
        <v>3</v>
      </c>
      <c r="AP7" s="9" t="str" cm="1">
        <f t="array" ref="AP7">_xlfn.IFS(AO7 &lt;= 3, "Recently[1-3]", AO7 &lt;= 6, "Due Soon[4-6]", AO7 &lt;= 10, "Overdue[7-10]", AO7 &lt;= 15, "Long Overdue[11-15]")</f>
        <v>Recently[1-3]</v>
      </c>
      <c r="AQ7" s="9" t="str" cm="1">
        <f t="array" ref="AQ7">_xlfn.IFS(AR7 &lt;= 3, "New Relationship[1-3]", AR7 &lt;= 7, "Established Relationship[4-7]", AR7 &lt;= 12, "Long Term Relationship[8-12]", AR7 &lt;= 17, "Very Long Term Relationship[13-17]")</f>
        <v>Established Relationship[4-7]</v>
      </c>
      <c r="AR7" s="1">
        <v>6</v>
      </c>
    </row>
    <row r="8" spans="1:44" x14ac:dyDescent="0.25">
      <c r="A8" s="1">
        <v>59</v>
      </c>
      <c r="B8" s="8" t="str" cm="1">
        <f t="array" ref="B8">_xlfn.IFS(A8 &lt;= 25, "[18-25]", A8 &lt;= 35, "[26-35]", A8 &lt;=45, "[36-45]", A8 &lt;= 60, "[46- 60]")</f>
        <v>[46- 60]</v>
      </c>
      <c r="C8" s="3" t="s">
        <v>43</v>
      </c>
      <c r="D8">
        <f t="shared" si="0"/>
        <v>0</v>
      </c>
      <c r="E8" t="s">
        <v>36</v>
      </c>
      <c r="F8" s="1">
        <v>1324</v>
      </c>
      <c r="G8" s="3" t="s">
        <v>45</v>
      </c>
      <c r="H8" s="1">
        <v>3</v>
      </c>
      <c r="I8" s="9" t="str" cm="1">
        <f t="array" ref="I8">_xlfn.IFS(H8 &lt;= 2, "[1-2] very close", H8 &lt;= 10, "[3-10] close", H8 &lt;= 20, "[11-20] moderate", H8 &lt;= 30, "[21-30] far")</f>
        <v>[3-10] close</v>
      </c>
      <c r="J8" s="1">
        <v>3</v>
      </c>
      <c r="K8" s="3" t="s">
        <v>51</v>
      </c>
      <c r="L8" s="1">
        <v>1</v>
      </c>
      <c r="M8" s="1">
        <v>10</v>
      </c>
      <c r="N8" s="1">
        <v>3</v>
      </c>
      <c r="O8" s="3" t="s">
        <v>39</v>
      </c>
      <c r="P8" s="1">
        <v>81</v>
      </c>
      <c r="Q8" s="1">
        <v>4</v>
      </c>
      <c r="R8" s="1">
        <v>1</v>
      </c>
      <c r="S8" s="3" t="s">
        <v>50</v>
      </c>
      <c r="T8" s="1">
        <v>1</v>
      </c>
      <c r="U8" s="3" t="s">
        <v>48</v>
      </c>
      <c r="V8" s="4">
        <v>2670</v>
      </c>
      <c r="W8" s="1">
        <v>9964</v>
      </c>
      <c r="X8" s="1">
        <v>4</v>
      </c>
      <c r="Y8" s="3" t="s">
        <v>42</v>
      </c>
      <c r="Z8" s="3" t="s">
        <v>35</v>
      </c>
      <c r="AA8" s="5">
        <v>0.2</v>
      </c>
      <c r="AB8" s="10" t="str" cm="1">
        <f t="array" ref="AB8">_xlfn.IFS(AA8 &lt;= 15%, "Low Hike[11-15%]", AA8 &lt;= 20%, "Moderate Hike[16-20%]", AA8 &lt;= 25%,"High Hike[21-25%]")</f>
        <v>Moderate Hike[16-20%]</v>
      </c>
      <c r="AC8" s="1">
        <v>4</v>
      </c>
      <c r="AD8" s="1">
        <v>1</v>
      </c>
      <c r="AE8" s="1">
        <v>80</v>
      </c>
      <c r="AF8" s="1">
        <v>3</v>
      </c>
      <c r="AG8" s="1">
        <v>12</v>
      </c>
      <c r="AH8" s="9" t="str" cm="1">
        <f t="array" ref="AH8">_xlfn.IFS(AG8 &lt;= 5, "New[1-5]", AG8 &lt;= 10, "Early Career[6-10]", AG8 &lt;= 20, "Established[11-20]", AG8 &lt;= 30, "Veteran[21-30]", AG8 &lt;= 40, "Late Career[31-40]")</f>
        <v>Established[11-20]</v>
      </c>
      <c r="AI8" s="1">
        <v>3</v>
      </c>
      <c r="AJ8" s="1">
        <v>2</v>
      </c>
      <c r="AK8" s="1">
        <v>1</v>
      </c>
      <c r="AL8" s="9" t="str" cm="1">
        <f t="array" ref="AL8">_xlfn.IFS(AK8 &lt;= 5, "New[1-5]", AK8 &lt;= 10, "Early Career[6-10]", AK8 &lt;= 20, "Established[11-20]", AK8 &lt;= 30, "Veteran[21-30]", AK8 &lt;= 40, "Late Career[31-40]")</f>
        <v>New[1-5]</v>
      </c>
      <c r="AM8" s="1">
        <v>0</v>
      </c>
      <c r="AN8" s="9" t="str" cm="1">
        <f t="array" ref="AN8">_xlfn.IFS(AM8 &lt;= 3, "New to Role[1-3]", AM8 &lt;= 7, "Settled[4-7]", AM8 &lt;= 12, "Experienced[[8-12]", AM8 &lt;= 18, "Long Tenured[13-18]")</f>
        <v>New to Role[1-3]</v>
      </c>
      <c r="AO8" s="1">
        <v>0</v>
      </c>
      <c r="AP8" s="9" t="str" cm="1">
        <f t="array" ref="AP8">_xlfn.IFS(AO8 &lt;= 3, "Recently[1-3]", AO8 &lt;= 6, "Due Soon[4-6]", AO8 &lt;= 10, "Overdue[7-10]", AO8 &lt;= 15, "Long Overdue[11-15]")</f>
        <v>Recently[1-3]</v>
      </c>
      <c r="AQ8" s="9" t="str" cm="1">
        <f t="array" ref="AQ8">_xlfn.IFS(AR8 &lt;= 3, "New Relationship[1-3]", AR8 &lt;= 7, "Established Relationship[4-7]", AR8 &lt;= 12, "Long Term Relationship[8-12]", AR8 &lt;= 17, "Very Long Term Relationship[13-17]")</f>
        <v>New Relationship[1-3]</v>
      </c>
      <c r="AR8" s="1">
        <v>0</v>
      </c>
    </row>
    <row r="9" spans="1:44" x14ac:dyDescent="0.25">
      <c r="A9" s="1">
        <v>30</v>
      </c>
      <c r="B9" s="8" t="str" cm="1">
        <f t="array" ref="B9">_xlfn.IFS(A9 &lt;= 25, "[18-25]", A9 &lt;= 35, "[26-35]", A9 &lt;=45, "[36-45]", A9 &lt;= 60, "[46- 60]")</f>
        <v>[26-35]</v>
      </c>
      <c r="C9" s="3" t="s">
        <v>43</v>
      </c>
      <c r="D9">
        <f t="shared" si="0"/>
        <v>0</v>
      </c>
      <c r="E9" t="s">
        <v>36</v>
      </c>
      <c r="F9" s="1">
        <v>1358</v>
      </c>
      <c r="G9" s="3" t="s">
        <v>45</v>
      </c>
      <c r="H9" s="1">
        <v>24</v>
      </c>
      <c r="I9" s="9" t="str" cm="1">
        <f t="array" ref="I9">_xlfn.IFS(H9 &lt;= 2, "[1-2] very close", H9 &lt;= 10, "[3-10] close", H9 &lt;= 20, "[11-20] moderate", H9 &lt;= 30, "[21-30] far")</f>
        <v>[21-30] far</v>
      </c>
      <c r="J9" s="1">
        <v>1</v>
      </c>
      <c r="K9" s="3" t="s">
        <v>38</v>
      </c>
      <c r="L9" s="1">
        <v>1</v>
      </c>
      <c r="M9" s="1">
        <v>11</v>
      </c>
      <c r="N9" s="1">
        <v>4</v>
      </c>
      <c r="O9" s="3" t="s">
        <v>46</v>
      </c>
      <c r="P9" s="1">
        <v>67</v>
      </c>
      <c r="Q9" s="1">
        <v>3</v>
      </c>
      <c r="R9" s="1">
        <v>1</v>
      </c>
      <c r="S9" s="3" t="s">
        <v>50</v>
      </c>
      <c r="T9" s="1">
        <v>3</v>
      </c>
      <c r="U9" s="3" t="s">
        <v>52</v>
      </c>
      <c r="V9" s="4">
        <v>2693</v>
      </c>
      <c r="W9" s="1">
        <v>13335</v>
      </c>
      <c r="X9" s="1">
        <v>1</v>
      </c>
      <c r="Y9" s="3" t="s">
        <v>42</v>
      </c>
      <c r="Z9" s="3" t="s">
        <v>43</v>
      </c>
      <c r="AA9" s="5">
        <v>0.22</v>
      </c>
      <c r="AB9" s="10" t="str" cm="1">
        <f t="array" ref="AB9">_xlfn.IFS(AA9 &lt;= 15%, "Low Hike[11-15%]", AA9 &lt;= 20%, "Moderate Hike[16-20%]", AA9 &lt;= 25%,"High Hike[21-25%]")</f>
        <v>High Hike[21-25%]</v>
      </c>
      <c r="AC9" s="1">
        <v>4</v>
      </c>
      <c r="AD9" s="1">
        <v>2</v>
      </c>
      <c r="AE9" s="1">
        <v>80</v>
      </c>
      <c r="AF9" s="1">
        <v>1</v>
      </c>
      <c r="AG9" s="1">
        <v>1</v>
      </c>
      <c r="AH9" s="9" t="str" cm="1">
        <f t="array" ref="AH9">_xlfn.IFS(AG9 &lt;= 5, "New[1-5]", AG9 &lt;= 10, "Early Career[6-10]", AG9 &lt;= 20, "Established[11-20]", AG9 &lt;= 30, "Veteran[21-30]", AG9 &lt;= 40, "Late Career[31-40]")</f>
        <v>New[1-5]</v>
      </c>
      <c r="AI9" s="1">
        <v>2</v>
      </c>
      <c r="AJ9" s="1">
        <v>3</v>
      </c>
      <c r="AK9" s="1">
        <v>1</v>
      </c>
      <c r="AL9" s="9" t="str" cm="1">
        <f t="array" ref="AL9">_xlfn.IFS(AK9 &lt;= 5, "New[1-5]", AK9 &lt;= 10, "Early Career[6-10]", AK9 &lt;= 20, "Established[11-20]", AK9 &lt;= 30, "Veteran[21-30]", AK9 &lt;= 40, "Late Career[31-40]")</f>
        <v>New[1-5]</v>
      </c>
      <c r="AM9" s="1">
        <v>0</v>
      </c>
      <c r="AN9" s="9" t="str" cm="1">
        <f t="array" ref="AN9">_xlfn.IFS(AM9 &lt;= 3, "New to Role[1-3]", AM9 &lt;= 7, "Settled[4-7]", AM9 &lt;= 12, "Experienced[[8-12]", AM9 &lt;= 18, "Long Tenured[13-18]")</f>
        <v>New to Role[1-3]</v>
      </c>
      <c r="AO9" s="1">
        <v>0</v>
      </c>
      <c r="AP9" s="9" t="str" cm="1">
        <f t="array" ref="AP9">_xlfn.IFS(AO9 &lt;= 3, "Recently[1-3]", AO9 &lt;= 6, "Due Soon[4-6]", AO9 &lt;= 10, "Overdue[7-10]", AO9 &lt;= 15, "Long Overdue[11-15]")</f>
        <v>Recently[1-3]</v>
      </c>
      <c r="AQ9" s="9" t="str" cm="1">
        <f t="array" ref="AQ9">_xlfn.IFS(AR9 &lt;= 3, "New Relationship[1-3]", AR9 &lt;= 7, "Established Relationship[4-7]", AR9 &lt;= 12, "Long Term Relationship[8-12]", AR9 &lt;= 17, "Very Long Term Relationship[13-17]")</f>
        <v>New Relationship[1-3]</v>
      </c>
      <c r="AR9" s="1">
        <v>0</v>
      </c>
    </row>
    <row r="10" spans="1:44" x14ac:dyDescent="0.25">
      <c r="A10" s="1">
        <v>38</v>
      </c>
      <c r="B10" s="8" t="str" cm="1">
        <f t="array" ref="B10">_xlfn.IFS(A10 &lt;= 25, "[18-25]", A10 &lt;= 35, "[26-35]", A10 &lt;=45, "[36-45]", A10 &lt;= 60, "[46- 60]")</f>
        <v>[36-45]</v>
      </c>
      <c r="C10" s="3" t="s">
        <v>43</v>
      </c>
      <c r="D10">
        <f t="shared" si="0"/>
        <v>0</v>
      </c>
      <c r="E10" t="s">
        <v>44</v>
      </c>
      <c r="F10" s="1">
        <v>216</v>
      </c>
      <c r="G10" s="3" t="s">
        <v>45</v>
      </c>
      <c r="H10" s="1">
        <v>23</v>
      </c>
      <c r="I10" s="9" t="str" cm="1">
        <f t="array" ref="I10">_xlfn.IFS(H10 &lt;= 2, "[1-2] very close", H10 &lt;= 10, "[3-10] close", H10 &lt;= 20, "[11-20] moderate", H10 &lt;= 30, "[21-30] far")</f>
        <v>[21-30] far</v>
      </c>
      <c r="J10" s="1">
        <v>3</v>
      </c>
      <c r="K10" s="3" t="s">
        <v>38</v>
      </c>
      <c r="L10" s="1">
        <v>1</v>
      </c>
      <c r="M10" s="1">
        <v>12</v>
      </c>
      <c r="N10" s="1">
        <v>4</v>
      </c>
      <c r="O10" s="3" t="s">
        <v>46</v>
      </c>
      <c r="P10" s="1">
        <v>44</v>
      </c>
      <c r="Q10" s="1">
        <v>2</v>
      </c>
      <c r="R10" s="1">
        <v>3</v>
      </c>
      <c r="S10" s="3" t="s">
        <v>53</v>
      </c>
      <c r="T10" s="1">
        <v>3</v>
      </c>
      <c r="U10" s="3" t="s">
        <v>41</v>
      </c>
      <c r="V10" s="4">
        <v>9526</v>
      </c>
      <c r="W10" s="1">
        <v>8787</v>
      </c>
      <c r="X10" s="1">
        <v>0</v>
      </c>
      <c r="Y10" s="3" t="s">
        <v>42</v>
      </c>
      <c r="Z10" s="3" t="s">
        <v>43</v>
      </c>
      <c r="AA10" s="5">
        <v>0.21</v>
      </c>
      <c r="AB10" s="10" t="str" cm="1">
        <f t="array" ref="AB10">_xlfn.IFS(AA10 &lt;= 15%, "Low Hike[11-15%]", AA10 &lt;= 20%, "Moderate Hike[16-20%]", AA10 &lt;= 25%,"High Hike[21-25%]")</f>
        <v>High Hike[21-25%]</v>
      </c>
      <c r="AC10" s="1">
        <v>4</v>
      </c>
      <c r="AD10" s="1">
        <v>2</v>
      </c>
      <c r="AE10" s="1">
        <v>80</v>
      </c>
      <c r="AF10" s="1">
        <v>0</v>
      </c>
      <c r="AG10" s="1">
        <v>10</v>
      </c>
      <c r="AH10" s="9" t="str" cm="1">
        <f t="array" ref="AH10">_xlfn.IFS(AG10 &lt;= 5, "New[1-5]", AG10 &lt;= 10, "Early Career[6-10]", AG10 &lt;= 20, "Established[11-20]", AG10 &lt;= 30, "Veteran[21-30]", AG10 &lt;= 40, "Late Career[31-40]")</f>
        <v>Early Career[6-10]</v>
      </c>
      <c r="AI10" s="1">
        <v>2</v>
      </c>
      <c r="AJ10" s="1">
        <v>3</v>
      </c>
      <c r="AK10" s="1">
        <v>9</v>
      </c>
      <c r="AL10" s="9" t="str" cm="1">
        <f t="array" ref="AL10">_xlfn.IFS(AK10 &lt;= 5, "New[1-5]", AK10 &lt;= 10, "Early Career[6-10]", AK10 &lt;= 20, "Established[11-20]", AK10 &lt;= 30, "Veteran[21-30]", AK10 &lt;= 40, "Late Career[31-40]")</f>
        <v>Early Career[6-10]</v>
      </c>
      <c r="AM10" s="1">
        <v>7</v>
      </c>
      <c r="AN10" s="9" t="str" cm="1">
        <f t="array" ref="AN10">_xlfn.IFS(AM10 &lt;= 3, "New to Role[1-3]", AM10 &lt;= 7, "Settled[4-7]", AM10 &lt;= 12, "Experienced[[8-12]", AM10 &lt;= 18, "Long Tenured[13-18]")</f>
        <v>Settled[4-7]</v>
      </c>
      <c r="AO10" s="1">
        <v>1</v>
      </c>
      <c r="AP10" s="9" t="str" cm="1">
        <f t="array" ref="AP10">_xlfn.IFS(AO10 &lt;= 3, "Recently[1-3]", AO10 &lt;= 6, "Due Soon[4-6]", AO10 &lt;= 10, "Overdue[7-10]", AO10 &lt;= 15, "Long Overdue[11-15]")</f>
        <v>Recently[1-3]</v>
      </c>
      <c r="AQ10" s="9" t="str" cm="1">
        <f t="array" ref="AQ10">_xlfn.IFS(AR10 &lt;= 3, "New Relationship[1-3]", AR10 &lt;= 7, "Established Relationship[4-7]", AR10 &lt;= 12, "Long Term Relationship[8-12]", AR10 &lt;= 17, "Very Long Term Relationship[13-17]")</f>
        <v>Long Term Relationship[8-12]</v>
      </c>
      <c r="AR10" s="1">
        <v>8</v>
      </c>
    </row>
    <row r="11" spans="1:44" x14ac:dyDescent="0.25">
      <c r="A11" s="1">
        <v>36</v>
      </c>
      <c r="B11" s="8" t="str" cm="1">
        <f t="array" ref="B11">_xlfn.IFS(A11 &lt;= 25, "[18-25]", A11 &lt;= 35, "[26-35]", A11 &lt;=45, "[36-45]", A11 &lt;= 60, "[46- 60]")</f>
        <v>[36-45]</v>
      </c>
      <c r="C11" s="3" t="s">
        <v>43</v>
      </c>
      <c r="D11">
        <f t="shared" si="0"/>
        <v>0</v>
      </c>
      <c r="E11" t="s">
        <v>36</v>
      </c>
      <c r="F11" s="1">
        <v>1299</v>
      </c>
      <c r="G11" s="3" t="s">
        <v>45</v>
      </c>
      <c r="H11" s="1">
        <v>27</v>
      </c>
      <c r="I11" s="9" t="str" cm="1">
        <f t="array" ref="I11">_xlfn.IFS(H11 &lt;= 2, "[1-2] very close", H11 &lt;= 10, "[3-10] close", H11 &lt;= 20, "[11-20] moderate", H11 &lt;= 30, "[21-30] far")</f>
        <v>[21-30] far</v>
      </c>
      <c r="J11" s="1">
        <v>3</v>
      </c>
      <c r="K11" s="3" t="s">
        <v>51</v>
      </c>
      <c r="L11" s="1">
        <v>1</v>
      </c>
      <c r="M11" s="1">
        <v>13</v>
      </c>
      <c r="N11" s="1">
        <v>3</v>
      </c>
      <c r="O11" s="3" t="s">
        <v>46</v>
      </c>
      <c r="P11" s="1">
        <v>94</v>
      </c>
      <c r="Q11" s="1">
        <v>3</v>
      </c>
      <c r="R11" s="1">
        <v>2</v>
      </c>
      <c r="S11" s="3" t="s">
        <v>54</v>
      </c>
      <c r="T11" s="1">
        <v>3</v>
      </c>
      <c r="U11" s="3" t="s">
        <v>48</v>
      </c>
      <c r="V11" s="4">
        <v>5237</v>
      </c>
      <c r="W11" s="1">
        <v>16577</v>
      </c>
      <c r="X11" s="1">
        <v>6</v>
      </c>
      <c r="Y11" s="3" t="s">
        <v>42</v>
      </c>
      <c r="Z11" s="3" t="s">
        <v>43</v>
      </c>
      <c r="AA11" s="5">
        <v>0.13</v>
      </c>
      <c r="AB11" s="10" t="str" cm="1">
        <f t="array" ref="AB11">_xlfn.IFS(AA11 &lt;= 15%, "Low Hike[11-15%]", AA11 &lt;= 20%, "Moderate Hike[16-20%]", AA11 &lt;= 25%,"High Hike[21-25%]")</f>
        <v>Low Hike[11-15%]</v>
      </c>
      <c r="AC11" s="1">
        <v>3</v>
      </c>
      <c r="AD11" s="1">
        <v>2</v>
      </c>
      <c r="AE11" s="1">
        <v>80</v>
      </c>
      <c r="AF11" s="1">
        <v>2</v>
      </c>
      <c r="AG11" s="1">
        <v>17</v>
      </c>
      <c r="AH11" s="9" t="str" cm="1">
        <f t="array" ref="AH11">_xlfn.IFS(AG11 &lt;= 5, "New[1-5]", AG11 &lt;= 10, "Early Career[6-10]", AG11 &lt;= 20, "Established[11-20]", AG11 &lt;= 30, "Veteran[21-30]", AG11 &lt;= 40, "Late Career[31-40]")</f>
        <v>Established[11-20]</v>
      </c>
      <c r="AI11" s="1">
        <v>3</v>
      </c>
      <c r="AJ11" s="1">
        <v>2</v>
      </c>
      <c r="AK11" s="1">
        <v>7</v>
      </c>
      <c r="AL11" s="9" t="str" cm="1">
        <f t="array" ref="AL11">_xlfn.IFS(AK11 &lt;= 5, "New[1-5]", AK11 &lt;= 10, "Early Career[6-10]", AK11 &lt;= 20, "Established[11-20]", AK11 &lt;= 30, "Veteran[21-30]", AK11 &lt;= 40, "Late Career[31-40]")</f>
        <v>Early Career[6-10]</v>
      </c>
      <c r="AM11" s="1">
        <v>7</v>
      </c>
      <c r="AN11" s="9" t="str" cm="1">
        <f t="array" ref="AN11">_xlfn.IFS(AM11 &lt;= 3, "New to Role[1-3]", AM11 &lt;= 7, "Settled[4-7]", AM11 &lt;= 12, "Experienced[[8-12]", AM11 &lt;= 18, "Long Tenured[13-18]")</f>
        <v>Settled[4-7]</v>
      </c>
      <c r="AO11" s="1">
        <v>7</v>
      </c>
      <c r="AP11" s="9" t="str" cm="1">
        <f t="array" ref="AP11">_xlfn.IFS(AO11 &lt;= 3, "Recently[1-3]", AO11 &lt;= 6, "Due Soon[4-6]", AO11 &lt;= 10, "Overdue[7-10]", AO11 &lt;= 15, "Long Overdue[11-15]")</f>
        <v>Overdue[7-10]</v>
      </c>
      <c r="AQ11" s="9" t="str" cm="1">
        <f t="array" ref="AQ11">_xlfn.IFS(AR11 &lt;= 3, "New Relationship[1-3]", AR11 &lt;= 7, "Established Relationship[4-7]", AR11 &lt;= 12, "Long Term Relationship[8-12]", AR11 &lt;= 17, "Very Long Term Relationship[13-17]")</f>
        <v>Established Relationship[4-7]</v>
      </c>
      <c r="AR11" s="1">
        <v>7</v>
      </c>
    </row>
    <row r="12" spans="1:44" x14ac:dyDescent="0.25">
      <c r="A12" s="1">
        <v>35</v>
      </c>
      <c r="B12" s="8" t="str" cm="1">
        <f t="array" ref="B12">_xlfn.IFS(A12 &lt;= 25, "[18-25]", A12 &lt;= 35, "[26-35]", A12 &lt;=45, "[36-45]", A12 &lt;= 60, "[46- 60]")</f>
        <v>[26-35]</v>
      </c>
      <c r="C12" s="3" t="s">
        <v>43</v>
      </c>
      <c r="D12">
        <f t="shared" si="0"/>
        <v>0</v>
      </c>
      <c r="E12" t="s">
        <v>36</v>
      </c>
      <c r="F12" s="1">
        <v>809</v>
      </c>
      <c r="G12" s="3" t="s">
        <v>45</v>
      </c>
      <c r="H12" s="1">
        <v>16</v>
      </c>
      <c r="I12" s="9" t="str" cm="1">
        <f t="array" ref="I12">_xlfn.IFS(H12 &lt;= 2, "[1-2] very close", H12 &lt;= 10, "[3-10] close", H12 &lt;= 20, "[11-20] moderate", H12 &lt;= 30, "[21-30] far")</f>
        <v>[11-20] moderate</v>
      </c>
      <c r="J12" s="1">
        <v>3</v>
      </c>
      <c r="K12" s="3" t="s">
        <v>51</v>
      </c>
      <c r="L12" s="1">
        <v>1</v>
      </c>
      <c r="M12" s="1">
        <v>14</v>
      </c>
      <c r="N12" s="1">
        <v>1</v>
      </c>
      <c r="O12" s="3" t="s">
        <v>46</v>
      </c>
      <c r="P12" s="1">
        <v>84</v>
      </c>
      <c r="Q12" s="1">
        <v>4</v>
      </c>
      <c r="R12" s="1">
        <v>1</v>
      </c>
      <c r="S12" s="3" t="s">
        <v>50</v>
      </c>
      <c r="T12" s="1">
        <v>2</v>
      </c>
      <c r="U12" s="3" t="s">
        <v>48</v>
      </c>
      <c r="V12" s="4">
        <v>2426</v>
      </c>
      <c r="W12" s="1">
        <v>16479</v>
      </c>
      <c r="X12" s="1">
        <v>0</v>
      </c>
      <c r="Y12" s="3" t="s">
        <v>42</v>
      </c>
      <c r="Z12" s="3" t="s">
        <v>43</v>
      </c>
      <c r="AA12" s="5">
        <v>0.13</v>
      </c>
      <c r="AB12" s="10" t="str" cm="1">
        <f t="array" ref="AB12">_xlfn.IFS(AA12 &lt;= 15%, "Low Hike[11-15%]", AA12 &lt;= 20%, "Moderate Hike[16-20%]", AA12 &lt;= 25%,"High Hike[21-25%]")</f>
        <v>Low Hike[11-15%]</v>
      </c>
      <c r="AC12" s="1">
        <v>3</v>
      </c>
      <c r="AD12" s="1">
        <v>3</v>
      </c>
      <c r="AE12" s="1">
        <v>80</v>
      </c>
      <c r="AF12" s="1">
        <v>1</v>
      </c>
      <c r="AG12" s="1">
        <v>6</v>
      </c>
      <c r="AH12" s="9" t="str" cm="1">
        <f t="array" ref="AH12">_xlfn.IFS(AG12 &lt;= 5, "New[1-5]", AG12 &lt;= 10, "Early Career[6-10]", AG12 &lt;= 20, "Established[11-20]", AG12 &lt;= 30, "Veteran[21-30]", AG12 &lt;= 40, "Late Career[31-40]")</f>
        <v>Early Career[6-10]</v>
      </c>
      <c r="AI12" s="1">
        <v>5</v>
      </c>
      <c r="AJ12" s="1">
        <v>3</v>
      </c>
      <c r="AK12" s="1">
        <v>5</v>
      </c>
      <c r="AL12" s="9" t="str" cm="1">
        <f t="array" ref="AL12">_xlfn.IFS(AK12 &lt;= 5, "New[1-5]", AK12 &lt;= 10, "Early Career[6-10]", AK12 &lt;= 20, "Established[11-20]", AK12 &lt;= 30, "Veteran[21-30]", AK12 &lt;= 40, "Late Career[31-40]")</f>
        <v>New[1-5]</v>
      </c>
      <c r="AM12" s="1">
        <v>4</v>
      </c>
      <c r="AN12" s="9" t="str" cm="1">
        <f t="array" ref="AN12">_xlfn.IFS(AM12 &lt;= 3, "New to Role[1-3]", AM12 &lt;= 7, "Settled[4-7]", AM12 &lt;= 12, "Experienced[[8-12]", AM12 &lt;= 18, "Long Tenured[13-18]")</f>
        <v>Settled[4-7]</v>
      </c>
      <c r="AO12" s="1">
        <v>0</v>
      </c>
      <c r="AP12" s="9" t="str" cm="1">
        <f t="array" ref="AP12">_xlfn.IFS(AO12 &lt;= 3, "Recently[1-3]", AO12 &lt;= 6, "Due Soon[4-6]", AO12 &lt;= 10, "Overdue[7-10]", AO12 &lt;= 15, "Long Overdue[11-15]")</f>
        <v>Recently[1-3]</v>
      </c>
      <c r="AQ12" s="9" t="str" cm="1">
        <f t="array" ref="AQ12">_xlfn.IFS(AR12 &lt;= 3, "New Relationship[1-3]", AR12 &lt;= 7, "Established Relationship[4-7]", AR12 &lt;= 12, "Long Term Relationship[8-12]", AR12 &lt;= 17, "Very Long Term Relationship[13-17]")</f>
        <v>New Relationship[1-3]</v>
      </c>
      <c r="AR12" s="1">
        <v>3</v>
      </c>
    </row>
    <row r="13" spans="1:44" x14ac:dyDescent="0.25">
      <c r="A13" s="1">
        <v>29</v>
      </c>
      <c r="B13" s="8" t="str" cm="1">
        <f t="array" ref="B13">_xlfn.IFS(A13 &lt;= 25, "[18-25]", A13 &lt;= 35, "[26-35]", A13 &lt;=45, "[36-45]", A13 &lt;= 60, "[46- 60]")</f>
        <v>[26-35]</v>
      </c>
      <c r="C13" s="3" t="s">
        <v>43</v>
      </c>
      <c r="D13">
        <f t="shared" si="0"/>
        <v>0</v>
      </c>
      <c r="E13" t="s">
        <v>36</v>
      </c>
      <c r="F13" s="1">
        <v>153</v>
      </c>
      <c r="G13" s="3" t="s">
        <v>45</v>
      </c>
      <c r="H13" s="1">
        <v>15</v>
      </c>
      <c r="I13" s="9" t="str" cm="1">
        <f t="array" ref="I13">_xlfn.IFS(H13 &lt;= 2, "[1-2] very close", H13 &lt;= 10, "[3-10] close", H13 &lt;= 20, "[11-20] moderate", H13 &lt;= 30, "[21-30] far")</f>
        <v>[11-20] moderate</v>
      </c>
      <c r="J13" s="1">
        <v>2</v>
      </c>
      <c r="K13" s="3" t="s">
        <v>38</v>
      </c>
      <c r="L13" s="1">
        <v>1</v>
      </c>
      <c r="M13" s="1">
        <v>15</v>
      </c>
      <c r="N13" s="1">
        <v>4</v>
      </c>
      <c r="O13" s="3" t="s">
        <v>39</v>
      </c>
      <c r="P13" s="1">
        <v>49</v>
      </c>
      <c r="Q13" s="1">
        <v>2</v>
      </c>
      <c r="R13" s="1">
        <v>2</v>
      </c>
      <c r="S13" s="3" t="s">
        <v>50</v>
      </c>
      <c r="T13" s="1">
        <v>3</v>
      </c>
      <c r="U13" s="3" t="s">
        <v>41</v>
      </c>
      <c r="V13" s="4">
        <v>4193</v>
      </c>
      <c r="W13" s="1">
        <v>12682</v>
      </c>
      <c r="X13" s="1">
        <v>0</v>
      </c>
      <c r="Y13" s="3" t="s">
        <v>42</v>
      </c>
      <c r="Z13" s="3" t="s">
        <v>35</v>
      </c>
      <c r="AA13" s="5">
        <v>0.12</v>
      </c>
      <c r="AB13" s="10" t="str" cm="1">
        <f t="array" ref="AB13">_xlfn.IFS(AA13 &lt;= 15%, "Low Hike[11-15%]", AA13 &lt;= 20%, "Moderate Hike[16-20%]", AA13 &lt;= 25%,"High Hike[21-25%]")</f>
        <v>Low Hike[11-15%]</v>
      </c>
      <c r="AC13" s="1">
        <v>3</v>
      </c>
      <c r="AD13" s="1">
        <v>4</v>
      </c>
      <c r="AE13" s="1">
        <v>80</v>
      </c>
      <c r="AF13" s="1">
        <v>0</v>
      </c>
      <c r="AG13" s="1">
        <v>10</v>
      </c>
      <c r="AH13" s="9" t="str" cm="1">
        <f t="array" ref="AH13">_xlfn.IFS(AG13 &lt;= 5, "New[1-5]", AG13 &lt;= 10, "Early Career[6-10]", AG13 &lt;= 20, "Established[11-20]", AG13 &lt;= 30, "Veteran[21-30]", AG13 &lt;= 40, "Late Career[31-40]")</f>
        <v>Early Career[6-10]</v>
      </c>
      <c r="AI13" s="1">
        <v>3</v>
      </c>
      <c r="AJ13" s="1">
        <v>3</v>
      </c>
      <c r="AK13" s="1">
        <v>9</v>
      </c>
      <c r="AL13" s="9" t="str" cm="1">
        <f t="array" ref="AL13">_xlfn.IFS(AK13 &lt;= 5, "New[1-5]", AK13 &lt;= 10, "Early Career[6-10]", AK13 &lt;= 20, "Established[11-20]", AK13 &lt;= 30, "Veteran[21-30]", AK13 &lt;= 40, "Late Career[31-40]")</f>
        <v>Early Career[6-10]</v>
      </c>
      <c r="AM13" s="1">
        <v>5</v>
      </c>
      <c r="AN13" s="9" t="str" cm="1">
        <f t="array" ref="AN13">_xlfn.IFS(AM13 &lt;= 3, "New to Role[1-3]", AM13 &lt;= 7, "Settled[4-7]", AM13 &lt;= 12, "Experienced[[8-12]", AM13 &lt;= 18, "Long Tenured[13-18]")</f>
        <v>Settled[4-7]</v>
      </c>
      <c r="AO13" s="1">
        <v>0</v>
      </c>
      <c r="AP13" s="9" t="str" cm="1">
        <f t="array" ref="AP13">_xlfn.IFS(AO13 &lt;= 3, "Recently[1-3]", AO13 &lt;= 6, "Due Soon[4-6]", AO13 &lt;= 10, "Overdue[7-10]", AO13 &lt;= 15, "Long Overdue[11-15]")</f>
        <v>Recently[1-3]</v>
      </c>
      <c r="AQ13" s="9" t="str" cm="1">
        <f t="array" ref="AQ13">_xlfn.IFS(AR13 &lt;= 3, "New Relationship[1-3]", AR13 &lt;= 7, "Established Relationship[4-7]", AR13 &lt;= 12, "Long Term Relationship[8-12]", AR13 &lt;= 17, "Very Long Term Relationship[13-17]")</f>
        <v>Long Term Relationship[8-12]</v>
      </c>
      <c r="AR13" s="1">
        <v>8</v>
      </c>
    </row>
    <row r="14" spans="1:44" x14ac:dyDescent="0.25">
      <c r="A14" s="1">
        <v>31</v>
      </c>
      <c r="B14" s="8" t="str" cm="1">
        <f t="array" ref="B14">_xlfn.IFS(A14 &lt;= 25, "[18-25]", A14 &lt;= 35, "[26-35]", A14 &lt;=45, "[36-45]", A14 &lt;= 60, "[46- 60]")</f>
        <v>[26-35]</v>
      </c>
      <c r="C14" s="3" t="s">
        <v>43</v>
      </c>
      <c r="D14">
        <f t="shared" si="0"/>
        <v>0</v>
      </c>
      <c r="E14" t="s">
        <v>36</v>
      </c>
      <c r="F14" s="1">
        <v>670</v>
      </c>
      <c r="G14" s="3" t="s">
        <v>45</v>
      </c>
      <c r="H14" s="1">
        <v>26</v>
      </c>
      <c r="I14" s="9" t="str" cm="1">
        <f t="array" ref="I14">_xlfn.IFS(H14 &lt;= 2, "[1-2] very close", H14 &lt;= 10, "[3-10] close", H14 &lt;= 20, "[11-20] moderate", H14 &lt;= 30, "[21-30] far")</f>
        <v>[21-30] far</v>
      </c>
      <c r="J14" s="1">
        <v>1</v>
      </c>
      <c r="K14" s="3" t="s">
        <v>38</v>
      </c>
      <c r="L14" s="1">
        <v>1</v>
      </c>
      <c r="M14" s="1">
        <v>16</v>
      </c>
      <c r="N14" s="1">
        <v>1</v>
      </c>
      <c r="O14" s="3" t="s">
        <v>46</v>
      </c>
      <c r="P14" s="1">
        <v>31</v>
      </c>
      <c r="Q14" s="1">
        <v>3</v>
      </c>
      <c r="R14" s="1">
        <v>1</v>
      </c>
      <c r="S14" s="3" t="s">
        <v>47</v>
      </c>
      <c r="T14" s="1">
        <v>3</v>
      </c>
      <c r="U14" s="3" t="s">
        <v>52</v>
      </c>
      <c r="V14" s="4">
        <v>2911</v>
      </c>
      <c r="W14" s="1">
        <v>15170</v>
      </c>
      <c r="X14" s="1">
        <v>1</v>
      </c>
      <c r="Y14" s="3" t="s">
        <v>42</v>
      </c>
      <c r="Z14" s="3" t="s">
        <v>43</v>
      </c>
      <c r="AA14" s="5">
        <v>0.17</v>
      </c>
      <c r="AB14" s="10" t="str" cm="1">
        <f t="array" ref="AB14">_xlfn.IFS(AA14 &lt;= 15%, "Low Hike[11-15%]", AA14 &lt;= 20%, "Moderate Hike[16-20%]", AA14 &lt;= 25%,"High Hike[21-25%]")</f>
        <v>Moderate Hike[16-20%]</v>
      </c>
      <c r="AC14" s="1">
        <v>3</v>
      </c>
      <c r="AD14" s="1">
        <v>4</v>
      </c>
      <c r="AE14" s="1">
        <v>80</v>
      </c>
      <c r="AF14" s="1">
        <v>1</v>
      </c>
      <c r="AG14" s="1">
        <v>5</v>
      </c>
      <c r="AH14" s="9" t="str" cm="1">
        <f t="array" ref="AH14">_xlfn.IFS(AG14 &lt;= 5, "New[1-5]", AG14 &lt;= 10, "Early Career[6-10]", AG14 &lt;= 20, "Established[11-20]", AG14 &lt;= 30, "Veteran[21-30]", AG14 &lt;= 40, "Late Career[31-40]")</f>
        <v>New[1-5]</v>
      </c>
      <c r="AI14" s="1">
        <v>1</v>
      </c>
      <c r="AJ14" s="1">
        <v>2</v>
      </c>
      <c r="AK14" s="1">
        <v>5</v>
      </c>
      <c r="AL14" s="9" t="str" cm="1">
        <f t="array" ref="AL14">_xlfn.IFS(AK14 &lt;= 5, "New[1-5]", AK14 &lt;= 10, "Early Career[6-10]", AK14 &lt;= 20, "Established[11-20]", AK14 &lt;= 30, "Veteran[21-30]", AK14 &lt;= 40, "Late Career[31-40]")</f>
        <v>New[1-5]</v>
      </c>
      <c r="AM14" s="1">
        <v>2</v>
      </c>
      <c r="AN14" s="9" t="str" cm="1">
        <f t="array" ref="AN14">_xlfn.IFS(AM14 &lt;= 3, "New to Role[1-3]", AM14 &lt;= 7, "Settled[4-7]", AM14 &lt;= 12, "Experienced[[8-12]", AM14 &lt;= 18, "Long Tenured[13-18]")</f>
        <v>New to Role[1-3]</v>
      </c>
      <c r="AO14" s="1">
        <v>4</v>
      </c>
      <c r="AP14" s="9" t="str" cm="1">
        <f t="array" ref="AP14">_xlfn.IFS(AO14 &lt;= 3, "Recently[1-3]", AO14 &lt;= 6, "Due Soon[4-6]", AO14 &lt;= 10, "Overdue[7-10]", AO14 &lt;= 15, "Long Overdue[11-15]")</f>
        <v>Due Soon[4-6]</v>
      </c>
      <c r="AQ14" s="9" t="str" cm="1">
        <f t="array" ref="AQ14">_xlfn.IFS(AR14 &lt;= 3, "New Relationship[1-3]", AR14 &lt;= 7, "Established Relationship[4-7]", AR14 &lt;= 12, "Long Term Relationship[8-12]", AR14 &lt;= 17, "Very Long Term Relationship[13-17]")</f>
        <v>New Relationship[1-3]</v>
      </c>
      <c r="AR14" s="1">
        <v>3</v>
      </c>
    </row>
    <row r="15" spans="1:44" x14ac:dyDescent="0.25">
      <c r="A15" s="1">
        <v>34</v>
      </c>
      <c r="B15" s="8" t="str" cm="1">
        <f t="array" ref="B15">_xlfn.IFS(A15 &lt;= 25, "[18-25]", A15 &lt;= 35, "[26-35]", A15 &lt;=45, "[36-45]", A15 &lt;= 60, "[46- 60]")</f>
        <v>[26-35]</v>
      </c>
      <c r="C15" s="3" t="s">
        <v>43</v>
      </c>
      <c r="D15">
        <f t="shared" si="0"/>
        <v>0</v>
      </c>
      <c r="E15" t="s">
        <v>36</v>
      </c>
      <c r="F15" s="1">
        <v>1346</v>
      </c>
      <c r="G15" s="3" t="s">
        <v>45</v>
      </c>
      <c r="H15" s="1">
        <v>19</v>
      </c>
      <c r="I15" s="9" t="str" cm="1">
        <f t="array" ref="I15">_xlfn.IFS(H15 &lt;= 2, "[1-2] very close", H15 &lt;= 10, "[3-10] close", H15 &lt;= 20, "[11-20] moderate", H15 &lt;= 30, "[21-30] far")</f>
        <v>[11-20] moderate</v>
      </c>
      <c r="J15" s="1">
        <v>2</v>
      </c>
      <c r="K15" s="3" t="s">
        <v>51</v>
      </c>
      <c r="L15" s="1">
        <v>1</v>
      </c>
      <c r="M15" s="1">
        <v>18</v>
      </c>
      <c r="N15" s="1">
        <v>2</v>
      </c>
      <c r="O15" s="3" t="s">
        <v>46</v>
      </c>
      <c r="P15" s="1">
        <v>93</v>
      </c>
      <c r="Q15" s="1">
        <v>3</v>
      </c>
      <c r="R15" s="1">
        <v>1</v>
      </c>
      <c r="S15" s="3" t="s">
        <v>50</v>
      </c>
      <c r="T15" s="1">
        <v>4</v>
      </c>
      <c r="U15" s="3" t="s">
        <v>52</v>
      </c>
      <c r="V15" s="4">
        <v>2661</v>
      </c>
      <c r="W15" s="1">
        <v>8758</v>
      </c>
      <c r="X15" s="1">
        <v>0</v>
      </c>
      <c r="Y15" s="3" t="s">
        <v>42</v>
      </c>
      <c r="Z15" s="3" t="s">
        <v>43</v>
      </c>
      <c r="AA15" s="5">
        <v>0.11</v>
      </c>
      <c r="AB15" s="10" t="str" cm="1">
        <f t="array" ref="AB15">_xlfn.IFS(AA15 &lt;= 15%, "Low Hike[11-15%]", AA15 &lt;= 20%, "Moderate Hike[16-20%]", AA15 &lt;= 25%,"High Hike[21-25%]")</f>
        <v>Low Hike[11-15%]</v>
      </c>
      <c r="AC15" s="1">
        <v>3</v>
      </c>
      <c r="AD15" s="1">
        <v>3</v>
      </c>
      <c r="AE15" s="1">
        <v>80</v>
      </c>
      <c r="AF15" s="1">
        <v>1</v>
      </c>
      <c r="AG15" s="1">
        <v>3</v>
      </c>
      <c r="AH15" s="9" t="str" cm="1">
        <f t="array" ref="AH15">_xlfn.IFS(AG15 &lt;= 5, "New[1-5]", AG15 &lt;= 10, "Early Career[6-10]", AG15 &lt;= 20, "Established[11-20]", AG15 &lt;= 30, "Veteran[21-30]", AG15 &lt;= 40, "Late Career[31-40]")</f>
        <v>New[1-5]</v>
      </c>
      <c r="AI15" s="1">
        <v>2</v>
      </c>
      <c r="AJ15" s="1">
        <v>3</v>
      </c>
      <c r="AK15" s="1">
        <v>2</v>
      </c>
      <c r="AL15" s="9" t="str" cm="1">
        <f t="array" ref="AL15">_xlfn.IFS(AK15 &lt;= 5, "New[1-5]", AK15 &lt;= 10, "Early Career[6-10]", AK15 &lt;= 20, "Established[11-20]", AK15 &lt;= 30, "Veteran[21-30]", AK15 &lt;= 40, "Late Career[31-40]")</f>
        <v>New[1-5]</v>
      </c>
      <c r="AM15" s="1">
        <v>2</v>
      </c>
      <c r="AN15" s="9" t="str" cm="1">
        <f t="array" ref="AN15">_xlfn.IFS(AM15 &lt;= 3, "New to Role[1-3]", AM15 &lt;= 7, "Settled[4-7]", AM15 &lt;= 12, "Experienced[[8-12]", AM15 &lt;= 18, "Long Tenured[13-18]")</f>
        <v>New to Role[1-3]</v>
      </c>
      <c r="AO15" s="1">
        <v>1</v>
      </c>
      <c r="AP15" s="9" t="str" cm="1">
        <f t="array" ref="AP15">_xlfn.IFS(AO15 &lt;= 3, "Recently[1-3]", AO15 &lt;= 6, "Due Soon[4-6]", AO15 &lt;= 10, "Overdue[7-10]", AO15 &lt;= 15, "Long Overdue[11-15]")</f>
        <v>Recently[1-3]</v>
      </c>
      <c r="AQ15" s="9" t="str" cm="1">
        <f t="array" ref="AQ15">_xlfn.IFS(AR15 &lt;= 3, "New Relationship[1-3]", AR15 &lt;= 7, "Established Relationship[4-7]", AR15 &lt;= 12, "Long Term Relationship[8-12]", AR15 &lt;= 17, "Very Long Term Relationship[13-17]")</f>
        <v>New Relationship[1-3]</v>
      </c>
      <c r="AR15" s="1">
        <v>2</v>
      </c>
    </row>
    <row r="16" spans="1:44" x14ac:dyDescent="0.25">
      <c r="A16" s="1">
        <v>28</v>
      </c>
      <c r="B16" s="8" t="str" cm="1">
        <f t="array" ref="B16">_xlfn.IFS(A16 &lt;= 25, "[18-25]", A16 &lt;= 35, "[26-35]", A16 &lt;=45, "[36-45]", A16 &lt;= 60, "[46- 60]")</f>
        <v>[26-35]</v>
      </c>
      <c r="C16" s="3" t="s">
        <v>35</v>
      </c>
      <c r="D16">
        <f t="shared" si="0"/>
        <v>1</v>
      </c>
      <c r="E16" t="s">
        <v>36</v>
      </c>
      <c r="F16" s="1">
        <v>103</v>
      </c>
      <c r="G16" s="3" t="s">
        <v>45</v>
      </c>
      <c r="H16" s="1">
        <v>24</v>
      </c>
      <c r="I16" s="9" t="str" cm="1">
        <f t="array" ref="I16">_xlfn.IFS(H16 &lt;= 2, "[1-2] very close", H16 &lt;= 10, "[3-10] close", H16 &lt;= 20, "[11-20] moderate", H16 &lt;= 30, "[21-30] far")</f>
        <v>[21-30] far</v>
      </c>
      <c r="J16" s="1">
        <v>3</v>
      </c>
      <c r="K16" s="3" t="s">
        <v>38</v>
      </c>
      <c r="L16" s="1">
        <v>1</v>
      </c>
      <c r="M16" s="1">
        <v>19</v>
      </c>
      <c r="N16" s="1">
        <v>3</v>
      </c>
      <c r="O16" s="3" t="s">
        <v>46</v>
      </c>
      <c r="P16" s="1">
        <v>50</v>
      </c>
      <c r="Q16" s="1">
        <v>2</v>
      </c>
      <c r="R16" s="1">
        <v>1</v>
      </c>
      <c r="S16" s="3" t="s">
        <v>50</v>
      </c>
      <c r="T16" s="1">
        <v>3</v>
      </c>
      <c r="U16" s="3" t="s">
        <v>41</v>
      </c>
      <c r="V16" s="4">
        <v>2028</v>
      </c>
      <c r="W16" s="1">
        <v>12947</v>
      </c>
      <c r="X16" s="1">
        <v>5</v>
      </c>
      <c r="Y16" s="3" t="s">
        <v>42</v>
      </c>
      <c r="Z16" s="3" t="s">
        <v>35</v>
      </c>
      <c r="AA16" s="5">
        <v>0.14000000000000001</v>
      </c>
      <c r="AB16" s="10" t="str" cm="1">
        <f t="array" ref="AB16">_xlfn.IFS(AA16 &lt;= 15%, "Low Hike[11-15%]", AA16 &lt;= 20%, "Moderate Hike[16-20%]", AA16 &lt;= 25%,"High Hike[21-25%]")</f>
        <v>Low Hike[11-15%]</v>
      </c>
      <c r="AC16" s="1">
        <v>3</v>
      </c>
      <c r="AD16" s="1">
        <v>2</v>
      </c>
      <c r="AE16" s="1">
        <v>80</v>
      </c>
      <c r="AF16" s="1">
        <v>0</v>
      </c>
      <c r="AG16" s="1">
        <v>6</v>
      </c>
      <c r="AH16" s="9" t="str" cm="1">
        <f t="array" ref="AH16">_xlfn.IFS(AG16 &lt;= 5, "New[1-5]", AG16 &lt;= 10, "Early Career[6-10]", AG16 &lt;= 20, "Established[11-20]", AG16 &lt;= 30, "Veteran[21-30]", AG16 &lt;= 40, "Late Career[31-40]")</f>
        <v>Early Career[6-10]</v>
      </c>
      <c r="AI16" s="1">
        <v>4</v>
      </c>
      <c r="AJ16" s="1">
        <v>3</v>
      </c>
      <c r="AK16" s="1">
        <v>4</v>
      </c>
      <c r="AL16" s="9" t="str" cm="1">
        <f t="array" ref="AL16">_xlfn.IFS(AK16 &lt;= 5, "New[1-5]", AK16 &lt;= 10, "Early Career[6-10]", AK16 &lt;= 20, "Established[11-20]", AK16 &lt;= 30, "Veteran[21-30]", AK16 &lt;= 40, "Late Career[31-40]")</f>
        <v>New[1-5]</v>
      </c>
      <c r="AM16" s="1">
        <v>2</v>
      </c>
      <c r="AN16" s="9" t="str" cm="1">
        <f t="array" ref="AN16">_xlfn.IFS(AM16 &lt;= 3, "New to Role[1-3]", AM16 &lt;= 7, "Settled[4-7]", AM16 &lt;= 12, "Experienced[[8-12]", AM16 &lt;= 18, "Long Tenured[13-18]")</f>
        <v>New to Role[1-3]</v>
      </c>
      <c r="AO16" s="1">
        <v>0</v>
      </c>
      <c r="AP16" s="9" t="str" cm="1">
        <f t="array" ref="AP16">_xlfn.IFS(AO16 &lt;= 3, "Recently[1-3]", AO16 &lt;= 6, "Due Soon[4-6]", AO16 &lt;= 10, "Overdue[7-10]", AO16 &lt;= 15, "Long Overdue[11-15]")</f>
        <v>Recently[1-3]</v>
      </c>
      <c r="AQ16" s="9" t="str" cm="1">
        <f t="array" ref="AQ16">_xlfn.IFS(AR16 &lt;= 3, "New Relationship[1-3]", AR16 &lt;= 7, "Established Relationship[4-7]", AR16 &lt;= 12, "Long Term Relationship[8-12]", AR16 &lt;= 17, "Very Long Term Relationship[13-17]")</f>
        <v>New Relationship[1-3]</v>
      </c>
      <c r="AR16" s="1">
        <v>3</v>
      </c>
    </row>
    <row r="17" spans="1:44" x14ac:dyDescent="0.25">
      <c r="A17" s="1">
        <v>29</v>
      </c>
      <c r="B17" s="8" t="str" cm="1">
        <f t="array" ref="B17">_xlfn.IFS(A17 &lt;= 25, "[18-25]", A17 &lt;= 35, "[26-35]", A17 &lt;=45, "[36-45]", A17 &lt;= 60, "[46- 60]")</f>
        <v>[26-35]</v>
      </c>
      <c r="C17" s="3" t="s">
        <v>43</v>
      </c>
      <c r="D17">
        <f t="shared" si="0"/>
        <v>0</v>
      </c>
      <c r="E17" t="s">
        <v>36</v>
      </c>
      <c r="F17" s="1">
        <v>1389</v>
      </c>
      <c r="G17" s="3" t="s">
        <v>45</v>
      </c>
      <c r="H17" s="1">
        <v>21</v>
      </c>
      <c r="I17" s="9" t="str" cm="1">
        <f t="array" ref="I17">_xlfn.IFS(H17 &lt;= 2, "[1-2] very close", H17 &lt;= 10, "[3-10] close", H17 &lt;= 20, "[11-20] moderate", H17 &lt;= 30, "[21-30] far")</f>
        <v>[21-30] far</v>
      </c>
      <c r="J17" s="1">
        <v>4</v>
      </c>
      <c r="K17" s="3" t="s">
        <v>38</v>
      </c>
      <c r="L17" s="1">
        <v>1</v>
      </c>
      <c r="M17" s="1">
        <v>20</v>
      </c>
      <c r="N17" s="1">
        <v>2</v>
      </c>
      <c r="O17" s="3" t="s">
        <v>39</v>
      </c>
      <c r="P17" s="1">
        <v>51</v>
      </c>
      <c r="Q17" s="1">
        <v>4</v>
      </c>
      <c r="R17" s="1">
        <v>3</v>
      </c>
      <c r="S17" s="3" t="s">
        <v>53</v>
      </c>
      <c r="T17" s="1">
        <v>1</v>
      </c>
      <c r="U17" s="3" t="s">
        <v>52</v>
      </c>
      <c r="V17" s="4">
        <v>9980</v>
      </c>
      <c r="W17" s="1">
        <v>10195</v>
      </c>
      <c r="X17" s="1">
        <v>1</v>
      </c>
      <c r="Y17" s="3" t="s">
        <v>42</v>
      </c>
      <c r="Z17" s="3" t="s">
        <v>43</v>
      </c>
      <c r="AA17" s="5">
        <v>0.11</v>
      </c>
      <c r="AB17" s="10" t="str" cm="1">
        <f t="array" ref="AB17">_xlfn.IFS(AA17 &lt;= 15%, "Low Hike[11-15%]", AA17 &lt;= 20%, "Moderate Hike[16-20%]", AA17 &lt;= 25%,"High Hike[21-25%]")</f>
        <v>Low Hike[11-15%]</v>
      </c>
      <c r="AC17" s="1">
        <v>3</v>
      </c>
      <c r="AD17" s="1">
        <v>3</v>
      </c>
      <c r="AE17" s="1">
        <v>80</v>
      </c>
      <c r="AF17" s="1">
        <v>1</v>
      </c>
      <c r="AG17" s="1">
        <v>10</v>
      </c>
      <c r="AH17" s="9" t="str" cm="1">
        <f t="array" ref="AH17">_xlfn.IFS(AG17 &lt;= 5, "New[1-5]", AG17 &lt;= 10, "Early Career[6-10]", AG17 &lt;= 20, "Established[11-20]", AG17 &lt;= 30, "Veteran[21-30]", AG17 &lt;= 40, "Late Career[31-40]")</f>
        <v>Early Career[6-10]</v>
      </c>
      <c r="AI17" s="1">
        <v>1</v>
      </c>
      <c r="AJ17" s="1">
        <v>3</v>
      </c>
      <c r="AK17" s="1">
        <v>10</v>
      </c>
      <c r="AL17" s="9" t="str" cm="1">
        <f t="array" ref="AL17">_xlfn.IFS(AK17 &lt;= 5, "New[1-5]", AK17 &lt;= 10, "Early Career[6-10]", AK17 &lt;= 20, "Established[11-20]", AK17 &lt;= 30, "Veteran[21-30]", AK17 &lt;= 40, "Late Career[31-40]")</f>
        <v>Early Career[6-10]</v>
      </c>
      <c r="AM17" s="1">
        <v>9</v>
      </c>
      <c r="AN17" s="9" t="str" cm="1">
        <f t="array" ref="AN17">_xlfn.IFS(AM17 &lt;= 3, "New to Role[1-3]", AM17 &lt;= 7, "Settled[4-7]", AM17 &lt;= 12, "Experienced[[8-12]", AM17 &lt;= 18, "Long Tenured[13-18]")</f>
        <v>Experienced[[8-12]</v>
      </c>
      <c r="AO17" s="1">
        <v>8</v>
      </c>
      <c r="AP17" s="9" t="str" cm="1">
        <f t="array" ref="AP17">_xlfn.IFS(AO17 &lt;= 3, "Recently[1-3]", AO17 &lt;= 6, "Due Soon[4-6]", AO17 &lt;= 10, "Overdue[7-10]", AO17 &lt;= 15, "Long Overdue[11-15]")</f>
        <v>Overdue[7-10]</v>
      </c>
      <c r="AQ17" s="9" t="str" cm="1">
        <f t="array" ref="AQ17">_xlfn.IFS(AR17 &lt;= 3, "New Relationship[1-3]", AR17 &lt;= 7, "Established Relationship[4-7]", AR17 &lt;= 12, "Long Term Relationship[8-12]", AR17 &lt;= 17, "Very Long Term Relationship[13-17]")</f>
        <v>Long Term Relationship[8-12]</v>
      </c>
      <c r="AR17" s="1">
        <v>8</v>
      </c>
    </row>
    <row r="18" spans="1:44" x14ac:dyDescent="0.25">
      <c r="A18" s="1">
        <v>32</v>
      </c>
      <c r="B18" s="8" t="str" cm="1">
        <f t="array" ref="B18">_xlfn.IFS(A18 &lt;= 25, "[18-25]", A18 &lt;= 35, "[26-35]", A18 &lt;=45, "[36-45]", A18 &lt;= 60, "[46- 60]")</f>
        <v>[26-35]</v>
      </c>
      <c r="C18" s="3" t="s">
        <v>43</v>
      </c>
      <c r="D18">
        <f t="shared" si="0"/>
        <v>0</v>
      </c>
      <c r="E18" t="s">
        <v>36</v>
      </c>
      <c r="F18" s="1">
        <v>334</v>
      </c>
      <c r="G18" s="3" t="s">
        <v>45</v>
      </c>
      <c r="H18" s="1">
        <v>5</v>
      </c>
      <c r="I18" s="9" t="str" cm="1">
        <f t="array" ref="I18">_xlfn.IFS(H18 &lt;= 2, "[1-2] very close", H18 &lt;= 10, "[3-10] close", H18 &lt;= 20, "[11-20] moderate", H18 &lt;= 30, "[21-30] far")</f>
        <v>[3-10] close</v>
      </c>
      <c r="J18" s="1">
        <v>2</v>
      </c>
      <c r="K18" s="3" t="s">
        <v>38</v>
      </c>
      <c r="L18" s="1">
        <v>1</v>
      </c>
      <c r="M18" s="1">
        <v>21</v>
      </c>
      <c r="N18" s="1">
        <v>1</v>
      </c>
      <c r="O18" s="3" t="s">
        <v>46</v>
      </c>
      <c r="P18" s="1">
        <v>80</v>
      </c>
      <c r="Q18" s="1">
        <v>4</v>
      </c>
      <c r="R18" s="1">
        <v>1</v>
      </c>
      <c r="S18" s="3" t="s">
        <v>47</v>
      </c>
      <c r="T18" s="1">
        <v>2</v>
      </c>
      <c r="U18" s="3" t="s">
        <v>52</v>
      </c>
      <c r="V18" s="4">
        <v>3298</v>
      </c>
      <c r="W18" s="1">
        <v>15053</v>
      </c>
      <c r="X18" s="1">
        <v>0</v>
      </c>
      <c r="Y18" s="3" t="s">
        <v>42</v>
      </c>
      <c r="Z18" s="3" t="s">
        <v>35</v>
      </c>
      <c r="AA18" s="5">
        <v>0.12</v>
      </c>
      <c r="AB18" s="10" t="str" cm="1">
        <f t="array" ref="AB18">_xlfn.IFS(AA18 &lt;= 15%, "Low Hike[11-15%]", AA18 &lt;= 20%, "Moderate Hike[16-20%]", AA18 &lt;= 25%,"High Hike[21-25%]")</f>
        <v>Low Hike[11-15%]</v>
      </c>
      <c r="AC18" s="1">
        <v>3</v>
      </c>
      <c r="AD18" s="1">
        <v>4</v>
      </c>
      <c r="AE18" s="1">
        <v>80</v>
      </c>
      <c r="AF18" s="1">
        <v>2</v>
      </c>
      <c r="AG18" s="1">
        <v>7</v>
      </c>
      <c r="AH18" s="9" t="str" cm="1">
        <f t="array" ref="AH18">_xlfn.IFS(AG18 &lt;= 5, "New[1-5]", AG18 &lt;= 10, "Early Career[6-10]", AG18 &lt;= 20, "Established[11-20]", AG18 &lt;= 30, "Veteran[21-30]", AG18 &lt;= 40, "Late Career[31-40]")</f>
        <v>Early Career[6-10]</v>
      </c>
      <c r="AI18" s="1">
        <v>5</v>
      </c>
      <c r="AJ18" s="1">
        <v>2</v>
      </c>
      <c r="AK18" s="1">
        <v>6</v>
      </c>
      <c r="AL18" s="9" t="str" cm="1">
        <f t="array" ref="AL18">_xlfn.IFS(AK18 &lt;= 5, "New[1-5]", AK18 &lt;= 10, "Early Career[6-10]", AK18 &lt;= 20, "Established[11-20]", AK18 &lt;= 30, "Veteran[21-30]", AK18 &lt;= 40, "Late Career[31-40]")</f>
        <v>Early Career[6-10]</v>
      </c>
      <c r="AM18" s="1">
        <v>2</v>
      </c>
      <c r="AN18" s="9" t="str" cm="1">
        <f t="array" ref="AN18">_xlfn.IFS(AM18 &lt;= 3, "New to Role[1-3]", AM18 &lt;= 7, "Settled[4-7]", AM18 &lt;= 12, "Experienced[[8-12]", AM18 &lt;= 18, "Long Tenured[13-18]")</f>
        <v>New to Role[1-3]</v>
      </c>
      <c r="AO18" s="1">
        <v>0</v>
      </c>
      <c r="AP18" s="9" t="str" cm="1">
        <f t="array" ref="AP18">_xlfn.IFS(AO18 &lt;= 3, "Recently[1-3]", AO18 &lt;= 6, "Due Soon[4-6]", AO18 &lt;= 10, "Overdue[7-10]", AO18 &lt;= 15, "Long Overdue[11-15]")</f>
        <v>Recently[1-3]</v>
      </c>
      <c r="AQ18" s="9" t="str" cm="1">
        <f t="array" ref="AQ18">_xlfn.IFS(AR18 &lt;= 3, "New Relationship[1-3]", AR18 &lt;= 7, "Established Relationship[4-7]", AR18 &lt;= 12, "Long Term Relationship[8-12]", AR18 &lt;= 17, "Very Long Term Relationship[13-17]")</f>
        <v>Established Relationship[4-7]</v>
      </c>
      <c r="AR18" s="1">
        <v>5</v>
      </c>
    </row>
    <row r="19" spans="1:44" x14ac:dyDescent="0.25">
      <c r="A19" s="1">
        <v>22</v>
      </c>
      <c r="B19" s="8" t="str" cm="1">
        <f t="array" ref="B19">_xlfn.IFS(A19 &lt;= 25, "[18-25]", A19 &lt;= 35, "[26-35]", A19 &lt;=45, "[36-45]", A19 &lt;= 60, "[46- 60]")</f>
        <v>[18-25]</v>
      </c>
      <c r="C19" s="3" t="s">
        <v>43</v>
      </c>
      <c r="D19">
        <f t="shared" si="0"/>
        <v>0</v>
      </c>
      <c r="E19" t="s">
        <v>62</v>
      </c>
      <c r="F19" s="1">
        <v>1123</v>
      </c>
      <c r="G19" s="3" t="s">
        <v>45</v>
      </c>
      <c r="H19" s="1">
        <v>16</v>
      </c>
      <c r="I19" s="9" t="str" cm="1">
        <f t="array" ref="I19">_xlfn.IFS(H19 &lt;= 2, "[1-2] very close", H19 &lt;= 10, "[3-10] close", H19 &lt;= 20, "[11-20] moderate", H19 &lt;= 30, "[21-30] far")</f>
        <v>[11-20] moderate</v>
      </c>
      <c r="J19" s="1">
        <v>2</v>
      </c>
      <c r="K19" s="3" t="s">
        <v>51</v>
      </c>
      <c r="L19" s="1">
        <v>1</v>
      </c>
      <c r="M19" s="1">
        <v>22</v>
      </c>
      <c r="N19" s="1">
        <v>4</v>
      </c>
      <c r="O19" s="3" t="s">
        <v>46</v>
      </c>
      <c r="P19" s="1">
        <v>96</v>
      </c>
      <c r="Q19" s="1">
        <v>4</v>
      </c>
      <c r="R19" s="1">
        <v>1</v>
      </c>
      <c r="S19" s="3" t="s">
        <v>50</v>
      </c>
      <c r="T19" s="1">
        <v>4</v>
      </c>
      <c r="U19" s="3" t="s">
        <v>52</v>
      </c>
      <c r="V19" s="4">
        <v>2935</v>
      </c>
      <c r="W19" s="1">
        <v>7324</v>
      </c>
      <c r="X19" s="1">
        <v>1</v>
      </c>
      <c r="Y19" s="3" t="s">
        <v>42</v>
      </c>
      <c r="Z19" s="3" t="s">
        <v>35</v>
      </c>
      <c r="AA19" s="5">
        <v>0.13</v>
      </c>
      <c r="AB19" s="10" t="str" cm="1">
        <f t="array" ref="AB19">_xlfn.IFS(AA19 &lt;= 15%, "Low Hike[11-15%]", AA19 &lt;= 20%, "Moderate Hike[16-20%]", AA19 &lt;= 25%,"High Hike[21-25%]")</f>
        <v>Low Hike[11-15%]</v>
      </c>
      <c r="AC19" s="1">
        <v>3</v>
      </c>
      <c r="AD19" s="1">
        <v>2</v>
      </c>
      <c r="AE19" s="1">
        <v>80</v>
      </c>
      <c r="AF19" s="1">
        <v>2</v>
      </c>
      <c r="AG19" s="1">
        <v>1</v>
      </c>
      <c r="AH19" s="9" t="str" cm="1">
        <f t="array" ref="AH19">_xlfn.IFS(AG19 &lt;= 5, "New[1-5]", AG19 &lt;= 10, "Early Career[6-10]", AG19 &lt;= 20, "Established[11-20]", AG19 &lt;= 30, "Veteran[21-30]", AG19 &lt;= 40, "Late Career[31-40]")</f>
        <v>New[1-5]</v>
      </c>
      <c r="AI19" s="1">
        <v>2</v>
      </c>
      <c r="AJ19" s="1">
        <v>2</v>
      </c>
      <c r="AK19" s="1">
        <v>1</v>
      </c>
      <c r="AL19" s="9" t="str" cm="1">
        <f t="array" ref="AL19">_xlfn.IFS(AK19 &lt;= 5, "New[1-5]", AK19 &lt;= 10, "Early Career[6-10]", AK19 &lt;= 20, "Established[11-20]", AK19 &lt;= 30, "Veteran[21-30]", AK19 &lt;= 40, "Late Career[31-40]")</f>
        <v>New[1-5]</v>
      </c>
      <c r="AM19" s="1">
        <v>0</v>
      </c>
      <c r="AN19" s="9" t="str" cm="1">
        <f t="array" ref="AN19">_xlfn.IFS(AM19 &lt;= 3, "New to Role[1-3]", AM19 &lt;= 7, "Settled[4-7]", AM19 &lt;= 12, "Experienced[[8-12]", AM19 &lt;= 18, "Long Tenured[13-18]")</f>
        <v>New to Role[1-3]</v>
      </c>
      <c r="AO19" s="1">
        <v>0</v>
      </c>
      <c r="AP19" s="9" t="str" cm="1">
        <f t="array" ref="AP19">_xlfn.IFS(AO19 &lt;= 3, "Recently[1-3]", AO19 &lt;= 6, "Due Soon[4-6]", AO19 &lt;= 10, "Overdue[7-10]", AO19 &lt;= 15, "Long Overdue[11-15]")</f>
        <v>Recently[1-3]</v>
      </c>
      <c r="AQ19" s="9" t="str" cm="1">
        <f t="array" ref="AQ19">_xlfn.IFS(AR19 &lt;= 3, "New Relationship[1-3]", AR19 &lt;= 7, "Established Relationship[4-7]", AR19 &lt;= 12, "Long Term Relationship[8-12]", AR19 &lt;= 17, "Very Long Term Relationship[13-17]")</f>
        <v>New Relationship[1-3]</v>
      </c>
      <c r="AR19" s="1">
        <v>0</v>
      </c>
    </row>
    <row r="20" spans="1:44" x14ac:dyDescent="0.25">
      <c r="A20" s="1">
        <v>53</v>
      </c>
      <c r="B20" s="8" t="str" cm="1">
        <f t="array" ref="B20">_xlfn.IFS(A20 &lt;= 25, "[18-25]", A20 &lt;= 35, "[26-35]", A20 &lt;=45, "[36-45]", A20 &lt;= 60, "[46- 60]")</f>
        <v>[46- 60]</v>
      </c>
      <c r="C20" s="3" t="s">
        <v>43</v>
      </c>
      <c r="D20">
        <f t="shared" si="0"/>
        <v>0</v>
      </c>
      <c r="E20" t="s">
        <v>36</v>
      </c>
      <c r="F20" s="1">
        <v>1219</v>
      </c>
      <c r="G20" s="3" t="s">
        <v>37</v>
      </c>
      <c r="H20" s="1">
        <v>2</v>
      </c>
      <c r="I20" s="9" t="str" cm="1">
        <f t="array" ref="I20">_xlfn.IFS(H20 &lt;= 2, "[1-2] very close", H20 &lt;= 10, "[3-10] close", H20 &lt;= 20, "[11-20] moderate", H20 &lt;= 30, "[21-30] far")</f>
        <v>[1-2] very close</v>
      </c>
      <c r="J20" s="1">
        <v>4</v>
      </c>
      <c r="K20" s="3" t="s">
        <v>38</v>
      </c>
      <c r="L20" s="1">
        <v>1</v>
      </c>
      <c r="M20" s="1">
        <v>23</v>
      </c>
      <c r="N20" s="1">
        <v>1</v>
      </c>
      <c r="O20" s="3" t="s">
        <v>39</v>
      </c>
      <c r="P20" s="1">
        <v>78</v>
      </c>
      <c r="Q20" s="1">
        <v>2</v>
      </c>
      <c r="R20" s="1">
        <v>4</v>
      </c>
      <c r="S20" s="3" t="s">
        <v>56</v>
      </c>
      <c r="T20" s="1">
        <v>4</v>
      </c>
      <c r="U20" s="3" t="s">
        <v>48</v>
      </c>
      <c r="V20" s="4">
        <v>15427</v>
      </c>
      <c r="W20" s="1">
        <v>22021</v>
      </c>
      <c r="X20" s="1">
        <v>2</v>
      </c>
      <c r="Y20" s="3" t="s">
        <v>42</v>
      </c>
      <c r="Z20" s="3" t="s">
        <v>43</v>
      </c>
      <c r="AA20" s="5">
        <v>0.16</v>
      </c>
      <c r="AB20" s="10" t="str" cm="1">
        <f t="array" ref="AB20">_xlfn.IFS(AA20 &lt;= 15%, "Low Hike[11-15%]", AA20 &lt;= 20%, "Moderate Hike[16-20%]", AA20 &lt;= 25%,"High Hike[21-25%]")</f>
        <v>Moderate Hike[16-20%]</v>
      </c>
      <c r="AC20" s="1">
        <v>3</v>
      </c>
      <c r="AD20" s="1">
        <v>3</v>
      </c>
      <c r="AE20" s="1">
        <v>80</v>
      </c>
      <c r="AF20" s="1">
        <v>0</v>
      </c>
      <c r="AG20" s="1">
        <v>31</v>
      </c>
      <c r="AH20" s="9" t="str" cm="1">
        <f t="array" ref="AH20">_xlfn.IFS(AG20 &lt;= 5, "New[1-5]", AG20 &lt;= 10, "Early Career[6-10]", AG20 &lt;= 20, "Established[11-20]", AG20 &lt;= 30, "Veteran[21-30]", AG20 &lt;= 40, "Late Career[31-40]")</f>
        <v>Late Career[31-40]</v>
      </c>
      <c r="AI20" s="1">
        <v>3</v>
      </c>
      <c r="AJ20" s="1">
        <v>3</v>
      </c>
      <c r="AK20" s="1">
        <v>25</v>
      </c>
      <c r="AL20" s="9" t="str" cm="1">
        <f t="array" ref="AL20">_xlfn.IFS(AK20 &lt;= 5, "New[1-5]", AK20 &lt;= 10, "Early Career[6-10]", AK20 &lt;= 20, "Established[11-20]", AK20 &lt;= 30, "Veteran[21-30]", AK20 &lt;= 40, "Late Career[31-40]")</f>
        <v>Veteran[21-30]</v>
      </c>
      <c r="AM20" s="1">
        <v>8</v>
      </c>
      <c r="AN20" s="9" t="str" cm="1">
        <f t="array" ref="AN20">_xlfn.IFS(AM20 &lt;= 3, "New to Role[1-3]", AM20 &lt;= 7, "Settled[4-7]", AM20 &lt;= 12, "Experienced[[8-12]", AM20 &lt;= 18, "Long Tenured[13-18]")</f>
        <v>Experienced[[8-12]</v>
      </c>
      <c r="AO20" s="1">
        <v>3</v>
      </c>
      <c r="AP20" s="9" t="str" cm="1">
        <f t="array" ref="AP20">_xlfn.IFS(AO20 &lt;= 3, "Recently[1-3]", AO20 &lt;= 6, "Due Soon[4-6]", AO20 &lt;= 10, "Overdue[7-10]", AO20 &lt;= 15, "Long Overdue[11-15]")</f>
        <v>Recently[1-3]</v>
      </c>
      <c r="AQ20" s="9" t="str" cm="1">
        <f t="array" ref="AQ20">_xlfn.IFS(AR20 &lt;= 3, "New Relationship[1-3]", AR20 &lt;= 7, "Established Relationship[4-7]", AR20 &lt;= 12, "Long Term Relationship[8-12]", AR20 &lt;= 17, "Very Long Term Relationship[13-17]")</f>
        <v>Established Relationship[4-7]</v>
      </c>
      <c r="AR20" s="1">
        <v>7</v>
      </c>
    </row>
    <row r="21" spans="1:44" x14ac:dyDescent="0.25">
      <c r="A21" s="1">
        <v>38</v>
      </c>
      <c r="B21" s="8" t="str" cm="1">
        <f t="array" ref="B21">_xlfn.IFS(A21 &lt;= 25, "[18-25]", A21 &lt;= 35, "[26-35]", A21 &lt;=45, "[36-45]", A21 &lt;= 60, "[46- 60]")</f>
        <v>[36-45]</v>
      </c>
      <c r="C21" s="3" t="s">
        <v>43</v>
      </c>
      <c r="D21">
        <f t="shared" si="0"/>
        <v>0</v>
      </c>
      <c r="E21" t="s">
        <v>36</v>
      </c>
      <c r="F21" s="1">
        <v>371</v>
      </c>
      <c r="G21" s="3" t="s">
        <v>45</v>
      </c>
      <c r="H21" s="1">
        <v>2</v>
      </c>
      <c r="I21" s="9" t="str" cm="1">
        <f t="array" ref="I21">_xlfn.IFS(H21 &lt;= 2, "[1-2] very close", H21 &lt;= 10, "[3-10] close", H21 &lt;= 20, "[11-20] moderate", H21 &lt;= 30, "[21-30] far")</f>
        <v>[1-2] very close</v>
      </c>
      <c r="J21" s="1">
        <v>3</v>
      </c>
      <c r="K21" s="3" t="s">
        <v>38</v>
      </c>
      <c r="L21" s="1">
        <v>1</v>
      </c>
      <c r="M21" s="1">
        <v>24</v>
      </c>
      <c r="N21" s="1">
        <v>4</v>
      </c>
      <c r="O21" s="3" t="s">
        <v>46</v>
      </c>
      <c r="P21" s="1">
        <v>45</v>
      </c>
      <c r="Q21" s="1">
        <v>3</v>
      </c>
      <c r="R21" s="1">
        <v>1</v>
      </c>
      <c r="S21" s="3" t="s">
        <v>47</v>
      </c>
      <c r="T21" s="1">
        <v>4</v>
      </c>
      <c r="U21" s="3" t="s">
        <v>41</v>
      </c>
      <c r="V21" s="4">
        <v>3944</v>
      </c>
      <c r="W21" s="1">
        <v>4306</v>
      </c>
      <c r="X21" s="1">
        <v>5</v>
      </c>
      <c r="Y21" s="3" t="s">
        <v>42</v>
      </c>
      <c r="Z21" s="3" t="s">
        <v>35</v>
      </c>
      <c r="AA21" s="5">
        <v>0.11</v>
      </c>
      <c r="AB21" s="10" t="str" cm="1">
        <f t="array" ref="AB21">_xlfn.IFS(AA21 &lt;= 15%, "Low Hike[11-15%]", AA21 &lt;= 20%, "Moderate Hike[16-20%]", AA21 &lt;= 25%,"High Hike[21-25%]")</f>
        <v>Low Hike[11-15%]</v>
      </c>
      <c r="AC21" s="1">
        <v>3</v>
      </c>
      <c r="AD21" s="1">
        <v>3</v>
      </c>
      <c r="AE21" s="1">
        <v>80</v>
      </c>
      <c r="AF21" s="1">
        <v>0</v>
      </c>
      <c r="AG21" s="1">
        <v>6</v>
      </c>
      <c r="AH21" s="9" t="str" cm="1">
        <f t="array" ref="AH21">_xlfn.IFS(AG21 &lt;= 5, "New[1-5]", AG21 &lt;= 10, "Early Career[6-10]", AG21 &lt;= 20, "Established[11-20]", AG21 &lt;= 30, "Veteran[21-30]", AG21 &lt;= 40, "Late Career[31-40]")</f>
        <v>Early Career[6-10]</v>
      </c>
      <c r="AI21" s="1">
        <v>3</v>
      </c>
      <c r="AJ21" s="1">
        <v>3</v>
      </c>
      <c r="AK21" s="1">
        <v>3</v>
      </c>
      <c r="AL21" s="9" t="str" cm="1">
        <f t="array" ref="AL21">_xlfn.IFS(AK21 &lt;= 5, "New[1-5]", AK21 &lt;= 10, "Early Career[6-10]", AK21 &lt;= 20, "Established[11-20]", AK21 &lt;= 30, "Veteran[21-30]", AK21 &lt;= 40, "Late Career[31-40]")</f>
        <v>New[1-5]</v>
      </c>
      <c r="AM21" s="1">
        <v>2</v>
      </c>
      <c r="AN21" s="9" t="str" cm="1">
        <f t="array" ref="AN21">_xlfn.IFS(AM21 &lt;= 3, "New to Role[1-3]", AM21 &lt;= 7, "Settled[4-7]", AM21 &lt;= 12, "Experienced[[8-12]", AM21 &lt;= 18, "Long Tenured[13-18]")</f>
        <v>New to Role[1-3]</v>
      </c>
      <c r="AO21" s="1">
        <v>1</v>
      </c>
      <c r="AP21" s="9" t="str" cm="1">
        <f t="array" ref="AP21">_xlfn.IFS(AO21 &lt;= 3, "Recently[1-3]", AO21 &lt;= 6, "Due Soon[4-6]", AO21 &lt;= 10, "Overdue[7-10]", AO21 &lt;= 15, "Long Overdue[11-15]")</f>
        <v>Recently[1-3]</v>
      </c>
      <c r="AQ21" s="9" t="str" cm="1">
        <f t="array" ref="AQ21">_xlfn.IFS(AR21 &lt;= 3, "New Relationship[1-3]", AR21 &lt;= 7, "Established Relationship[4-7]", AR21 &lt;= 12, "Long Term Relationship[8-12]", AR21 &lt;= 17, "Very Long Term Relationship[13-17]")</f>
        <v>New Relationship[1-3]</v>
      </c>
      <c r="AR21" s="1">
        <v>2</v>
      </c>
    </row>
    <row r="22" spans="1:44" x14ac:dyDescent="0.25">
      <c r="A22" s="1">
        <v>24</v>
      </c>
      <c r="B22" s="8" t="str" cm="1">
        <f t="array" ref="B22">_xlfn.IFS(A22 &lt;= 25, "[18-25]", A22 &lt;= 35, "[26-35]", A22 &lt;=45, "[36-45]", A22 &lt;= 60, "[46- 60]")</f>
        <v>[18-25]</v>
      </c>
      <c r="C22" s="3" t="s">
        <v>43</v>
      </c>
      <c r="D22">
        <f t="shared" si="0"/>
        <v>0</v>
      </c>
      <c r="E22" t="s">
        <v>62</v>
      </c>
      <c r="F22" s="1">
        <v>673</v>
      </c>
      <c r="G22" s="3" t="s">
        <v>45</v>
      </c>
      <c r="H22" s="1">
        <v>11</v>
      </c>
      <c r="I22" s="9" t="str" cm="1">
        <f t="array" ref="I22">_xlfn.IFS(H22 &lt;= 2, "[1-2] very close", H22 &lt;= 10, "[3-10] close", H22 &lt;= 20, "[11-20] moderate", H22 &lt;= 30, "[21-30] far")</f>
        <v>[11-20] moderate</v>
      </c>
      <c r="J22" s="1">
        <v>2</v>
      </c>
      <c r="K22" s="3" t="s">
        <v>49</v>
      </c>
      <c r="L22" s="1">
        <v>1</v>
      </c>
      <c r="M22" s="1">
        <v>26</v>
      </c>
      <c r="N22" s="1">
        <v>1</v>
      </c>
      <c r="O22" s="3" t="s">
        <v>39</v>
      </c>
      <c r="P22" s="1">
        <v>96</v>
      </c>
      <c r="Q22" s="1">
        <v>4</v>
      </c>
      <c r="R22" s="1">
        <v>2</v>
      </c>
      <c r="S22" s="3" t="s">
        <v>53</v>
      </c>
      <c r="T22" s="1">
        <v>3</v>
      </c>
      <c r="U22" s="3" t="s">
        <v>52</v>
      </c>
      <c r="V22" s="4">
        <v>4011</v>
      </c>
      <c r="W22" s="1">
        <v>8232</v>
      </c>
      <c r="X22" s="1">
        <v>0</v>
      </c>
      <c r="Y22" s="3" t="s">
        <v>42</v>
      </c>
      <c r="Z22" s="3" t="s">
        <v>43</v>
      </c>
      <c r="AA22" s="5">
        <v>0.18</v>
      </c>
      <c r="AB22" s="10" t="str" cm="1">
        <f t="array" ref="AB22">_xlfn.IFS(AA22 &lt;= 15%, "Low Hike[11-15%]", AA22 &lt;= 20%, "Moderate Hike[16-20%]", AA22 &lt;= 25%,"High Hike[21-25%]")</f>
        <v>Moderate Hike[16-20%]</v>
      </c>
      <c r="AC22" s="1">
        <v>3</v>
      </c>
      <c r="AD22" s="1">
        <v>4</v>
      </c>
      <c r="AE22" s="1">
        <v>80</v>
      </c>
      <c r="AF22" s="1">
        <v>1</v>
      </c>
      <c r="AG22" s="1">
        <v>5</v>
      </c>
      <c r="AH22" s="9" t="str" cm="1">
        <f t="array" ref="AH22">_xlfn.IFS(AG22 &lt;= 5, "New[1-5]", AG22 &lt;= 10, "Early Career[6-10]", AG22 &lt;= 20, "Established[11-20]", AG22 &lt;= 30, "Veteran[21-30]", AG22 &lt;= 40, "Late Career[31-40]")</f>
        <v>New[1-5]</v>
      </c>
      <c r="AI22" s="1">
        <v>5</v>
      </c>
      <c r="AJ22" s="1">
        <v>2</v>
      </c>
      <c r="AK22" s="1">
        <v>4</v>
      </c>
      <c r="AL22" s="9" t="str" cm="1">
        <f t="array" ref="AL22">_xlfn.IFS(AK22 &lt;= 5, "New[1-5]", AK22 &lt;= 10, "Early Career[6-10]", AK22 &lt;= 20, "Established[11-20]", AK22 &lt;= 30, "Veteran[21-30]", AK22 &lt;= 40, "Late Career[31-40]")</f>
        <v>New[1-5]</v>
      </c>
      <c r="AM22" s="1">
        <v>2</v>
      </c>
      <c r="AN22" s="9" t="str" cm="1">
        <f t="array" ref="AN22">_xlfn.IFS(AM22 &lt;= 3, "New to Role[1-3]", AM22 &lt;= 7, "Settled[4-7]", AM22 &lt;= 12, "Experienced[[8-12]", AM22 &lt;= 18, "Long Tenured[13-18]")</f>
        <v>New to Role[1-3]</v>
      </c>
      <c r="AO22" s="1">
        <v>1</v>
      </c>
      <c r="AP22" s="9" t="str" cm="1">
        <f t="array" ref="AP22">_xlfn.IFS(AO22 &lt;= 3, "Recently[1-3]", AO22 &lt;= 6, "Due Soon[4-6]", AO22 &lt;= 10, "Overdue[7-10]", AO22 &lt;= 15, "Long Overdue[11-15]")</f>
        <v>Recently[1-3]</v>
      </c>
      <c r="AQ22" s="9" t="str" cm="1">
        <f t="array" ref="AQ22">_xlfn.IFS(AR22 &lt;= 3, "New Relationship[1-3]", AR22 &lt;= 7, "Established Relationship[4-7]", AR22 &lt;= 12, "Long Term Relationship[8-12]", AR22 &lt;= 17, "Very Long Term Relationship[13-17]")</f>
        <v>New Relationship[1-3]</v>
      </c>
      <c r="AR22" s="1">
        <v>3</v>
      </c>
    </row>
    <row r="23" spans="1:44" x14ac:dyDescent="0.25">
      <c r="A23" s="1">
        <v>36</v>
      </c>
      <c r="B23" s="8" t="str" cm="1">
        <f t="array" ref="B23">_xlfn.IFS(A23 &lt;= 25, "[18-25]", A23 &lt;= 35, "[26-35]", A23 &lt;=45, "[36-45]", A23 &lt;= 60, "[46- 60]")</f>
        <v>[36-45]</v>
      </c>
      <c r="C23" s="3" t="s">
        <v>35</v>
      </c>
      <c r="D23">
        <f t="shared" si="0"/>
        <v>1</v>
      </c>
      <c r="E23" t="s">
        <v>36</v>
      </c>
      <c r="F23" s="1">
        <v>1218</v>
      </c>
      <c r="G23" s="3" t="s">
        <v>37</v>
      </c>
      <c r="H23" s="1">
        <v>9</v>
      </c>
      <c r="I23" s="9" t="str" cm="1">
        <f t="array" ref="I23">_xlfn.IFS(H23 &lt;= 2, "[1-2] very close", H23 &lt;= 10, "[3-10] close", H23 &lt;= 20, "[11-20] moderate", H23 &lt;= 30, "[21-30] far")</f>
        <v>[3-10] close</v>
      </c>
      <c r="J23" s="1">
        <v>4</v>
      </c>
      <c r="K23" s="3" t="s">
        <v>38</v>
      </c>
      <c r="L23" s="1">
        <v>1</v>
      </c>
      <c r="M23" s="1">
        <v>27</v>
      </c>
      <c r="N23" s="1">
        <v>3</v>
      </c>
      <c r="O23" s="3" t="s">
        <v>46</v>
      </c>
      <c r="P23" s="1">
        <v>82</v>
      </c>
      <c r="Q23" s="1">
        <v>2</v>
      </c>
      <c r="R23" s="1">
        <v>1</v>
      </c>
      <c r="S23" s="3" t="s">
        <v>57</v>
      </c>
      <c r="T23" s="1">
        <v>1</v>
      </c>
      <c r="U23" s="3" t="s">
        <v>41</v>
      </c>
      <c r="V23" s="4">
        <v>3407</v>
      </c>
      <c r="W23" s="1">
        <v>6986</v>
      </c>
      <c r="X23" s="1">
        <v>7</v>
      </c>
      <c r="Y23" s="3" t="s">
        <v>42</v>
      </c>
      <c r="Z23" s="3" t="s">
        <v>43</v>
      </c>
      <c r="AA23" s="5">
        <v>0.23</v>
      </c>
      <c r="AB23" s="10" t="str" cm="1">
        <f t="array" ref="AB23">_xlfn.IFS(AA23 &lt;= 15%, "Low Hike[11-15%]", AA23 &lt;= 20%, "Moderate Hike[16-20%]", AA23 &lt;= 25%,"High Hike[21-25%]")</f>
        <v>High Hike[21-25%]</v>
      </c>
      <c r="AC23" s="1">
        <v>4</v>
      </c>
      <c r="AD23" s="1">
        <v>2</v>
      </c>
      <c r="AE23" s="1">
        <v>80</v>
      </c>
      <c r="AF23" s="1">
        <v>0</v>
      </c>
      <c r="AG23" s="1">
        <v>10</v>
      </c>
      <c r="AH23" s="9" t="str" cm="1">
        <f t="array" ref="AH23">_xlfn.IFS(AG23 &lt;= 5, "New[1-5]", AG23 &lt;= 10, "Early Career[6-10]", AG23 &lt;= 20, "Established[11-20]", AG23 &lt;= 30, "Veteran[21-30]", AG23 &lt;= 40, "Late Career[31-40]")</f>
        <v>Early Career[6-10]</v>
      </c>
      <c r="AI23" s="1">
        <v>4</v>
      </c>
      <c r="AJ23" s="1">
        <v>3</v>
      </c>
      <c r="AK23" s="1">
        <v>5</v>
      </c>
      <c r="AL23" s="9" t="str" cm="1">
        <f t="array" ref="AL23">_xlfn.IFS(AK23 &lt;= 5, "New[1-5]", AK23 &lt;= 10, "Early Career[6-10]", AK23 &lt;= 20, "Established[11-20]", AK23 &lt;= 30, "Veteran[21-30]", AK23 &lt;= 40, "Late Career[31-40]")</f>
        <v>New[1-5]</v>
      </c>
      <c r="AM23" s="1">
        <v>3</v>
      </c>
      <c r="AN23" s="9" t="str" cm="1">
        <f t="array" ref="AN23">_xlfn.IFS(AM23 &lt;= 3, "New to Role[1-3]", AM23 &lt;= 7, "Settled[4-7]", AM23 &lt;= 12, "Experienced[[8-12]", AM23 &lt;= 18, "Long Tenured[13-18]")</f>
        <v>New to Role[1-3]</v>
      </c>
      <c r="AO23" s="1">
        <v>0</v>
      </c>
      <c r="AP23" s="9" t="str" cm="1">
        <f t="array" ref="AP23">_xlfn.IFS(AO23 &lt;= 3, "Recently[1-3]", AO23 &lt;= 6, "Due Soon[4-6]", AO23 &lt;= 10, "Overdue[7-10]", AO23 &lt;= 15, "Long Overdue[11-15]")</f>
        <v>Recently[1-3]</v>
      </c>
      <c r="AQ23" s="9" t="str" cm="1">
        <f t="array" ref="AQ23">_xlfn.IFS(AR23 &lt;= 3, "New Relationship[1-3]", AR23 &lt;= 7, "Established Relationship[4-7]", AR23 &lt;= 12, "Long Term Relationship[8-12]", AR23 &lt;= 17, "Very Long Term Relationship[13-17]")</f>
        <v>New Relationship[1-3]</v>
      </c>
      <c r="AR23" s="1">
        <v>3</v>
      </c>
    </row>
    <row r="24" spans="1:44" x14ac:dyDescent="0.25">
      <c r="A24" s="1">
        <v>34</v>
      </c>
      <c r="B24" s="8" t="str" cm="1">
        <f t="array" ref="B24">_xlfn.IFS(A24 &lt;= 25, "[18-25]", A24 &lt;= 35, "[26-35]", A24 &lt;=45, "[36-45]", A24 &lt;= 60, "[46- 60]")</f>
        <v>[26-35]</v>
      </c>
      <c r="C24" s="3" t="s">
        <v>43</v>
      </c>
      <c r="D24">
        <f t="shared" si="0"/>
        <v>0</v>
      </c>
      <c r="E24" t="s">
        <v>36</v>
      </c>
      <c r="F24" s="1">
        <v>419</v>
      </c>
      <c r="G24" s="3" t="s">
        <v>45</v>
      </c>
      <c r="H24" s="1">
        <v>7</v>
      </c>
      <c r="I24" s="9" t="str" cm="1">
        <f t="array" ref="I24">_xlfn.IFS(H24 &lt;= 2, "[1-2] very close", H24 &lt;= 10, "[3-10] close", H24 &lt;= 20, "[11-20] moderate", H24 &lt;= 30, "[21-30] far")</f>
        <v>[3-10] close</v>
      </c>
      <c r="J24" s="1">
        <v>4</v>
      </c>
      <c r="K24" s="3" t="s">
        <v>38</v>
      </c>
      <c r="L24" s="1">
        <v>1</v>
      </c>
      <c r="M24" s="1">
        <v>28</v>
      </c>
      <c r="N24" s="1">
        <v>1</v>
      </c>
      <c r="O24" s="3" t="s">
        <v>39</v>
      </c>
      <c r="P24" s="1">
        <v>53</v>
      </c>
      <c r="Q24" s="1">
        <v>3</v>
      </c>
      <c r="R24" s="1">
        <v>3</v>
      </c>
      <c r="S24" s="3" t="s">
        <v>58</v>
      </c>
      <c r="T24" s="1">
        <v>2</v>
      </c>
      <c r="U24" s="3" t="s">
        <v>41</v>
      </c>
      <c r="V24" s="4">
        <v>11994</v>
      </c>
      <c r="W24" s="1">
        <v>21293</v>
      </c>
      <c r="X24" s="1">
        <v>0</v>
      </c>
      <c r="Y24" s="3" t="s">
        <v>42</v>
      </c>
      <c r="Z24" s="3" t="s">
        <v>43</v>
      </c>
      <c r="AA24" s="5">
        <v>0.11</v>
      </c>
      <c r="AB24" s="10" t="str" cm="1">
        <f t="array" ref="AB24">_xlfn.IFS(AA24 &lt;= 15%, "Low Hike[11-15%]", AA24 &lt;= 20%, "Moderate Hike[16-20%]", AA24 &lt;= 25%,"High Hike[21-25%]")</f>
        <v>Low Hike[11-15%]</v>
      </c>
      <c r="AC24" s="1">
        <v>3</v>
      </c>
      <c r="AD24" s="1">
        <v>3</v>
      </c>
      <c r="AE24" s="1">
        <v>80</v>
      </c>
      <c r="AF24" s="1">
        <v>0</v>
      </c>
      <c r="AG24" s="1">
        <v>13</v>
      </c>
      <c r="AH24" s="9" t="str" cm="1">
        <f t="array" ref="AH24">_xlfn.IFS(AG24 &lt;= 5, "New[1-5]", AG24 &lt;= 10, "Early Career[6-10]", AG24 &lt;= 20, "Established[11-20]", AG24 &lt;= 30, "Veteran[21-30]", AG24 &lt;= 40, "Late Career[31-40]")</f>
        <v>Established[11-20]</v>
      </c>
      <c r="AI24" s="1">
        <v>4</v>
      </c>
      <c r="AJ24" s="1">
        <v>3</v>
      </c>
      <c r="AK24" s="1">
        <v>12</v>
      </c>
      <c r="AL24" s="9" t="str" cm="1">
        <f t="array" ref="AL24">_xlfn.IFS(AK24 &lt;= 5, "New[1-5]", AK24 &lt;= 10, "Early Career[6-10]", AK24 &lt;= 20, "Established[11-20]", AK24 &lt;= 30, "Veteran[21-30]", AK24 &lt;= 40, "Late Career[31-40]")</f>
        <v>Established[11-20]</v>
      </c>
      <c r="AM24" s="1">
        <v>6</v>
      </c>
      <c r="AN24" s="9" t="str" cm="1">
        <f t="array" ref="AN24">_xlfn.IFS(AM24 &lt;= 3, "New to Role[1-3]", AM24 &lt;= 7, "Settled[4-7]", AM24 &lt;= 12, "Experienced[[8-12]", AM24 &lt;= 18, "Long Tenured[13-18]")</f>
        <v>Settled[4-7]</v>
      </c>
      <c r="AO24" s="1">
        <v>2</v>
      </c>
      <c r="AP24" s="9" t="str" cm="1">
        <f t="array" ref="AP24">_xlfn.IFS(AO24 &lt;= 3, "Recently[1-3]", AO24 &lt;= 6, "Due Soon[4-6]", AO24 &lt;= 10, "Overdue[7-10]", AO24 &lt;= 15, "Long Overdue[11-15]")</f>
        <v>Recently[1-3]</v>
      </c>
      <c r="AQ24" s="9" t="str" cm="1">
        <f t="array" ref="AQ24">_xlfn.IFS(AR24 &lt;= 3, "New Relationship[1-3]", AR24 &lt;= 7, "Established Relationship[4-7]", AR24 &lt;= 12, "Long Term Relationship[8-12]", AR24 &lt;= 17, "Very Long Term Relationship[13-17]")</f>
        <v>Long Term Relationship[8-12]</v>
      </c>
      <c r="AR24" s="1">
        <v>11</v>
      </c>
    </row>
    <row r="25" spans="1:44" x14ac:dyDescent="0.25">
      <c r="A25" s="1">
        <v>21</v>
      </c>
      <c r="B25" s="8" t="str" cm="1">
        <f t="array" ref="B25">_xlfn.IFS(A25 &lt;= 25, "[18-25]", A25 &lt;= 35, "[26-35]", A25 &lt;=45, "[36-45]", A25 &lt;= 60, "[46- 60]")</f>
        <v>[18-25]</v>
      </c>
      <c r="C25" s="3" t="s">
        <v>43</v>
      </c>
      <c r="D25">
        <f t="shared" si="0"/>
        <v>0</v>
      </c>
      <c r="E25" t="s">
        <v>36</v>
      </c>
      <c r="F25" s="1">
        <v>391</v>
      </c>
      <c r="G25" s="3" t="s">
        <v>45</v>
      </c>
      <c r="H25" s="1">
        <v>15</v>
      </c>
      <c r="I25" s="9" t="str" cm="1">
        <f t="array" ref="I25">_xlfn.IFS(H25 &lt;= 2, "[1-2] very close", H25 &lt;= 10, "[3-10] close", H25 &lt;= 20, "[11-20] moderate", H25 &lt;= 30, "[21-30] far")</f>
        <v>[11-20] moderate</v>
      </c>
      <c r="J25" s="1">
        <v>2</v>
      </c>
      <c r="K25" s="3" t="s">
        <v>38</v>
      </c>
      <c r="L25" s="1">
        <v>1</v>
      </c>
      <c r="M25" s="1">
        <v>30</v>
      </c>
      <c r="N25" s="1">
        <v>3</v>
      </c>
      <c r="O25" s="3" t="s">
        <v>46</v>
      </c>
      <c r="P25" s="1">
        <v>96</v>
      </c>
      <c r="Q25" s="1">
        <v>3</v>
      </c>
      <c r="R25" s="1">
        <v>1</v>
      </c>
      <c r="S25" s="3" t="s">
        <v>47</v>
      </c>
      <c r="T25" s="1">
        <v>4</v>
      </c>
      <c r="U25" s="3" t="s">
        <v>41</v>
      </c>
      <c r="V25" s="4">
        <v>1232</v>
      </c>
      <c r="W25" s="1">
        <v>19281</v>
      </c>
      <c r="X25" s="1">
        <v>1</v>
      </c>
      <c r="Y25" s="3" t="s">
        <v>42</v>
      </c>
      <c r="Z25" s="3" t="s">
        <v>43</v>
      </c>
      <c r="AA25" s="5">
        <v>0.14000000000000001</v>
      </c>
      <c r="AB25" s="10" t="str" cm="1">
        <f t="array" ref="AB25">_xlfn.IFS(AA25 &lt;= 15%, "Low Hike[11-15%]", AA25 &lt;= 20%, "Moderate Hike[16-20%]", AA25 &lt;= 25%,"High Hike[21-25%]")</f>
        <v>Low Hike[11-15%]</v>
      </c>
      <c r="AC25" s="1">
        <v>3</v>
      </c>
      <c r="AD25" s="1">
        <v>4</v>
      </c>
      <c r="AE25" s="1">
        <v>80</v>
      </c>
      <c r="AF25" s="1">
        <v>0</v>
      </c>
      <c r="AG25" s="1">
        <v>0</v>
      </c>
      <c r="AH25" s="9" t="str" cm="1">
        <f t="array" ref="AH25">_xlfn.IFS(AG25 &lt;= 5, "New[1-5]", AG25 &lt;= 10, "Early Career[6-10]", AG25 &lt;= 20, "Established[11-20]", AG25 &lt;= 30, "Veteran[21-30]", AG25 &lt;= 40, "Late Career[31-40]")</f>
        <v>New[1-5]</v>
      </c>
      <c r="AI25" s="1">
        <v>6</v>
      </c>
      <c r="AJ25" s="1">
        <v>3</v>
      </c>
      <c r="AK25" s="1">
        <v>0</v>
      </c>
      <c r="AL25" s="9" t="str" cm="1">
        <f t="array" ref="AL25">_xlfn.IFS(AK25 &lt;= 5, "New[1-5]", AK25 &lt;= 10, "Early Career[6-10]", AK25 &lt;= 20, "Established[11-20]", AK25 &lt;= 30, "Veteran[21-30]", AK25 &lt;= 40, "Late Career[31-40]")</f>
        <v>New[1-5]</v>
      </c>
      <c r="AM25" s="1">
        <v>0</v>
      </c>
      <c r="AN25" s="9" t="str" cm="1">
        <f t="array" ref="AN25">_xlfn.IFS(AM25 &lt;= 3, "New to Role[1-3]", AM25 &lt;= 7, "Settled[4-7]", AM25 &lt;= 12, "Experienced[[8-12]", AM25 &lt;= 18, "Long Tenured[13-18]")</f>
        <v>New to Role[1-3]</v>
      </c>
      <c r="AO25" s="1">
        <v>0</v>
      </c>
      <c r="AP25" s="9" t="str" cm="1">
        <f t="array" ref="AP25">_xlfn.IFS(AO25 &lt;= 3, "Recently[1-3]", AO25 &lt;= 6, "Due Soon[4-6]", AO25 &lt;= 10, "Overdue[7-10]", AO25 &lt;= 15, "Long Overdue[11-15]")</f>
        <v>Recently[1-3]</v>
      </c>
      <c r="AQ25" s="9" t="str" cm="1">
        <f t="array" ref="AQ25">_xlfn.IFS(AR25 &lt;= 3, "New Relationship[1-3]", AR25 &lt;= 7, "Established Relationship[4-7]", AR25 &lt;= 12, "Long Term Relationship[8-12]", AR25 &lt;= 17, "Very Long Term Relationship[13-17]")</f>
        <v>New Relationship[1-3]</v>
      </c>
      <c r="AR25" s="1">
        <v>0</v>
      </c>
    </row>
    <row r="26" spans="1:44" x14ac:dyDescent="0.25">
      <c r="A26" s="1">
        <v>34</v>
      </c>
      <c r="B26" s="8" t="str" cm="1">
        <f t="array" ref="B26">_xlfn.IFS(A26 &lt;= 25, "[18-25]", A26 &lt;= 35, "[26-35]", A26 &lt;=45, "[36-45]", A26 &lt;= 60, "[46- 60]")</f>
        <v>[26-35]</v>
      </c>
      <c r="C26" s="3" t="s">
        <v>35</v>
      </c>
      <c r="D26">
        <f t="shared" si="0"/>
        <v>1</v>
      </c>
      <c r="E26" t="s">
        <v>36</v>
      </c>
      <c r="F26" s="1">
        <v>699</v>
      </c>
      <c r="G26" s="3" t="s">
        <v>45</v>
      </c>
      <c r="H26" s="1">
        <v>6</v>
      </c>
      <c r="I26" s="9" t="str" cm="1">
        <f t="array" ref="I26">_xlfn.IFS(H26 &lt;= 2, "[1-2] very close", H26 &lt;= 10, "[3-10] close", H26 &lt;= 20, "[11-20] moderate", H26 &lt;= 30, "[21-30] far")</f>
        <v>[3-10] close</v>
      </c>
      <c r="J26" s="1">
        <v>1</v>
      </c>
      <c r="K26" s="3" t="s">
        <v>51</v>
      </c>
      <c r="L26" s="1">
        <v>1</v>
      </c>
      <c r="M26" s="1">
        <v>31</v>
      </c>
      <c r="N26" s="1">
        <v>2</v>
      </c>
      <c r="O26" s="3" t="s">
        <v>46</v>
      </c>
      <c r="P26" s="1">
        <v>83</v>
      </c>
      <c r="Q26" s="1">
        <v>3</v>
      </c>
      <c r="R26" s="1">
        <v>1</v>
      </c>
      <c r="S26" s="3" t="s">
        <v>47</v>
      </c>
      <c r="T26" s="1">
        <v>1</v>
      </c>
      <c r="U26" s="3" t="s">
        <v>41</v>
      </c>
      <c r="V26" s="4">
        <v>2960</v>
      </c>
      <c r="W26" s="1">
        <v>17102</v>
      </c>
      <c r="X26" s="1">
        <v>2</v>
      </c>
      <c r="Y26" s="3" t="s">
        <v>42</v>
      </c>
      <c r="Z26" s="3" t="s">
        <v>43</v>
      </c>
      <c r="AA26" s="5">
        <v>0.11</v>
      </c>
      <c r="AB26" s="10" t="str" cm="1">
        <f t="array" ref="AB26">_xlfn.IFS(AA26 &lt;= 15%, "Low Hike[11-15%]", AA26 &lt;= 20%, "Moderate Hike[16-20%]", AA26 &lt;= 25%,"High Hike[21-25%]")</f>
        <v>Low Hike[11-15%]</v>
      </c>
      <c r="AC26" s="1">
        <v>3</v>
      </c>
      <c r="AD26" s="1">
        <v>3</v>
      </c>
      <c r="AE26" s="1">
        <v>80</v>
      </c>
      <c r="AF26" s="1">
        <v>0</v>
      </c>
      <c r="AG26" s="1">
        <v>8</v>
      </c>
      <c r="AH26" s="9" t="str" cm="1">
        <f t="array" ref="AH26">_xlfn.IFS(AG26 &lt;= 5, "New[1-5]", AG26 &lt;= 10, "Early Career[6-10]", AG26 &lt;= 20, "Established[11-20]", AG26 &lt;= 30, "Veteran[21-30]", AG26 &lt;= 40, "Late Career[31-40]")</f>
        <v>Early Career[6-10]</v>
      </c>
      <c r="AI26" s="1">
        <v>2</v>
      </c>
      <c r="AJ26" s="1">
        <v>3</v>
      </c>
      <c r="AK26" s="1">
        <v>4</v>
      </c>
      <c r="AL26" s="9" t="str" cm="1">
        <f t="array" ref="AL26">_xlfn.IFS(AK26 &lt;= 5, "New[1-5]", AK26 &lt;= 10, "Early Career[6-10]", AK26 &lt;= 20, "Established[11-20]", AK26 &lt;= 30, "Veteran[21-30]", AK26 &lt;= 40, "Late Career[31-40]")</f>
        <v>New[1-5]</v>
      </c>
      <c r="AM26" s="1">
        <v>2</v>
      </c>
      <c r="AN26" s="9" t="str" cm="1">
        <f t="array" ref="AN26">_xlfn.IFS(AM26 &lt;= 3, "New to Role[1-3]", AM26 &lt;= 7, "Settled[4-7]", AM26 &lt;= 12, "Experienced[[8-12]", AM26 &lt;= 18, "Long Tenured[13-18]")</f>
        <v>New to Role[1-3]</v>
      </c>
      <c r="AO26" s="1">
        <v>1</v>
      </c>
      <c r="AP26" s="9" t="str" cm="1">
        <f t="array" ref="AP26">_xlfn.IFS(AO26 &lt;= 3, "Recently[1-3]", AO26 &lt;= 6, "Due Soon[4-6]", AO26 &lt;= 10, "Overdue[7-10]", AO26 &lt;= 15, "Long Overdue[11-15]")</f>
        <v>Recently[1-3]</v>
      </c>
      <c r="AQ26" s="9" t="str" cm="1">
        <f t="array" ref="AQ26">_xlfn.IFS(AR26 &lt;= 3, "New Relationship[1-3]", AR26 &lt;= 7, "Established Relationship[4-7]", AR26 &lt;= 12, "Long Term Relationship[8-12]", AR26 &lt;= 17, "Very Long Term Relationship[13-17]")</f>
        <v>New Relationship[1-3]</v>
      </c>
      <c r="AR26" s="1">
        <v>3</v>
      </c>
    </row>
    <row r="27" spans="1:44" x14ac:dyDescent="0.25">
      <c r="A27" s="1">
        <v>53</v>
      </c>
      <c r="B27" s="8" t="str" cm="1">
        <f t="array" ref="B27">_xlfn.IFS(A27 &lt;= 25, "[18-25]", A27 &lt;= 35, "[26-35]", A27 &lt;=45, "[36-45]", A27 &lt;= 60, "[46- 60]")</f>
        <v>[46- 60]</v>
      </c>
      <c r="C27" s="3" t="s">
        <v>43</v>
      </c>
      <c r="D27">
        <f t="shared" si="0"/>
        <v>0</v>
      </c>
      <c r="E27" t="s">
        <v>36</v>
      </c>
      <c r="F27" s="1">
        <v>1282</v>
      </c>
      <c r="G27" s="3" t="s">
        <v>45</v>
      </c>
      <c r="H27" s="1">
        <v>5</v>
      </c>
      <c r="I27" s="9" t="str" cm="1">
        <f t="array" ref="I27">_xlfn.IFS(H27 &lt;= 2, "[1-2] very close", H27 &lt;= 10, "[3-10] close", H27 &lt;= 20, "[11-20] moderate", H27 &lt;= 30, "[21-30] far")</f>
        <v>[3-10] close</v>
      </c>
      <c r="J27" s="1">
        <v>3</v>
      </c>
      <c r="K27" s="3" t="s">
        <v>49</v>
      </c>
      <c r="L27" s="1">
        <v>1</v>
      </c>
      <c r="M27" s="1">
        <v>32</v>
      </c>
      <c r="N27" s="1">
        <v>3</v>
      </c>
      <c r="O27" s="3" t="s">
        <v>39</v>
      </c>
      <c r="P27" s="1">
        <v>58</v>
      </c>
      <c r="Q27" s="1">
        <v>3</v>
      </c>
      <c r="R27" s="1">
        <v>5</v>
      </c>
      <c r="S27" s="3" t="s">
        <v>56</v>
      </c>
      <c r="T27" s="1">
        <v>3</v>
      </c>
      <c r="U27" s="3" t="s">
        <v>52</v>
      </c>
      <c r="V27" s="4">
        <v>19094</v>
      </c>
      <c r="W27" s="1">
        <v>10735</v>
      </c>
      <c r="X27" s="1">
        <v>4</v>
      </c>
      <c r="Y27" s="3" t="s">
        <v>42</v>
      </c>
      <c r="Z27" s="3" t="s">
        <v>43</v>
      </c>
      <c r="AA27" s="5">
        <v>0.11</v>
      </c>
      <c r="AB27" s="10" t="str" cm="1">
        <f t="array" ref="AB27">_xlfn.IFS(AA27 &lt;= 15%, "Low Hike[11-15%]", AA27 &lt;= 20%, "Moderate Hike[16-20%]", AA27 &lt;= 25%,"High Hike[21-25%]")</f>
        <v>Low Hike[11-15%]</v>
      </c>
      <c r="AC27" s="1">
        <v>3</v>
      </c>
      <c r="AD27" s="1">
        <v>4</v>
      </c>
      <c r="AE27" s="1">
        <v>80</v>
      </c>
      <c r="AF27" s="1">
        <v>1</v>
      </c>
      <c r="AG27" s="1">
        <v>26</v>
      </c>
      <c r="AH27" s="9" t="str" cm="1">
        <f t="array" ref="AH27">_xlfn.IFS(AG27 &lt;= 5, "New[1-5]", AG27 &lt;= 10, "Early Career[6-10]", AG27 &lt;= 20, "Established[11-20]", AG27 &lt;= 30, "Veteran[21-30]", AG27 &lt;= 40, "Late Career[31-40]")</f>
        <v>Veteran[21-30]</v>
      </c>
      <c r="AI27" s="1">
        <v>3</v>
      </c>
      <c r="AJ27" s="1">
        <v>2</v>
      </c>
      <c r="AK27" s="1">
        <v>14</v>
      </c>
      <c r="AL27" s="9" t="str" cm="1">
        <f t="array" ref="AL27">_xlfn.IFS(AK27 &lt;= 5, "New[1-5]", AK27 &lt;= 10, "Early Career[6-10]", AK27 &lt;= 20, "Established[11-20]", AK27 &lt;= 30, "Veteran[21-30]", AK27 &lt;= 40, "Late Career[31-40]")</f>
        <v>Established[11-20]</v>
      </c>
      <c r="AM27" s="1">
        <v>13</v>
      </c>
      <c r="AN27" s="9" t="str" cm="1">
        <f t="array" ref="AN27">_xlfn.IFS(AM27 &lt;= 3, "New to Role[1-3]", AM27 &lt;= 7, "Settled[4-7]", AM27 &lt;= 12, "Experienced[[8-12]", AM27 &lt;= 18, "Long Tenured[13-18]")</f>
        <v>Long Tenured[13-18]</v>
      </c>
      <c r="AO27" s="1">
        <v>4</v>
      </c>
      <c r="AP27" s="9" t="str" cm="1">
        <f t="array" ref="AP27">_xlfn.IFS(AO27 &lt;= 3, "Recently[1-3]", AO27 &lt;= 6, "Due Soon[4-6]", AO27 &lt;= 10, "Overdue[7-10]", AO27 &lt;= 15, "Long Overdue[11-15]")</f>
        <v>Due Soon[4-6]</v>
      </c>
      <c r="AQ27" s="9" t="str" cm="1">
        <f t="array" ref="AQ27">_xlfn.IFS(AR27 &lt;= 3, "New Relationship[1-3]", AR27 &lt;= 7, "Established Relationship[4-7]", AR27 &lt;= 12, "Long Term Relationship[8-12]", AR27 &lt;= 17, "Very Long Term Relationship[13-17]")</f>
        <v>Long Term Relationship[8-12]</v>
      </c>
      <c r="AR27" s="1">
        <v>8</v>
      </c>
    </row>
    <row r="28" spans="1:44" x14ac:dyDescent="0.25">
      <c r="A28" s="1">
        <v>32</v>
      </c>
      <c r="B28" s="8" t="str" cm="1">
        <f t="array" ref="B28">_xlfn.IFS(A28 &lt;= 25, "[18-25]", A28 &lt;= 35, "[26-35]", A28 &lt;=45, "[36-45]", A28 &lt;= 60, "[46- 60]")</f>
        <v>[26-35]</v>
      </c>
      <c r="C28" s="3" t="s">
        <v>35</v>
      </c>
      <c r="D28">
        <f t="shared" si="0"/>
        <v>1</v>
      </c>
      <c r="E28" t="s">
        <v>44</v>
      </c>
      <c r="F28" s="1">
        <v>1125</v>
      </c>
      <c r="G28" s="3" t="s">
        <v>45</v>
      </c>
      <c r="H28" s="1">
        <v>16</v>
      </c>
      <c r="I28" s="9" t="str" cm="1">
        <f t="array" ref="I28">_xlfn.IFS(H28 &lt;= 2, "[1-2] very close", H28 &lt;= 10, "[3-10] close", H28 &lt;= 20, "[11-20] moderate", H28 &lt;= 30, "[21-30] far")</f>
        <v>[11-20] moderate</v>
      </c>
      <c r="J28" s="1">
        <v>1</v>
      </c>
      <c r="K28" s="3" t="s">
        <v>38</v>
      </c>
      <c r="L28" s="1">
        <v>1</v>
      </c>
      <c r="M28" s="1">
        <v>33</v>
      </c>
      <c r="N28" s="1">
        <v>2</v>
      </c>
      <c r="O28" s="3" t="s">
        <v>39</v>
      </c>
      <c r="P28" s="1">
        <v>72</v>
      </c>
      <c r="Q28" s="1">
        <v>1</v>
      </c>
      <c r="R28" s="1">
        <v>1</v>
      </c>
      <c r="S28" s="3" t="s">
        <v>47</v>
      </c>
      <c r="T28" s="1">
        <v>1</v>
      </c>
      <c r="U28" s="3" t="s">
        <v>41</v>
      </c>
      <c r="V28" s="4">
        <v>3919</v>
      </c>
      <c r="W28" s="1">
        <v>4681</v>
      </c>
      <c r="X28" s="1">
        <v>1</v>
      </c>
      <c r="Y28" s="3" t="s">
        <v>42</v>
      </c>
      <c r="Z28" s="3" t="s">
        <v>35</v>
      </c>
      <c r="AA28" s="5">
        <v>0.22</v>
      </c>
      <c r="AB28" s="10" t="str" cm="1">
        <f t="array" ref="AB28">_xlfn.IFS(AA28 &lt;= 15%, "Low Hike[11-15%]", AA28 &lt;= 20%, "Moderate Hike[16-20%]", AA28 &lt;= 25%,"High Hike[21-25%]")</f>
        <v>High Hike[21-25%]</v>
      </c>
      <c r="AC28" s="1">
        <v>4</v>
      </c>
      <c r="AD28" s="1">
        <v>2</v>
      </c>
      <c r="AE28" s="1">
        <v>80</v>
      </c>
      <c r="AF28" s="1">
        <v>0</v>
      </c>
      <c r="AG28" s="1">
        <v>10</v>
      </c>
      <c r="AH28" s="9" t="str" cm="1">
        <f t="array" ref="AH28">_xlfn.IFS(AG28 &lt;= 5, "New[1-5]", AG28 &lt;= 10, "Early Career[6-10]", AG28 &lt;= 20, "Established[11-20]", AG28 &lt;= 30, "Veteran[21-30]", AG28 &lt;= 40, "Late Career[31-40]")</f>
        <v>Early Career[6-10]</v>
      </c>
      <c r="AI28" s="1">
        <v>5</v>
      </c>
      <c r="AJ28" s="1">
        <v>3</v>
      </c>
      <c r="AK28" s="1">
        <v>10</v>
      </c>
      <c r="AL28" s="9" t="str" cm="1">
        <f t="array" ref="AL28">_xlfn.IFS(AK28 &lt;= 5, "New[1-5]", AK28 &lt;= 10, "Early Career[6-10]", AK28 &lt;= 20, "Established[11-20]", AK28 &lt;= 30, "Veteran[21-30]", AK28 &lt;= 40, "Late Career[31-40]")</f>
        <v>Early Career[6-10]</v>
      </c>
      <c r="AM28" s="1">
        <v>2</v>
      </c>
      <c r="AN28" s="9" t="str" cm="1">
        <f t="array" ref="AN28">_xlfn.IFS(AM28 &lt;= 3, "New to Role[1-3]", AM28 &lt;= 7, "Settled[4-7]", AM28 &lt;= 12, "Experienced[[8-12]", AM28 &lt;= 18, "Long Tenured[13-18]")</f>
        <v>New to Role[1-3]</v>
      </c>
      <c r="AO28" s="1">
        <v>6</v>
      </c>
      <c r="AP28" s="9" t="str" cm="1">
        <f t="array" ref="AP28">_xlfn.IFS(AO28 &lt;= 3, "Recently[1-3]", AO28 &lt;= 6, "Due Soon[4-6]", AO28 &lt;= 10, "Overdue[7-10]", AO28 &lt;= 15, "Long Overdue[11-15]")</f>
        <v>Due Soon[4-6]</v>
      </c>
      <c r="AQ28" s="9" t="str" cm="1">
        <f t="array" ref="AQ28">_xlfn.IFS(AR28 &lt;= 3, "New Relationship[1-3]", AR28 &lt;= 7, "Established Relationship[4-7]", AR28 &lt;= 12, "Long Term Relationship[8-12]", AR28 &lt;= 17, "Very Long Term Relationship[13-17]")</f>
        <v>Established Relationship[4-7]</v>
      </c>
      <c r="AR28" s="1">
        <v>7</v>
      </c>
    </row>
    <row r="29" spans="1:44" x14ac:dyDescent="0.25">
      <c r="A29" s="1">
        <v>42</v>
      </c>
      <c r="B29" s="8" t="str" cm="1">
        <f t="array" ref="B29">_xlfn.IFS(A29 &lt;= 25, "[18-25]", A29 &lt;= 35, "[26-35]", A29 &lt;=45, "[36-45]", A29 &lt;= 60, "[46- 60]")</f>
        <v>[36-45]</v>
      </c>
      <c r="C29" s="3" t="s">
        <v>43</v>
      </c>
      <c r="D29">
        <f t="shared" si="0"/>
        <v>0</v>
      </c>
      <c r="E29" t="s">
        <v>36</v>
      </c>
      <c r="F29" s="1">
        <v>691</v>
      </c>
      <c r="G29" s="3" t="s">
        <v>37</v>
      </c>
      <c r="H29" s="1">
        <v>8</v>
      </c>
      <c r="I29" s="9" t="str" cm="1">
        <f t="array" ref="I29">_xlfn.IFS(H29 &lt;= 2, "[1-2] very close", H29 &lt;= 10, "[3-10] close", H29 &lt;= 20, "[11-20] moderate", H29 &lt;= 30, "[21-30] far")</f>
        <v>[3-10] close</v>
      </c>
      <c r="J29" s="1">
        <v>4</v>
      </c>
      <c r="K29" s="3" t="s">
        <v>59</v>
      </c>
      <c r="L29" s="1">
        <v>1</v>
      </c>
      <c r="M29" s="1">
        <v>35</v>
      </c>
      <c r="N29" s="1">
        <v>3</v>
      </c>
      <c r="O29" s="3" t="s">
        <v>46</v>
      </c>
      <c r="P29" s="1">
        <v>48</v>
      </c>
      <c r="Q29" s="1">
        <v>3</v>
      </c>
      <c r="R29" s="1">
        <v>2</v>
      </c>
      <c r="S29" s="3" t="s">
        <v>40</v>
      </c>
      <c r="T29" s="1">
        <v>2</v>
      </c>
      <c r="U29" s="3" t="s">
        <v>48</v>
      </c>
      <c r="V29" s="4">
        <v>6825</v>
      </c>
      <c r="W29" s="1">
        <v>21173</v>
      </c>
      <c r="X29" s="1">
        <v>0</v>
      </c>
      <c r="Y29" s="3" t="s">
        <v>42</v>
      </c>
      <c r="Z29" s="3" t="s">
        <v>43</v>
      </c>
      <c r="AA29" s="5">
        <v>0.11</v>
      </c>
      <c r="AB29" s="10" t="str" cm="1">
        <f t="array" ref="AB29">_xlfn.IFS(AA29 &lt;= 15%, "Low Hike[11-15%]", AA29 &lt;= 20%, "Moderate Hike[16-20%]", AA29 &lt;= 25%,"High Hike[21-25%]")</f>
        <v>Low Hike[11-15%]</v>
      </c>
      <c r="AC29" s="1">
        <v>3</v>
      </c>
      <c r="AD29" s="1">
        <v>4</v>
      </c>
      <c r="AE29" s="1">
        <v>80</v>
      </c>
      <c r="AF29" s="1">
        <v>1</v>
      </c>
      <c r="AG29" s="1">
        <v>10</v>
      </c>
      <c r="AH29" s="9" t="str" cm="1">
        <f t="array" ref="AH29">_xlfn.IFS(AG29 &lt;= 5, "New[1-5]", AG29 &lt;= 10, "Early Career[6-10]", AG29 &lt;= 20, "Established[11-20]", AG29 &lt;= 30, "Veteran[21-30]", AG29 &lt;= 40, "Late Career[31-40]")</f>
        <v>Early Career[6-10]</v>
      </c>
      <c r="AI29" s="1">
        <v>2</v>
      </c>
      <c r="AJ29" s="1">
        <v>3</v>
      </c>
      <c r="AK29" s="1">
        <v>9</v>
      </c>
      <c r="AL29" s="9" t="str" cm="1">
        <f t="array" ref="AL29">_xlfn.IFS(AK29 &lt;= 5, "New[1-5]", AK29 &lt;= 10, "Early Career[6-10]", AK29 &lt;= 20, "Established[11-20]", AK29 &lt;= 30, "Veteran[21-30]", AK29 &lt;= 40, "Late Career[31-40]")</f>
        <v>Early Career[6-10]</v>
      </c>
      <c r="AM29" s="1">
        <v>7</v>
      </c>
      <c r="AN29" s="9" t="str" cm="1">
        <f t="array" ref="AN29">_xlfn.IFS(AM29 &lt;= 3, "New to Role[1-3]", AM29 &lt;= 7, "Settled[4-7]", AM29 &lt;= 12, "Experienced[[8-12]", AM29 &lt;= 18, "Long Tenured[13-18]")</f>
        <v>Settled[4-7]</v>
      </c>
      <c r="AO29" s="1">
        <v>4</v>
      </c>
      <c r="AP29" s="9" t="str" cm="1">
        <f t="array" ref="AP29">_xlfn.IFS(AO29 &lt;= 3, "Recently[1-3]", AO29 &lt;= 6, "Due Soon[4-6]", AO29 &lt;= 10, "Overdue[7-10]", AO29 &lt;= 15, "Long Overdue[11-15]")</f>
        <v>Due Soon[4-6]</v>
      </c>
      <c r="AQ29" s="9" t="str" cm="1">
        <f t="array" ref="AQ29">_xlfn.IFS(AR29 &lt;= 3, "New Relationship[1-3]", AR29 &lt;= 7, "Established Relationship[4-7]", AR29 &lt;= 12, "Long Term Relationship[8-12]", AR29 &lt;= 17, "Very Long Term Relationship[13-17]")</f>
        <v>New Relationship[1-3]</v>
      </c>
      <c r="AR29" s="1">
        <v>2</v>
      </c>
    </row>
    <row r="30" spans="1:44" x14ac:dyDescent="0.25">
      <c r="A30" s="1">
        <v>44</v>
      </c>
      <c r="B30" s="8" t="str" cm="1">
        <f t="array" ref="B30">_xlfn.IFS(A30 &lt;= 25, "[18-25]", A30 &lt;= 35, "[26-35]", A30 &lt;=45, "[36-45]", A30 &lt;= 60, "[46- 60]")</f>
        <v>[36-45]</v>
      </c>
      <c r="C30" s="3" t="s">
        <v>43</v>
      </c>
      <c r="D30">
        <f t="shared" si="0"/>
        <v>0</v>
      </c>
      <c r="E30" t="s">
        <v>36</v>
      </c>
      <c r="F30" s="1">
        <v>477</v>
      </c>
      <c r="G30" s="3" t="s">
        <v>45</v>
      </c>
      <c r="H30" s="1">
        <v>7</v>
      </c>
      <c r="I30" s="9" t="str" cm="1">
        <f t="array" ref="I30">_xlfn.IFS(H30 &lt;= 2, "[1-2] very close", H30 &lt;= 10, "[3-10] close", H30 &lt;= 20, "[11-20] moderate", H30 &lt;= 30, "[21-30] far")</f>
        <v>[3-10] close</v>
      </c>
      <c r="J30" s="1">
        <v>4</v>
      </c>
      <c r="K30" s="3" t="s">
        <v>51</v>
      </c>
      <c r="L30" s="1">
        <v>1</v>
      </c>
      <c r="M30" s="1">
        <v>36</v>
      </c>
      <c r="N30" s="1">
        <v>1</v>
      </c>
      <c r="O30" s="3" t="s">
        <v>39</v>
      </c>
      <c r="P30" s="1">
        <v>42</v>
      </c>
      <c r="Q30" s="1">
        <v>2</v>
      </c>
      <c r="R30" s="1">
        <v>3</v>
      </c>
      <c r="S30" s="3" t="s">
        <v>54</v>
      </c>
      <c r="T30" s="1">
        <v>4</v>
      </c>
      <c r="U30" s="3" t="s">
        <v>48</v>
      </c>
      <c r="V30" s="4">
        <v>10248</v>
      </c>
      <c r="W30" s="1">
        <v>2094</v>
      </c>
      <c r="X30" s="1">
        <v>3</v>
      </c>
      <c r="Y30" s="3" t="s">
        <v>42</v>
      </c>
      <c r="Z30" s="3" t="s">
        <v>43</v>
      </c>
      <c r="AA30" s="5">
        <v>0.14000000000000001</v>
      </c>
      <c r="AB30" s="10" t="str" cm="1">
        <f t="array" ref="AB30">_xlfn.IFS(AA30 &lt;= 15%, "Low Hike[11-15%]", AA30 &lt;= 20%, "Moderate Hike[16-20%]", AA30 &lt;= 25%,"High Hike[21-25%]")</f>
        <v>Low Hike[11-15%]</v>
      </c>
      <c r="AC30" s="1">
        <v>3</v>
      </c>
      <c r="AD30" s="1">
        <v>4</v>
      </c>
      <c r="AE30" s="1">
        <v>80</v>
      </c>
      <c r="AF30" s="1">
        <v>1</v>
      </c>
      <c r="AG30" s="1">
        <v>24</v>
      </c>
      <c r="AH30" s="9" t="str" cm="1">
        <f t="array" ref="AH30">_xlfn.IFS(AG30 &lt;= 5, "New[1-5]", AG30 &lt;= 10, "Early Career[6-10]", AG30 &lt;= 20, "Established[11-20]", AG30 &lt;= 30, "Veteran[21-30]", AG30 &lt;= 40, "Late Career[31-40]")</f>
        <v>Veteran[21-30]</v>
      </c>
      <c r="AI30" s="1">
        <v>4</v>
      </c>
      <c r="AJ30" s="1">
        <v>3</v>
      </c>
      <c r="AK30" s="1">
        <v>22</v>
      </c>
      <c r="AL30" s="9" t="str" cm="1">
        <f t="array" ref="AL30">_xlfn.IFS(AK30 &lt;= 5, "New[1-5]", AK30 &lt;= 10, "Early Career[6-10]", AK30 &lt;= 20, "Established[11-20]", AK30 &lt;= 30, "Veteran[21-30]", AK30 &lt;= 40, "Late Career[31-40]")</f>
        <v>Veteran[21-30]</v>
      </c>
      <c r="AM30" s="1">
        <v>6</v>
      </c>
      <c r="AN30" s="9" t="str" cm="1">
        <f t="array" ref="AN30">_xlfn.IFS(AM30 &lt;= 3, "New to Role[1-3]", AM30 &lt;= 7, "Settled[4-7]", AM30 &lt;= 12, "Experienced[[8-12]", AM30 &lt;= 18, "Long Tenured[13-18]")</f>
        <v>Settled[4-7]</v>
      </c>
      <c r="AO30" s="1">
        <v>5</v>
      </c>
      <c r="AP30" s="9" t="str" cm="1">
        <f t="array" ref="AP30">_xlfn.IFS(AO30 &lt;= 3, "Recently[1-3]", AO30 &lt;= 6, "Due Soon[4-6]", AO30 &lt;= 10, "Overdue[7-10]", AO30 &lt;= 15, "Long Overdue[11-15]")</f>
        <v>Due Soon[4-6]</v>
      </c>
      <c r="AQ30" s="9" t="str" cm="1">
        <f t="array" ref="AQ30">_xlfn.IFS(AR30 &lt;= 3, "New Relationship[1-3]", AR30 &lt;= 7, "Established Relationship[4-7]", AR30 &lt;= 12, "Long Term Relationship[8-12]", AR30 &lt;= 17, "Very Long Term Relationship[13-17]")</f>
        <v>Very Long Term Relationship[13-17]</v>
      </c>
      <c r="AR30" s="1">
        <v>17</v>
      </c>
    </row>
    <row r="31" spans="1:44" x14ac:dyDescent="0.25">
      <c r="A31" s="1">
        <v>46</v>
      </c>
      <c r="B31" s="8" t="str" cm="1">
        <f t="array" ref="B31">_xlfn.IFS(A31 &lt;= 25, "[18-25]", A31 &lt;= 35, "[26-35]", A31 &lt;=45, "[36-45]", A31 &lt;= 60, "[46- 60]")</f>
        <v>[46- 60]</v>
      </c>
      <c r="C31" s="3" t="s">
        <v>43</v>
      </c>
      <c r="D31">
        <f t="shared" si="0"/>
        <v>0</v>
      </c>
      <c r="E31" t="s">
        <v>36</v>
      </c>
      <c r="F31" s="1">
        <v>705</v>
      </c>
      <c r="G31" s="3" t="s">
        <v>37</v>
      </c>
      <c r="H31" s="1">
        <v>2</v>
      </c>
      <c r="I31" s="9" t="str" cm="1">
        <f t="array" ref="I31">_xlfn.IFS(H31 &lt;= 2, "[1-2] very close", H31 &lt;= 10, "[3-10] close", H31 &lt;= 20, "[11-20] moderate", H31 &lt;= 30, "[21-30] far")</f>
        <v>[1-2] very close</v>
      </c>
      <c r="J31" s="1">
        <v>4</v>
      </c>
      <c r="K31" s="3" t="s">
        <v>59</v>
      </c>
      <c r="L31" s="1">
        <v>1</v>
      </c>
      <c r="M31" s="1">
        <v>38</v>
      </c>
      <c r="N31" s="1">
        <v>2</v>
      </c>
      <c r="O31" s="3" t="s">
        <v>39</v>
      </c>
      <c r="P31" s="1">
        <v>83</v>
      </c>
      <c r="Q31" s="1">
        <v>3</v>
      </c>
      <c r="R31" s="1">
        <v>5</v>
      </c>
      <c r="S31" s="3" t="s">
        <v>56</v>
      </c>
      <c r="T31" s="1">
        <v>1</v>
      </c>
      <c r="U31" s="3" t="s">
        <v>41</v>
      </c>
      <c r="V31" s="4">
        <v>18947</v>
      </c>
      <c r="W31" s="1">
        <v>22822</v>
      </c>
      <c r="X31" s="1">
        <v>3</v>
      </c>
      <c r="Y31" s="3" t="s">
        <v>42</v>
      </c>
      <c r="Z31" s="3" t="s">
        <v>43</v>
      </c>
      <c r="AA31" s="5">
        <v>0.12</v>
      </c>
      <c r="AB31" s="10" t="str" cm="1">
        <f t="array" ref="AB31">_xlfn.IFS(AA31 &lt;= 15%, "Low Hike[11-15%]", AA31 &lt;= 20%, "Moderate Hike[16-20%]", AA31 &lt;= 25%,"High Hike[21-25%]")</f>
        <v>Low Hike[11-15%]</v>
      </c>
      <c r="AC31" s="1">
        <v>3</v>
      </c>
      <c r="AD31" s="1">
        <v>4</v>
      </c>
      <c r="AE31" s="1">
        <v>80</v>
      </c>
      <c r="AF31" s="1">
        <v>0</v>
      </c>
      <c r="AG31" s="1">
        <v>22</v>
      </c>
      <c r="AH31" s="9" t="str" cm="1">
        <f t="array" ref="AH31">_xlfn.IFS(AG31 &lt;= 5, "New[1-5]", AG31 &lt;= 10, "Early Career[6-10]", AG31 &lt;= 20, "Established[11-20]", AG31 &lt;= 30, "Veteran[21-30]", AG31 &lt;= 40, "Late Career[31-40]")</f>
        <v>Veteran[21-30]</v>
      </c>
      <c r="AI31" s="1">
        <v>2</v>
      </c>
      <c r="AJ31" s="1">
        <v>2</v>
      </c>
      <c r="AK31" s="1">
        <v>2</v>
      </c>
      <c r="AL31" s="9" t="str" cm="1">
        <f t="array" ref="AL31">_xlfn.IFS(AK31 &lt;= 5, "New[1-5]", AK31 &lt;= 10, "Early Career[6-10]", AK31 &lt;= 20, "Established[11-20]", AK31 &lt;= 30, "Veteran[21-30]", AK31 &lt;= 40, "Late Career[31-40]")</f>
        <v>New[1-5]</v>
      </c>
      <c r="AM31" s="1">
        <v>2</v>
      </c>
      <c r="AN31" s="9" t="str" cm="1">
        <f t="array" ref="AN31">_xlfn.IFS(AM31 &lt;= 3, "New to Role[1-3]", AM31 &lt;= 7, "Settled[4-7]", AM31 &lt;= 12, "Experienced[[8-12]", AM31 &lt;= 18, "Long Tenured[13-18]")</f>
        <v>New to Role[1-3]</v>
      </c>
      <c r="AO31" s="1">
        <v>2</v>
      </c>
      <c r="AP31" s="9" t="str" cm="1">
        <f t="array" ref="AP31">_xlfn.IFS(AO31 &lt;= 3, "Recently[1-3]", AO31 &lt;= 6, "Due Soon[4-6]", AO31 &lt;= 10, "Overdue[7-10]", AO31 &lt;= 15, "Long Overdue[11-15]")</f>
        <v>Recently[1-3]</v>
      </c>
      <c r="AQ31" s="9" t="str" cm="1">
        <f t="array" ref="AQ31">_xlfn.IFS(AR31 &lt;= 3, "New Relationship[1-3]", AR31 &lt;= 7, "Established Relationship[4-7]", AR31 &lt;= 12, "Long Term Relationship[8-12]", AR31 &lt;= 17, "Very Long Term Relationship[13-17]")</f>
        <v>New Relationship[1-3]</v>
      </c>
      <c r="AR31" s="1">
        <v>1</v>
      </c>
    </row>
    <row r="32" spans="1:44" x14ac:dyDescent="0.25">
      <c r="A32" s="1">
        <v>33</v>
      </c>
      <c r="B32" s="8" t="str" cm="1">
        <f t="array" ref="B32">_xlfn.IFS(A32 &lt;= 25, "[18-25]", A32 &lt;= 35, "[26-35]", A32 &lt;=45, "[36-45]", A32 &lt;= 60, "[46- 60]")</f>
        <v>[26-35]</v>
      </c>
      <c r="C32" s="3" t="s">
        <v>43</v>
      </c>
      <c r="D32">
        <f t="shared" si="0"/>
        <v>0</v>
      </c>
      <c r="E32" t="s">
        <v>36</v>
      </c>
      <c r="F32" s="1">
        <v>924</v>
      </c>
      <c r="G32" s="3" t="s">
        <v>45</v>
      </c>
      <c r="H32" s="1">
        <v>2</v>
      </c>
      <c r="I32" s="9" t="str" cm="1">
        <f t="array" ref="I32">_xlfn.IFS(H32 &lt;= 2, "[1-2] very close", H32 &lt;= 10, "[3-10] close", H32 &lt;= 20, "[11-20] moderate", H32 &lt;= 30, "[21-30] far")</f>
        <v>[1-2] very close</v>
      </c>
      <c r="J32" s="1">
        <v>3</v>
      </c>
      <c r="K32" s="3" t="s">
        <v>51</v>
      </c>
      <c r="L32" s="1">
        <v>1</v>
      </c>
      <c r="M32" s="1">
        <v>39</v>
      </c>
      <c r="N32" s="1">
        <v>3</v>
      </c>
      <c r="O32" s="3" t="s">
        <v>46</v>
      </c>
      <c r="P32" s="1">
        <v>78</v>
      </c>
      <c r="Q32" s="1">
        <v>3</v>
      </c>
      <c r="R32" s="1">
        <v>1</v>
      </c>
      <c r="S32" s="3" t="s">
        <v>50</v>
      </c>
      <c r="T32" s="1">
        <v>4</v>
      </c>
      <c r="U32" s="3" t="s">
        <v>41</v>
      </c>
      <c r="V32" s="4">
        <v>2496</v>
      </c>
      <c r="W32" s="1">
        <v>6670</v>
      </c>
      <c r="X32" s="1">
        <v>4</v>
      </c>
      <c r="Y32" s="3" t="s">
        <v>42</v>
      </c>
      <c r="Z32" s="3" t="s">
        <v>43</v>
      </c>
      <c r="AA32" s="5">
        <v>0.11</v>
      </c>
      <c r="AB32" s="10" t="str" cm="1">
        <f t="array" ref="AB32">_xlfn.IFS(AA32 &lt;= 15%, "Low Hike[11-15%]", AA32 &lt;= 20%, "Moderate Hike[16-20%]", AA32 &lt;= 25%,"High Hike[21-25%]")</f>
        <v>Low Hike[11-15%]</v>
      </c>
      <c r="AC32" s="1">
        <v>3</v>
      </c>
      <c r="AD32" s="1">
        <v>4</v>
      </c>
      <c r="AE32" s="1">
        <v>80</v>
      </c>
      <c r="AF32" s="1">
        <v>0</v>
      </c>
      <c r="AG32" s="1">
        <v>7</v>
      </c>
      <c r="AH32" s="9" t="str" cm="1">
        <f t="array" ref="AH32">_xlfn.IFS(AG32 &lt;= 5, "New[1-5]", AG32 &lt;= 10, "Early Career[6-10]", AG32 &lt;= 20, "Established[11-20]", AG32 &lt;= 30, "Veteran[21-30]", AG32 &lt;= 40, "Late Career[31-40]")</f>
        <v>Early Career[6-10]</v>
      </c>
      <c r="AI32" s="1">
        <v>3</v>
      </c>
      <c r="AJ32" s="1">
        <v>3</v>
      </c>
      <c r="AK32" s="1">
        <v>1</v>
      </c>
      <c r="AL32" s="9" t="str" cm="1">
        <f t="array" ref="AL32">_xlfn.IFS(AK32 &lt;= 5, "New[1-5]", AK32 &lt;= 10, "Early Career[6-10]", AK32 &lt;= 20, "Established[11-20]", AK32 &lt;= 30, "Veteran[21-30]", AK32 &lt;= 40, "Late Career[31-40]")</f>
        <v>New[1-5]</v>
      </c>
      <c r="AM32" s="1">
        <v>1</v>
      </c>
      <c r="AN32" s="9" t="str" cm="1">
        <f t="array" ref="AN32">_xlfn.IFS(AM32 &lt;= 3, "New to Role[1-3]", AM32 &lt;= 7, "Settled[4-7]", AM32 &lt;= 12, "Experienced[[8-12]", AM32 &lt;= 18, "Long Tenured[13-18]")</f>
        <v>New to Role[1-3]</v>
      </c>
      <c r="AO32" s="1">
        <v>0</v>
      </c>
      <c r="AP32" s="9" t="str" cm="1">
        <f t="array" ref="AP32">_xlfn.IFS(AO32 &lt;= 3, "Recently[1-3]", AO32 &lt;= 6, "Due Soon[4-6]", AO32 &lt;= 10, "Overdue[7-10]", AO32 &lt;= 15, "Long Overdue[11-15]")</f>
        <v>Recently[1-3]</v>
      </c>
      <c r="AQ32" s="9" t="str" cm="1">
        <f t="array" ref="AQ32">_xlfn.IFS(AR32 &lt;= 3, "New Relationship[1-3]", AR32 &lt;= 7, "Established Relationship[4-7]", AR32 &lt;= 12, "Long Term Relationship[8-12]", AR32 &lt;= 17, "Very Long Term Relationship[13-17]")</f>
        <v>New Relationship[1-3]</v>
      </c>
      <c r="AR32" s="1">
        <v>0</v>
      </c>
    </row>
    <row r="33" spans="1:44" x14ac:dyDescent="0.25">
      <c r="A33" s="1">
        <v>44</v>
      </c>
      <c r="B33" s="8" t="str" cm="1">
        <f t="array" ref="B33">_xlfn.IFS(A33 &lt;= 25, "[18-25]", A33 &lt;= 35, "[26-35]", A33 &lt;=45, "[36-45]", A33 &lt;= 60, "[46- 60]")</f>
        <v>[36-45]</v>
      </c>
      <c r="C33" s="3" t="s">
        <v>43</v>
      </c>
      <c r="D33">
        <f t="shared" si="0"/>
        <v>0</v>
      </c>
      <c r="E33" t="s">
        <v>36</v>
      </c>
      <c r="F33" s="1">
        <v>1459</v>
      </c>
      <c r="G33" s="3" t="s">
        <v>45</v>
      </c>
      <c r="H33" s="1">
        <v>10</v>
      </c>
      <c r="I33" s="9" t="str" cm="1">
        <f t="array" ref="I33">_xlfn.IFS(H33 &lt;= 2, "[1-2] very close", H33 &lt;= 10, "[3-10] close", H33 &lt;= 20, "[11-20] moderate", H33 &lt;= 30, "[21-30] far")</f>
        <v>[3-10] close</v>
      </c>
      <c r="J33" s="1">
        <v>4</v>
      </c>
      <c r="K33" s="3" t="s">
        <v>49</v>
      </c>
      <c r="L33" s="1">
        <v>1</v>
      </c>
      <c r="M33" s="1">
        <v>40</v>
      </c>
      <c r="N33" s="1">
        <v>4</v>
      </c>
      <c r="O33" s="3" t="s">
        <v>46</v>
      </c>
      <c r="P33" s="1">
        <v>41</v>
      </c>
      <c r="Q33" s="1">
        <v>3</v>
      </c>
      <c r="R33" s="1">
        <v>2</v>
      </c>
      <c r="S33" s="3" t="s">
        <v>54</v>
      </c>
      <c r="T33" s="1">
        <v>4</v>
      </c>
      <c r="U33" s="3" t="s">
        <v>48</v>
      </c>
      <c r="V33" s="4">
        <v>6465</v>
      </c>
      <c r="W33" s="1">
        <v>19121</v>
      </c>
      <c r="X33" s="1">
        <v>2</v>
      </c>
      <c r="Y33" s="3" t="s">
        <v>42</v>
      </c>
      <c r="Z33" s="3" t="s">
        <v>35</v>
      </c>
      <c r="AA33" s="5">
        <v>0.13</v>
      </c>
      <c r="AB33" s="10" t="str" cm="1">
        <f t="array" ref="AB33">_xlfn.IFS(AA33 &lt;= 15%, "Low Hike[11-15%]", AA33 &lt;= 20%, "Moderate Hike[16-20%]", AA33 &lt;= 25%,"High Hike[21-25%]")</f>
        <v>Low Hike[11-15%]</v>
      </c>
      <c r="AC33" s="1">
        <v>3</v>
      </c>
      <c r="AD33" s="1">
        <v>4</v>
      </c>
      <c r="AE33" s="1">
        <v>80</v>
      </c>
      <c r="AF33" s="1">
        <v>0</v>
      </c>
      <c r="AG33" s="1">
        <v>9</v>
      </c>
      <c r="AH33" s="9" t="str" cm="1">
        <f t="array" ref="AH33">_xlfn.IFS(AG33 &lt;= 5, "New[1-5]", AG33 &lt;= 10, "Early Career[6-10]", AG33 &lt;= 20, "Established[11-20]", AG33 &lt;= 30, "Veteran[21-30]", AG33 &lt;= 40, "Late Career[31-40]")</f>
        <v>Early Career[6-10]</v>
      </c>
      <c r="AI33" s="1">
        <v>5</v>
      </c>
      <c r="AJ33" s="1">
        <v>4</v>
      </c>
      <c r="AK33" s="1">
        <v>4</v>
      </c>
      <c r="AL33" s="9" t="str" cm="1">
        <f t="array" ref="AL33">_xlfn.IFS(AK33 &lt;= 5, "New[1-5]", AK33 &lt;= 10, "Early Career[6-10]", AK33 &lt;= 20, "Established[11-20]", AK33 &lt;= 30, "Veteran[21-30]", AK33 &lt;= 40, "Late Career[31-40]")</f>
        <v>New[1-5]</v>
      </c>
      <c r="AM33" s="1">
        <v>2</v>
      </c>
      <c r="AN33" s="9" t="str" cm="1">
        <f t="array" ref="AN33">_xlfn.IFS(AM33 &lt;= 3, "New to Role[1-3]", AM33 &lt;= 7, "Settled[4-7]", AM33 &lt;= 12, "Experienced[[8-12]", AM33 &lt;= 18, "Long Tenured[13-18]")</f>
        <v>New to Role[1-3]</v>
      </c>
      <c r="AO33" s="1">
        <v>1</v>
      </c>
      <c r="AP33" s="9" t="str" cm="1">
        <f t="array" ref="AP33">_xlfn.IFS(AO33 &lt;= 3, "Recently[1-3]", AO33 &lt;= 6, "Due Soon[4-6]", AO33 &lt;= 10, "Overdue[7-10]", AO33 &lt;= 15, "Long Overdue[11-15]")</f>
        <v>Recently[1-3]</v>
      </c>
      <c r="AQ33" s="9" t="str" cm="1">
        <f t="array" ref="AQ33">_xlfn.IFS(AR33 &lt;= 3, "New Relationship[1-3]", AR33 &lt;= 7, "Established Relationship[4-7]", AR33 &lt;= 12, "Long Term Relationship[8-12]", AR33 &lt;= 17, "Very Long Term Relationship[13-17]")</f>
        <v>New Relationship[1-3]</v>
      </c>
      <c r="AR33" s="1">
        <v>3</v>
      </c>
    </row>
    <row r="34" spans="1:44" x14ac:dyDescent="0.25">
      <c r="A34" s="1">
        <v>30</v>
      </c>
      <c r="B34" s="8" t="str" cm="1">
        <f t="array" ref="B34">_xlfn.IFS(A34 &lt;= 25, "[18-25]", A34 &lt;= 35, "[26-35]", A34 &lt;=45, "[36-45]", A34 &lt;= 60, "[46- 60]")</f>
        <v>[26-35]</v>
      </c>
      <c r="C34" s="3" t="s">
        <v>43</v>
      </c>
      <c r="D34">
        <f t="shared" si="0"/>
        <v>0</v>
      </c>
      <c r="E34" t="s">
        <v>36</v>
      </c>
      <c r="F34" s="1">
        <v>125</v>
      </c>
      <c r="G34" s="3" t="s">
        <v>45</v>
      </c>
      <c r="H34" s="1">
        <v>9</v>
      </c>
      <c r="I34" s="9" t="str" cm="1">
        <f t="array" ref="I34">_xlfn.IFS(H34 &lt;= 2, "[1-2] very close", H34 &lt;= 10, "[3-10] close", H34 &lt;= 20, "[11-20] moderate", H34 &lt;= 30, "[21-30] far")</f>
        <v>[3-10] close</v>
      </c>
      <c r="J34" s="1">
        <v>2</v>
      </c>
      <c r="K34" s="3" t="s">
        <v>51</v>
      </c>
      <c r="L34" s="1">
        <v>1</v>
      </c>
      <c r="M34" s="1">
        <v>41</v>
      </c>
      <c r="N34" s="1">
        <v>4</v>
      </c>
      <c r="O34" s="3" t="s">
        <v>46</v>
      </c>
      <c r="P34" s="1">
        <v>83</v>
      </c>
      <c r="Q34" s="1">
        <v>2</v>
      </c>
      <c r="R34" s="1">
        <v>1</v>
      </c>
      <c r="S34" s="3" t="s">
        <v>50</v>
      </c>
      <c r="T34" s="1">
        <v>3</v>
      </c>
      <c r="U34" s="3" t="s">
        <v>41</v>
      </c>
      <c r="V34" s="4">
        <v>2206</v>
      </c>
      <c r="W34" s="1">
        <v>16117</v>
      </c>
      <c r="X34" s="1">
        <v>1</v>
      </c>
      <c r="Y34" s="3" t="s">
        <v>42</v>
      </c>
      <c r="Z34" s="3" t="s">
        <v>43</v>
      </c>
      <c r="AA34" s="5">
        <v>0.13</v>
      </c>
      <c r="AB34" s="10" t="str" cm="1">
        <f t="array" ref="AB34">_xlfn.IFS(AA34 &lt;= 15%, "Low Hike[11-15%]", AA34 &lt;= 20%, "Moderate Hike[16-20%]", AA34 &lt;= 25%,"High Hike[21-25%]")</f>
        <v>Low Hike[11-15%]</v>
      </c>
      <c r="AC34" s="1">
        <v>3</v>
      </c>
      <c r="AD34" s="1">
        <v>1</v>
      </c>
      <c r="AE34" s="1">
        <v>80</v>
      </c>
      <c r="AF34" s="1">
        <v>0</v>
      </c>
      <c r="AG34" s="1">
        <v>10</v>
      </c>
      <c r="AH34" s="9" t="str" cm="1">
        <f t="array" ref="AH34">_xlfn.IFS(AG34 &lt;= 5, "New[1-5]", AG34 &lt;= 10, "Early Career[6-10]", AG34 &lt;= 20, "Established[11-20]", AG34 &lt;= 30, "Veteran[21-30]", AG34 &lt;= 40, "Late Career[31-40]")</f>
        <v>Early Career[6-10]</v>
      </c>
      <c r="AI34" s="1">
        <v>5</v>
      </c>
      <c r="AJ34" s="1">
        <v>3</v>
      </c>
      <c r="AK34" s="1">
        <v>10</v>
      </c>
      <c r="AL34" s="9" t="str" cm="1">
        <f t="array" ref="AL34">_xlfn.IFS(AK34 &lt;= 5, "New[1-5]", AK34 &lt;= 10, "Early Career[6-10]", AK34 &lt;= 20, "Established[11-20]", AK34 &lt;= 30, "Veteran[21-30]", AK34 &lt;= 40, "Late Career[31-40]")</f>
        <v>Early Career[6-10]</v>
      </c>
      <c r="AM34" s="1">
        <v>0</v>
      </c>
      <c r="AN34" s="9" t="str" cm="1">
        <f t="array" ref="AN34">_xlfn.IFS(AM34 &lt;= 3, "New to Role[1-3]", AM34 &lt;= 7, "Settled[4-7]", AM34 &lt;= 12, "Experienced[[8-12]", AM34 &lt;= 18, "Long Tenured[13-18]")</f>
        <v>New to Role[1-3]</v>
      </c>
      <c r="AO34" s="1">
        <v>1</v>
      </c>
      <c r="AP34" s="9" t="str" cm="1">
        <f t="array" ref="AP34">_xlfn.IFS(AO34 &lt;= 3, "Recently[1-3]", AO34 &lt;= 6, "Due Soon[4-6]", AO34 &lt;= 10, "Overdue[7-10]", AO34 &lt;= 15, "Long Overdue[11-15]")</f>
        <v>Recently[1-3]</v>
      </c>
      <c r="AQ34" s="9" t="str" cm="1">
        <f t="array" ref="AQ34">_xlfn.IFS(AR34 &lt;= 3, "New Relationship[1-3]", AR34 &lt;= 7, "Established Relationship[4-7]", AR34 &lt;= 12, "Long Term Relationship[8-12]", AR34 &lt;= 17, "Very Long Term Relationship[13-17]")</f>
        <v>Long Term Relationship[8-12]</v>
      </c>
      <c r="AR34" s="1">
        <v>8</v>
      </c>
    </row>
    <row r="35" spans="1:44" x14ac:dyDescent="0.25">
      <c r="A35" s="1">
        <v>39</v>
      </c>
      <c r="B35" s="8" t="str" cm="1">
        <f t="array" ref="B35">_xlfn.IFS(A35 &lt;= 25, "[18-25]", A35 &lt;= 35, "[26-35]", A35 &lt;=45, "[36-45]", A35 &lt;= 60, "[46- 60]")</f>
        <v>[36-45]</v>
      </c>
      <c r="C35" s="3" t="s">
        <v>35</v>
      </c>
      <c r="D35">
        <f t="shared" si="0"/>
        <v>1</v>
      </c>
      <c r="E35" t="s">
        <v>36</v>
      </c>
      <c r="F35" s="1">
        <v>895</v>
      </c>
      <c r="G35" s="3" t="s">
        <v>37</v>
      </c>
      <c r="H35" s="1">
        <v>5</v>
      </c>
      <c r="I35" s="9" t="str" cm="1">
        <f t="array" ref="I35">_xlfn.IFS(H35 &lt;= 2, "[1-2] very close", H35 &lt;= 10, "[3-10] close", H35 &lt;= 20, "[11-20] moderate", H35 &lt;= 30, "[21-30] far")</f>
        <v>[3-10] close</v>
      </c>
      <c r="J35" s="1">
        <v>3</v>
      </c>
      <c r="K35" s="3" t="s">
        <v>60</v>
      </c>
      <c r="L35" s="1">
        <v>1</v>
      </c>
      <c r="M35" s="1">
        <v>42</v>
      </c>
      <c r="N35" s="1">
        <v>4</v>
      </c>
      <c r="O35" s="3" t="s">
        <v>46</v>
      </c>
      <c r="P35" s="1">
        <v>56</v>
      </c>
      <c r="Q35" s="1">
        <v>3</v>
      </c>
      <c r="R35" s="1">
        <v>2</v>
      </c>
      <c r="S35" s="3" t="s">
        <v>57</v>
      </c>
      <c r="T35" s="1">
        <v>4</v>
      </c>
      <c r="U35" s="3" t="s">
        <v>48</v>
      </c>
      <c r="V35" s="4">
        <v>2086</v>
      </c>
      <c r="W35" s="1">
        <v>3335</v>
      </c>
      <c r="X35" s="1">
        <v>3</v>
      </c>
      <c r="Y35" s="3" t="s">
        <v>42</v>
      </c>
      <c r="Z35" s="3" t="s">
        <v>43</v>
      </c>
      <c r="AA35" s="5">
        <v>0.14000000000000001</v>
      </c>
      <c r="AB35" s="10" t="str" cm="1">
        <f t="array" ref="AB35">_xlfn.IFS(AA35 &lt;= 15%, "Low Hike[11-15%]", AA35 &lt;= 20%, "Moderate Hike[16-20%]", AA35 &lt;= 25%,"High Hike[21-25%]")</f>
        <v>Low Hike[11-15%]</v>
      </c>
      <c r="AC35" s="1">
        <v>3</v>
      </c>
      <c r="AD35" s="1">
        <v>3</v>
      </c>
      <c r="AE35" s="1">
        <v>80</v>
      </c>
      <c r="AF35" s="1">
        <v>1</v>
      </c>
      <c r="AG35" s="1">
        <v>19</v>
      </c>
      <c r="AH35" s="9" t="str" cm="1">
        <f t="array" ref="AH35">_xlfn.IFS(AG35 &lt;= 5, "New[1-5]", AG35 &lt;= 10, "Early Career[6-10]", AG35 &lt;= 20, "Established[11-20]", AG35 &lt;= 30, "Veteran[21-30]", AG35 &lt;= 40, "Late Career[31-40]")</f>
        <v>Established[11-20]</v>
      </c>
      <c r="AI35" s="1">
        <v>6</v>
      </c>
      <c r="AJ35" s="1">
        <v>4</v>
      </c>
      <c r="AK35" s="1">
        <v>1</v>
      </c>
      <c r="AL35" s="9" t="str" cm="1">
        <f t="array" ref="AL35">_xlfn.IFS(AK35 &lt;= 5, "New[1-5]", AK35 &lt;= 10, "Early Career[6-10]", AK35 &lt;= 20, "Established[11-20]", AK35 &lt;= 30, "Veteran[21-30]", AK35 &lt;= 40, "Late Career[31-40]")</f>
        <v>New[1-5]</v>
      </c>
      <c r="AM35" s="1">
        <v>0</v>
      </c>
      <c r="AN35" s="9" t="str" cm="1">
        <f t="array" ref="AN35">_xlfn.IFS(AM35 &lt;= 3, "New to Role[1-3]", AM35 &lt;= 7, "Settled[4-7]", AM35 &lt;= 12, "Experienced[[8-12]", AM35 &lt;= 18, "Long Tenured[13-18]")</f>
        <v>New to Role[1-3]</v>
      </c>
      <c r="AO35" s="1">
        <v>0</v>
      </c>
      <c r="AP35" s="9" t="str" cm="1">
        <f t="array" ref="AP35">_xlfn.IFS(AO35 &lt;= 3, "Recently[1-3]", AO35 &lt;= 6, "Due Soon[4-6]", AO35 &lt;= 10, "Overdue[7-10]", AO35 &lt;= 15, "Long Overdue[11-15]")</f>
        <v>Recently[1-3]</v>
      </c>
      <c r="AQ35" s="9" t="str" cm="1">
        <f t="array" ref="AQ35">_xlfn.IFS(AR35 &lt;= 3, "New Relationship[1-3]", AR35 &lt;= 7, "Established Relationship[4-7]", AR35 &lt;= 12, "Long Term Relationship[8-12]", AR35 &lt;= 17, "Very Long Term Relationship[13-17]")</f>
        <v>New Relationship[1-3]</v>
      </c>
      <c r="AR35" s="1">
        <v>0</v>
      </c>
    </row>
    <row r="36" spans="1:44" x14ac:dyDescent="0.25">
      <c r="A36" s="1">
        <v>24</v>
      </c>
      <c r="B36" s="8" t="str" cm="1">
        <f t="array" ref="B36">_xlfn.IFS(A36 &lt;= 25, "[18-25]", A36 &lt;= 35, "[26-35]", A36 &lt;=45, "[36-45]", A36 &lt;= 60, "[46- 60]")</f>
        <v>[18-25]</v>
      </c>
      <c r="C36" s="3" t="s">
        <v>35</v>
      </c>
      <c r="D36">
        <f t="shared" si="0"/>
        <v>1</v>
      </c>
      <c r="E36" t="s">
        <v>36</v>
      </c>
      <c r="F36" s="1">
        <v>813</v>
      </c>
      <c r="G36" s="3" t="s">
        <v>45</v>
      </c>
      <c r="H36" s="1">
        <v>1</v>
      </c>
      <c r="I36" s="9" t="str" cm="1">
        <f t="array" ref="I36">_xlfn.IFS(H36 &lt;= 2, "[1-2] very close", H36 &lt;= 10, "[3-10] close", H36 &lt;= 20, "[11-20] moderate", H36 &lt;= 30, "[21-30] far")</f>
        <v>[1-2] very close</v>
      </c>
      <c r="J36" s="1">
        <v>3</v>
      </c>
      <c r="K36" s="3" t="s">
        <v>51</v>
      </c>
      <c r="L36" s="1">
        <v>1</v>
      </c>
      <c r="M36" s="1">
        <v>45</v>
      </c>
      <c r="N36" s="1">
        <v>2</v>
      </c>
      <c r="O36" s="3" t="s">
        <v>46</v>
      </c>
      <c r="P36" s="1">
        <v>61</v>
      </c>
      <c r="Q36" s="1">
        <v>3</v>
      </c>
      <c r="R36" s="1">
        <v>1</v>
      </c>
      <c r="S36" s="3" t="s">
        <v>47</v>
      </c>
      <c r="T36" s="1">
        <v>4</v>
      </c>
      <c r="U36" s="3" t="s">
        <v>48</v>
      </c>
      <c r="V36" s="4">
        <v>2293</v>
      </c>
      <c r="W36" s="1">
        <v>3020</v>
      </c>
      <c r="X36" s="1">
        <v>2</v>
      </c>
      <c r="Y36" s="3" t="s">
        <v>42</v>
      </c>
      <c r="Z36" s="3" t="s">
        <v>35</v>
      </c>
      <c r="AA36" s="5">
        <v>0.16</v>
      </c>
      <c r="AB36" s="10" t="str" cm="1">
        <f t="array" ref="AB36">_xlfn.IFS(AA36 &lt;= 15%, "Low Hike[11-15%]", AA36 &lt;= 20%, "Moderate Hike[16-20%]", AA36 &lt;= 25%,"High Hike[21-25%]")</f>
        <v>Moderate Hike[16-20%]</v>
      </c>
      <c r="AC36" s="1">
        <v>3</v>
      </c>
      <c r="AD36" s="1">
        <v>1</v>
      </c>
      <c r="AE36" s="1">
        <v>80</v>
      </c>
      <c r="AF36" s="1">
        <v>1</v>
      </c>
      <c r="AG36" s="1">
        <v>6</v>
      </c>
      <c r="AH36" s="9" t="str" cm="1">
        <f t="array" ref="AH36">_xlfn.IFS(AG36 &lt;= 5, "New[1-5]", AG36 &lt;= 10, "Early Career[6-10]", AG36 &lt;= 20, "Established[11-20]", AG36 &lt;= 30, "Veteran[21-30]", AG36 &lt;= 40, "Late Career[31-40]")</f>
        <v>Early Career[6-10]</v>
      </c>
      <c r="AI36" s="1">
        <v>2</v>
      </c>
      <c r="AJ36" s="1">
        <v>2</v>
      </c>
      <c r="AK36" s="1">
        <v>2</v>
      </c>
      <c r="AL36" s="9" t="str" cm="1">
        <f t="array" ref="AL36">_xlfn.IFS(AK36 &lt;= 5, "New[1-5]", AK36 &lt;= 10, "Early Career[6-10]", AK36 &lt;= 20, "Established[11-20]", AK36 &lt;= 30, "Veteran[21-30]", AK36 &lt;= 40, "Late Career[31-40]")</f>
        <v>New[1-5]</v>
      </c>
      <c r="AM36" s="1">
        <v>0</v>
      </c>
      <c r="AN36" s="9" t="str" cm="1">
        <f t="array" ref="AN36">_xlfn.IFS(AM36 &lt;= 3, "New to Role[1-3]", AM36 &lt;= 7, "Settled[4-7]", AM36 &lt;= 12, "Experienced[[8-12]", AM36 &lt;= 18, "Long Tenured[13-18]")</f>
        <v>New to Role[1-3]</v>
      </c>
      <c r="AO36" s="1">
        <v>2</v>
      </c>
      <c r="AP36" s="9" t="str" cm="1">
        <f t="array" ref="AP36">_xlfn.IFS(AO36 &lt;= 3, "Recently[1-3]", AO36 &lt;= 6, "Due Soon[4-6]", AO36 &lt;= 10, "Overdue[7-10]", AO36 &lt;= 15, "Long Overdue[11-15]")</f>
        <v>Recently[1-3]</v>
      </c>
      <c r="AQ36" s="9" t="str" cm="1">
        <f t="array" ref="AQ36">_xlfn.IFS(AR36 &lt;= 3, "New Relationship[1-3]", AR36 &lt;= 7, "Established Relationship[4-7]", AR36 &lt;= 12, "Long Term Relationship[8-12]", AR36 &lt;= 17, "Very Long Term Relationship[13-17]")</f>
        <v>New Relationship[1-3]</v>
      </c>
      <c r="AR36" s="1">
        <v>0</v>
      </c>
    </row>
    <row r="37" spans="1:44" x14ac:dyDescent="0.25">
      <c r="A37" s="1">
        <v>43</v>
      </c>
      <c r="B37" s="8" t="str" cm="1">
        <f t="array" ref="B37">_xlfn.IFS(A37 &lt;= 25, "[18-25]", A37 &lt;= 35, "[26-35]", A37 &lt;=45, "[36-45]", A37 &lt;= 60, "[46- 60]")</f>
        <v>[36-45]</v>
      </c>
      <c r="C37" s="3" t="s">
        <v>43</v>
      </c>
      <c r="D37">
        <f t="shared" si="0"/>
        <v>0</v>
      </c>
      <c r="E37" t="s">
        <v>36</v>
      </c>
      <c r="F37" s="1">
        <v>1273</v>
      </c>
      <c r="G37" s="3" t="s">
        <v>45</v>
      </c>
      <c r="H37" s="1">
        <v>2</v>
      </c>
      <c r="I37" s="9" t="str" cm="1">
        <f t="array" ref="I37">_xlfn.IFS(H37 &lt;= 2, "[1-2] very close", H37 &lt;= 10, "[3-10] close", H37 &lt;= 20, "[11-20] moderate", H37 &lt;= 30, "[21-30] far")</f>
        <v>[1-2] very close</v>
      </c>
      <c r="J37" s="1">
        <v>2</v>
      </c>
      <c r="K37" s="3" t="s">
        <v>51</v>
      </c>
      <c r="L37" s="1">
        <v>1</v>
      </c>
      <c r="M37" s="1">
        <v>46</v>
      </c>
      <c r="N37" s="1">
        <v>4</v>
      </c>
      <c r="O37" s="3" t="s">
        <v>39</v>
      </c>
      <c r="P37" s="1">
        <v>72</v>
      </c>
      <c r="Q37" s="1">
        <v>4</v>
      </c>
      <c r="R37" s="1">
        <v>1</v>
      </c>
      <c r="S37" s="3" t="s">
        <v>47</v>
      </c>
      <c r="T37" s="1">
        <v>3</v>
      </c>
      <c r="U37" s="3" t="s">
        <v>52</v>
      </c>
      <c r="V37" s="4">
        <v>2645</v>
      </c>
      <c r="W37" s="1">
        <v>21923</v>
      </c>
      <c r="X37" s="1">
        <v>1</v>
      </c>
      <c r="Y37" s="3" t="s">
        <v>42</v>
      </c>
      <c r="Z37" s="3" t="s">
        <v>43</v>
      </c>
      <c r="AA37" s="5">
        <v>0.12</v>
      </c>
      <c r="AB37" s="10" t="str" cm="1">
        <f t="array" ref="AB37">_xlfn.IFS(AA37 &lt;= 15%, "Low Hike[11-15%]", AA37 &lt;= 20%, "Moderate Hike[16-20%]", AA37 &lt;= 25%,"High Hike[21-25%]")</f>
        <v>Low Hike[11-15%]</v>
      </c>
      <c r="AC37" s="1">
        <v>3</v>
      </c>
      <c r="AD37" s="1">
        <v>4</v>
      </c>
      <c r="AE37" s="1">
        <v>80</v>
      </c>
      <c r="AF37" s="1">
        <v>2</v>
      </c>
      <c r="AG37" s="1">
        <v>6</v>
      </c>
      <c r="AH37" s="9" t="str" cm="1">
        <f t="array" ref="AH37">_xlfn.IFS(AG37 &lt;= 5, "New[1-5]", AG37 &lt;= 10, "Early Career[6-10]", AG37 &lt;= 20, "Established[11-20]", AG37 &lt;= 30, "Veteran[21-30]", AG37 &lt;= 40, "Late Career[31-40]")</f>
        <v>Early Career[6-10]</v>
      </c>
      <c r="AI37" s="1">
        <v>3</v>
      </c>
      <c r="AJ37" s="1">
        <v>2</v>
      </c>
      <c r="AK37" s="1">
        <v>5</v>
      </c>
      <c r="AL37" s="9" t="str" cm="1">
        <f t="array" ref="AL37">_xlfn.IFS(AK37 &lt;= 5, "New[1-5]", AK37 &lt;= 10, "Early Career[6-10]", AK37 &lt;= 20, "Established[11-20]", AK37 &lt;= 30, "Veteran[21-30]", AK37 &lt;= 40, "Late Career[31-40]")</f>
        <v>New[1-5]</v>
      </c>
      <c r="AM37" s="1">
        <v>3</v>
      </c>
      <c r="AN37" s="9" t="str" cm="1">
        <f t="array" ref="AN37">_xlfn.IFS(AM37 &lt;= 3, "New to Role[1-3]", AM37 &lt;= 7, "Settled[4-7]", AM37 &lt;= 12, "Experienced[[8-12]", AM37 &lt;= 18, "Long Tenured[13-18]")</f>
        <v>New to Role[1-3]</v>
      </c>
      <c r="AO37" s="1">
        <v>1</v>
      </c>
      <c r="AP37" s="9" t="str" cm="1">
        <f t="array" ref="AP37">_xlfn.IFS(AO37 &lt;= 3, "Recently[1-3]", AO37 &lt;= 6, "Due Soon[4-6]", AO37 &lt;= 10, "Overdue[7-10]", AO37 &lt;= 15, "Long Overdue[11-15]")</f>
        <v>Recently[1-3]</v>
      </c>
      <c r="AQ37" s="9" t="str" cm="1">
        <f t="array" ref="AQ37">_xlfn.IFS(AR37 &lt;= 3, "New Relationship[1-3]", AR37 &lt;= 7, "Established Relationship[4-7]", AR37 &lt;= 12, "Long Term Relationship[8-12]", AR37 &lt;= 17, "Very Long Term Relationship[13-17]")</f>
        <v>Established Relationship[4-7]</v>
      </c>
      <c r="AR37" s="1">
        <v>4</v>
      </c>
    </row>
    <row r="38" spans="1:44" x14ac:dyDescent="0.25">
      <c r="A38" s="1">
        <v>50</v>
      </c>
      <c r="B38" s="8" t="str" cm="1">
        <f t="array" ref="B38">_xlfn.IFS(A38 &lt;= 25, "[18-25]", A38 &lt;= 35, "[26-35]", A38 &lt;=45, "[36-45]", A38 &lt;= 60, "[46- 60]")</f>
        <v>[46- 60]</v>
      </c>
      <c r="C38" s="3" t="s">
        <v>35</v>
      </c>
      <c r="D38">
        <f t="shared" si="0"/>
        <v>1</v>
      </c>
      <c r="E38" t="s">
        <v>36</v>
      </c>
      <c r="F38" s="1">
        <v>869</v>
      </c>
      <c r="G38" s="3" t="s">
        <v>37</v>
      </c>
      <c r="H38" s="1">
        <v>3</v>
      </c>
      <c r="I38" s="9" t="str" cm="1">
        <f t="array" ref="I38">_xlfn.IFS(H38 &lt;= 2, "[1-2] very close", H38 &lt;= 10, "[3-10] close", H38 &lt;= 20, "[11-20] moderate", H38 &lt;= 30, "[21-30] far")</f>
        <v>[3-10] close</v>
      </c>
      <c r="J38" s="1">
        <v>2</v>
      </c>
      <c r="K38" s="3" t="s">
        <v>59</v>
      </c>
      <c r="L38" s="1">
        <v>1</v>
      </c>
      <c r="M38" s="1">
        <v>47</v>
      </c>
      <c r="N38" s="1">
        <v>1</v>
      </c>
      <c r="O38" s="3" t="s">
        <v>46</v>
      </c>
      <c r="P38" s="1">
        <v>86</v>
      </c>
      <c r="Q38" s="1">
        <v>2</v>
      </c>
      <c r="R38" s="1">
        <v>1</v>
      </c>
      <c r="S38" s="3" t="s">
        <v>57</v>
      </c>
      <c r="T38" s="1">
        <v>3</v>
      </c>
      <c r="U38" s="3" t="s">
        <v>48</v>
      </c>
      <c r="V38" s="4">
        <v>2683</v>
      </c>
      <c r="W38" s="1">
        <v>3810</v>
      </c>
      <c r="X38" s="1">
        <v>1</v>
      </c>
      <c r="Y38" s="3" t="s">
        <v>42</v>
      </c>
      <c r="Z38" s="3" t="s">
        <v>35</v>
      </c>
      <c r="AA38" s="5">
        <v>0.14000000000000001</v>
      </c>
      <c r="AB38" s="10" t="str" cm="1">
        <f t="array" ref="AB38">_xlfn.IFS(AA38 &lt;= 15%, "Low Hike[11-15%]", AA38 &lt;= 20%, "Moderate Hike[16-20%]", AA38 &lt;= 25%,"High Hike[21-25%]")</f>
        <v>Low Hike[11-15%]</v>
      </c>
      <c r="AC38" s="1">
        <v>3</v>
      </c>
      <c r="AD38" s="1">
        <v>3</v>
      </c>
      <c r="AE38" s="1">
        <v>80</v>
      </c>
      <c r="AF38" s="1">
        <v>0</v>
      </c>
      <c r="AG38" s="1">
        <v>3</v>
      </c>
      <c r="AH38" s="9" t="str" cm="1">
        <f t="array" ref="AH38">_xlfn.IFS(AG38 &lt;= 5, "New[1-5]", AG38 &lt;= 10, "Early Career[6-10]", AG38 &lt;= 20, "Established[11-20]", AG38 &lt;= 30, "Veteran[21-30]", AG38 &lt;= 40, "Late Career[31-40]")</f>
        <v>New[1-5]</v>
      </c>
      <c r="AI38" s="1">
        <v>2</v>
      </c>
      <c r="AJ38" s="1">
        <v>3</v>
      </c>
      <c r="AK38" s="1">
        <v>3</v>
      </c>
      <c r="AL38" s="9" t="str" cm="1">
        <f t="array" ref="AL38">_xlfn.IFS(AK38 &lt;= 5, "New[1-5]", AK38 &lt;= 10, "Early Career[6-10]", AK38 &lt;= 20, "Established[11-20]", AK38 &lt;= 30, "Veteran[21-30]", AK38 &lt;= 40, "Late Career[31-40]")</f>
        <v>New[1-5]</v>
      </c>
      <c r="AM38" s="1">
        <v>2</v>
      </c>
      <c r="AN38" s="9" t="str" cm="1">
        <f t="array" ref="AN38">_xlfn.IFS(AM38 &lt;= 3, "New to Role[1-3]", AM38 &lt;= 7, "Settled[4-7]", AM38 &lt;= 12, "Experienced[[8-12]", AM38 &lt;= 18, "Long Tenured[13-18]")</f>
        <v>New to Role[1-3]</v>
      </c>
      <c r="AO38" s="1">
        <v>0</v>
      </c>
      <c r="AP38" s="9" t="str" cm="1">
        <f t="array" ref="AP38">_xlfn.IFS(AO38 &lt;= 3, "Recently[1-3]", AO38 &lt;= 6, "Due Soon[4-6]", AO38 &lt;= 10, "Overdue[7-10]", AO38 &lt;= 15, "Long Overdue[11-15]")</f>
        <v>Recently[1-3]</v>
      </c>
      <c r="AQ38" s="9" t="str" cm="1">
        <f t="array" ref="AQ38">_xlfn.IFS(AR38 &lt;= 3, "New Relationship[1-3]", AR38 &lt;= 7, "Established Relationship[4-7]", AR38 &lt;= 12, "Long Term Relationship[8-12]", AR38 &lt;= 17, "Very Long Term Relationship[13-17]")</f>
        <v>New Relationship[1-3]</v>
      </c>
      <c r="AR38" s="1">
        <v>2</v>
      </c>
    </row>
    <row r="39" spans="1:44" x14ac:dyDescent="0.25">
      <c r="A39" s="1">
        <v>35</v>
      </c>
      <c r="B39" s="8" t="str" cm="1">
        <f t="array" ref="B39">_xlfn.IFS(A39 &lt;= 25, "[18-25]", A39 &lt;= 35, "[26-35]", A39 &lt;=45, "[36-45]", A39 &lt;= 60, "[46- 60]")</f>
        <v>[26-35]</v>
      </c>
      <c r="C39" s="3" t="s">
        <v>43</v>
      </c>
      <c r="D39">
        <f t="shared" si="0"/>
        <v>0</v>
      </c>
      <c r="E39" t="s">
        <v>36</v>
      </c>
      <c r="F39" s="1">
        <v>890</v>
      </c>
      <c r="G39" s="3" t="s">
        <v>37</v>
      </c>
      <c r="H39" s="1">
        <v>2</v>
      </c>
      <c r="I39" s="9" t="str" cm="1">
        <f t="array" ref="I39">_xlfn.IFS(H39 &lt;= 2, "[1-2] very close", H39 &lt;= 10, "[3-10] close", H39 &lt;= 20, "[11-20] moderate", H39 &lt;= 30, "[21-30] far")</f>
        <v>[1-2] very close</v>
      </c>
      <c r="J39" s="1">
        <v>3</v>
      </c>
      <c r="K39" s="3" t="s">
        <v>59</v>
      </c>
      <c r="L39" s="1">
        <v>1</v>
      </c>
      <c r="M39" s="1">
        <v>49</v>
      </c>
      <c r="N39" s="1">
        <v>4</v>
      </c>
      <c r="O39" s="3" t="s">
        <v>39</v>
      </c>
      <c r="P39" s="1">
        <v>97</v>
      </c>
      <c r="Q39" s="1">
        <v>3</v>
      </c>
      <c r="R39" s="1">
        <v>1</v>
      </c>
      <c r="S39" s="3" t="s">
        <v>57</v>
      </c>
      <c r="T39" s="1">
        <v>4</v>
      </c>
      <c r="U39" s="3" t="s">
        <v>48</v>
      </c>
      <c r="V39" s="4">
        <v>2014</v>
      </c>
      <c r="W39" s="1">
        <v>9687</v>
      </c>
      <c r="X39" s="1">
        <v>1</v>
      </c>
      <c r="Y39" s="3" t="s">
        <v>42</v>
      </c>
      <c r="Z39" s="3" t="s">
        <v>43</v>
      </c>
      <c r="AA39" s="5">
        <v>0.13</v>
      </c>
      <c r="AB39" s="10" t="str" cm="1">
        <f t="array" ref="AB39">_xlfn.IFS(AA39 &lt;= 15%, "Low Hike[11-15%]", AA39 &lt;= 20%, "Moderate Hike[16-20%]", AA39 &lt;= 25%,"High Hike[21-25%]")</f>
        <v>Low Hike[11-15%]</v>
      </c>
      <c r="AC39" s="1">
        <v>3</v>
      </c>
      <c r="AD39" s="1">
        <v>1</v>
      </c>
      <c r="AE39" s="1">
        <v>80</v>
      </c>
      <c r="AF39" s="1">
        <v>0</v>
      </c>
      <c r="AG39" s="1">
        <v>2</v>
      </c>
      <c r="AH39" s="9" t="str" cm="1">
        <f t="array" ref="AH39">_xlfn.IFS(AG39 &lt;= 5, "New[1-5]", AG39 &lt;= 10, "Early Career[6-10]", AG39 &lt;= 20, "Established[11-20]", AG39 &lt;= 30, "Veteran[21-30]", AG39 &lt;= 40, "Late Career[31-40]")</f>
        <v>New[1-5]</v>
      </c>
      <c r="AI39" s="1">
        <v>3</v>
      </c>
      <c r="AJ39" s="1">
        <v>3</v>
      </c>
      <c r="AK39" s="1">
        <v>2</v>
      </c>
      <c r="AL39" s="9" t="str" cm="1">
        <f t="array" ref="AL39">_xlfn.IFS(AK39 &lt;= 5, "New[1-5]", AK39 &lt;= 10, "Early Career[6-10]", AK39 &lt;= 20, "Established[11-20]", AK39 &lt;= 30, "Veteran[21-30]", AK39 &lt;= 40, "Late Career[31-40]")</f>
        <v>New[1-5]</v>
      </c>
      <c r="AM39" s="1">
        <v>2</v>
      </c>
      <c r="AN39" s="9" t="str" cm="1">
        <f t="array" ref="AN39">_xlfn.IFS(AM39 &lt;= 3, "New to Role[1-3]", AM39 &lt;= 7, "Settled[4-7]", AM39 &lt;= 12, "Experienced[[8-12]", AM39 &lt;= 18, "Long Tenured[13-18]")</f>
        <v>New to Role[1-3]</v>
      </c>
      <c r="AO39" s="1">
        <v>2</v>
      </c>
      <c r="AP39" s="9" t="str" cm="1">
        <f t="array" ref="AP39">_xlfn.IFS(AO39 &lt;= 3, "Recently[1-3]", AO39 &lt;= 6, "Due Soon[4-6]", AO39 &lt;= 10, "Overdue[7-10]", AO39 &lt;= 15, "Long Overdue[11-15]")</f>
        <v>Recently[1-3]</v>
      </c>
      <c r="AQ39" s="9" t="str" cm="1">
        <f t="array" ref="AQ39">_xlfn.IFS(AR39 &lt;= 3, "New Relationship[1-3]", AR39 &lt;= 7, "Established Relationship[4-7]", AR39 &lt;= 12, "Long Term Relationship[8-12]", AR39 &lt;= 17, "Very Long Term Relationship[13-17]")</f>
        <v>New Relationship[1-3]</v>
      </c>
      <c r="AR39" s="1">
        <v>2</v>
      </c>
    </row>
    <row r="40" spans="1:44" x14ac:dyDescent="0.25">
      <c r="A40" s="1">
        <v>36</v>
      </c>
      <c r="B40" s="8" t="str" cm="1">
        <f t="array" ref="B40">_xlfn.IFS(A40 &lt;= 25, "[18-25]", A40 &lt;= 35, "[26-35]", A40 &lt;=45, "[36-45]", A40 &lt;= 60, "[46- 60]")</f>
        <v>[36-45]</v>
      </c>
      <c r="C40" s="3" t="s">
        <v>43</v>
      </c>
      <c r="D40">
        <f t="shared" si="0"/>
        <v>0</v>
      </c>
      <c r="E40" t="s">
        <v>36</v>
      </c>
      <c r="F40" s="1">
        <v>852</v>
      </c>
      <c r="G40" s="3" t="s">
        <v>45</v>
      </c>
      <c r="H40" s="1">
        <v>5</v>
      </c>
      <c r="I40" s="9" t="str" cm="1">
        <f t="array" ref="I40">_xlfn.IFS(H40 &lt;= 2, "[1-2] very close", H40 &lt;= 10, "[3-10] close", H40 &lt;= 20, "[11-20] moderate", H40 &lt;= 30, "[21-30] far")</f>
        <v>[3-10] close</v>
      </c>
      <c r="J40" s="1">
        <v>4</v>
      </c>
      <c r="K40" s="3" t="s">
        <v>38</v>
      </c>
      <c r="L40" s="1">
        <v>1</v>
      </c>
      <c r="M40" s="1">
        <v>51</v>
      </c>
      <c r="N40" s="1">
        <v>2</v>
      </c>
      <c r="O40" s="3" t="s">
        <v>39</v>
      </c>
      <c r="P40" s="1">
        <v>82</v>
      </c>
      <c r="Q40" s="1">
        <v>2</v>
      </c>
      <c r="R40" s="1">
        <v>1</v>
      </c>
      <c r="S40" s="3" t="s">
        <v>47</v>
      </c>
      <c r="T40" s="1">
        <v>1</v>
      </c>
      <c r="U40" s="3" t="s">
        <v>48</v>
      </c>
      <c r="V40" s="4">
        <v>3419</v>
      </c>
      <c r="W40" s="1">
        <v>13072</v>
      </c>
      <c r="X40" s="1">
        <v>9</v>
      </c>
      <c r="Y40" s="3" t="s">
        <v>42</v>
      </c>
      <c r="Z40" s="3" t="s">
        <v>35</v>
      </c>
      <c r="AA40" s="5">
        <v>0.14000000000000001</v>
      </c>
      <c r="AB40" s="10" t="str" cm="1">
        <f t="array" ref="AB40">_xlfn.IFS(AA40 &lt;= 15%, "Low Hike[11-15%]", AA40 &lt;= 20%, "Moderate Hike[16-20%]", AA40 &lt;= 25%,"High Hike[21-25%]")</f>
        <v>Low Hike[11-15%]</v>
      </c>
      <c r="AC40" s="1">
        <v>3</v>
      </c>
      <c r="AD40" s="1">
        <v>4</v>
      </c>
      <c r="AE40" s="1">
        <v>80</v>
      </c>
      <c r="AF40" s="1">
        <v>1</v>
      </c>
      <c r="AG40" s="1">
        <v>6</v>
      </c>
      <c r="AH40" s="9" t="str" cm="1">
        <f t="array" ref="AH40">_xlfn.IFS(AG40 &lt;= 5, "New[1-5]", AG40 &lt;= 10, "Early Career[6-10]", AG40 &lt;= 20, "Established[11-20]", AG40 &lt;= 30, "Veteran[21-30]", AG40 &lt;= 40, "Late Career[31-40]")</f>
        <v>Early Career[6-10]</v>
      </c>
      <c r="AI40" s="1">
        <v>3</v>
      </c>
      <c r="AJ40" s="1">
        <v>4</v>
      </c>
      <c r="AK40" s="1">
        <v>1</v>
      </c>
      <c r="AL40" s="9" t="str" cm="1">
        <f t="array" ref="AL40">_xlfn.IFS(AK40 &lt;= 5, "New[1-5]", AK40 &lt;= 10, "Early Career[6-10]", AK40 &lt;= 20, "Established[11-20]", AK40 &lt;= 30, "Veteran[21-30]", AK40 &lt;= 40, "Late Career[31-40]")</f>
        <v>New[1-5]</v>
      </c>
      <c r="AM40" s="1">
        <v>1</v>
      </c>
      <c r="AN40" s="9" t="str" cm="1">
        <f t="array" ref="AN40">_xlfn.IFS(AM40 &lt;= 3, "New to Role[1-3]", AM40 &lt;= 7, "Settled[4-7]", AM40 &lt;= 12, "Experienced[[8-12]", AM40 &lt;= 18, "Long Tenured[13-18]")</f>
        <v>New to Role[1-3]</v>
      </c>
      <c r="AO40" s="1">
        <v>0</v>
      </c>
      <c r="AP40" s="9" t="str" cm="1">
        <f t="array" ref="AP40">_xlfn.IFS(AO40 &lt;= 3, "Recently[1-3]", AO40 &lt;= 6, "Due Soon[4-6]", AO40 &lt;= 10, "Overdue[7-10]", AO40 &lt;= 15, "Long Overdue[11-15]")</f>
        <v>Recently[1-3]</v>
      </c>
      <c r="AQ40" s="9" t="str" cm="1">
        <f t="array" ref="AQ40">_xlfn.IFS(AR40 &lt;= 3, "New Relationship[1-3]", AR40 &lt;= 7, "Established Relationship[4-7]", AR40 &lt;= 12, "Long Term Relationship[8-12]", AR40 &lt;= 17, "Very Long Term Relationship[13-17]")</f>
        <v>New Relationship[1-3]</v>
      </c>
      <c r="AR40" s="1">
        <v>0</v>
      </c>
    </row>
    <row r="41" spans="1:44" x14ac:dyDescent="0.25">
      <c r="A41" s="1">
        <v>33</v>
      </c>
      <c r="B41" s="8" t="str" cm="1">
        <f t="array" ref="B41">_xlfn.IFS(A41 &lt;= 25, "[18-25]", A41 &lt;= 35, "[26-35]", A41 &lt;=45, "[36-45]", A41 &lt;= 60, "[46- 60]")</f>
        <v>[26-35]</v>
      </c>
      <c r="C41" s="3" t="s">
        <v>43</v>
      </c>
      <c r="D41">
        <f t="shared" si="0"/>
        <v>0</v>
      </c>
      <c r="E41" t="s">
        <v>44</v>
      </c>
      <c r="F41" s="1">
        <v>1141</v>
      </c>
      <c r="G41" s="3" t="s">
        <v>37</v>
      </c>
      <c r="H41" s="1">
        <v>1</v>
      </c>
      <c r="I41" s="9" t="str" cm="1">
        <f t="array" ref="I41">_xlfn.IFS(H41 &lt;= 2, "[1-2] very close", H41 &lt;= 10, "[3-10] close", H41 &lt;= 20, "[11-20] moderate", H41 &lt;= 30, "[21-30] far")</f>
        <v>[1-2] very close</v>
      </c>
      <c r="J41" s="1">
        <v>3</v>
      </c>
      <c r="K41" s="3" t="s">
        <v>38</v>
      </c>
      <c r="L41" s="1">
        <v>1</v>
      </c>
      <c r="M41" s="1">
        <v>52</v>
      </c>
      <c r="N41" s="1">
        <v>3</v>
      </c>
      <c r="O41" s="3" t="s">
        <v>39</v>
      </c>
      <c r="P41" s="1">
        <v>42</v>
      </c>
      <c r="Q41" s="1">
        <v>4</v>
      </c>
      <c r="R41" s="1">
        <v>2</v>
      </c>
      <c r="S41" s="3" t="s">
        <v>40</v>
      </c>
      <c r="T41" s="1">
        <v>1</v>
      </c>
      <c r="U41" s="3" t="s">
        <v>48</v>
      </c>
      <c r="V41" s="4">
        <v>5376</v>
      </c>
      <c r="W41" s="1">
        <v>3193</v>
      </c>
      <c r="X41" s="1">
        <v>2</v>
      </c>
      <c r="Y41" s="3" t="s">
        <v>42</v>
      </c>
      <c r="Z41" s="3" t="s">
        <v>43</v>
      </c>
      <c r="AA41" s="5">
        <v>0.19</v>
      </c>
      <c r="AB41" s="10" t="str" cm="1">
        <f t="array" ref="AB41">_xlfn.IFS(AA41 &lt;= 15%, "Low Hike[11-15%]", AA41 &lt;= 20%, "Moderate Hike[16-20%]", AA41 &lt;= 25%,"High Hike[21-25%]")</f>
        <v>Moderate Hike[16-20%]</v>
      </c>
      <c r="AC41" s="1">
        <v>3</v>
      </c>
      <c r="AD41" s="1">
        <v>1</v>
      </c>
      <c r="AE41" s="1">
        <v>80</v>
      </c>
      <c r="AF41" s="1">
        <v>2</v>
      </c>
      <c r="AG41" s="1">
        <v>10</v>
      </c>
      <c r="AH41" s="9" t="str" cm="1">
        <f t="array" ref="AH41">_xlfn.IFS(AG41 &lt;= 5, "New[1-5]", AG41 &lt;= 10, "Early Career[6-10]", AG41 &lt;= 20, "Established[11-20]", AG41 &lt;= 30, "Veteran[21-30]", AG41 &lt;= 40, "Late Career[31-40]")</f>
        <v>Early Career[6-10]</v>
      </c>
      <c r="AI41" s="1">
        <v>3</v>
      </c>
      <c r="AJ41" s="1">
        <v>3</v>
      </c>
      <c r="AK41" s="1">
        <v>5</v>
      </c>
      <c r="AL41" s="9" t="str" cm="1">
        <f t="array" ref="AL41">_xlfn.IFS(AK41 &lt;= 5, "New[1-5]", AK41 &lt;= 10, "Early Career[6-10]", AK41 &lt;= 20, "Established[11-20]", AK41 &lt;= 30, "Veteran[21-30]", AK41 &lt;= 40, "Late Career[31-40]")</f>
        <v>New[1-5]</v>
      </c>
      <c r="AM41" s="1">
        <v>3</v>
      </c>
      <c r="AN41" s="9" t="str" cm="1">
        <f t="array" ref="AN41">_xlfn.IFS(AM41 &lt;= 3, "New to Role[1-3]", AM41 &lt;= 7, "Settled[4-7]", AM41 &lt;= 12, "Experienced[[8-12]", AM41 &lt;= 18, "Long Tenured[13-18]")</f>
        <v>New to Role[1-3]</v>
      </c>
      <c r="AO41" s="1">
        <v>1</v>
      </c>
      <c r="AP41" s="9" t="str" cm="1">
        <f t="array" ref="AP41">_xlfn.IFS(AO41 &lt;= 3, "Recently[1-3]", AO41 &lt;= 6, "Due Soon[4-6]", AO41 &lt;= 10, "Overdue[7-10]", AO41 &lt;= 15, "Long Overdue[11-15]")</f>
        <v>Recently[1-3]</v>
      </c>
      <c r="AQ41" s="9" t="str" cm="1">
        <f t="array" ref="AQ41">_xlfn.IFS(AR41 &lt;= 3, "New Relationship[1-3]", AR41 &lt;= 7, "Established Relationship[4-7]", AR41 &lt;= 12, "Long Term Relationship[8-12]", AR41 &lt;= 17, "Very Long Term Relationship[13-17]")</f>
        <v>New Relationship[1-3]</v>
      </c>
      <c r="AR41" s="1">
        <v>3</v>
      </c>
    </row>
    <row r="42" spans="1:44" x14ac:dyDescent="0.25">
      <c r="A42" s="1">
        <v>35</v>
      </c>
      <c r="B42" s="8" t="str" cm="1">
        <f t="array" ref="B42">_xlfn.IFS(A42 &lt;= 25, "[18-25]", A42 &lt;= 35, "[26-35]", A42 &lt;=45, "[36-45]", A42 &lt;= 60, "[46- 60]")</f>
        <v>[26-35]</v>
      </c>
      <c r="C42" s="3" t="s">
        <v>43</v>
      </c>
      <c r="D42">
        <f t="shared" si="0"/>
        <v>0</v>
      </c>
      <c r="E42" t="s">
        <v>36</v>
      </c>
      <c r="F42" s="1">
        <v>464</v>
      </c>
      <c r="G42" s="3" t="s">
        <v>45</v>
      </c>
      <c r="H42" s="1">
        <v>4</v>
      </c>
      <c r="I42" s="9" t="str" cm="1">
        <f t="array" ref="I42">_xlfn.IFS(H42 &lt;= 2, "[1-2] very close", H42 &lt;= 10, "[3-10] close", H42 &lt;= 20, "[11-20] moderate", H42 &lt;= 30, "[21-30] far")</f>
        <v>[3-10] close</v>
      </c>
      <c r="J42" s="1">
        <v>2</v>
      </c>
      <c r="K42" s="3" t="s">
        <v>49</v>
      </c>
      <c r="L42" s="1">
        <v>1</v>
      </c>
      <c r="M42" s="1">
        <v>53</v>
      </c>
      <c r="N42" s="1">
        <v>3</v>
      </c>
      <c r="O42" s="3" t="s">
        <v>46</v>
      </c>
      <c r="P42" s="1">
        <v>75</v>
      </c>
      <c r="Q42" s="1">
        <v>3</v>
      </c>
      <c r="R42" s="1">
        <v>1</v>
      </c>
      <c r="S42" s="3" t="s">
        <v>50</v>
      </c>
      <c r="T42" s="1">
        <v>4</v>
      </c>
      <c r="U42" s="3" t="s">
        <v>52</v>
      </c>
      <c r="V42" s="4">
        <v>1951</v>
      </c>
      <c r="W42" s="1">
        <v>10910</v>
      </c>
      <c r="X42" s="1">
        <v>1</v>
      </c>
      <c r="Y42" s="3" t="s">
        <v>42</v>
      </c>
      <c r="Z42" s="3" t="s">
        <v>43</v>
      </c>
      <c r="AA42" s="5">
        <v>0.12</v>
      </c>
      <c r="AB42" s="10" t="str" cm="1">
        <f t="array" ref="AB42">_xlfn.IFS(AA42 &lt;= 15%, "Low Hike[11-15%]", AA42 &lt;= 20%, "Moderate Hike[16-20%]", AA42 &lt;= 25%,"High Hike[21-25%]")</f>
        <v>Low Hike[11-15%]</v>
      </c>
      <c r="AC42" s="1">
        <v>3</v>
      </c>
      <c r="AD42" s="1">
        <v>3</v>
      </c>
      <c r="AE42" s="1">
        <v>80</v>
      </c>
      <c r="AF42" s="1">
        <v>1</v>
      </c>
      <c r="AG42" s="1">
        <v>1</v>
      </c>
      <c r="AH42" s="9" t="str" cm="1">
        <f t="array" ref="AH42">_xlfn.IFS(AG42 &lt;= 5, "New[1-5]", AG42 &lt;= 10, "Early Career[6-10]", AG42 &lt;= 20, "Established[11-20]", AG42 &lt;= 30, "Veteran[21-30]", AG42 &lt;= 40, "Late Career[31-40]")</f>
        <v>New[1-5]</v>
      </c>
      <c r="AI42" s="1">
        <v>3</v>
      </c>
      <c r="AJ42" s="1">
        <v>3</v>
      </c>
      <c r="AK42" s="1">
        <v>1</v>
      </c>
      <c r="AL42" s="9" t="str" cm="1">
        <f t="array" ref="AL42">_xlfn.IFS(AK42 &lt;= 5, "New[1-5]", AK42 &lt;= 10, "Early Career[6-10]", AK42 &lt;= 20, "Established[11-20]", AK42 &lt;= 30, "Veteran[21-30]", AK42 &lt;= 40, "Late Career[31-40]")</f>
        <v>New[1-5]</v>
      </c>
      <c r="AM42" s="1">
        <v>0</v>
      </c>
      <c r="AN42" s="9" t="str" cm="1">
        <f t="array" ref="AN42">_xlfn.IFS(AM42 &lt;= 3, "New to Role[1-3]", AM42 &lt;= 7, "Settled[4-7]", AM42 &lt;= 12, "Experienced[[8-12]", AM42 &lt;= 18, "Long Tenured[13-18]")</f>
        <v>New to Role[1-3]</v>
      </c>
      <c r="AO42" s="1">
        <v>0</v>
      </c>
      <c r="AP42" s="9" t="str" cm="1">
        <f t="array" ref="AP42">_xlfn.IFS(AO42 &lt;= 3, "Recently[1-3]", AO42 &lt;= 6, "Due Soon[4-6]", AO42 &lt;= 10, "Overdue[7-10]", AO42 &lt;= 15, "Long Overdue[11-15]")</f>
        <v>Recently[1-3]</v>
      </c>
      <c r="AQ42" s="9" t="str" cm="1">
        <f t="array" ref="AQ42">_xlfn.IFS(AR42 &lt;= 3, "New Relationship[1-3]", AR42 &lt;= 7, "Established Relationship[4-7]", AR42 &lt;= 12, "Long Term Relationship[8-12]", AR42 &lt;= 17, "Very Long Term Relationship[13-17]")</f>
        <v>New Relationship[1-3]</v>
      </c>
      <c r="AR42" s="1">
        <v>0</v>
      </c>
    </row>
    <row r="43" spans="1:44" x14ac:dyDescent="0.25">
      <c r="A43" s="1">
        <v>27</v>
      </c>
      <c r="B43" s="8" t="str" cm="1">
        <f t="array" ref="B43">_xlfn.IFS(A43 &lt;= 25, "[18-25]", A43 &lt;= 35, "[26-35]", A43 &lt;=45, "[36-45]", A43 &lt;= 60, "[46- 60]")</f>
        <v>[26-35]</v>
      </c>
      <c r="C43" s="3" t="s">
        <v>43</v>
      </c>
      <c r="D43">
        <f t="shared" si="0"/>
        <v>0</v>
      </c>
      <c r="E43" t="s">
        <v>36</v>
      </c>
      <c r="F43" s="1">
        <v>1240</v>
      </c>
      <c r="G43" s="3" t="s">
        <v>45</v>
      </c>
      <c r="H43" s="1">
        <v>2</v>
      </c>
      <c r="I43" s="9" t="str" cm="1">
        <f t="array" ref="I43">_xlfn.IFS(H43 &lt;= 2, "[1-2] very close", H43 &lt;= 10, "[3-10] close", H43 &lt;= 20, "[11-20] moderate", H43 &lt;= 30, "[21-30] far")</f>
        <v>[1-2] very close</v>
      </c>
      <c r="J43" s="1">
        <v>4</v>
      </c>
      <c r="K43" s="3" t="s">
        <v>38</v>
      </c>
      <c r="L43" s="1">
        <v>1</v>
      </c>
      <c r="M43" s="1">
        <v>54</v>
      </c>
      <c r="N43" s="1">
        <v>4</v>
      </c>
      <c r="O43" s="3" t="s">
        <v>39</v>
      </c>
      <c r="P43" s="1">
        <v>33</v>
      </c>
      <c r="Q43" s="1">
        <v>3</v>
      </c>
      <c r="R43" s="1">
        <v>1</v>
      </c>
      <c r="S43" s="3" t="s">
        <v>50</v>
      </c>
      <c r="T43" s="1">
        <v>1</v>
      </c>
      <c r="U43" s="3" t="s">
        <v>52</v>
      </c>
      <c r="V43" s="4">
        <v>2341</v>
      </c>
      <c r="W43" s="1">
        <v>19715</v>
      </c>
      <c r="X43" s="1">
        <v>1</v>
      </c>
      <c r="Y43" s="3" t="s">
        <v>42</v>
      </c>
      <c r="Z43" s="3" t="s">
        <v>43</v>
      </c>
      <c r="AA43" s="5">
        <v>0.13</v>
      </c>
      <c r="AB43" s="10" t="str" cm="1">
        <f t="array" ref="AB43">_xlfn.IFS(AA43 &lt;= 15%, "Low Hike[11-15%]", AA43 &lt;= 20%, "Moderate Hike[16-20%]", AA43 &lt;= 25%,"High Hike[21-25%]")</f>
        <v>Low Hike[11-15%]</v>
      </c>
      <c r="AC43" s="1">
        <v>3</v>
      </c>
      <c r="AD43" s="1">
        <v>4</v>
      </c>
      <c r="AE43" s="1">
        <v>80</v>
      </c>
      <c r="AF43" s="1">
        <v>1</v>
      </c>
      <c r="AG43" s="1">
        <v>1</v>
      </c>
      <c r="AH43" s="9" t="str" cm="1">
        <f t="array" ref="AH43">_xlfn.IFS(AG43 &lt;= 5, "New[1-5]", AG43 &lt;= 10, "Early Career[6-10]", AG43 &lt;= 20, "Established[11-20]", AG43 &lt;= 30, "Veteran[21-30]", AG43 &lt;= 40, "Late Career[31-40]")</f>
        <v>New[1-5]</v>
      </c>
      <c r="AI43" s="1">
        <v>6</v>
      </c>
      <c r="AJ43" s="1">
        <v>3</v>
      </c>
      <c r="AK43" s="1">
        <v>1</v>
      </c>
      <c r="AL43" s="9" t="str" cm="1">
        <f t="array" ref="AL43">_xlfn.IFS(AK43 &lt;= 5, "New[1-5]", AK43 &lt;= 10, "Early Career[6-10]", AK43 &lt;= 20, "Established[11-20]", AK43 &lt;= 30, "Veteran[21-30]", AK43 &lt;= 40, "Late Career[31-40]")</f>
        <v>New[1-5]</v>
      </c>
      <c r="AM43" s="1">
        <v>0</v>
      </c>
      <c r="AN43" s="9" t="str" cm="1">
        <f t="array" ref="AN43">_xlfn.IFS(AM43 &lt;= 3, "New to Role[1-3]", AM43 &lt;= 7, "Settled[4-7]", AM43 &lt;= 12, "Experienced[[8-12]", AM43 &lt;= 18, "Long Tenured[13-18]")</f>
        <v>New to Role[1-3]</v>
      </c>
      <c r="AO43" s="1">
        <v>0</v>
      </c>
      <c r="AP43" s="9" t="str" cm="1">
        <f t="array" ref="AP43">_xlfn.IFS(AO43 &lt;= 3, "Recently[1-3]", AO43 &lt;= 6, "Due Soon[4-6]", AO43 &lt;= 10, "Overdue[7-10]", AO43 &lt;= 15, "Long Overdue[11-15]")</f>
        <v>Recently[1-3]</v>
      </c>
      <c r="AQ43" s="9" t="str" cm="1">
        <f t="array" ref="AQ43">_xlfn.IFS(AR43 &lt;= 3, "New Relationship[1-3]", AR43 &lt;= 7, "Established Relationship[4-7]", AR43 &lt;= 12, "Long Term Relationship[8-12]", AR43 &lt;= 17, "Very Long Term Relationship[13-17]")</f>
        <v>New Relationship[1-3]</v>
      </c>
      <c r="AR43" s="1">
        <v>0</v>
      </c>
    </row>
    <row r="44" spans="1:44" x14ac:dyDescent="0.25">
      <c r="A44" s="1">
        <v>26</v>
      </c>
      <c r="B44" s="8" t="str" cm="1">
        <f t="array" ref="B44">_xlfn.IFS(A44 &lt;= 25, "[18-25]", A44 &lt;= 35, "[26-35]", A44 &lt;=45, "[36-45]", A44 &lt;= 60, "[46- 60]")</f>
        <v>[26-35]</v>
      </c>
      <c r="C44" s="3" t="s">
        <v>35</v>
      </c>
      <c r="D44">
        <f t="shared" si="0"/>
        <v>1</v>
      </c>
      <c r="E44" t="s">
        <v>36</v>
      </c>
      <c r="F44" s="1">
        <v>1357</v>
      </c>
      <c r="G44" s="3" t="s">
        <v>45</v>
      </c>
      <c r="H44" s="1">
        <v>25</v>
      </c>
      <c r="I44" s="9" t="str" cm="1">
        <f t="array" ref="I44">_xlfn.IFS(H44 &lt;= 2, "[1-2] very close", H44 &lt;= 10, "[3-10] close", H44 &lt;= 20, "[11-20] moderate", H44 &lt;= 30, "[21-30] far")</f>
        <v>[21-30] far</v>
      </c>
      <c r="J44" s="1">
        <v>3</v>
      </c>
      <c r="K44" s="3" t="s">
        <v>38</v>
      </c>
      <c r="L44" s="1">
        <v>1</v>
      </c>
      <c r="M44" s="1">
        <v>55</v>
      </c>
      <c r="N44" s="1">
        <v>1</v>
      </c>
      <c r="O44" s="3" t="s">
        <v>46</v>
      </c>
      <c r="P44" s="1">
        <v>48</v>
      </c>
      <c r="Q44" s="1">
        <v>1</v>
      </c>
      <c r="R44" s="1">
        <v>1</v>
      </c>
      <c r="S44" s="3" t="s">
        <v>50</v>
      </c>
      <c r="T44" s="1">
        <v>3</v>
      </c>
      <c r="U44" s="3" t="s">
        <v>41</v>
      </c>
      <c r="V44" s="4">
        <v>2293</v>
      </c>
      <c r="W44" s="1">
        <v>10558</v>
      </c>
      <c r="X44" s="1">
        <v>1</v>
      </c>
      <c r="Y44" s="3" t="s">
        <v>42</v>
      </c>
      <c r="Z44" s="3" t="s">
        <v>43</v>
      </c>
      <c r="AA44" s="5">
        <v>0.12</v>
      </c>
      <c r="AB44" s="10" t="str" cm="1">
        <f t="array" ref="AB44">_xlfn.IFS(AA44 &lt;= 15%, "Low Hike[11-15%]", AA44 &lt;= 20%, "Moderate Hike[16-20%]", AA44 &lt;= 25%,"High Hike[21-25%]")</f>
        <v>Low Hike[11-15%]</v>
      </c>
      <c r="AC44" s="1">
        <v>3</v>
      </c>
      <c r="AD44" s="1">
        <v>3</v>
      </c>
      <c r="AE44" s="1">
        <v>80</v>
      </c>
      <c r="AF44" s="1">
        <v>0</v>
      </c>
      <c r="AG44" s="1">
        <v>1</v>
      </c>
      <c r="AH44" s="9" t="str" cm="1">
        <f t="array" ref="AH44">_xlfn.IFS(AG44 &lt;= 5, "New[1-5]", AG44 &lt;= 10, "Early Career[6-10]", AG44 &lt;= 20, "Established[11-20]", AG44 &lt;= 30, "Veteran[21-30]", AG44 &lt;= 40, "Late Career[31-40]")</f>
        <v>New[1-5]</v>
      </c>
      <c r="AI44" s="1">
        <v>2</v>
      </c>
      <c r="AJ44" s="1">
        <v>2</v>
      </c>
      <c r="AK44" s="1">
        <v>1</v>
      </c>
      <c r="AL44" s="9" t="str" cm="1">
        <f t="array" ref="AL44">_xlfn.IFS(AK44 &lt;= 5, "New[1-5]", AK44 &lt;= 10, "Early Career[6-10]", AK44 &lt;= 20, "Established[11-20]", AK44 &lt;= 30, "Veteran[21-30]", AK44 &lt;= 40, "Late Career[31-40]")</f>
        <v>New[1-5]</v>
      </c>
      <c r="AM44" s="1">
        <v>0</v>
      </c>
      <c r="AN44" s="9" t="str" cm="1">
        <f t="array" ref="AN44">_xlfn.IFS(AM44 &lt;= 3, "New to Role[1-3]", AM44 &lt;= 7, "Settled[4-7]", AM44 &lt;= 12, "Experienced[[8-12]", AM44 &lt;= 18, "Long Tenured[13-18]")</f>
        <v>New to Role[1-3]</v>
      </c>
      <c r="AO44" s="1">
        <v>0</v>
      </c>
      <c r="AP44" s="9" t="str" cm="1">
        <f t="array" ref="AP44">_xlfn.IFS(AO44 &lt;= 3, "Recently[1-3]", AO44 &lt;= 6, "Due Soon[4-6]", AO44 &lt;= 10, "Overdue[7-10]", AO44 &lt;= 15, "Long Overdue[11-15]")</f>
        <v>Recently[1-3]</v>
      </c>
      <c r="AQ44" s="9" t="str" cm="1">
        <f t="array" ref="AQ44">_xlfn.IFS(AR44 &lt;= 3, "New Relationship[1-3]", AR44 &lt;= 7, "Established Relationship[4-7]", AR44 &lt;= 12, "Long Term Relationship[8-12]", AR44 &lt;= 17, "Very Long Term Relationship[13-17]")</f>
        <v>New Relationship[1-3]</v>
      </c>
      <c r="AR44" s="1">
        <v>1</v>
      </c>
    </row>
    <row r="45" spans="1:44" x14ac:dyDescent="0.25">
      <c r="A45" s="1">
        <v>27</v>
      </c>
      <c r="B45" s="8" t="str" cm="1">
        <f t="array" ref="B45">_xlfn.IFS(A45 &lt;= 25, "[18-25]", A45 &lt;= 35, "[26-35]", A45 &lt;=45, "[36-45]", A45 &lt;= 60, "[46- 60]")</f>
        <v>[26-35]</v>
      </c>
      <c r="C45" s="3" t="s">
        <v>43</v>
      </c>
      <c r="D45">
        <f t="shared" si="0"/>
        <v>0</v>
      </c>
      <c r="E45" t="s">
        <v>44</v>
      </c>
      <c r="F45" s="1">
        <v>994</v>
      </c>
      <c r="G45" s="3" t="s">
        <v>37</v>
      </c>
      <c r="H45" s="1">
        <v>8</v>
      </c>
      <c r="I45" s="9" t="str" cm="1">
        <f t="array" ref="I45">_xlfn.IFS(H45 &lt;= 2, "[1-2] very close", H45 &lt;= 10, "[3-10] close", H45 &lt;= 20, "[11-20] moderate", H45 &lt;= 30, "[21-30] far")</f>
        <v>[3-10] close</v>
      </c>
      <c r="J45" s="1">
        <v>3</v>
      </c>
      <c r="K45" s="3" t="s">
        <v>38</v>
      </c>
      <c r="L45" s="1">
        <v>1</v>
      </c>
      <c r="M45" s="1">
        <v>56</v>
      </c>
      <c r="N45" s="1">
        <v>4</v>
      </c>
      <c r="O45" s="3" t="s">
        <v>46</v>
      </c>
      <c r="P45" s="1">
        <v>37</v>
      </c>
      <c r="Q45" s="1">
        <v>3</v>
      </c>
      <c r="R45" s="1">
        <v>3</v>
      </c>
      <c r="S45" s="3" t="s">
        <v>40</v>
      </c>
      <c r="T45" s="1">
        <v>3</v>
      </c>
      <c r="U45" s="3" t="s">
        <v>41</v>
      </c>
      <c r="V45" s="4">
        <v>8726</v>
      </c>
      <c r="W45" s="1">
        <v>2975</v>
      </c>
      <c r="X45" s="1">
        <v>1</v>
      </c>
      <c r="Y45" s="3" t="s">
        <v>42</v>
      </c>
      <c r="Z45" s="3" t="s">
        <v>43</v>
      </c>
      <c r="AA45" s="5">
        <v>0.15</v>
      </c>
      <c r="AB45" s="10" t="str" cm="1">
        <f t="array" ref="AB45">_xlfn.IFS(AA45 &lt;= 15%, "Low Hike[11-15%]", AA45 &lt;= 20%, "Moderate Hike[16-20%]", AA45 &lt;= 25%,"High Hike[21-25%]")</f>
        <v>Low Hike[11-15%]</v>
      </c>
      <c r="AC45" s="1">
        <v>3</v>
      </c>
      <c r="AD45" s="1">
        <v>4</v>
      </c>
      <c r="AE45" s="1">
        <v>80</v>
      </c>
      <c r="AF45" s="1">
        <v>0</v>
      </c>
      <c r="AG45" s="1">
        <v>9</v>
      </c>
      <c r="AH45" s="9" t="str" cm="1">
        <f t="array" ref="AH45">_xlfn.IFS(AG45 &lt;= 5, "New[1-5]", AG45 &lt;= 10, "Early Career[6-10]", AG45 &lt;= 20, "Established[11-20]", AG45 &lt;= 30, "Veteran[21-30]", AG45 &lt;= 40, "Late Career[31-40]")</f>
        <v>Early Career[6-10]</v>
      </c>
      <c r="AI45" s="1">
        <v>0</v>
      </c>
      <c r="AJ45" s="1">
        <v>3</v>
      </c>
      <c r="AK45" s="1">
        <v>9</v>
      </c>
      <c r="AL45" s="9" t="str" cm="1">
        <f t="array" ref="AL45">_xlfn.IFS(AK45 &lt;= 5, "New[1-5]", AK45 &lt;= 10, "Early Career[6-10]", AK45 &lt;= 20, "Established[11-20]", AK45 &lt;= 30, "Veteran[21-30]", AK45 &lt;= 40, "Late Career[31-40]")</f>
        <v>Early Career[6-10]</v>
      </c>
      <c r="AM45" s="1">
        <v>8</v>
      </c>
      <c r="AN45" s="9" t="str" cm="1">
        <f t="array" ref="AN45">_xlfn.IFS(AM45 &lt;= 3, "New to Role[1-3]", AM45 &lt;= 7, "Settled[4-7]", AM45 &lt;= 12, "Experienced[[8-12]", AM45 &lt;= 18, "Long Tenured[13-18]")</f>
        <v>Experienced[[8-12]</v>
      </c>
      <c r="AO45" s="1">
        <v>1</v>
      </c>
      <c r="AP45" s="9" t="str" cm="1">
        <f t="array" ref="AP45">_xlfn.IFS(AO45 &lt;= 3, "Recently[1-3]", AO45 &lt;= 6, "Due Soon[4-6]", AO45 &lt;= 10, "Overdue[7-10]", AO45 &lt;= 15, "Long Overdue[11-15]")</f>
        <v>Recently[1-3]</v>
      </c>
      <c r="AQ45" s="9" t="str" cm="1">
        <f t="array" ref="AQ45">_xlfn.IFS(AR45 &lt;= 3, "New Relationship[1-3]", AR45 &lt;= 7, "Established Relationship[4-7]", AR45 &lt;= 12, "Long Term Relationship[8-12]", AR45 &lt;= 17, "Very Long Term Relationship[13-17]")</f>
        <v>Established Relationship[4-7]</v>
      </c>
      <c r="AR45" s="1">
        <v>7</v>
      </c>
    </row>
    <row r="46" spans="1:44" x14ac:dyDescent="0.25">
      <c r="A46" s="1">
        <v>30</v>
      </c>
      <c r="B46" s="8" t="str" cm="1">
        <f t="array" ref="B46">_xlfn.IFS(A46 &lt;= 25, "[18-25]", A46 &lt;= 35, "[26-35]", A46 &lt;=45, "[36-45]", A46 &lt;= 60, "[46- 60]")</f>
        <v>[26-35]</v>
      </c>
      <c r="C46" s="3" t="s">
        <v>43</v>
      </c>
      <c r="D46">
        <f t="shared" si="0"/>
        <v>0</v>
      </c>
      <c r="E46" t="s">
        <v>44</v>
      </c>
      <c r="F46" s="1">
        <v>721</v>
      </c>
      <c r="G46" s="3" t="s">
        <v>45</v>
      </c>
      <c r="H46" s="1">
        <v>1</v>
      </c>
      <c r="I46" s="9" t="str" cm="1">
        <f t="array" ref="I46">_xlfn.IFS(H46 &lt;= 2, "[1-2] very close", H46 &lt;= 10, "[3-10] close", H46 &lt;= 20, "[11-20] moderate", H46 &lt;= 30, "[21-30] far")</f>
        <v>[1-2] very close</v>
      </c>
      <c r="J46" s="1">
        <v>2</v>
      </c>
      <c r="K46" s="3" t="s">
        <v>51</v>
      </c>
      <c r="L46" s="1">
        <v>1</v>
      </c>
      <c r="M46" s="1">
        <v>57</v>
      </c>
      <c r="N46" s="1">
        <v>3</v>
      </c>
      <c r="O46" s="3" t="s">
        <v>39</v>
      </c>
      <c r="P46" s="1">
        <v>58</v>
      </c>
      <c r="Q46" s="1">
        <v>3</v>
      </c>
      <c r="R46" s="1">
        <v>2</v>
      </c>
      <c r="S46" s="3" t="s">
        <v>50</v>
      </c>
      <c r="T46" s="1">
        <v>4</v>
      </c>
      <c r="U46" s="3" t="s">
        <v>41</v>
      </c>
      <c r="V46" s="4">
        <v>4011</v>
      </c>
      <c r="W46" s="1">
        <v>10781</v>
      </c>
      <c r="X46" s="1">
        <v>1</v>
      </c>
      <c r="Y46" s="3" t="s">
        <v>42</v>
      </c>
      <c r="Z46" s="3" t="s">
        <v>43</v>
      </c>
      <c r="AA46" s="5">
        <v>0.23</v>
      </c>
      <c r="AB46" s="10" t="str" cm="1">
        <f t="array" ref="AB46">_xlfn.IFS(AA46 &lt;= 15%, "Low Hike[11-15%]", AA46 &lt;= 20%, "Moderate Hike[16-20%]", AA46 &lt;= 25%,"High Hike[21-25%]")</f>
        <v>High Hike[21-25%]</v>
      </c>
      <c r="AC46" s="1">
        <v>4</v>
      </c>
      <c r="AD46" s="1">
        <v>4</v>
      </c>
      <c r="AE46" s="1">
        <v>80</v>
      </c>
      <c r="AF46" s="1">
        <v>0</v>
      </c>
      <c r="AG46" s="1">
        <v>12</v>
      </c>
      <c r="AH46" s="9" t="str" cm="1">
        <f t="array" ref="AH46">_xlfn.IFS(AG46 &lt;= 5, "New[1-5]", AG46 &lt;= 10, "Early Career[6-10]", AG46 &lt;= 20, "Established[11-20]", AG46 &lt;= 30, "Veteran[21-30]", AG46 &lt;= 40, "Late Career[31-40]")</f>
        <v>Established[11-20]</v>
      </c>
      <c r="AI46" s="1">
        <v>2</v>
      </c>
      <c r="AJ46" s="1">
        <v>3</v>
      </c>
      <c r="AK46" s="1">
        <v>12</v>
      </c>
      <c r="AL46" s="9" t="str" cm="1">
        <f t="array" ref="AL46">_xlfn.IFS(AK46 &lt;= 5, "New[1-5]", AK46 &lt;= 10, "Early Career[6-10]", AK46 &lt;= 20, "Established[11-20]", AK46 &lt;= 30, "Veteran[21-30]", AK46 &lt;= 40, "Late Career[31-40]")</f>
        <v>Established[11-20]</v>
      </c>
      <c r="AM46" s="1">
        <v>8</v>
      </c>
      <c r="AN46" s="9" t="str" cm="1">
        <f t="array" ref="AN46">_xlfn.IFS(AM46 &lt;= 3, "New to Role[1-3]", AM46 &lt;= 7, "Settled[4-7]", AM46 &lt;= 12, "Experienced[[8-12]", AM46 &lt;= 18, "Long Tenured[13-18]")</f>
        <v>Experienced[[8-12]</v>
      </c>
      <c r="AO46" s="1">
        <v>3</v>
      </c>
      <c r="AP46" s="9" t="str" cm="1">
        <f t="array" ref="AP46">_xlfn.IFS(AO46 &lt;= 3, "Recently[1-3]", AO46 &lt;= 6, "Due Soon[4-6]", AO46 &lt;= 10, "Overdue[7-10]", AO46 &lt;= 15, "Long Overdue[11-15]")</f>
        <v>Recently[1-3]</v>
      </c>
      <c r="AQ46" s="9" t="str" cm="1">
        <f t="array" ref="AQ46">_xlfn.IFS(AR46 &lt;= 3, "New Relationship[1-3]", AR46 &lt;= 7, "Established Relationship[4-7]", AR46 &lt;= 12, "Long Term Relationship[8-12]", AR46 &lt;= 17, "Very Long Term Relationship[13-17]")</f>
        <v>Established Relationship[4-7]</v>
      </c>
      <c r="AR46" s="1">
        <v>7</v>
      </c>
    </row>
    <row r="47" spans="1:44" x14ac:dyDescent="0.25">
      <c r="A47" s="1">
        <v>41</v>
      </c>
      <c r="B47" s="8" t="str" cm="1">
        <f t="array" ref="B47">_xlfn.IFS(A47 &lt;= 25, "[18-25]", A47 &lt;= 35, "[26-35]", A47 &lt;=45, "[36-45]", A47 &lt;= 60, "[46- 60]")</f>
        <v>[36-45]</v>
      </c>
      <c r="C47" s="3" t="s">
        <v>35</v>
      </c>
      <c r="D47">
        <f t="shared" si="0"/>
        <v>1</v>
      </c>
      <c r="E47" t="s">
        <v>36</v>
      </c>
      <c r="F47" s="1">
        <v>1360</v>
      </c>
      <c r="G47" s="3" t="s">
        <v>45</v>
      </c>
      <c r="H47" s="1">
        <v>12</v>
      </c>
      <c r="I47" s="9" t="str" cm="1">
        <f t="array" ref="I47">_xlfn.IFS(H47 &lt;= 2, "[1-2] very close", H47 &lt;= 10, "[3-10] close", H47 &lt;= 20, "[11-20] moderate", H47 &lt;= 30, "[21-30] far")</f>
        <v>[11-20] moderate</v>
      </c>
      <c r="J47" s="1">
        <v>3</v>
      </c>
      <c r="K47" s="3" t="s">
        <v>60</v>
      </c>
      <c r="L47" s="1">
        <v>1</v>
      </c>
      <c r="M47" s="1">
        <v>58</v>
      </c>
      <c r="N47" s="1">
        <v>2</v>
      </c>
      <c r="O47" s="3" t="s">
        <v>39</v>
      </c>
      <c r="P47" s="1">
        <v>49</v>
      </c>
      <c r="Q47" s="1">
        <v>3</v>
      </c>
      <c r="R47" s="1">
        <v>5</v>
      </c>
      <c r="S47" s="3" t="s">
        <v>58</v>
      </c>
      <c r="T47" s="1">
        <v>3</v>
      </c>
      <c r="U47" s="3" t="s">
        <v>48</v>
      </c>
      <c r="V47" s="4">
        <v>19545</v>
      </c>
      <c r="W47" s="1">
        <v>16280</v>
      </c>
      <c r="X47" s="1">
        <v>1</v>
      </c>
      <c r="Y47" s="3" t="s">
        <v>42</v>
      </c>
      <c r="Z47" s="3" t="s">
        <v>43</v>
      </c>
      <c r="AA47" s="5">
        <v>0.12</v>
      </c>
      <c r="AB47" s="10" t="str" cm="1">
        <f t="array" ref="AB47">_xlfn.IFS(AA47 &lt;= 15%, "Low Hike[11-15%]", AA47 &lt;= 20%, "Moderate Hike[16-20%]", AA47 &lt;= 25%,"High Hike[21-25%]")</f>
        <v>Low Hike[11-15%]</v>
      </c>
      <c r="AC47" s="1">
        <v>3</v>
      </c>
      <c r="AD47" s="1">
        <v>4</v>
      </c>
      <c r="AE47" s="1">
        <v>80</v>
      </c>
      <c r="AF47" s="1">
        <v>0</v>
      </c>
      <c r="AG47" s="1">
        <v>23</v>
      </c>
      <c r="AH47" s="9" t="str" cm="1">
        <f t="array" ref="AH47">_xlfn.IFS(AG47 &lt;= 5, "New[1-5]", AG47 &lt;= 10, "Early Career[6-10]", AG47 &lt;= 20, "Established[11-20]", AG47 &lt;= 30, "Veteran[21-30]", AG47 &lt;= 40, "Late Career[31-40]")</f>
        <v>Veteran[21-30]</v>
      </c>
      <c r="AI47" s="1">
        <v>0</v>
      </c>
      <c r="AJ47" s="1">
        <v>3</v>
      </c>
      <c r="AK47" s="1">
        <v>22</v>
      </c>
      <c r="AL47" s="9" t="str" cm="1">
        <f t="array" ref="AL47">_xlfn.IFS(AK47 &lt;= 5, "New[1-5]", AK47 &lt;= 10, "Early Career[6-10]", AK47 &lt;= 20, "Established[11-20]", AK47 &lt;= 30, "Veteran[21-30]", AK47 &lt;= 40, "Late Career[31-40]")</f>
        <v>Veteran[21-30]</v>
      </c>
      <c r="AM47" s="1">
        <v>15</v>
      </c>
      <c r="AN47" s="9" t="str" cm="1">
        <f t="array" ref="AN47">_xlfn.IFS(AM47 &lt;= 3, "New to Role[1-3]", AM47 &lt;= 7, "Settled[4-7]", AM47 &lt;= 12, "Experienced[[8-12]", AM47 &lt;= 18, "Long Tenured[13-18]")</f>
        <v>Long Tenured[13-18]</v>
      </c>
      <c r="AO47" s="1">
        <v>15</v>
      </c>
      <c r="AP47" s="9" t="str" cm="1">
        <f t="array" ref="AP47">_xlfn.IFS(AO47 &lt;= 3, "Recently[1-3]", AO47 &lt;= 6, "Due Soon[4-6]", AO47 &lt;= 10, "Overdue[7-10]", AO47 &lt;= 15, "Long Overdue[11-15]")</f>
        <v>Long Overdue[11-15]</v>
      </c>
      <c r="AQ47" s="9" t="str" cm="1">
        <f t="array" ref="AQ47">_xlfn.IFS(AR47 &lt;= 3, "New Relationship[1-3]", AR47 &lt;= 7, "Established Relationship[4-7]", AR47 &lt;= 12, "Long Term Relationship[8-12]", AR47 &lt;= 17, "Very Long Term Relationship[13-17]")</f>
        <v>Long Term Relationship[8-12]</v>
      </c>
      <c r="AR47" s="1">
        <v>8</v>
      </c>
    </row>
    <row r="48" spans="1:44" x14ac:dyDescent="0.25">
      <c r="A48" s="1">
        <v>34</v>
      </c>
      <c r="B48" s="8" t="str" cm="1">
        <f t="array" ref="B48">_xlfn.IFS(A48 &lt;= 25, "[18-25]", A48 &lt;= 35, "[26-35]", A48 &lt;=45, "[36-45]", A48 &lt;= 60, "[46- 60]")</f>
        <v>[26-35]</v>
      </c>
      <c r="C48" s="3" t="s">
        <v>43</v>
      </c>
      <c r="D48">
        <f t="shared" si="0"/>
        <v>0</v>
      </c>
      <c r="E48" t="s">
        <v>62</v>
      </c>
      <c r="F48" s="1">
        <v>1065</v>
      </c>
      <c r="G48" s="3" t="s">
        <v>37</v>
      </c>
      <c r="H48" s="1">
        <v>23</v>
      </c>
      <c r="I48" s="9" t="str" cm="1">
        <f t="array" ref="I48">_xlfn.IFS(H48 &lt;= 2, "[1-2] very close", H48 &lt;= 10, "[3-10] close", H48 &lt;= 20, "[11-20] moderate", H48 &lt;= 30, "[21-30] far")</f>
        <v>[21-30] far</v>
      </c>
      <c r="J48" s="1">
        <v>4</v>
      </c>
      <c r="K48" s="3" t="s">
        <v>59</v>
      </c>
      <c r="L48" s="1">
        <v>1</v>
      </c>
      <c r="M48" s="1">
        <v>60</v>
      </c>
      <c r="N48" s="1">
        <v>2</v>
      </c>
      <c r="O48" s="3" t="s">
        <v>46</v>
      </c>
      <c r="P48" s="1">
        <v>72</v>
      </c>
      <c r="Q48" s="1">
        <v>3</v>
      </c>
      <c r="R48" s="1">
        <v>2</v>
      </c>
      <c r="S48" s="3" t="s">
        <v>40</v>
      </c>
      <c r="T48" s="1">
        <v>3</v>
      </c>
      <c r="U48" s="3" t="s">
        <v>41</v>
      </c>
      <c r="V48" s="4">
        <v>4568</v>
      </c>
      <c r="W48" s="1">
        <v>10034</v>
      </c>
      <c r="X48" s="1">
        <v>0</v>
      </c>
      <c r="Y48" s="3" t="s">
        <v>42</v>
      </c>
      <c r="Z48" s="3" t="s">
        <v>43</v>
      </c>
      <c r="AA48" s="5">
        <v>0.2</v>
      </c>
      <c r="AB48" s="10" t="str" cm="1">
        <f t="array" ref="AB48">_xlfn.IFS(AA48 &lt;= 15%, "Low Hike[11-15%]", AA48 &lt;= 20%, "Moderate Hike[16-20%]", AA48 &lt;= 25%,"High Hike[21-25%]")</f>
        <v>Moderate Hike[16-20%]</v>
      </c>
      <c r="AC48" s="1">
        <v>4</v>
      </c>
      <c r="AD48" s="1">
        <v>3</v>
      </c>
      <c r="AE48" s="1">
        <v>80</v>
      </c>
      <c r="AF48" s="1">
        <v>0</v>
      </c>
      <c r="AG48" s="1">
        <v>10</v>
      </c>
      <c r="AH48" s="9" t="str" cm="1">
        <f t="array" ref="AH48">_xlfn.IFS(AG48 &lt;= 5, "New[1-5]", AG48 &lt;= 10, "Early Career[6-10]", AG48 &lt;= 20, "Established[11-20]", AG48 &lt;= 30, "Veteran[21-30]", AG48 &lt;= 40, "Late Career[31-40]")</f>
        <v>Early Career[6-10]</v>
      </c>
      <c r="AI48" s="1">
        <v>2</v>
      </c>
      <c r="AJ48" s="1">
        <v>3</v>
      </c>
      <c r="AK48" s="1">
        <v>9</v>
      </c>
      <c r="AL48" s="9" t="str" cm="1">
        <f t="array" ref="AL48">_xlfn.IFS(AK48 &lt;= 5, "New[1-5]", AK48 &lt;= 10, "Early Career[6-10]", AK48 &lt;= 20, "Established[11-20]", AK48 &lt;= 30, "Veteran[21-30]", AK48 &lt;= 40, "Late Career[31-40]")</f>
        <v>Early Career[6-10]</v>
      </c>
      <c r="AM48" s="1">
        <v>5</v>
      </c>
      <c r="AN48" s="9" t="str" cm="1">
        <f t="array" ref="AN48">_xlfn.IFS(AM48 &lt;= 3, "New to Role[1-3]", AM48 &lt;= 7, "Settled[4-7]", AM48 &lt;= 12, "Experienced[[8-12]", AM48 &lt;= 18, "Long Tenured[13-18]")</f>
        <v>Settled[4-7]</v>
      </c>
      <c r="AO48" s="1">
        <v>8</v>
      </c>
      <c r="AP48" s="9" t="str" cm="1">
        <f t="array" ref="AP48">_xlfn.IFS(AO48 &lt;= 3, "Recently[1-3]", AO48 &lt;= 6, "Due Soon[4-6]", AO48 &lt;= 10, "Overdue[7-10]", AO48 &lt;= 15, "Long Overdue[11-15]")</f>
        <v>Overdue[7-10]</v>
      </c>
      <c r="AQ48" s="9" t="str" cm="1">
        <f t="array" ref="AQ48">_xlfn.IFS(AR48 &lt;= 3, "New Relationship[1-3]", AR48 &lt;= 7, "Established Relationship[4-7]", AR48 &lt;= 12, "Long Term Relationship[8-12]", AR48 &lt;= 17, "Very Long Term Relationship[13-17]")</f>
        <v>Established Relationship[4-7]</v>
      </c>
      <c r="AR48" s="1">
        <v>7</v>
      </c>
    </row>
    <row r="49" spans="1:44" x14ac:dyDescent="0.25">
      <c r="A49" s="1">
        <v>37</v>
      </c>
      <c r="B49" s="8" t="str" cm="1">
        <f t="array" ref="B49">_xlfn.IFS(A49 &lt;= 25, "[18-25]", A49 &lt;= 35, "[26-35]", A49 &lt;=45, "[36-45]", A49 &lt;= 60, "[46- 60]")</f>
        <v>[36-45]</v>
      </c>
      <c r="C49" s="3" t="s">
        <v>43</v>
      </c>
      <c r="D49">
        <f t="shared" si="0"/>
        <v>0</v>
      </c>
      <c r="E49" t="s">
        <v>36</v>
      </c>
      <c r="F49" s="1">
        <v>408</v>
      </c>
      <c r="G49" s="3" t="s">
        <v>45</v>
      </c>
      <c r="H49" s="1">
        <v>19</v>
      </c>
      <c r="I49" s="9" t="str" cm="1">
        <f t="array" ref="I49">_xlfn.IFS(H49 &lt;= 2, "[1-2] very close", H49 &lt;= 10, "[3-10] close", H49 &lt;= 20, "[11-20] moderate", H49 &lt;= 30, "[21-30] far")</f>
        <v>[11-20] moderate</v>
      </c>
      <c r="J49" s="1">
        <v>2</v>
      </c>
      <c r="K49" s="3" t="s">
        <v>38</v>
      </c>
      <c r="L49" s="1">
        <v>1</v>
      </c>
      <c r="M49" s="1">
        <v>61</v>
      </c>
      <c r="N49" s="1">
        <v>2</v>
      </c>
      <c r="O49" s="3" t="s">
        <v>46</v>
      </c>
      <c r="P49" s="1">
        <v>73</v>
      </c>
      <c r="Q49" s="1">
        <v>3</v>
      </c>
      <c r="R49" s="1">
        <v>1</v>
      </c>
      <c r="S49" s="3" t="s">
        <v>47</v>
      </c>
      <c r="T49" s="1">
        <v>2</v>
      </c>
      <c r="U49" s="3" t="s">
        <v>48</v>
      </c>
      <c r="V49" s="4">
        <v>3022</v>
      </c>
      <c r="W49" s="1">
        <v>10227</v>
      </c>
      <c r="X49" s="1">
        <v>4</v>
      </c>
      <c r="Y49" s="3" t="s">
        <v>42</v>
      </c>
      <c r="Z49" s="3" t="s">
        <v>43</v>
      </c>
      <c r="AA49" s="5">
        <v>0.21</v>
      </c>
      <c r="AB49" s="10" t="str" cm="1">
        <f t="array" ref="AB49">_xlfn.IFS(AA49 &lt;= 15%, "Low Hike[11-15%]", AA49 &lt;= 20%, "Moderate Hike[16-20%]", AA49 &lt;= 25%,"High Hike[21-25%]")</f>
        <v>High Hike[21-25%]</v>
      </c>
      <c r="AC49" s="1">
        <v>4</v>
      </c>
      <c r="AD49" s="1">
        <v>1</v>
      </c>
      <c r="AE49" s="1">
        <v>80</v>
      </c>
      <c r="AF49" s="1">
        <v>0</v>
      </c>
      <c r="AG49" s="1">
        <v>8</v>
      </c>
      <c r="AH49" s="9" t="str" cm="1">
        <f t="array" ref="AH49">_xlfn.IFS(AG49 &lt;= 5, "New[1-5]", AG49 &lt;= 10, "Early Career[6-10]", AG49 &lt;= 20, "Established[11-20]", AG49 &lt;= 30, "Veteran[21-30]", AG49 &lt;= 40, "Late Career[31-40]")</f>
        <v>Early Career[6-10]</v>
      </c>
      <c r="AI49" s="1">
        <v>1</v>
      </c>
      <c r="AJ49" s="1">
        <v>3</v>
      </c>
      <c r="AK49" s="1">
        <v>1</v>
      </c>
      <c r="AL49" s="9" t="str" cm="1">
        <f t="array" ref="AL49">_xlfn.IFS(AK49 &lt;= 5, "New[1-5]", AK49 &lt;= 10, "Early Career[6-10]", AK49 &lt;= 20, "Established[11-20]", AK49 &lt;= 30, "Veteran[21-30]", AK49 &lt;= 40, "Late Career[31-40]")</f>
        <v>New[1-5]</v>
      </c>
      <c r="AM49" s="1">
        <v>0</v>
      </c>
      <c r="AN49" s="9" t="str" cm="1">
        <f t="array" ref="AN49">_xlfn.IFS(AM49 &lt;= 3, "New to Role[1-3]", AM49 &lt;= 7, "Settled[4-7]", AM49 &lt;= 12, "Experienced[[8-12]", AM49 &lt;= 18, "Long Tenured[13-18]")</f>
        <v>New to Role[1-3]</v>
      </c>
      <c r="AO49" s="1">
        <v>0</v>
      </c>
      <c r="AP49" s="9" t="str" cm="1">
        <f t="array" ref="AP49">_xlfn.IFS(AO49 &lt;= 3, "Recently[1-3]", AO49 &lt;= 6, "Due Soon[4-6]", AO49 &lt;= 10, "Overdue[7-10]", AO49 &lt;= 15, "Long Overdue[11-15]")</f>
        <v>Recently[1-3]</v>
      </c>
      <c r="AQ49" s="9" t="str" cm="1">
        <f t="array" ref="AQ49">_xlfn.IFS(AR49 &lt;= 3, "New Relationship[1-3]", AR49 &lt;= 7, "Established Relationship[4-7]", AR49 &lt;= 12, "Long Term Relationship[8-12]", AR49 &lt;= 17, "Very Long Term Relationship[13-17]")</f>
        <v>New Relationship[1-3]</v>
      </c>
      <c r="AR49" s="1">
        <v>0</v>
      </c>
    </row>
    <row r="50" spans="1:44" x14ac:dyDescent="0.25">
      <c r="A50" s="1">
        <v>46</v>
      </c>
      <c r="B50" s="8" t="str" cm="1">
        <f t="array" ref="B50">_xlfn.IFS(A50 &lt;= 25, "[18-25]", A50 &lt;= 35, "[26-35]", A50 &lt;=45, "[36-45]", A50 &lt;= 60, "[46- 60]")</f>
        <v>[46- 60]</v>
      </c>
      <c r="C50" s="3" t="s">
        <v>43</v>
      </c>
      <c r="D50">
        <f t="shared" si="0"/>
        <v>0</v>
      </c>
      <c r="E50" t="s">
        <v>44</v>
      </c>
      <c r="F50" s="1">
        <v>1211</v>
      </c>
      <c r="G50" s="3" t="s">
        <v>37</v>
      </c>
      <c r="H50" s="1">
        <v>5</v>
      </c>
      <c r="I50" s="9" t="str" cm="1">
        <f t="array" ref="I50">_xlfn.IFS(H50 &lt;= 2, "[1-2] very close", H50 &lt;= 10, "[3-10] close", H50 &lt;= 20, "[11-20] moderate", H50 &lt;= 30, "[21-30] far")</f>
        <v>[3-10] close</v>
      </c>
      <c r="J50" s="1">
        <v>4</v>
      </c>
      <c r="K50" s="3" t="s">
        <v>59</v>
      </c>
      <c r="L50" s="1">
        <v>1</v>
      </c>
      <c r="M50" s="1">
        <v>62</v>
      </c>
      <c r="N50" s="1">
        <v>1</v>
      </c>
      <c r="O50" s="3" t="s">
        <v>46</v>
      </c>
      <c r="P50" s="1">
        <v>98</v>
      </c>
      <c r="Q50" s="1">
        <v>3</v>
      </c>
      <c r="R50" s="1">
        <v>2</v>
      </c>
      <c r="S50" s="3" t="s">
        <v>40</v>
      </c>
      <c r="T50" s="1">
        <v>4</v>
      </c>
      <c r="U50" s="3" t="s">
        <v>41</v>
      </c>
      <c r="V50" s="4">
        <v>5772</v>
      </c>
      <c r="W50" s="1">
        <v>20445</v>
      </c>
      <c r="X50" s="1">
        <v>4</v>
      </c>
      <c r="Y50" s="3" t="s">
        <v>42</v>
      </c>
      <c r="Z50" s="3" t="s">
        <v>35</v>
      </c>
      <c r="AA50" s="5">
        <v>0.21</v>
      </c>
      <c r="AB50" s="10" t="str" cm="1">
        <f t="array" ref="AB50">_xlfn.IFS(AA50 &lt;= 15%, "Low Hike[11-15%]", AA50 &lt;= 20%, "Moderate Hike[16-20%]", AA50 &lt;= 25%,"High Hike[21-25%]")</f>
        <v>High Hike[21-25%]</v>
      </c>
      <c r="AC50" s="1">
        <v>4</v>
      </c>
      <c r="AD50" s="1">
        <v>3</v>
      </c>
      <c r="AE50" s="1">
        <v>80</v>
      </c>
      <c r="AF50" s="1">
        <v>0</v>
      </c>
      <c r="AG50" s="1">
        <v>14</v>
      </c>
      <c r="AH50" s="9" t="str" cm="1">
        <f t="array" ref="AH50">_xlfn.IFS(AG50 &lt;= 5, "New[1-5]", AG50 &lt;= 10, "Early Career[6-10]", AG50 &lt;= 20, "Established[11-20]", AG50 &lt;= 30, "Veteran[21-30]", AG50 &lt;= 40, "Late Career[31-40]")</f>
        <v>Established[11-20]</v>
      </c>
      <c r="AI50" s="1">
        <v>4</v>
      </c>
      <c r="AJ50" s="1">
        <v>3</v>
      </c>
      <c r="AK50" s="1">
        <v>9</v>
      </c>
      <c r="AL50" s="9" t="str" cm="1">
        <f t="array" ref="AL50">_xlfn.IFS(AK50 &lt;= 5, "New[1-5]", AK50 &lt;= 10, "Early Career[6-10]", AK50 &lt;= 20, "Established[11-20]", AK50 &lt;= 30, "Veteran[21-30]", AK50 &lt;= 40, "Late Career[31-40]")</f>
        <v>Early Career[6-10]</v>
      </c>
      <c r="AM50" s="1">
        <v>6</v>
      </c>
      <c r="AN50" s="9" t="str" cm="1">
        <f t="array" ref="AN50">_xlfn.IFS(AM50 &lt;= 3, "New to Role[1-3]", AM50 &lt;= 7, "Settled[4-7]", AM50 &lt;= 12, "Experienced[[8-12]", AM50 &lt;= 18, "Long Tenured[13-18]")</f>
        <v>Settled[4-7]</v>
      </c>
      <c r="AO50" s="1">
        <v>0</v>
      </c>
      <c r="AP50" s="9" t="str" cm="1">
        <f t="array" ref="AP50">_xlfn.IFS(AO50 &lt;= 3, "Recently[1-3]", AO50 &lt;= 6, "Due Soon[4-6]", AO50 &lt;= 10, "Overdue[7-10]", AO50 &lt;= 15, "Long Overdue[11-15]")</f>
        <v>Recently[1-3]</v>
      </c>
      <c r="AQ50" s="9" t="str" cm="1">
        <f t="array" ref="AQ50">_xlfn.IFS(AR50 &lt;= 3, "New Relationship[1-3]", AR50 &lt;= 7, "Established Relationship[4-7]", AR50 &lt;= 12, "Long Term Relationship[8-12]", AR50 &lt;= 17, "Very Long Term Relationship[13-17]")</f>
        <v>Long Term Relationship[8-12]</v>
      </c>
      <c r="AR50" s="1">
        <v>8</v>
      </c>
    </row>
    <row r="51" spans="1:44" x14ac:dyDescent="0.25">
      <c r="A51" s="1">
        <v>35</v>
      </c>
      <c r="B51" s="8" t="str" cm="1">
        <f t="array" ref="B51">_xlfn.IFS(A51 &lt;= 25, "[18-25]", A51 &lt;= 35, "[26-35]", A51 &lt;=45, "[36-45]", A51 &lt;= 60, "[46- 60]")</f>
        <v>[26-35]</v>
      </c>
      <c r="C51" s="3" t="s">
        <v>43</v>
      </c>
      <c r="D51">
        <f t="shared" si="0"/>
        <v>0</v>
      </c>
      <c r="E51" t="s">
        <v>36</v>
      </c>
      <c r="F51" s="1">
        <v>1229</v>
      </c>
      <c r="G51" s="3" t="s">
        <v>45</v>
      </c>
      <c r="H51" s="1">
        <v>8</v>
      </c>
      <c r="I51" s="9" t="str" cm="1">
        <f t="array" ref="I51">_xlfn.IFS(H51 &lt;= 2, "[1-2] very close", H51 &lt;= 10, "[3-10] close", H51 &lt;= 20, "[11-20] moderate", H51 &lt;= 30, "[21-30] far")</f>
        <v>[3-10] close</v>
      </c>
      <c r="J51" s="1">
        <v>1</v>
      </c>
      <c r="K51" s="3" t="s">
        <v>38</v>
      </c>
      <c r="L51" s="1">
        <v>1</v>
      </c>
      <c r="M51" s="1">
        <v>63</v>
      </c>
      <c r="N51" s="1">
        <v>4</v>
      </c>
      <c r="O51" s="3" t="s">
        <v>46</v>
      </c>
      <c r="P51" s="1">
        <v>36</v>
      </c>
      <c r="Q51" s="1">
        <v>4</v>
      </c>
      <c r="R51" s="1">
        <v>1</v>
      </c>
      <c r="S51" s="3" t="s">
        <v>50</v>
      </c>
      <c r="T51" s="1">
        <v>4</v>
      </c>
      <c r="U51" s="3" t="s">
        <v>48</v>
      </c>
      <c r="V51" s="4">
        <v>2269</v>
      </c>
      <c r="W51" s="1">
        <v>4892</v>
      </c>
      <c r="X51" s="1">
        <v>1</v>
      </c>
      <c r="Y51" s="3" t="s">
        <v>42</v>
      </c>
      <c r="Z51" s="3" t="s">
        <v>43</v>
      </c>
      <c r="AA51" s="5">
        <v>0.19</v>
      </c>
      <c r="AB51" s="10" t="str" cm="1">
        <f t="array" ref="AB51">_xlfn.IFS(AA51 &lt;= 15%, "Low Hike[11-15%]", AA51 &lt;= 20%, "Moderate Hike[16-20%]", AA51 &lt;= 25%,"High Hike[21-25%]")</f>
        <v>Moderate Hike[16-20%]</v>
      </c>
      <c r="AC51" s="1">
        <v>3</v>
      </c>
      <c r="AD51" s="1">
        <v>4</v>
      </c>
      <c r="AE51" s="1">
        <v>80</v>
      </c>
      <c r="AF51" s="1">
        <v>0</v>
      </c>
      <c r="AG51" s="1">
        <v>1</v>
      </c>
      <c r="AH51" s="9" t="str" cm="1">
        <f t="array" ref="AH51">_xlfn.IFS(AG51 &lt;= 5, "New[1-5]", AG51 &lt;= 10, "Early Career[6-10]", AG51 &lt;= 20, "Established[11-20]", AG51 &lt;= 30, "Veteran[21-30]", AG51 &lt;= 40, "Late Career[31-40]")</f>
        <v>New[1-5]</v>
      </c>
      <c r="AI51" s="1">
        <v>2</v>
      </c>
      <c r="AJ51" s="1">
        <v>3</v>
      </c>
      <c r="AK51" s="1">
        <v>1</v>
      </c>
      <c r="AL51" s="9" t="str" cm="1">
        <f t="array" ref="AL51">_xlfn.IFS(AK51 &lt;= 5, "New[1-5]", AK51 &lt;= 10, "Early Career[6-10]", AK51 &lt;= 20, "Established[11-20]", AK51 &lt;= 30, "Veteran[21-30]", AK51 &lt;= 40, "Late Career[31-40]")</f>
        <v>New[1-5]</v>
      </c>
      <c r="AM51" s="1">
        <v>0</v>
      </c>
      <c r="AN51" s="9" t="str" cm="1">
        <f t="array" ref="AN51">_xlfn.IFS(AM51 &lt;= 3, "New to Role[1-3]", AM51 &lt;= 7, "Settled[4-7]", AM51 &lt;= 12, "Experienced[[8-12]", AM51 &lt;= 18, "Long Tenured[13-18]")</f>
        <v>New to Role[1-3]</v>
      </c>
      <c r="AO51" s="1">
        <v>0</v>
      </c>
      <c r="AP51" s="9" t="str" cm="1">
        <f t="array" ref="AP51">_xlfn.IFS(AO51 &lt;= 3, "Recently[1-3]", AO51 &lt;= 6, "Due Soon[4-6]", AO51 &lt;= 10, "Overdue[7-10]", AO51 &lt;= 15, "Long Overdue[11-15]")</f>
        <v>Recently[1-3]</v>
      </c>
      <c r="AQ51" s="9" t="str" cm="1">
        <f t="array" ref="AQ51">_xlfn.IFS(AR51 &lt;= 3, "New Relationship[1-3]", AR51 &lt;= 7, "Established Relationship[4-7]", AR51 &lt;= 12, "Long Term Relationship[8-12]", AR51 &lt;= 17, "Very Long Term Relationship[13-17]")</f>
        <v>New Relationship[1-3]</v>
      </c>
      <c r="AR51" s="1">
        <v>1</v>
      </c>
    </row>
    <row r="52" spans="1:44" x14ac:dyDescent="0.25">
      <c r="A52" s="1">
        <v>48</v>
      </c>
      <c r="B52" s="8" t="str" cm="1">
        <f t="array" ref="B52">_xlfn.IFS(A52 &lt;= 25, "[18-25]", A52 &lt;= 35, "[26-35]", A52 &lt;=45, "[36-45]", A52 &lt;= 60, "[46- 60]")</f>
        <v>[46- 60]</v>
      </c>
      <c r="C52" s="3" t="s">
        <v>35</v>
      </c>
      <c r="D52">
        <f t="shared" si="0"/>
        <v>1</v>
      </c>
      <c r="E52" t="s">
        <v>36</v>
      </c>
      <c r="F52" s="1">
        <v>626</v>
      </c>
      <c r="G52" s="3" t="s">
        <v>45</v>
      </c>
      <c r="H52" s="1">
        <v>1</v>
      </c>
      <c r="I52" s="9" t="str" cm="1">
        <f t="array" ref="I52">_xlfn.IFS(H52 &lt;= 2, "[1-2] very close", H52 &lt;= 10, "[3-10] close", H52 &lt;= 20, "[11-20] moderate", H52 &lt;= 30, "[21-30] far")</f>
        <v>[1-2] very close</v>
      </c>
      <c r="J52" s="1">
        <v>2</v>
      </c>
      <c r="K52" s="3" t="s">
        <v>38</v>
      </c>
      <c r="L52" s="1">
        <v>1</v>
      </c>
      <c r="M52" s="1">
        <v>64</v>
      </c>
      <c r="N52" s="1">
        <v>1</v>
      </c>
      <c r="O52" s="3" t="s">
        <v>46</v>
      </c>
      <c r="P52" s="1">
        <v>98</v>
      </c>
      <c r="Q52" s="1">
        <v>2</v>
      </c>
      <c r="R52" s="1">
        <v>3</v>
      </c>
      <c r="S52" s="3" t="s">
        <v>50</v>
      </c>
      <c r="T52" s="1">
        <v>3</v>
      </c>
      <c r="U52" s="3" t="s">
        <v>41</v>
      </c>
      <c r="V52" s="4">
        <v>5381</v>
      </c>
      <c r="W52" s="1">
        <v>19294</v>
      </c>
      <c r="X52" s="1">
        <v>9</v>
      </c>
      <c r="Y52" s="3" t="s">
        <v>42</v>
      </c>
      <c r="Z52" s="3" t="s">
        <v>35</v>
      </c>
      <c r="AA52" s="5">
        <v>0.13</v>
      </c>
      <c r="AB52" s="10" t="str" cm="1">
        <f t="array" ref="AB52">_xlfn.IFS(AA52 &lt;= 15%, "Low Hike[11-15%]", AA52 &lt;= 20%, "Moderate Hike[16-20%]", AA52 &lt;= 25%,"High Hike[21-25%]")</f>
        <v>Low Hike[11-15%]</v>
      </c>
      <c r="AC52" s="1">
        <v>3</v>
      </c>
      <c r="AD52" s="1">
        <v>4</v>
      </c>
      <c r="AE52" s="1">
        <v>80</v>
      </c>
      <c r="AF52" s="1">
        <v>0</v>
      </c>
      <c r="AG52" s="1">
        <v>23</v>
      </c>
      <c r="AH52" s="9" t="str" cm="1">
        <f t="array" ref="AH52">_xlfn.IFS(AG52 &lt;= 5, "New[1-5]", AG52 &lt;= 10, "Early Career[6-10]", AG52 &lt;= 20, "Established[11-20]", AG52 &lt;= 30, "Veteran[21-30]", AG52 &lt;= 40, "Late Career[31-40]")</f>
        <v>Veteran[21-30]</v>
      </c>
      <c r="AI52" s="1">
        <v>2</v>
      </c>
      <c r="AJ52" s="1">
        <v>3</v>
      </c>
      <c r="AK52" s="1">
        <v>1</v>
      </c>
      <c r="AL52" s="9" t="str" cm="1">
        <f t="array" ref="AL52">_xlfn.IFS(AK52 &lt;= 5, "New[1-5]", AK52 &lt;= 10, "Early Career[6-10]", AK52 &lt;= 20, "Established[11-20]", AK52 &lt;= 30, "Veteran[21-30]", AK52 &lt;= 40, "Late Career[31-40]")</f>
        <v>New[1-5]</v>
      </c>
      <c r="AM52" s="1">
        <v>0</v>
      </c>
      <c r="AN52" s="9" t="str" cm="1">
        <f t="array" ref="AN52">_xlfn.IFS(AM52 &lt;= 3, "New to Role[1-3]", AM52 &lt;= 7, "Settled[4-7]", AM52 &lt;= 12, "Experienced[[8-12]", AM52 &lt;= 18, "Long Tenured[13-18]")</f>
        <v>New to Role[1-3]</v>
      </c>
      <c r="AO52" s="1">
        <v>0</v>
      </c>
      <c r="AP52" s="9" t="str" cm="1">
        <f t="array" ref="AP52">_xlfn.IFS(AO52 &lt;= 3, "Recently[1-3]", AO52 &lt;= 6, "Due Soon[4-6]", AO52 &lt;= 10, "Overdue[7-10]", AO52 &lt;= 15, "Long Overdue[11-15]")</f>
        <v>Recently[1-3]</v>
      </c>
      <c r="AQ52" s="9" t="str" cm="1">
        <f t="array" ref="AQ52">_xlfn.IFS(AR52 &lt;= 3, "New Relationship[1-3]", AR52 &lt;= 7, "Established Relationship[4-7]", AR52 &lt;= 12, "Long Term Relationship[8-12]", AR52 &lt;= 17, "Very Long Term Relationship[13-17]")</f>
        <v>New Relationship[1-3]</v>
      </c>
      <c r="AR52" s="1">
        <v>0</v>
      </c>
    </row>
    <row r="53" spans="1:44" x14ac:dyDescent="0.25">
      <c r="A53" s="1">
        <v>28</v>
      </c>
      <c r="B53" s="8" t="str" cm="1">
        <f t="array" ref="B53">_xlfn.IFS(A53 &lt;= 25, "[18-25]", A53 &lt;= 35, "[26-35]", A53 &lt;=45, "[36-45]", A53 &lt;= 60, "[46- 60]")</f>
        <v>[26-35]</v>
      </c>
      <c r="C53" s="3" t="s">
        <v>35</v>
      </c>
      <c r="D53">
        <f t="shared" si="0"/>
        <v>1</v>
      </c>
      <c r="E53" t="s">
        <v>36</v>
      </c>
      <c r="F53" s="1">
        <v>1434</v>
      </c>
      <c r="G53" s="3" t="s">
        <v>45</v>
      </c>
      <c r="H53" s="1">
        <v>5</v>
      </c>
      <c r="I53" s="9" t="str" cm="1">
        <f t="array" ref="I53">_xlfn.IFS(H53 &lt;= 2, "[1-2] very close", H53 &lt;= 10, "[3-10] close", H53 &lt;= 20, "[11-20] moderate", H53 &lt;= 30, "[21-30] far")</f>
        <v>[3-10] close</v>
      </c>
      <c r="J53" s="1">
        <v>4</v>
      </c>
      <c r="K53" s="3" t="s">
        <v>60</v>
      </c>
      <c r="L53" s="1">
        <v>1</v>
      </c>
      <c r="M53" s="1">
        <v>65</v>
      </c>
      <c r="N53" s="1">
        <v>3</v>
      </c>
      <c r="O53" s="3" t="s">
        <v>46</v>
      </c>
      <c r="P53" s="1">
        <v>50</v>
      </c>
      <c r="Q53" s="1">
        <v>3</v>
      </c>
      <c r="R53" s="1">
        <v>1</v>
      </c>
      <c r="S53" s="3" t="s">
        <v>50</v>
      </c>
      <c r="T53" s="1">
        <v>3</v>
      </c>
      <c r="U53" s="3" t="s">
        <v>41</v>
      </c>
      <c r="V53" s="4">
        <v>3441</v>
      </c>
      <c r="W53" s="1">
        <v>11179</v>
      </c>
      <c r="X53" s="1">
        <v>1</v>
      </c>
      <c r="Y53" s="3" t="s">
        <v>42</v>
      </c>
      <c r="Z53" s="3" t="s">
        <v>35</v>
      </c>
      <c r="AA53" s="5">
        <v>0.13</v>
      </c>
      <c r="AB53" s="10" t="str" cm="1">
        <f t="array" ref="AB53">_xlfn.IFS(AA53 &lt;= 15%, "Low Hike[11-15%]", AA53 &lt;= 20%, "Moderate Hike[16-20%]", AA53 &lt;= 25%,"High Hike[21-25%]")</f>
        <v>Low Hike[11-15%]</v>
      </c>
      <c r="AC53" s="1">
        <v>3</v>
      </c>
      <c r="AD53" s="1">
        <v>3</v>
      </c>
      <c r="AE53" s="1">
        <v>80</v>
      </c>
      <c r="AF53" s="1">
        <v>0</v>
      </c>
      <c r="AG53" s="1">
        <v>2</v>
      </c>
      <c r="AH53" s="9" t="str" cm="1">
        <f t="array" ref="AH53">_xlfn.IFS(AG53 &lt;= 5, "New[1-5]", AG53 &lt;= 10, "Early Career[6-10]", AG53 &lt;= 20, "Established[11-20]", AG53 &lt;= 30, "Veteran[21-30]", AG53 &lt;= 40, "Late Career[31-40]")</f>
        <v>New[1-5]</v>
      </c>
      <c r="AI53" s="1">
        <v>3</v>
      </c>
      <c r="AJ53" s="1">
        <v>2</v>
      </c>
      <c r="AK53" s="1">
        <v>2</v>
      </c>
      <c r="AL53" s="9" t="str" cm="1">
        <f t="array" ref="AL53">_xlfn.IFS(AK53 &lt;= 5, "New[1-5]", AK53 &lt;= 10, "Early Career[6-10]", AK53 &lt;= 20, "Established[11-20]", AK53 &lt;= 30, "Veteran[21-30]", AK53 &lt;= 40, "Late Career[31-40]")</f>
        <v>New[1-5]</v>
      </c>
      <c r="AM53" s="1">
        <v>2</v>
      </c>
      <c r="AN53" s="9" t="str" cm="1">
        <f t="array" ref="AN53">_xlfn.IFS(AM53 &lt;= 3, "New to Role[1-3]", AM53 &lt;= 7, "Settled[4-7]", AM53 &lt;= 12, "Experienced[[8-12]", AM53 &lt;= 18, "Long Tenured[13-18]")</f>
        <v>New to Role[1-3]</v>
      </c>
      <c r="AO53" s="1">
        <v>2</v>
      </c>
      <c r="AP53" s="9" t="str" cm="1">
        <f t="array" ref="AP53">_xlfn.IFS(AO53 &lt;= 3, "Recently[1-3]", AO53 &lt;= 6, "Due Soon[4-6]", AO53 &lt;= 10, "Overdue[7-10]", AO53 &lt;= 15, "Long Overdue[11-15]")</f>
        <v>Recently[1-3]</v>
      </c>
      <c r="AQ53" s="9" t="str" cm="1">
        <f t="array" ref="AQ53">_xlfn.IFS(AR53 &lt;= 3, "New Relationship[1-3]", AR53 &lt;= 7, "Established Relationship[4-7]", AR53 &lt;= 12, "Long Term Relationship[8-12]", AR53 &lt;= 17, "Very Long Term Relationship[13-17]")</f>
        <v>New Relationship[1-3]</v>
      </c>
      <c r="AR53" s="1">
        <v>2</v>
      </c>
    </row>
    <row r="54" spans="1:44" x14ac:dyDescent="0.25">
      <c r="A54" s="1">
        <v>44</v>
      </c>
      <c r="B54" s="8" t="str" cm="1">
        <f t="array" ref="B54">_xlfn.IFS(A54 &lt;= 25, "[18-25]", A54 &lt;= 35, "[26-35]", A54 &lt;=45, "[36-45]", A54 &lt;= 60, "[46- 60]")</f>
        <v>[36-45]</v>
      </c>
      <c r="C54" s="3" t="s">
        <v>43</v>
      </c>
      <c r="D54">
        <f t="shared" si="0"/>
        <v>0</v>
      </c>
      <c r="E54" t="s">
        <v>36</v>
      </c>
      <c r="F54" s="1">
        <v>1488</v>
      </c>
      <c r="G54" s="3" t="s">
        <v>37</v>
      </c>
      <c r="H54" s="1">
        <v>1</v>
      </c>
      <c r="I54" s="9" t="str" cm="1">
        <f t="array" ref="I54">_xlfn.IFS(H54 &lt;= 2, "[1-2] very close", H54 &lt;= 10, "[3-10] close", H54 &lt;= 20, "[11-20] moderate", H54 &lt;= 30, "[21-30] far")</f>
        <v>[1-2] very close</v>
      </c>
      <c r="J54" s="1">
        <v>5</v>
      </c>
      <c r="K54" s="3" t="s">
        <v>59</v>
      </c>
      <c r="L54" s="1">
        <v>1</v>
      </c>
      <c r="M54" s="1">
        <v>68</v>
      </c>
      <c r="N54" s="1">
        <v>2</v>
      </c>
      <c r="O54" s="3" t="s">
        <v>39</v>
      </c>
      <c r="P54" s="1">
        <v>75</v>
      </c>
      <c r="Q54" s="1">
        <v>3</v>
      </c>
      <c r="R54" s="1">
        <v>2</v>
      </c>
      <c r="S54" s="3" t="s">
        <v>40</v>
      </c>
      <c r="T54" s="1">
        <v>1</v>
      </c>
      <c r="U54" s="3" t="s">
        <v>52</v>
      </c>
      <c r="V54" s="4">
        <v>5454</v>
      </c>
      <c r="W54" s="1">
        <v>4009</v>
      </c>
      <c r="X54" s="1">
        <v>5</v>
      </c>
      <c r="Y54" s="3" t="s">
        <v>42</v>
      </c>
      <c r="Z54" s="3" t="s">
        <v>35</v>
      </c>
      <c r="AA54" s="5">
        <v>0.21</v>
      </c>
      <c r="AB54" s="10" t="str" cm="1">
        <f t="array" ref="AB54">_xlfn.IFS(AA54 &lt;= 15%, "Low Hike[11-15%]", AA54 &lt;= 20%, "Moderate Hike[16-20%]", AA54 &lt;= 25%,"High Hike[21-25%]")</f>
        <v>High Hike[21-25%]</v>
      </c>
      <c r="AC54" s="1">
        <v>4</v>
      </c>
      <c r="AD54" s="1">
        <v>3</v>
      </c>
      <c r="AE54" s="1">
        <v>80</v>
      </c>
      <c r="AF54" s="1">
        <v>1</v>
      </c>
      <c r="AG54" s="1">
        <v>9</v>
      </c>
      <c r="AH54" s="9" t="str" cm="1">
        <f t="array" ref="AH54">_xlfn.IFS(AG54 &lt;= 5, "New[1-5]", AG54 &lt;= 10, "Early Career[6-10]", AG54 &lt;= 20, "Established[11-20]", AG54 &lt;= 30, "Veteran[21-30]", AG54 &lt;= 40, "Late Career[31-40]")</f>
        <v>Early Career[6-10]</v>
      </c>
      <c r="AI54" s="1">
        <v>2</v>
      </c>
      <c r="AJ54" s="1">
        <v>2</v>
      </c>
      <c r="AK54" s="1">
        <v>4</v>
      </c>
      <c r="AL54" s="9" t="str" cm="1">
        <f t="array" ref="AL54">_xlfn.IFS(AK54 &lt;= 5, "New[1-5]", AK54 &lt;= 10, "Early Career[6-10]", AK54 &lt;= 20, "Established[11-20]", AK54 &lt;= 30, "Veteran[21-30]", AK54 &lt;= 40, "Late Career[31-40]")</f>
        <v>New[1-5]</v>
      </c>
      <c r="AM54" s="1">
        <v>3</v>
      </c>
      <c r="AN54" s="9" t="str" cm="1">
        <f t="array" ref="AN54">_xlfn.IFS(AM54 &lt;= 3, "New to Role[1-3]", AM54 &lt;= 7, "Settled[4-7]", AM54 &lt;= 12, "Experienced[[8-12]", AM54 &lt;= 18, "Long Tenured[13-18]")</f>
        <v>New to Role[1-3]</v>
      </c>
      <c r="AO54" s="1">
        <v>1</v>
      </c>
      <c r="AP54" s="9" t="str" cm="1">
        <f t="array" ref="AP54">_xlfn.IFS(AO54 &lt;= 3, "Recently[1-3]", AO54 &lt;= 6, "Due Soon[4-6]", AO54 &lt;= 10, "Overdue[7-10]", AO54 &lt;= 15, "Long Overdue[11-15]")</f>
        <v>Recently[1-3]</v>
      </c>
      <c r="AQ54" s="9" t="str" cm="1">
        <f t="array" ref="AQ54">_xlfn.IFS(AR54 &lt;= 3, "New Relationship[1-3]", AR54 &lt;= 7, "Established Relationship[4-7]", AR54 &lt;= 12, "Long Term Relationship[8-12]", AR54 &lt;= 17, "Very Long Term Relationship[13-17]")</f>
        <v>New Relationship[1-3]</v>
      </c>
      <c r="AR54" s="1">
        <v>3</v>
      </c>
    </row>
    <row r="55" spans="1:44" x14ac:dyDescent="0.25">
      <c r="A55" s="1">
        <v>35</v>
      </c>
      <c r="B55" s="8" t="str" cm="1">
        <f t="array" ref="B55">_xlfn.IFS(A55 &lt;= 25, "[18-25]", A55 &lt;= 35, "[26-35]", A55 &lt;=45, "[36-45]", A55 &lt;= 60, "[46- 60]")</f>
        <v>[26-35]</v>
      </c>
      <c r="C55" s="3" t="s">
        <v>43</v>
      </c>
      <c r="D55">
        <f t="shared" si="0"/>
        <v>0</v>
      </c>
      <c r="E55" t="s">
        <v>62</v>
      </c>
      <c r="F55" s="1">
        <v>1097</v>
      </c>
      <c r="G55" s="3" t="s">
        <v>45</v>
      </c>
      <c r="H55" s="1">
        <v>11</v>
      </c>
      <c r="I55" s="9" t="str" cm="1">
        <f t="array" ref="I55">_xlfn.IFS(H55 &lt;= 2, "[1-2] very close", H55 &lt;= 10, "[3-10] close", H55 &lt;= 20, "[11-20] moderate", H55 &lt;= 30, "[21-30] far")</f>
        <v>[11-20] moderate</v>
      </c>
      <c r="J55" s="1">
        <v>2</v>
      </c>
      <c r="K55" s="3" t="s">
        <v>51</v>
      </c>
      <c r="L55" s="1">
        <v>1</v>
      </c>
      <c r="M55" s="1">
        <v>70</v>
      </c>
      <c r="N55" s="1">
        <v>3</v>
      </c>
      <c r="O55" s="3" t="s">
        <v>46</v>
      </c>
      <c r="P55" s="1">
        <v>79</v>
      </c>
      <c r="Q55" s="1">
        <v>2</v>
      </c>
      <c r="R55" s="1">
        <v>3</v>
      </c>
      <c r="S55" s="3" t="s">
        <v>54</v>
      </c>
      <c r="T55" s="1">
        <v>1</v>
      </c>
      <c r="U55" s="3" t="s">
        <v>48</v>
      </c>
      <c r="V55" s="4">
        <v>9884</v>
      </c>
      <c r="W55" s="1">
        <v>8302</v>
      </c>
      <c r="X55" s="1">
        <v>2</v>
      </c>
      <c r="Y55" s="3" t="s">
        <v>42</v>
      </c>
      <c r="Z55" s="3" t="s">
        <v>35</v>
      </c>
      <c r="AA55" s="5">
        <v>0.13</v>
      </c>
      <c r="AB55" s="10" t="str" cm="1">
        <f t="array" ref="AB55">_xlfn.IFS(AA55 &lt;= 15%, "Low Hike[11-15%]", AA55 &lt;= 20%, "Moderate Hike[16-20%]", AA55 &lt;= 25%,"High Hike[21-25%]")</f>
        <v>Low Hike[11-15%]</v>
      </c>
      <c r="AC55" s="1">
        <v>3</v>
      </c>
      <c r="AD55" s="1">
        <v>3</v>
      </c>
      <c r="AE55" s="1">
        <v>80</v>
      </c>
      <c r="AF55" s="1">
        <v>1</v>
      </c>
      <c r="AG55" s="1">
        <v>10</v>
      </c>
      <c r="AH55" s="9" t="str" cm="1">
        <f t="array" ref="AH55">_xlfn.IFS(AG55 &lt;= 5, "New[1-5]", AG55 &lt;= 10, "Early Career[6-10]", AG55 &lt;= 20, "Established[11-20]", AG55 &lt;= 30, "Veteran[21-30]", AG55 &lt;= 40, "Late Career[31-40]")</f>
        <v>Early Career[6-10]</v>
      </c>
      <c r="AI55" s="1">
        <v>3</v>
      </c>
      <c r="AJ55" s="1">
        <v>3</v>
      </c>
      <c r="AK55" s="1">
        <v>4</v>
      </c>
      <c r="AL55" s="9" t="str" cm="1">
        <f t="array" ref="AL55">_xlfn.IFS(AK55 &lt;= 5, "New[1-5]", AK55 &lt;= 10, "Early Career[6-10]", AK55 &lt;= 20, "Established[11-20]", AK55 &lt;= 30, "Veteran[21-30]", AK55 &lt;= 40, "Late Career[31-40]")</f>
        <v>New[1-5]</v>
      </c>
      <c r="AM55" s="1">
        <v>0</v>
      </c>
      <c r="AN55" s="9" t="str" cm="1">
        <f t="array" ref="AN55">_xlfn.IFS(AM55 &lt;= 3, "New to Role[1-3]", AM55 &lt;= 7, "Settled[4-7]", AM55 &lt;= 12, "Experienced[[8-12]", AM55 &lt;= 18, "Long Tenured[13-18]")</f>
        <v>New to Role[1-3]</v>
      </c>
      <c r="AO55" s="1">
        <v>2</v>
      </c>
      <c r="AP55" s="9" t="str" cm="1">
        <f t="array" ref="AP55">_xlfn.IFS(AO55 &lt;= 3, "Recently[1-3]", AO55 &lt;= 6, "Due Soon[4-6]", AO55 &lt;= 10, "Overdue[7-10]", AO55 &lt;= 15, "Long Overdue[11-15]")</f>
        <v>Recently[1-3]</v>
      </c>
      <c r="AQ55" s="9" t="str" cm="1">
        <f t="array" ref="AQ55">_xlfn.IFS(AR55 &lt;= 3, "New Relationship[1-3]", AR55 &lt;= 7, "Established Relationship[4-7]", AR55 &lt;= 12, "Long Term Relationship[8-12]", AR55 &lt;= 17, "Very Long Term Relationship[13-17]")</f>
        <v>New Relationship[1-3]</v>
      </c>
      <c r="AR55" s="1">
        <v>3</v>
      </c>
    </row>
    <row r="56" spans="1:44" x14ac:dyDescent="0.25">
      <c r="A56" s="1">
        <v>26</v>
      </c>
      <c r="B56" s="8" t="str" cm="1">
        <f t="array" ref="B56">_xlfn.IFS(A56 &lt;= 25, "[18-25]", A56 &lt;= 35, "[26-35]", A56 &lt;=45, "[36-45]", A56 &lt;= 60, "[46- 60]")</f>
        <v>[26-35]</v>
      </c>
      <c r="C56" s="3" t="s">
        <v>43</v>
      </c>
      <c r="D56">
        <f t="shared" si="0"/>
        <v>0</v>
      </c>
      <c r="E56" t="s">
        <v>36</v>
      </c>
      <c r="F56" s="1">
        <v>1443</v>
      </c>
      <c r="G56" s="3" t="s">
        <v>37</v>
      </c>
      <c r="H56" s="1">
        <v>23</v>
      </c>
      <c r="I56" s="9" t="str" cm="1">
        <f t="array" ref="I56">_xlfn.IFS(H56 &lt;= 2, "[1-2] very close", H56 &lt;= 10, "[3-10] close", H56 &lt;= 20, "[11-20] moderate", H56 &lt;= 30, "[21-30] far")</f>
        <v>[21-30] far</v>
      </c>
      <c r="J56" s="1">
        <v>3</v>
      </c>
      <c r="K56" s="3" t="s">
        <v>59</v>
      </c>
      <c r="L56" s="1">
        <v>1</v>
      </c>
      <c r="M56" s="1">
        <v>72</v>
      </c>
      <c r="N56" s="1">
        <v>3</v>
      </c>
      <c r="O56" s="3" t="s">
        <v>39</v>
      </c>
      <c r="P56" s="1">
        <v>47</v>
      </c>
      <c r="Q56" s="1">
        <v>2</v>
      </c>
      <c r="R56" s="1">
        <v>2</v>
      </c>
      <c r="S56" s="3" t="s">
        <v>40</v>
      </c>
      <c r="T56" s="1">
        <v>4</v>
      </c>
      <c r="U56" s="3" t="s">
        <v>48</v>
      </c>
      <c r="V56" s="4">
        <v>4157</v>
      </c>
      <c r="W56" s="1">
        <v>21436</v>
      </c>
      <c r="X56" s="1">
        <v>7</v>
      </c>
      <c r="Y56" s="3" t="s">
        <v>42</v>
      </c>
      <c r="Z56" s="3" t="s">
        <v>35</v>
      </c>
      <c r="AA56" s="5">
        <v>0.19</v>
      </c>
      <c r="AB56" s="10" t="str" cm="1">
        <f t="array" ref="AB56">_xlfn.IFS(AA56 &lt;= 15%, "Low Hike[11-15%]", AA56 &lt;= 20%, "Moderate Hike[16-20%]", AA56 &lt;= 25%,"High Hike[21-25%]")</f>
        <v>Moderate Hike[16-20%]</v>
      </c>
      <c r="AC56" s="1">
        <v>3</v>
      </c>
      <c r="AD56" s="1">
        <v>3</v>
      </c>
      <c r="AE56" s="1">
        <v>80</v>
      </c>
      <c r="AF56" s="1">
        <v>1</v>
      </c>
      <c r="AG56" s="1">
        <v>5</v>
      </c>
      <c r="AH56" s="9" t="str" cm="1">
        <f t="array" ref="AH56">_xlfn.IFS(AG56 &lt;= 5, "New[1-5]", AG56 &lt;= 10, "Early Career[6-10]", AG56 &lt;= 20, "Established[11-20]", AG56 &lt;= 30, "Veteran[21-30]", AG56 &lt;= 40, "Late Career[31-40]")</f>
        <v>New[1-5]</v>
      </c>
      <c r="AI56" s="1">
        <v>2</v>
      </c>
      <c r="AJ56" s="1">
        <v>2</v>
      </c>
      <c r="AK56" s="1">
        <v>2</v>
      </c>
      <c r="AL56" s="9" t="str" cm="1">
        <f t="array" ref="AL56">_xlfn.IFS(AK56 &lt;= 5, "New[1-5]", AK56 &lt;= 10, "Early Career[6-10]", AK56 &lt;= 20, "Established[11-20]", AK56 &lt;= 30, "Veteran[21-30]", AK56 &lt;= 40, "Late Career[31-40]")</f>
        <v>New[1-5]</v>
      </c>
      <c r="AM56" s="1">
        <v>2</v>
      </c>
      <c r="AN56" s="9" t="str" cm="1">
        <f t="array" ref="AN56">_xlfn.IFS(AM56 &lt;= 3, "New to Role[1-3]", AM56 &lt;= 7, "Settled[4-7]", AM56 &lt;= 12, "Experienced[[8-12]", AM56 &lt;= 18, "Long Tenured[13-18]")</f>
        <v>New to Role[1-3]</v>
      </c>
      <c r="AO56" s="1">
        <v>0</v>
      </c>
      <c r="AP56" s="9" t="str" cm="1">
        <f t="array" ref="AP56">_xlfn.IFS(AO56 &lt;= 3, "Recently[1-3]", AO56 &lt;= 6, "Due Soon[4-6]", AO56 &lt;= 10, "Overdue[7-10]", AO56 &lt;= 15, "Long Overdue[11-15]")</f>
        <v>Recently[1-3]</v>
      </c>
      <c r="AQ56" s="9" t="str" cm="1">
        <f t="array" ref="AQ56">_xlfn.IFS(AR56 &lt;= 3, "New Relationship[1-3]", AR56 &lt;= 7, "Established Relationship[4-7]", AR56 &lt;= 12, "Long Term Relationship[8-12]", AR56 &lt;= 17, "Very Long Term Relationship[13-17]")</f>
        <v>New Relationship[1-3]</v>
      </c>
      <c r="AR56" s="1">
        <v>0</v>
      </c>
    </row>
    <row r="57" spans="1:44" x14ac:dyDescent="0.25">
      <c r="A57" s="1">
        <v>33</v>
      </c>
      <c r="B57" s="8" t="str" cm="1">
        <f t="array" ref="B57">_xlfn.IFS(A57 &lt;= 25, "[18-25]", A57 &lt;= 35, "[26-35]", A57 &lt;=45, "[36-45]", A57 &lt;= 60, "[46- 60]")</f>
        <v>[26-35]</v>
      </c>
      <c r="C57" s="3" t="s">
        <v>43</v>
      </c>
      <c r="D57">
        <f t="shared" si="0"/>
        <v>0</v>
      </c>
      <c r="E57" t="s">
        <v>44</v>
      </c>
      <c r="F57" s="1">
        <v>515</v>
      </c>
      <c r="G57" s="3" t="s">
        <v>45</v>
      </c>
      <c r="H57" s="1">
        <v>1</v>
      </c>
      <c r="I57" s="9" t="str" cm="1">
        <f t="array" ref="I57">_xlfn.IFS(H57 &lt;= 2, "[1-2] very close", H57 &lt;= 10, "[3-10] close", H57 &lt;= 20, "[11-20] moderate", H57 &lt;= 30, "[21-30] far")</f>
        <v>[1-2] very close</v>
      </c>
      <c r="J57" s="1">
        <v>2</v>
      </c>
      <c r="K57" s="3" t="s">
        <v>38</v>
      </c>
      <c r="L57" s="1">
        <v>1</v>
      </c>
      <c r="M57" s="1">
        <v>73</v>
      </c>
      <c r="N57" s="1">
        <v>1</v>
      </c>
      <c r="O57" s="3" t="s">
        <v>39</v>
      </c>
      <c r="P57" s="1">
        <v>98</v>
      </c>
      <c r="Q57" s="1">
        <v>3</v>
      </c>
      <c r="R57" s="1">
        <v>3</v>
      </c>
      <c r="S57" s="3" t="s">
        <v>58</v>
      </c>
      <c r="T57" s="1">
        <v>4</v>
      </c>
      <c r="U57" s="3" t="s">
        <v>41</v>
      </c>
      <c r="V57" s="4">
        <v>13458</v>
      </c>
      <c r="W57" s="1">
        <v>15146</v>
      </c>
      <c r="X57" s="1">
        <v>1</v>
      </c>
      <c r="Y57" s="3" t="s">
        <v>42</v>
      </c>
      <c r="Z57" s="3" t="s">
        <v>35</v>
      </c>
      <c r="AA57" s="5">
        <v>0.12</v>
      </c>
      <c r="AB57" s="10" t="str" cm="1">
        <f t="array" ref="AB57">_xlfn.IFS(AA57 &lt;= 15%, "Low Hike[11-15%]", AA57 &lt;= 20%, "Moderate Hike[16-20%]", AA57 &lt;= 25%,"High Hike[21-25%]")</f>
        <v>Low Hike[11-15%]</v>
      </c>
      <c r="AC57" s="1">
        <v>3</v>
      </c>
      <c r="AD57" s="1">
        <v>3</v>
      </c>
      <c r="AE57" s="1">
        <v>80</v>
      </c>
      <c r="AF57" s="1">
        <v>0</v>
      </c>
      <c r="AG57" s="1">
        <v>15</v>
      </c>
      <c r="AH57" s="9" t="str" cm="1">
        <f t="array" ref="AH57">_xlfn.IFS(AG57 &lt;= 5, "New[1-5]", AG57 &lt;= 10, "Early Career[6-10]", AG57 &lt;= 20, "Established[11-20]", AG57 &lt;= 30, "Veteran[21-30]", AG57 &lt;= 40, "Late Career[31-40]")</f>
        <v>Established[11-20]</v>
      </c>
      <c r="AI57" s="1">
        <v>1</v>
      </c>
      <c r="AJ57" s="1">
        <v>3</v>
      </c>
      <c r="AK57" s="1">
        <v>15</v>
      </c>
      <c r="AL57" s="9" t="str" cm="1">
        <f t="array" ref="AL57">_xlfn.IFS(AK57 &lt;= 5, "New[1-5]", AK57 &lt;= 10, "Early Career[6-10]", AK57 &lt;= 20, "Established[11-20]", AK57 &lt;= 30, "Veteran[21-30]", AK57 &lt;= 40, "Late Career[31-40]")</f>
        <v>Established[11-20]</v>
      </c>
      <c r="AM57" s="1">
        <v>14</v>
      </c>
      <c r="AN57" s="9" t="str" cm="1">
        <f t="array" ref="AN57">_xlfn.IFS(AM57 &lt;= 3, "New to Role[1-3]", AM57 &lt;= 7, "Settled[4-7]", AM57 &lt;= 12, "Experienced[[8-12]", AM57 &lt;= 18, "Long Tenured[13-18]")</f>
        <v>Long Tenured[13-18]</v>
      </c>
      <c r="AO57" s="1">
        <v>8</v>
      </c>
      <c r="AP57" s="9" t="str" cm="1">
        <f t="array" ref="AP57">_xlfn.IFS(AO57 &lt;= 3, "Recently[1-3]", AO57 &lt;= 6, "Due Soon[4-6]", AO57 &lt;= 10, "Overdue[7-10]", AO57 &lt;= 15, "Long Overdue[11-15]")</f>
        <v>Overdue[7-10]</v>
      </c>
      <c r="AQ57" s="9" t="str" cm="1">
        <f t="array" ref="AQ57">_xlfn.IFS(AR57 &lt;= 3, "New Relationship[1-3]", AR57 &lt;= 7, "Established Relationship[4-7]", AR57 &lt;= 12, "Long Term Relationship[8-12]", AR57 &lt;= 17, "Very Long Term Relationship[13-17]")</f>
        <v>Long Term Relationship[8-12]</v>
      </c>
      <c r="AR57" s="1">
        <v>12</v>
      </c>
    </row>
    <row r="58" spans="1:44" x14ac:dyDescent="0.25">
      <c r="A58" s="1">
        <v>35</v>
      </c>
      <c r="B58" s="8" t="str" cm="1">
        <f t="array" ref="B58">_xlfn.IFS(A58 &lt;= 25, "[18-25]", A58 &lt;= 35, "[26-35]", A58 &lt;=45, "[36-45]", A58 &lt;= 60, "[46- 60]")</f>
        <v>[26-35]</v>
      </c>
      <c r="C58" s="3" t="s">
        <v>43</v>
      </c>
      <c r="D58">
        <f t="shared" si="0"/>
        <v>0</v>
      </c>
      <c r="E58" t="s">
        <v>44</v>
      </c>
      <c r="F58" s="1">
        <v>853</v>
      </c>
      <c r="G58" s="3" t="s">
        <v>37</v>
      </c>
      <c r="H58" s="1">
        <v>18</v>
      </c>
      <c r="I58" s="9" t="str" cm="1">
        <f t="array" ref="I58">_xlfn.IFS(H58 &lt;= 2, "[1-2] very close", H58 &lt;= 10, "[3-10] close", H58 &lt;= 20, "[11-20] moderate", H58 &lt;= 30, "[21-30] far")</f>
        <v>[11-20] moderate</v>
      </c>
      <c r="J58" s="1">
        <v>5</v>
      </c>
      <c r="K58" s="3" t="s">
        <v>38</v>
      </c>
      <c r="L58" s="1">
        <v>1</v>
      </c>
      <c r="M58" s="1">
        <v>74</v>
      </c>
      <c r="N58" s="1">
        <v>2</v>
      </c>
      <c r="O58" s="3" t="s">
        <v>46</v>
      </c>
      <c r="P58" s="1">
        <v>71</v>
      </c>
      <c r="Q58" s="1">
        <v>3</v>
      </c>
      <c r="R58" s="1">
        <v>3</v>
      </c>
      <c r="S58" s="3" t="s">
        <v>40</v>
      </c>
      <c r="T58" s="1">
        <v>1</v>
      </c>
      <c r="U58" s="3" t="s">
        <v>48</v>
      </c>
      <c r="V58" s="4">
        <v>9069</v>
      </c>
      <c r="W58" s="1">
        <v>11031</v>
      </c>
      <c r="X58" s="1">
        <v>1</v>
      </c>
      <c r="Y58" s="3" t="s">
        <v>42</v>
      </c>
      <c r="Z58" s="3" t="s">
        <v>43</v>
      </c>
      <c r="AA58" s="5">
        <v>0.22</v>
      </c>
      <c r="AB58" s="10" t="str" cm="1">
        <f t="array" ref="AB58">_xlfn.IFS(AA58 &lt;= 15%, "Low Hike[11-15%]", AA58 &lt;= 20%, "Moderate Hike[16-20%]", AA58 &lt;= 25%,"High Hike[21-25%]")</f>
        <v>High Hike[21-25%]</v>
      </c>
      <c r="AC58" s="1">
        <v>4</v>
      </c>
      <c r="AD58" s="1">
        <v>4</v>
      </c>
      <c r="AE58" s="1">
        <v>80</v>
      </c>
      <c r="AF58" s="1">
        <v>1</v>
      </c>
      <c r="AG58" s="1">
        <v>9</v>
      </c>
      <c r="AH58" s="9" t="str" cm="1">
        <f t="array" ref="AH58">_xlfn.IFS(AG58 &lt;= 5, "New[1-5]", AG58 &lt;= 10, "Early Career[6-10]", AG58 &lt;= 20, "Established[11-20]", AG58 &lt;= 30, "Veteran[21-30]", AG58 &lt;= 40, "Late Career[31-40]")</f>
        <v>Early Career[6-10]</v>
      </c>
      <c r="AI58" s="1">
        <v>3</v>
      </c>
      <c r="AJ58" s="1">
        <v>2</v>
      </c>
      <c r="AK58" s="1">
        <v>9</v>
      </c>
      <c r="AL58" s="9" t="str" cm="1">
        <f t="array" ref="AL58">_xlfn.IFS(AK58 &lt;= 5, "New[1-5]", AK58 &lt;= 10, "Early Career[6-10]", AK58 &lt;= 20, "Established[11-20]", AK58 &lt;= 30, "Veteran[21-30]", AK58 &lt;= 40, "Late Career[31-40]")</f>
        <v>Early Career[6-10]</v>
      </c>
      <c r="AM58" s="1">
        <v>8</v>
      </c>
      <c r="AN58" s="9" t="str" cm="1">
        <f t="array" ref="AN58">_xlfn.IFS(AM58 &lt;= 3, "New to Role[1-3]", AM58 &lt;= 7, "Settled[4-7]", AM58 &lt;= 12, "Experienced[[8-12]", AM58 &lt;= 18, "Long Tenured[13-18]")</f>
        <v>Experienced[[8-12]</v>
      </c>
      <c r="AO58" s="1">
        <v>1</v>
      </c>
      <c r="AP58" s="9" t="str" cm="1">
        <f t="array" ref="AP58">_xlfn.IFS(AO58 &lt;= 3, "Recently[1-3]", AO58 &lt;= 6, "Due Soon[4-6]", AO58 &lt;= 10, "Overdue[7-10]", AO58 &lt;= 15, "Long Overdue[11-15]")</f>
        <v>Recently[1-3]</v>
      </c>
      <c r="AQ58" s="9" t="str" cm="1">
        <f t="array" ref="AQ58">_xlfn.IFS(AR58 &lt;= 3, "New Relationship[1-3]", AR58 &lt;= 7, "Established Relationship[4-7]", AR58 &lt;= 12, "Long Term Relationship[8-12]", AR58 &lt;= 17, "Very Long Term Relationship[13-17]")</f>
        <v>Long Term Relationship[8-12]</v>
      </c>
      <c r="AR58" s="1">
        <v>8</v>
      </c>
    </row>
    <row r="59" spans="1:44" x14ac:dyDescent="0.25">
      <c r="A59" s="1">
        <v>35</v>
      </c>
      <c r="B59" s="8" t="str" cm="1">
        <f t="array" ref="B59">_xlfn.IFS(A59 &lt;= 25, "[18-25]", A59 &lt;= 35, "[26-35]", A59 &lt;=45, "[36-45]", A59 &lt;= 60, "[46- 60]")</f>
        <v>[26-35]</v>
      </c>
      <c r="C59" s="3" t="s">
        <v>43</v>
      </c>
      <c r="D59">
        <f t="shared" si="0"/>
        <v>0</v>
      </c>
      <c r="E59" t="s">
        <v>36</v>
      </c>
      <c r="F59" s="1">
        <v>1142</v>
      </c>
      <c r="G59" s="3" t="s">
        <v>45</v>
      </c>
      <c r="H59" s="1">
        <v>23</v>
      </c>
      <c r="I59" s="9" t="str" cm="1">
        <f t="array" ref="I59">_xlfn.IFS(H59 &lt;= 2, "[1-2] very close", H59 &lt;= 10, "[3-10] close", H59 &lt;= 20, "[11-20] moderate", H59 &lt;= 30, "[21-30] far")</f>
        <v>[21-30] far</v>
      </c>
      <c r="J59" s="1">
        <v>4</v>
      </c>
      <c r="K59" s="3" t="s">
        <v>51</v>
      </c>
      <c r="L59" s="1">
        <v>1</v>
      </c>
      <c r="M59" s="1">
        <v>75</v>
      </c>
      <c r="N59" s="1">
        <v>3</v>
      </c>
      <c r="O59" s="3" t="s">
        <v>39</v>
      </c>
      <c r="P59" s="1">
        <v>30</v>
      </c>
      <c r="Q59" s="1">
        <v>3</v>
      </c>
      <c r="R59" s="1">
        <v>1</v>
      </c>
      <c r="S59" s="3" t="s">
        <v>50</v>
      </c>
      <c r="T59" s="1">
        <v>1</v>
      </c>
      <c r="U59" s="3" t="s">
        <v>48</v>
      </c>
      <c r="V59" s="4">
        <v>4014</v>
      </c>
      <c r="W59" s="1">
        <v>16002</v>
      </c>
      <c r="X59" s="1">
        <v>3</v>
      </c>
      <c r="Y59" s="3" t="s">
        <v>42</v>
      </c>
      <c r="Z59" s="3" t="s">
        <v>35</v>
      </c>
      <c r="AA59" s="5">
        <v>0.15</v>
      </c>
      <c r="AB59" s="10" t="str" cm="1">
        <f t="array" ref="AB59">_xlfn.IFS(AA59 &lt;= 15%, "Low Hike[11-15%]", AA59 &lt;= 20%, "Moderate Hike[16-20%]", AA59 &lt;= 25%,"High Hike[21-25%]")</f>
        <v>Low Hike[11-15%]</v>
      </c>
      <c r="AC59" s="1">
        <v>3</v>
      </c>
      <c r="AD59" s="1">
        <v>3</v>
      </c>
      <c r="AE59" s="1">
        <v>80</v>
      </c>
      <c r="AF59" s="1">
        <v>1</v>
      </c>
      <c r="AG59" s="1">
        <v>4</v>
      </c>
      <c r="AH59" s="9" t="str" cm="1">
        <f t="array" ref="AH59">_xlfn.IFS(AG59 &lt;= 5, "New[1-5]", AG59 &lt;= 10, "Early Career[6-10]", AG59 &lt;= 20, "Established[11-20]", AG59 &lt;= 30, "Veteran[21-30]", AG59 &lt;= 40, "Late Career[31-40]")</f>
        <v>New[1-5]</v>
      </c>
      <c r="AI59" s="1">
        <v>3</v>
      </c>
      <c r="AJ59" s="1">
        <v>3</v>
      </c>
      <c r="AK59" s="1">
        <v>2</v>
      </c>
      <c r="AL59" s="9" t="str" cm="1">
        <f t="array" ref="AL59">_xlfn.IFS(AK59 &lt;= 5, "New[1-5]", AK59 &lt;= 10, "Early Career[6-10]", AK59 &lt;= 20, "Established[11-20]", AK59 &lt;= 30, "Veteran[21-30]", AK59 &lt;= 40, "Late Career[31-40]")</f>
        <v>New[1-5]</v>
      </c>
      <c r="AM59" s="1">
        <v>2</v>
      </c>
      <c r="AN59" s="9" t="str" cm="1">
        <f t="array" ref="AN59">_xlfn.IFS(AM59 &lt;= 3, "New to Role[1-3]", AM59 &lt;= 7, "Settled[4-7]", AM59 &lt;= 12, "Experienced[[8-12]", AM59 &lt;= 18, "Long Tenured[13-18]")</f>
        <v>New to Role[1-3]</v>
      </c>
      <c r="AO59" s="1">
        <v>2</v>
      </c>
      <c r="AP59" s="9" t="str" cm="1">
        <f t="array" ref="AP59">_xlfn.IFS(AO59 &lt;= 3, "Recently[1-3]", AO59 &lt;= 6, "Due Soon[4-6]", AO59 &lt;= 10, "Overdue[7-10]", AO59 &lt;= 15, "Long Overdue[11-15]")</f>
        <v>Recently[1-3]</v>
      </c>
      <c r="AQ59" s="9" t="str" cm="1">
        <f t="array" ref="AQ59">_xlfn.IFS(AR59 &lt;= 3, "New Relationship[1-3]", AR59 &lt;= 7, "Established Relationship[4-7]", AR59 &lt;= 12, "Long Term Relationship[8-12]", AR59 &lt;= 17, "Very Long Term Relationship[13-17]")</f>
        <v>New Relationship[1-3]</v>
      </c>
      <c r="AR59" s="1">
        <v>2</v>
      </c>
    </row>
    <row r="60" spans="1:44" x14ac:dyDescent="0.25">
      <c r="A60" s="1">
        <v>31</v>
      </c>
      <c r="B60" s="8" t="str" cm="1">
        <f t="array" ref="B60">_xlfn.IFS(A60 &lt;= 25, "[18-25]", A60 &lt;= 35, "[26-35]", A60 &lt;=45, "[36-45]", A60 &lt;= 60, "[46- 60]")</f>
        <v>[26-35]</v>
      </c>
      <c r="C60" s="3" t="s">
        <v>43</v>
      </c>
      <c r="D60">
        <f t="shared" si="0"/>
        <v>0</v>
      </c>
      <c r="E60" t="s">
        <v>36</v>
      </c>
      <c r="F60" s="1">
        <v>655</v>
      </c>
      <c r="G60" s="3" t="s">
        <v>45</v>
      </c>
      <c r="H60" s="1">
        <v>7</v>
      </c>
      <c r="I60" s="9" t="str" cm="1">
        <f t="array" ref="I60">_xlfn.IFS(H60 &lt;= 2, "[1-2] very close", H60 &lt;= 10, "[3-10] close", H60 &lt;= 20, "[11-20] moderate", H60 &lt;= 30, "[21-30] far")</f>
        <v>[3-10] close</v>
      </c>
      <c r="J60" s="1">
        <v>4</v>
      </c>
      <c r="K60" s="3" t="s">
        <v>38</v>
      </c>
      <c r="L60" s="1">
        <v>1</v>
      </c>
      <c r="M60" s="1">
        <v>76</v>
      </c>
      <c r="N60" s="1">
        <v>4</v>
      </c>
      <c r="O60" s="3" t="s">
        <v>46</v>
      </c>
      <c r="P60" s="1">
        <v>48</v>
      </c>
      <c r="Q60" s="1">
        <v>3</v>
      </c>
      <c r="R60" s="1">
        <v>2</v>
      </c>
      <c r="S60" s="3" t="s">
        <v>50</v>
      </c>
      <c r="T60" s="1">
        <v>4</v>
      </c>
      <c r="U60" s="3" t="s">
        <v>52</v>
      </c>
      <c r="V60" s="4">
        <v>5915</v>
      </c>
      <c r="W60" s="1">
        <v>9528</v>
      </c>
      <c r="X60" s="1">
        <v>3</v>
      </c>
      <c r="Y60" s="3" t="s">
        <v>42</v>
      </c>
      <c r="Z60" s="3" t="s">
        <v>43</v>
      </c>
      <c r="AA60" s="5">
        <v>0.22</v>
      </c>
      <c r="AB60" s="10" t="str" cm="1">
        <f t="array" ref="AB60">_xlfn.IFS(AA60 &lt;= 15%, "Low Hike[11-15%]", AA60 &lt;= 20%, "Moderate Hike[16-20%]", AA60 &lt;= 25%,"High Hike[21-25%]")</f>
        <v>High Hike[21-25%]</v>
      </c>
      <c r="AC60" s="1">
        <v>4</v>
      </c>
      <c r="AD60" s="1">
        <v>4</v>
      </c>
      <c r="AE60" s="1">
        <v>80</v>
      </c>
      <c r="AF60" s="1">
        <v>1</v>
      </c>
      <c r="AG60" s="1">
        <v>10</v>
      </c>
      <c r="AH60" s="9" t="str" cm="1">
        <f t="array" ref="AH60">_xlfn.IFS(AG60 &lt;= 5, "New[1-5]", AG60 &lt;= 10, "Early Career[6-10]", AG60 &lt;= 20, "Established[11-20]", AG60 &lt;= 30, "Veteran[21-30]", AG60 &lt;= 40, "Late Career[31-40]")</f>
        <v>Early Career[6-10]</v>
      </c>
      <c r="AI60" s="1">
        <v>3</v>
      </c>
      <c r="AJ60" s="1">
        <v>2</v>
      </c>
      <c r="AK60" s="1">
        <v>7</v>
      </c>
      <c r="AL60" s="9" t="str" cm="1">
        <f t="array" ref="AL60">_xlfn.IFS(AK60 &lt;= 5, "New[1-5]", AK60 &lt;= 10, "Early Career[6-10]", AK60 &lt;= 20, "Established[11-20]", AK60 &lt;= 30, "Veteran[21-30]", AK60 &lt;= 40, "Late Career[31-40]")</f>
        <v>Early Career[6-10]</v>
      </c>
      <c r="AM60" s="1">
        <v>7</v>
      </c>
      <c r="AN60" s="9" t="str" cm="1">
        <f t="array" ref="AN60">_xlfn.IFS(AM60 &lt;= 3, "New to Role[1-3]", AM60 &lt;= 7, "Settled[4-7]", AM60 &lt;= 12, "Experienced[[8-12]", AM60 &lt;= 18, "Long Tenured[13-18]")</f>
        <v>Settled[4-7]</v>
      </c>
      <c r="AO60" s="1">
        <v>1</v>
      </c>
      <c r="AP60" s="9" t="str" cm="1">
        <f t="array" ref="AP60">_xlfn.IFS(AO60 &lt;= 3, "Recently[1-3]", AO60 &lt;= 6, "Due Soon[4-6]", AO60 &lt;= 10, "Overdue[7-10]", AO60 &lt;= 15, "Long Overdue[11-15]")</f>
        <v>Recently[1-3]</v>
      </c>
      <c r="AQ60" s="9" t="str" cm="1">
        <f t="array" ref="AQ60">_xlfn.IFS(AR60 &lt;= 3, "New Relationship[1-3]", AR60 &lt;= 7, "Established Relationship[4-7]", AR60 &lt;= 12, "Long Term Relationship[8-12]", AR60 &lt;= 17, "Very Long Term Relationship[13-17]")</f>
        <v>Established Relationship[4-7]</v>
      </c>
      <c r="AR60" s="1">
        <v>7</v>
      </c>
    </row>
    <row r="61" spans="1:44" x14ac:dyDescent="0.25">
      <c r="A61" s="1">
        <v>37</v>
      </c>
      <c r="B61" s="8" t="str" cm="1">
        <f t="array" ref="B61">_xlfn.IFS(A61 &lt;= 25, "[18-25]", A61 &lt;= 35, "[26-35]", A61 &lt;=45, "[36-45]", A61 &lt;= 60, "[46- 60]")</f>
        <v>[36-45]</v>
      </c>
      <c r="C61" s="3" t="s">
        <v>43</v>
      </c>
      <c r="D61">
        <f t="shared" si="0"/>
        <v>0</v>
      </c>
      <c r="E61" t="s">
        <v>36</v>
      </c>
      <c r="F61" s="1">
        <v>1115</v>
      </c>
      <c r="G61" s="3" t="s">
        <v>45</v>
      </c>
      <c r="H61" s="1">
        <v>1</v>
      </c>
      <c r="I61" s="9" t="str" cm="1">
        <f t="array" ref="I61">_xlfn.IFS(H61 &lt;= 2, "[1-2] very close", H61 &lt;= 10, "[3-10] close", H61 &lt;= 20, "[11-20] moderate", H61 &lt;= 30, "[21-30] far")</f>
        <v>[1-2] very close</v>
      </c>
      <c r="J61" s="1">
        <v>4</v>
      </c>
      <c r="K61" s="3" t="s">
        <v>38</v>
      </c>
      <c r="L61" s="1">
        <v>1</v>
      </c>
      <c r="M61" s="1">
        <v>77</v>
      </c>
      <c r="N61" s="1">
        <v>1</v>
      </c>
      <c r="O61" s="3" t="s">
        <v>46</v>
      </c>
      <c r="P61" s="1">
        <v>51</v>
      </c>
      <c r="Q61" s="1">
        <v>2</v>
      </c>
      <c r="R61" s="1">
        <v>2</v>
      </c>
      <c r="S61" s="3" t="s">
        <v>53</v>
      </c>
      <c r="T61" s="1">
        <v>3</v>
      </c>
      <c r="U61" s="3" t="s">
        <v>52</v>
      </c>
      <c r="V61" s="4">
        <v>5993</v>
      </c>
      <c r="W61" s="1">
        <v>2689</v>
      </c>
      <c r="X61" s="1">
        <v>1</v>
      </c>
      <c r="Y61" s="3" t="s">
        <v>42</v>
      </c>
      <c r="Z61" s="3" t="s">
        <v>43</v>
      </c>
      <c r="AA61" s="5">
        <v>0.18</v>
      </c>
      <c r="AB61" s="10" t="str" cm="1">
        <f t="array" ref="AB61">_xlfn.IFS(AA61 &lt;= 15%, "Low Hike[11-15%]", AA61 &lt;= 20%, "Moderate Hike[16-20%]", AA61 &lt;= 25%,"High Hike[21-25%]")</f>
        <v>Moderate Hike[16-20%]</v>
      </c>
      <c r="AC61" s="1">
        <v>3</v>
      </c>
      <c r="AD61" s="1">
        <v>3</v>
      </c>
      <c r="AE61" s="1">
        <v>80</v>
      </c>
      <c r="AF61" s="1">
        <v>1</v>
      </c>
      <c r="AG61" s="1">
        <v>7</v>
      </c>
      <c r="AH61" s="9" t="str" cm="1">
        <f t="array" ref="AH61">_xlfn.IFS(AG61 &lt;= 5, "New[1-5]", AG61 &lt;= 10, "Early Career[6-10]", AG61 &lt;= 20, "Established[11-20]", AG61 &lt;= 30, "Veteran[21-30]", AG61 &lt;= 40, "Late Career[31-40]")</f>
        <v>Early Career[6-10]</v>
      </c>
      <c r="AI61" s="1">
        <v>2</v>
      </c>
      <c r="AJ61" s="1">
        <v>4</v>
      </c>
      <c r="AK61" s="1">
        <v>7</v>
      </c>
      <c r="AL61" s="9" t="str" cm="1">
        <f t="array" ref="AL61">_xlfn.IFS(AK61 &lt;= 5, "New[1-5]", AK61 &lt;= 10, "Early Career[6-10]", AK61 &lt;= 20, "Established[11-20]", AK61 &lt;= 30, "Veteran[21-30]", AK61 &lt;= 40, "Late Career[31-40]")</f>
        <v>Early Career[6-10]</v>
      </c>
      <c r="AM61" s="1">
        <v>5</v>
      </c>
      <c r="AN61" s="9" t="str" cm="1">
        <f t="array" ref="AN61">_xlfn.IFS(AM61 &lt;= 3, "New to Role[1-3]", AM61 &lt;= 7, "Settled[4-7]", AM61 &lt;= 12, "Experienced[[8-12]", AM61 &lt;= 18, "Long Tenured[13-18]")</f>
        <v>Settled[4-7]</v>
      </c>
      <c r="AO61" s="1">
        <v>0</v>
      </c>
      <c r="AP61" s="9" t="str" cm="1">
        <f t="array" ref="AP61">_xlfn.IFS(AO61 &lt;= 3, "Recently[1-3]", AO61 &lt;= 6, "Due Soon[4-6]", AO61 &lt;= 10, "Overdue[7-10]", AO61 &lt;= 15, "Long Overdue[11-15]")</f>
        <v>Recently[1-3]</v>
      </c>
      <c r="AQ61" s="9" t="str" cm="1">
        <f t="array" ref="AQ61">_xlfn.IFS(AR61 &lt;= 3, "New Relationship[1-3]", AR61 &lt;= 7, "Established Relationship[4-7]", AR61 &lt;= 12, "Long Term Relationship[8-12]", AR61 &lt;= 17, "Very Long Term Relationship[13-17]")</f>
        <v>Established Relationship[4-7]</v>
      </c>
      <c r="AR61" s="1">
        <v>7</v>
      </c>
    </row>
    <row r="62" spans="1:44" x14ac:dyDescent="0.25">
      <c r="A62" s="1">
        <v>32</v>
      </c>
      <c r="B62" s="8" t="str" cm="1">
        <f t="array" ref="B62">_xlfn.IFS(A62 &lt;= 25, "[18-25]", A62 &lt;= 35, "[26-35]", A62 &lt;=45, "[36-45]", A62 &lt;= 60, "[46- 60]")</f>
        <v>[26-35]</v>
      </c>
      <c r="C62" s="3" t="s">
        <v>43</v>
      </c>
      <c r="D62">
        <f t="shared" si="0"/>
        <v>0</v>
      </c>
      <c r="E62" t="s">
        <v>36</v>
      </c>
      <c r="F62" s="1">
        <v>427</v>
      </c>
      <c r="G62" s="3" t="s">
        <v>45</v>
      </c>
      <c r="H62" s="1">
        <v>1</v>
      </c>
      <c r="I62" s="9" t="str" cm="1">
        <f t="array" ref="I62">_xlfn.IFS(H62 &lt;= 2, "[1-2] very close", H62 &lt;= 10, "[3-10] close", H62 &lt;= 20, "[11-20] moderate", H62 &lt;= 30, "[21-30] far")</f>
        <v>[1-2] very close</v>
      </c>
      <c r="J62" s="1">
        <v>3</v>
      </c>
      <c r="K62" s="3" t="s">
        <v>51</v>
      </c>
      <c r="L62" s="1">
        <v>1</v>
      </c>
      <c r="M62" s="1">
        <v>78</v>
      </c>
      <c r="N62" s="1">
        <v>1</v>
      </c>
      <c r="O62" s="3" t="s">
        <v>46</v>
      </c>
      <c r="P62" s="1">
        <v>33</v>
      </c>
      <c r="Q62" s="1">
        <v>3</v>
      </c>
      <c r="R62" s="1">
        <v>2</v>
      </c>
      <c r="S62" s="3" t="s">
        <v>53</v>
      </c>
      <c r="T62" s="1">
        <v>4</v>
      </c>
      <c r="U62" s="3" t="s">
        <v>48</v>
      </c>
      <c r="V62" s="4">
        <v>6162</v>
      </c>
      <c r="W62" s="1">
        <v>10877</v>
      </c>
      <c r="X62" s="1">
        <v>1</v>
      </c>
      <c r="Y62" s="3" t="s">
        <v>42</v>
      </c>
      <c r="Z62" s="3" t="s">
        <v>35</v>
      </c>
      <c r="AA62" s="5">
        <v>0.22</v>
      </c>
      <c r="AB62" s="10" t="str" cm="1">
        <f t="array" ref="AB62">_xlfn.IFS(AA62 &lt;= 15%, "Low Hike[11-15%]", AA62 &lt;= 20%, "Moderate Hike[16-20%]", AA62 &lt;= 25%,"High Hike[21-25%]")</f>
        <v>High Hike[21-25%]</v>
      </c>
      <c r="AC62" s="1">
        <v>4</v>
      </c>
      <c r="AD62" s="1">
        <v>2</v>
      </c>
      <c r="AE62" s="1">
        <v>80</v>
      </c>
      <c r="AF62" s="1">
        <v>1</v>
      </c>
      <c r="AG62" s="1">
        <v>9</v>
      </c>
      <c r="AH62" s="9" t="str" cm="1">
        <f t="array" ref="AH62">_xlfn.IFS(AG62 &lt;= 5, "New[1-5]", AG62 &lt;= 10, "Early Career[6-10]", AG62 &lt;= 20, "Established[11-20]", AG62 &lt;= 30, "Veteran[21-30]", AG62 &lt;= 40, "Late Career[31-40]")</f>
        <v>Early Career[6-10]</v>
      </c>
      <c r="AI62" s="1">
        <v>3</v>
      </c>
      <c r="AJ62" s="1">
        <v>3</v>
      </c>
      <c r="AK62" s="1">
        <v>9</v>
      </c>
      <c r="AL62" s="9" t="str" cm="1">
        <f t="array" ref="AL62">_xlfn.IFS(AK62 &lt;= 5, "New[1-5]", AK62 &lt;= 10, "Early Career[6-10]", AK62 &lt;= 20, "Established[11-20]", AK62 &lt;= 30, "Veteran[21-30]", AK62 &lt;= 40, "Late Career[31-40]")</f>
        <v>Early Career[6-10]</v>
      </c>
      <c r="AM62" s="1">
        <v>8</v>
      </c>
      <c r="AN62" s="9" t="str" cm="1">
        <f t="array" ref="AN62">_xlfn.IFS(AM62 &lt;= 3, "New to Role[1-3]", AM62 &lt;= 7, "Settled[4-7]", AM62 &lt;= 12, "Experienced[[8-12]", AM62 &lt;= 18, "Long Tenured[13-18]")</f>
        <v>Experienced[[8-12]</v>
      </c>
      <c r="AO62" s="1">
        <v>7</v>
      </c>
      <c r="AP62" s="9" t="str" cm="1">
        <f t="array" ref="AP62">_xlfn.IFS(AO62 &lt;= 3, "Recently[1-3]", AO62 &lt;= 6, "Due Soon[4-6]", AO62 &lt;= 10, "Overdue[7-10]", AO62 &lt;= 15, "Long Overdue[11-15]")</f>
        <v>Overdue[7-10]</v>
      </c>
      <c r="AQ62" s="9" t="str" cm="1">
        <f t="array" ref="AQ62">_xlfn.IFS(AR62 &lt;= 3, "New Relationship[1-3]", AR62 &lt;= 7, "Established Relationship[4-7]", AR62 &lt;= 12, "Long Term Relationship[8-12]", AR62 &lt;= 17, "Very Long Term Relationship[13-17]")</f>
        <v>Long Term Relationship[8-12]</v>
      </c>
      <c r="AR62" s="1">
        <v>8</v>
      </c>
    </row>
    <row r="63" spans="1:44" x14ac:dyDescent="0.25">
      <c r="A63" s="1">
        <v>38</v>
      </c>
      <c r="B63" s="8" t="str" cm="1">
        <f t="array" ref="B63">_xlfn.IFS(A63 &lt;= 25, "[18-25]", A63 &lt;= 35, "[26-35]", A63 &lt;=45, "[36-45]", A63 &lt;= 60, "[46- 60]")</f>
        <v>[36-45]</v>
      </c>
      <c r="C63" s="3" t="s">
        <v>43</v>
      </c>
      <c r="D63">
        <f t="shared" si="0"/>
        <v>0</v>
      </c>
      <c r="E63" t="s">
        <v>44</v>
      </c>
      <c r="F63" s="1">
        <v>653</v>
      </c>
      <c r="G63" s="3" t="s">
        <v>45</v>
      </c>
      <c r="H63" s="1">
        <v>29</v>
      </c>
      <c r="I63" s="9" t="str" cm="1">
        <f t="array" ref="I63">_xlfn.IFS(H63 &lt;= 2, "[1-2] very close", H63 &lt;= 10, "[3-10] close", H63 &lt;= 20, "[11-20] moderate", H63 &lt;= 30, "[21-30] far")</f>
        <v>[21-30] far</v>
      </c>
      <c r="J63" s="1">
        <v>5</v>
      </c>
      <c r="K63" s="3" t="s">
        <v>38</v>
      </c>
      <c r="L63" s="1">
        <v>1</v>
      </c>
      <c r="M63" s="1">
        <v>79</v>
      </c>
      <c r="N63" s="1">
        <v>4</v>
      </c>
      <c r="O63" s="3" t="s">
        <v>39</v>
      </c>
      <c r="P63" s="1">
        <v>50</v>
      </c>
      <c r="Q63" s="1">
        <v>3</v>
      </c>
      <c r="R63" s="1">
        <v>2</v>
      </c>
      <c r="S63" s="3" t="s">
        <v>50</v>
      </c>
      <c r="T63" s="1">
        <v>4</v>
      </c>
      <c r="U63" s="3" t="s">
        <v>41</v>
      </c>
      <c r="V63" s="4">
        <v>2406</v>
      </c>
      <c r="W63" s="1">
        <v>5456</v>
      </c>
      <c r="X63" s="1">
        <v>1</v>
      </c>
      <c r="Y63" s="3" t="s">
        <v>42</v>
      </c>
      <c r="Z63" s="3" t="s">
        <v>43</v>
      </c>
      <c r="AA63" s="5">
        <v>0.11</v>
      </c>
      <c r="AB63" s="10" t="str" cm="1">
        <f t="array" ref="AB63">_xlfn.IFS(AA63 &lt;= 15%, "Low Hike[11-15%]", AA63 &lt;= 20%, "Moderate Hike[16-20%]", AA63 &lt;= 25%,"High Hike[21-25%]")</f>
        <v>Low Hike[11-15%]</v>
      </c>
      <c r="AC63" s="1">
        <v>3</v>
      </c>
      <c r="AD63" s="1">
        <v>4</v>
      </c>
      <c r="AE63" s="1">
        <v>80</v>
      </c>
      <c r="AF63" s="1">
        <v>0</v>
      </c>
      <c r="AG63" s="1">
        <v>10</v>
      </c>
      <c r="AH63" s="9" t="str" cm="1">
        <f t="array" ref="AH63">_xlfn.IFS(AG63 &lt;= 5, "New[1-5]", AG63 &lt;= 10, "Early Career[6-10]", AG63 &lt;= 20, "Established[11-20]", AG63 &lt;= 30, "Veteran[21-30]", AG63 &lt;= 40, "Late Career[31-40]")</f>
        <v>Early Career[6-10]</v>
      </c>
      <c r="AI63" s="1">
        <v>2</v>
      </c>
      <c r="AJ63" s="1">
        <v>3</v>
      </c>
      <c r="AK63" s="1">
        <v>10</v>
      </c>
      <c r="AL63" s="9" t="str" cm="1">
        <f t="array" ref="AL63">_xlfn.IFS(AK63 &lt;= 5, "New[1-5]", AK63 &lt;= 10, "Early Career[6-10]", AK63 &lt;= 20, "Established[11-20]", AK63 &lt;= 30, "Veteran[21-30]", AK63 &lt;= 40, "Late Career[31-40]")</f>
        <v>Early Career[6-10]</v>
      </c>
      <c r="AM63" s="1">
        <v>3</v>
      </c>
      <c r="AN63" s="9" t="str" cm="1">
        <f t="array" ref="AN63">_xlfn.IFS(AM63 &lt;= 3, "New to Role[1-3]", AM63 &lt;= 7, "Settled[4-7]", AM63 &lt;= 12, "Experienced[[8-12]", AM63 &lt;= 18, "Long Tenured[13-18]")</f>
        <v>New to Role[1-3]</v>
      </c>
      <c r="AO63" s="1">
        <v>9</v>
      </c>
      <c r="AP63" s="9" t="str" cm="1">
        <f t="array" ref="AP63">_xlfn.IFS(AO63 &lt;= 3, "Recently[1-3]", AO63 &lt;= 6, "Due Soon[4-6]", AO63 &lt;= 10, "Overdue[7-10]", AO63 &lt;= 15, "Long Overdue[11-15]")</f>
        <v>Overdue[7-10]</v>
      </c>
      <c r="AQ63" s="9" t="str" cm="1">
        <f t="array" ref="AQ63">_xlfn.IFS(AR63 &lt;= 3, "New Relationship[1-3]", AR63 &lt;= 7, "Established Relationship[4-7]", AR63 &lt;= 12, "Long Term Relationship[8-12]", AR63 &lt;= 17, "Very Long Term Relationship[13-17]")</f>
        <v>Long Term Relationship[8-12]</v>
      </c>
      <c r="AR63" s="1">
        <v>9</v>
      </c>
    </row>
    <row r="64" spans="1:44" x14ac:dyDescent="0.25">
      <c r="A64" s="1">
        <v>50</v>
      </c>
      <c r="B64" s="8" t="str" cm="1">
        <f t="array" ref="B64">_xlfn.IFS(A64 &lt;= 25, "[18-25]", A64 &lt;= 35, "[26-35]", A64 &lt;=45, "[36-45]", A64 &lt;= 60, "[46- 60]")</f>
        <v>[46- 60]</v>
      </c>
      <c r="C64" s="3" t="s">
        <v>43</v>
      </c>
      <c r="D64">
        <f t="shared" si="0"/>
        <v>0</v>
      </c>
      <c r="E64" t="s">
        <v>36</v>
      </c>
      <c r="F64" s="1">
        <v>989</v>
      </c>
      <c r="G64" s="3" t="s">
        <v>45</v>
      </c>
      <c r="H64" s="1">
        <v>7</v>
      </c>
      <c r="I64" s="9" t="str" cm="1">
        <f t="array" ref="I64">_xlfn.IFS(H64 &lt;= 2, "[1-2] very close", H64 &lt;= 10, "[3-10] close", H64 &lt;= 20, "[11-20] moderate", H64 &lt;= 30, "[21-30] far")</f>
        <v>[3-10] close</v>
      </c>
      <c r="J64" s="1">
        <v>2</v>
      </c>
      <c r="K64" s="3" t="s">
        <v>51</v>
      </c>
      <c r="L64" s="1">
        <v>1</v>
      </c>
      <c r="M64" s="1">
        <v>80</v>
      </c>
      <c r="N64" s="1">
        <v>2</v>
      </c>
      <c r="O64" s="3" t="s">
        <v>39</v>
      </c>
      <c r="P64" s="1">
        <v>43</v>
      </c>
      <c r="Q64" s="1">
        <v>2</v>
      </c>
      <c r="R64" s="1">
        <v>5</v>
      </c>
      <c r="S64" s="3" t="s">
        <v>58</v>
      </c>
      <c r="T64" s="1">
        <v>3</v>
      </c>
      <c r="U64" s="3" t="s">
        <v>52</v>
      </c>
      <c r="V64" s="4">
        <v>18740</v>
      </c>
      <c r="W64" s="1">
        <v>16701</v>
      </c>
      <c r="X64" s="1">
        <v>5</v>
      </c>
      <c r="Y64" s="3" t="s">
        <v>42</v>
      </c>
      <c r="Z64" s="3" t="s">
        <v>35</v>
      </c>
      <c r="AA64" s="5">
        <v>0.12</v>
      </c>
      <c r="AB64" s="10" t="str" cm="1">
        <f t="array" ref="AB64">_xlfn.IFS(AA64 &lt;= 15%, "Low Hike[11-15%]", AA64 &lt;= 20%, "Moderate Hike[16-20%]", AA64 &lt;= 25%,"High Hike[21-25%]")</f>
        <v>Low Hike[11-15%]</v>
      </c>
      <c r="AC64" s="1">
        <v>3</v>
      </c>
      <c r="AD64" s="1">
        <v>4</v>
      </c>
      <c r="AE64" s="1">
        <v>80</v>
      </c>
      <c r="AF64" s="1">
        <v>1</v>
      </c>
      <c r="AG64" s="1">
        <v>29</v>
      </c>
      <c r="AH64" s="9" t="str" cm="1">
        <f t="array" ref="AH64">_xlfn.IFS(AG64 &lt;= 5, "New[1-5]", AG64 &lt;= 10, "Early Career[6-10]", AG64 &lt;= 20, "Established[11-20]", AG64 &lt;= 30, "Veteran[21-30]", AG64 &lt;= 40, "Late Career[31-40]")</f>
        <v>Veteran[21-30]</v>
      </c>
      <c r="AI64" s="1">
        <v>2</v>
      </c>
      <c r="AJ64" s="1">
        <v>2</v>
      </c>
      <c r="AK64" s="1">
        <v>27</v>
      </c>
      <c r="AL64" s="9" t="str" cm="1">
        <f t="array" ref="AL64">_xlfn.IFS(AK64 &lt;= 5, "New[1-5]", AK64 &lt;= 10, "Early Career[6-10]", AK64 &lt;= 20, "Established[11-20]", AK64 &lt;= 30, "Veteran[21-30]", AK64 &lt;= 40, "Late Career[31-40]")</f>
        <v>Veteran[21-30]</v>
      </c>
      <c r="AM64" s="1">
        <v>3</v>
      </c>
      <c r="AN64" s="9" t="str" cm="1">
        <f t="array" ref="AN64">_xlfn.IFS(AM64 &lt;= 3, "New to Role[1-3]", AM64 &lt;= 7, "Settled[4-7]", AM64 &lt;= 12, "Experienced[[8-12]", AM64 &lt;= 18, "Long Tenured[13-18]")</f>
        <v>New to Role[1-3]</v>
      </c>
      <c r="AO64" s="1">
        <v>13</v>
      </c>
      <c r="AP64" s="9" t="str" cm="1">
        <f t="array" ref="AP64">_xlfn.IFS(AO64 &lt;= 3, "Recently[1-3]", AO64 &lt;= 6, "Due Soon[4-6]", AO64 &lt;= 10, "Overdue[7-10]", AO64 &lt;= 15, "Long Overdue[11-15]")</f>
        <v>Long Overdue[11-15]</v>
      </c>
      <c r="AQ64" s="9" t="str" cm="1">
        <f t="array" ref="AQ64">_xlfn.IFS(AR64 &lt;= 3, "New Relationship[1-3]", AR64 &lt;= 7, "Established Relationship[4-7]", AR64 &lt;= 12, "Long Term Relationship[8-12]", AR64 &lt;= 17, "Very Long Term Relationship[13-17]")</f>
        <v>Long Term Relationship[8-12]</v>
      </c>
      <c r="AR64" s="1">
        <v>8</v>
      </c>
    </row>
    <row r="65" spans="1:44" x14ac:dyDescent="0.25">
      <c r="A65" s="1">
        <v>59</v>
      </c>
      <c r="B65" s="8" t="str" cm="1">
        <f t="array" ref="B65">_xlfn.IFS(A65 &lt;= 25, "[18-25]", A65 &lt;= 35, "[26-35]", A65 &lt;=45, "[36-45]", A65 &lt;= 60, "[46- 60]")</f>
        <v>[46- 60]</v>
      </c>
      <c r="C65" s="3" t="s">
        <v>43</v>
      </c>
      <c r="D65">
        <f t="shared" si="0"/>
        <v>0</v>
      </c>
      <c r="E65" t="s">
        <v>36</v>
      </c>
      <c r="F65" s="1">
        <v>1435</v>
      </c>
      <c r="G65" s="3" t="s">
        <v>37</v>
      </c>
      <c r="H65" s="1">
        <v>25</v>
      </c>
      <c r="I65" s="9" t="str" cm="1">
        <f t="array" ref="I65">_xlfn.IFS(H65 &lt;= 2, "[1-2] very close", H65 &lt;= 10, "[3-10] close", H65 &lt;= 20, "[11-20] moderate", H65 &lt;= 30, "[21-30] far")</f>
        <v>[21-30] far</v>
      </c>
      <c r="J65" s="1">
        <v>3</v>
      </c>
      <c r="K65" s="3" t="s">
        <v>38</v>
      </c>
      <c r="L65" s="1">
        <v>1</v>
      </c>
      <c r="M65" s="1">
        <v>81</v>
      </c>
      <c r="N65" s="1">
        <v>1</v>
      </c>
      <c r="O65" s="3" t="s">
        <v>39</v>
      </c>
      <c r="P65" s="1">
        <v>99</v>
      </c>
      <c r="Q65" s="1">
        <v>3</v>
      </c>
      <c r="R65" s="1">
        <v>3</v>
      </c>
      <c r="S65" s="3" t="s">
        <v>40</v>
      </c>
      <c r="T65" s="1">
        <v>1</v>
      </c>
      <c r="U65" s="3" t="s">
        <v>41</v>
      </c>
      <c r="V65" s="4">
        <v>7637</v>
      </c>
      <c r="W65" s="1">
        <v>2354</v>
      </c>
      <c r="X65" s="1">
        <v>7</v>
      </c>
      <c r="Y65" s="3" t="s">
        <v>42</v>
      </c>
      <c r="Z65" s="3" t="s">
        <v>43</v>
      </c>
      <c r="AA65" s="5">
        <v>0.11</v>
      </c>
      <c r="AB65" s="10" t="str" cm="1">
        <f t="array" ref="AB65">_xlfn.IFS(AA65 &lt;= 15%, "Low Hike[11-15%]", AA65 &lt;= 20%, "Moderate Hike[16-20%]", AA65 &lt;= 25%,"High Hike[21-25%]")</f>
        <v>Low Hike[11-15%]</v>
      </c>
      <c r="AC65" s="1">
        <v>3</v>
      </c>
      <c r="AD65" s="1">
        <v>4</v>
      </c>
      <c r="AE65" s="1">
        <v>80</v>
      </c>
      <c r="AF65" s="1">
        <v>0</v>
      </c>
      <c r="AG65" s="1">
        <v>28</v>
      </c>
      <c r="AH65" s="9" t="str" cm="1">
        <f t="array" ref="AH65">_xlfn.IFS(AG65 &lt;= 5, "New[1-5]", AG65 &lt;= 10, "Early Career[6-10]", AG65 &lt;= 20, "Established[11-20]", AG65 &lt;= 30, "Veteran[21-30]", AG65 &lt;= 40, "Late Career[31-40]")</f>
        <v>Veteran[21-30]</v>
      </c>
      <c r="AI65" s="1">
        <v>3</v>
      </c>
      <c r="AJ65" s="1">
        <v>2</v>
      </c>
      <c r="AK65" s="1">
        <v>21</v>
      </c>
      <c r="AL65" s="9" t="str" cm="1">
        <f t="array" ref="AL65">_xlfn.IFS(AK65 &lt;= 5, "New[1-5]", AK65 &lt;= 10, "Early Career[6-10]", AK65 &lt;= 20, "Established[11-20]", AK65 &lt;= 30, "Veteran[21-30]", AK65 &lt;= 40, "Late Career[31-40]")</f>
        <v>Veteran[21-30]</v>
      </c>
      <c r="AM65" s="1">
        <v>16</v>
      </c>
      <c r="AN65" s="9" t="str" cm="1">
        <f t="array" ref="AN65">_xlfn.IFS(AM65 &lt;= 3, "New to Role[1-3]", AM65 &lt;= 7, "Settled[4-7]", AM65 &lt;= 12, "Experienced[[8-12]", AM65 &lt;= 18, "Long Tenured[13-18]")</f>
        <v>Long Tenured[13-18]</v>
      </c>
      <c r="AO65" s="1">
        <v>7</v>
      </c>
      <c r="AP65" s="9" t="str" cm="1">
        <f t="array" ref="AP65">_xlfn.IFS(AO65 &lt;= 3, "Recently[1-3]", AO65 &lt;= 6, "Due Soon[4-6]", AO65 &lt;= 10, "Overdue[7-10]", AO65 &lt;= 15, "Long Overdue[11-15]")</f>
        <v>Overdue[7-10]</v>
      </c>
      <c r="AQ65" s="9" t="str" cm="1">
        <f t="array" ref="AQ65">_xlfn.IFS(AR65 &lt;= 3, "New Relationship[1-3]", AR65 &lt;= 7, "Established Relationship[4-7]", AR65 &lt;= 12, "Long Term Relationship[8-12]", AR65 &lt;= 17, "Very Long Term Relationship[13-17]")</f>
        <v>Long Term Relationship[8-12]</v>
      </c>
      <c r="AR65" s="1">
        <v>9</v>
      </c>
    </row>
    <row r="66" spans="1:44" x14ac:dyDescent="0.25">
      <c r="A66" s="1">
        <v>36</v>
      </c>
      <c r="B66" s="8" t="str" cm="1">
        <f t="array" ref="B66">_xlfn.IFS(A66 &lt;= 25, "[18-25]", A66 &lt;= 35, "[26-35]", A66 &lt;=45, "[36-45]", A66 &lt;= 60, "[46- 60]")</f>
        <v>[36-45]</v>
      </c>
      <c r="C66" s="3" t="s">
        <v>43</v>
      </c>
      <c r="D66">
        <f t="shared" ref="D66:D129" si="1">IF(C66 = "Yes",1, 0)</f>
        <v>0</v>
      </c>
      <c r="E66" t="s">
        <v>36</v>
      </c>
      <c r="F66" s="1">
        <v>1223</v>
      </c>
      <c r="G66" s="3" t="s">
        <v>45</v>
      </c>
      <c r="H66" s="1">
        <v>8</v>
      </c>
      <c r="I66" s="9" t="str" cm="1">
        <f t="array" ref="I66">_xlfn.IFS(H66 &lt;= 2, "[1-2] very close", H66 &lt;= 10, "[3-10] close", H66 &lt;= 20, "[11-20] moderate", H66 &lt;= 30, "[21-30] far")</f>
        <v>[3-10] close</v>
      </c>
      <c r="J66" s="1">
        <v>3</v>
      </c>
      <c r="K66" s="3" t="s">
        <v>60</v>
      </c>
      <c r="L66" s="1">
        <v>1</v>
      </c>
      <c r="M66" s="1">
        <v>83</v>
      </c>
      <c r="N66" s="1">
        <v>3</v>
      </c>
      <c r="O66" s="3" t="s">
        <v>39</v>
      </c>
      <c r="P66" s="1">
        <v>59</v>
      </c>
      <c r="Q66" s="1">
        <v>3</v>
      </c>
      <c r="R66" s="1">
        <v>3</v>
      </c>
      <c r="S66" s="3" t="s">
        <v>54</v>
      </c>
      <c r="T66" s="1">
        <v>3</v>
      </c>
      <c r="U66" s="3" t="s">
        <v>52</v>
      </c>
      <c r="V66" s="4">
        <v>10096</v>
      </c>
      <c r="W66" s="1">
        <v>8202</v>
      </c>
      <c r="X66" s="1">
        <v>1</v>
      </c>
      <c r="Y66" s="3" t="s">
        <v>42</v>
      </c>
      <c r="Z66" s="3" t="s">
        <v>43</v>
      </c>
      <c r="AA66" s="5">
        <v>0.13</v>
      </c>
      <c r="AB66" s="10" t="str" cm="1">
        <f t="array" ref="AB66">_xlfn.IFS(AA66 &lt;= 15%, "Low Hike[11-15%]", AA66 &lt;= 20%, "Moderate Hike[16-20%]", AA66 &lt;= 25%,"High Hike[21-25%]")</f>
        <v>Low Hike[11-15%]</v>
      </c>
      <c r="AC66" s="1">
        <v>3</v>
      </c>
      <c r="AD66" s="1">
        <v>2</v>
      </c>
      <c r="AE66" s="1">
        <v>80</v>
      </c>
      <c r="AF66" s="1">
        <v>3</v>
      </c>
      <c r="AG66" s="1">
        <v>17</v>
      </c>
      <c r="AH66" s="9" t="str" cm="1">
        <f t="array" ref="AH66">_xlfn.IFS(AG66 &lt;= 5, "New[1-5]", AG66 &lt;= 10, "Early Career[6-10]", AG66 &lt;= 20, "Established[11-20]", AG66 &lt;= 30, "Veteran[21-30]", AG66 &lt;= 40, "Late Career[31-40]")</f>
        <v>Established[11-20]</v>
      </c>
      <c r="AI66" s="1">
        <v>2</v>
      </c>
      <c r="AJ66" s="1">
        <v>3</v>
      </c>
      <c r="AK66" s="1">
        <v>17</v>
      </c>
      <c r="AL66" s="9" t="str" cm="1">
        <f t="array" ref="AL66">_xlfn.IFS(AK66 &lt;= 5, "New[1-5]", AK66 &lt;= 10, "Early Career[6-10]", AK66 &lt;= 20, "Established[11-20]", AK66 &lt;= 30, "Veteran[21-30]", AK66 &lt;= 40, "Late Career[31-40]")</f>
        <v>Established[11-20]</v>
      </c>
      <c r="AM66" s="1">
        <v>14</v>
      </c>
      <c r="AN66" s="9" t="str" cm="1">
        <f t="array" ref="AN66">_xlfn.IFS(AM66 &lt;= 3, "New to Role[1-3]", AM66 &lt;= 7, "Settled[4-7]", AM66 &lt;= 12, "Experienced[[8-12]", AM66 &lt;= 18, "Long Tenured[13-18]")</f>
        <v>Long Tenured[13-18]</v>
      </c>
      <c r="AO66" s="1">
        <v>12</v>
      </c>
      <c r="AP66" s="9" t="str" cm="1">
        <f t="array" ref="AP66">_xlfn.IFS(AO66 &lt;= 3, "Recently[1-3]", AO66 &lt;= 6, "Due Soon[4-6]", AO66 &lt;= 10, "Overdue[7-10]", AO66 &lt;= 15, "Long Overdue[11-15]")</f>
        <v>Long Overdue[11-15]</v>
      </c>
      <c r="AQ66" s="9" t="str" cm="1">
        <f t="array" ref="AQ66">_xlfn.IFS(AR66 &lt;= 3, "New Relationship[1-3]", AR66 &lt;= 7, "Established Relationship[4-7]", AR66 &lt;= 12, "Long Term Relationship[8-12]", AR66 &lt;= 17, "Very Long Term Relationship[13-17]")</f>
        <v>Long Term Relationship[8-12]</v>
      </c>
      <c r="AR66" s="1">
        <v>8</v>
      </c>
    </row>
    <row r="67" spans="1:44" x14ac:dyDescent="0.25">
      <c r="A67" s="1">
        <v>55</v>
      </c>
      <c r="B67" s="8" t="str" cm="1">
        <f t="array" ref="B67">_xlfn.IFS(A67 &lt;= 25, "[18-25]", A67 &lt;= 35, "[26-35]", A67 &lt;=45, "[36-45]", A67 &lt;= 60, "[46- 60]")</f>
        <v>[46- 60]</v>
      </c>
      <c r="C67" s="3" t="s">
        <v>43</v>
      </c>
      <c r="D67">
        <f t="shared" si="1"/>
        <v>0</v>
      </c>
      <c r="E67" t="s">
        <v>36</v>
      </c>
      <c r="F67" s="1">
        <v>836</v>
      </c>
      <c r="G67" s="3" t="s">
        <v>45</v>
      </c>
      <c r="H67" s="1">
        <v>8</v>
      </c>
      <c r="I67" s="9" t="str" cm="1">
        <f t="array" ref="I67">_xlfn.IFS(H67 &lt;= 2, "[1-2] very close", H67 &lt;= 10, "[3-10] close", H67 &lt;= 20, "[11-20] moderate", H67 &lt;= 30, "[21-30] far")</f>
        <v>[3-10] close</v>
      </c>
      <c r="J67" s="1">
        <v>3</v>
      </c>
      <c r="K67" s="3" t="s">
        <v>51</v>
      </c>
      <c r="L67" s="1">
        <v>1</v>
      </c>
      <c r="M67" s="1">
        <v>84</v>
      </c>
      <c r="N67" s="1">
        <v>4</v>
      </c>
      <c r="O67" s="3" t="s">
        <v>39</v>
      </c>
      <c r="P67" s="1">
        <v>33</v>
      </c>
      <c r="Q67" s="1">
        <v>3</v>
      </c>
      <c r="R67" s="1">
        <v>4</v>
      </c>
      <c r="S67" s="3" t="s">
        <v>56</v>
      </c>
      <c r="T67" s="1">
        <v>3</v>
      </c>
      <c r="U67" s="3" t="s">
        <v>52</v>
      </c>
      <c r="V67" s="4">
        <v>14756</v>
      </c>
      <c r="W67" s="1">
        <v>19730</v>
      </c>
      <c r="X67" s="1">
        <v>2</v>
      </c>
      <c r="Y67" s="3" t="s">
        <v>42</v>
      </c>
      <c r="Z67" s="3" t="s">
        <v>35</v>
      </c>
      <c r="AA67" s="5">
        <v>0.14000000000000001</v>
      </c>
      <c r="AB67" s="10" t="str" cm="1">
        <f t="array" ref="AB67">_xlfn.IFS(AA67 &lt;= 15%, "Low Hike[11-15%]", AA67 &lt;= 20%, "Moderate Hike[16-20%]", AA67 &lt;= 25%,"High Hike[21-25%]")</f>
        <v>Low Hike[11-15%]</v>
      </c>
      <c r="AC67" s="1">
        <v>3</v>
      </c>
      <c r="AD67" s="1">
        <v>3</v>
      </c>
      <c r="AE67" s="1">
        <v>80</v>
      </c>
      <c r="AF67" s="1">
        <v>3</v>
      </c>
      <c r="AG67" s="1">
        <v>21</v>
      </c>
      <c r="AH67" s="9" t="str" cm="1">
        <f t="array" ref="AH67">_xlfn.IFS(AG67 &lt;= 5, "New[1-5]", AG67 &lt;= 10, "Early Career[6-10]", AG67 &lt;= 20, "Established[11-20]", AG67 &lt;= 30, "Veteran[21-30]", AG67 &lt;= 40, "Late Career[31-40]")</f>
        <v>Veteran[21-30]</v>
      </c>
      <c r="AI67" s="1">
        <v>2</v>
      </c>
      <c r="AJ67" s="1">
        <v>3</v>
      </c>
      <c r="AK67" s="1">
        <v>5</v>
      </c>
      <c r="AL67" s="9" t="str" cm="1">
        <f t="array" ref="AL67">_xlfn.IFS(AK67 &lt;= 5, "New[1-5]", AK67 &lt;= 10, "Early Career[6-10]", AK67 &lt;= 20, "Established[11-20]", AK67 &lt;= 30, "Veteran[21-30]", AK67 &lt;= 40, "Late Career[31-40]")</f>
        <v>New[1-5]</v>
      </c>
      <c r="AM67" s="1">
        <v>0</v>
      </c>
      <c r="AN67" s="9" t="str" cm="1">
        <f t="array" ref="AN67">_xlfn.IFS(AM67 &lt;= 3, "New to Role[1-3]", AM67 &lt;= 7, "Settled[4-7]", AM67 &lt;= 12, "Experienced[[8-12]", AM67 &lt;= 18, "Long Tenured[13-18]")</f>
        <v>New to Role[1-3]</v>
      </c>
      <c r="AO67" s="1">
        <v>0</v>
      </c>
      <c r="AP67" s="9" t="str" cm="1">
        <f t="array" ref="AP67">_xlfn.IFS(AO67 &lt;= 3, "Recently[1-3]", AO67 &lt;= 6, "Due Soon[4-6]", AO67 &lt;= 10, "Overdue[7-10]", AO67 &lt;= 15, "Long Overdue[11-15]")</f>
        <v>Recently[1-3]</v>
      </c>
      <c r="AQ67" s="9" t="str" cm="1">
        <f t="array" ref="AQ67">_xlfn.IFS(AR67 &lt;= 3, "New Relationship[1-3]", AR67 &lt;= 7, "Established Relationship[4-7]", AR67 &lt;= 12, "Long Term Relationship[8-12]", AR67 &lt;= 17, "Very Long Term Relationship[13-17]")</f>
        <v>New Relationship[1-3]</v>
      </c>
      <c r="AR67" s="1">
        <v>2</v>
      </c>
    </row>
    <row r="68" spans="1:44" x14ac:dyDescent="0.25">
      <c r="A68" s="1">
        <v>36</v>
      </c>
      <c r="B68" s="8" t="str" cm="1">
        <f t="array" ref="B68">_xlfn.IFS(A68 &lt;= 25, "[18-25]", A68 &lt;= 35, "[26-35]", A68 &lt;=45, "[36-45]", A68 &lt;= 60, "[46- 60]")</f>
        <v>[36-45]</v>
      </c>
      <c r="C68" s="3" t="s">
        <v>43</v>
      </c>
      <c r="D68">
        <f t="shared" si="1"/>
        <v>0</v>
      </c>
      <c r="E68" t="s">
        <v>44</v>
      </c>
      <c r="F68" s="1">
        <v>1195</v>
      </c>
      <c r="G68" s="3" t="s">
        <v>45</v>
      </c>
      <c r="H68" s="1">
        <v>11</v>
      </c>
      <c r="I68" s="9" t="str" cm="1">
        <f t="array" ref="I68">_xlfn.IFS(H68 &lt;= 2, "[1-2] very close", H68 &lt;= 10, "[3-10] close", H68 &lt;= 20, "[11-20] moderate", H68 &lt;= 30, "[21-30] far")</f>
        <v>[11-20] moderate</v>
      </c>
      <c r="J68" s="1">
        <v>3</v>
      </c>
      <c r="K68" s="3" t="s">
        <v>38</v>
      </c>
      <c r="L68" s="1">
        <v>1</v>
      </c>
      <c r="M68" s="1">
        <v>85</v>
      </c>
      <c r="N68" s="1">
        <v>2</v>
      </c>
      <c r="O68" s="3" t="s">
        <v>46</v>
      </c>
      <c r="P68" s="1">
        <v>95</v>
      </c>
      <c r="Q68" s="1">
        <v>2</v>
      </c>
      <c r="R68" s="1">
        <v>2</v>
      </c>
      <c r="S68" s="3" t="s">
        <v>53</v>
      </c>
      <c r="T68" s="1">
        <v>2</v>
      </c>
      <c r="U68" s="3" t="s">
        <v>41</v>
      </c>
      <c r="V68" s="4">
        <v>6499</v>
      </c>
      <c r="W68" s="1">
        <v>22656</v>
      </c>
      <c r="X68" s="1">
        <v>1</v>
      </c>
      <c r="Y68" s="3" t="s">
        <v>42</v>
      </c>
      <c r="Z68" s="3" t="s">
        <v>43</v>
      </c>
      <c r="AA68" s="5">
        <v>0.13</v>
      </c>
      <c r="AB68" s="10" t="str" cm="1">
        <f t="array" ref="AB68">_xlfn.IFS(AA68 &lt;= 15%, "Low Hike[11-15%]", AA68 &lt;= 20%, "Moderate Hike[16-20%]", AA68 &lt;= 25%,"High Hike[21-25%]")</f>
        <v>Low Hike[11-15%]</v>
      </c>
      <c r="AC68" s="1">
        <v>3</v>
      </c>
      <c r="AD68" s="1">
        <v>3</v>
      </c>
      <c r="AE68" s="1">
        <v>80</v>
      </c>
      <c r="AF68" s="1">
        <v>0</v>
      </c>
      <c r="AG68" s="1">
        <v>6</v>
      </c>
      <c r="AH68" s="9" t="str" cm="1">
        <f t="array" ref="AH68">_xlfn.IFS(AG68 &lt;= 5, "New[1-5]", AG68 &lt;= 10, "Early Career[6-10]", AG68 &lt;= 20, "Established[11-20]", AG68 &lt;= 30, "Veteran[21-30]", AG68 &lt;= 40, "Late Career[31-40]")</f>
        <v>Early Career[6-10]</v>
      </c>
      <c r="AI68" s="1">
        <v>3</v>
      </c>
      <c r="AJ68" s="1">
        <v>3</v>
      </c>
      <c r="AK68" s="1">
        <v>6</v>
      </c>
      <c r="AL68" s="9" t="str" cm="1">
        <f t="array" ref="AL68">_xlfn.IFS(AK68 &lt;= 5, "New[1-5]", AK68 &lt;= 10, "Early Career[6-10]", AK68 &lt;= 20, "Established[11-20]", AK68 &lt;= 30, "Veteran[21-30]", AK68 &lt;= 40, "Late Career[31-40]")</f>
        <v>Early Career[6-10]</v>
      </c>
      <c r="AM68" s="1">
        <v>5</v>
      </c>
      <c r="AN68" s="9" t="str" cm="1">
        <f t="array" ref="AN68">_xlfn.IFS(AM68 &lt;= 3, "New to Role[1-3]", AM68 &lt;= 7, "Settled[4-7]", AM68 &lt;= 12, "Experienced[[8-12]", AM68 &lt;= 18, "Long Tenured[13-18]")</f>
        <v>Settled[4-7]</v>
      </c>
      <c r="AO68" s="1">
        <v>0</v>
      </c>
      <c r="AP68" s="9" t="str" cm="1">
        <f t="array" ref="AP68">_xlfn.IFS(AO68 &lt;= 3, "Recently[1-3]", AO68 &lt;= 6, "Due Soon[4-6]", AO68 &lt;= 10, "Overdue[7-10]", AO68 &lt;= 15, "Long Overdue[11-15]")</f>
        <v>Recently[1-3]</v>
      </c>
      <c r="AQ68" s="9" t="str" cm="1">
        <f t="array" ref="AQ68">_xlfn.IFS(AR68 &lt;= 3, "New Relationship[1-3]", AR68 &lt;= 7, "Established Relationship[4-7]", AR68 &lt;= 12, "Long Term Relationship[8-12]", AR68 &lt;= 17, "Very Long Term Relationship[13-17]")</f>
        <v>New Relationship[1-3]</v>
      </c>
      <c r="AR68" s="1">
        <v>3</v>
      </c>
    </row>
    <row r="69" spans="1:44" x14ac:dyDescent="0.25">
      <c r="A69" s="1">
        <v>45</v>
      </c>
      <c r="B69" s="8" t="str" cm="1">
        <f t="array" ref="B69">_xlfn.IFS(A69 &lt;= 25, "[18-25]", A69 &lt;= 35, "[26-35]", A69 &lt;=45, "[36-45]", A69 &lt;= 60, "[46- 60]")</f>
        <v>[36-45]</v>
      </c>
      <c r="C69" s="3" t="s">
        <v>43</v>
      </c>
      <c r="D69">
        <f t="shared" si="1"/>
        <v>0</v>
      </c>
      <c r="E69" t="s">
        <v>36</v>
      </c>
      <c r="F69" s="1">
        <v>1339</v>
      </c>
      <c r="G69" s="3" t="s">
        <v>45</v>
      </c>
      <c r="H69" s="1">
        <v>7</v>
      </c>
      <c r="I69" s="9" t="str" cm="1">
        <f t="array" ref="I69">_xlfn.IFS(H69 &lt;= 2, "[1-2] very close", H69 &lt;= 10, "[3-10] close", H69 &lt;= 20, "[11-20] moderate", H69 &lt;= 30, "[21-30] far")</f>
        <v>[3-10] close</v>
      </c>
      <c r="J69" s="1">
        <v>3</v>
      </c>
      <c r="K69" s="3" t="s">
        <v>38</v>
      </c>
      <c r="L69" s="1">
        <v>1</v>
      </c>
      <c r="M69" s="1">
        <v>86</v>
      </c>
      <c r="N69" s="1">
        <v>2</v>
      </c>
      <c r="O69" s="3" t="s">
        <v>46</v>
      </c>
      <c r="P69" s="1">
        <v>59</v>
      </c>
      <c r="Q69" s="1">
        <v>3</v>
      </c>
      <c r="R69" s="1">
        <v>3</v>
      </c>
      <c r="S69" s="3" t="s">
        <v>47</v>
      </c>
      <c r="T69" s="1">
        <v>1</v>
      </c>
      <c r="U69" s="3" t="s">
        <v>52</v>
      </c>
      <c r="V69" s="4">
        <v>9724</v>
      </c>
      <c r="W69" s="1">
        <v>18787</v>
      </c>
      <c r="X69" s="1">
        <v>2</v>
      </c>
      <c r="Y69" s="3" t="s">
        <v>42</v>
      </c>
      <c r="Z69" s="3" t="s">
        <v>43</v>
      </c>
      <c r="AA69" s="5">
        <v>0.17</v>
      </c>
      <c r="AB69" s="10" t="str" cm="1">
        <f t="array" ref="AB69">_xlfn.IFS(AA69 &lt;= 15%, "Low Hike[11-15%]", AA69 &lt;= 20%, "Moderate Hike[16-20%]", AA69 &lt;= 25%,"High Hike[21-25%]")</f>
        <v>Moderate Hike[16-20%]</v>
      </c>
      <c r="AC69" s="1">
        <v>3</v>
      </c>
      <c r="AD69" s="1">
        <v>3</v>
      </c>
      <c r="AE69" s="1">
        <v>80</v>
      </c>
      <c r="AF69" s="1">
        <v>1</v>
      </c>
      <c r="AG69" s="1">
        <v>25</v>
      </c>
      <c r="AH69" s="9" t="str" cm="1">
        <f t="array" ref="AH69">_xlfn.IFS(AG69 &lt;= 5, "New[1-5]", AG69 &lt;= 10, "Early Career[6-10]", AG69 &lt;= 20, "Established[11-20]", AG69 &lt;= 30, "Veteran[21-30]", AG69 &lt;= 40, "Late Career[31-40]")</f>
        <v>Veteran[21-30]</v>
      </c>
      <c r="AI69" s="1">
        <v>2</v>
      </c>
      <c r="AJ69" s="1">
        <v>3</v>
      </c>
      <c r="AK69" s="1">
        <v>1</v>
      </c>
      <c r="AL69" s="9" t="str" cm="1">
        <f t="array" ref="AL69">_xlfn.IFS(AK69 &lt;= 5, "New[1-5]", AK69 &lt;= 10, "Early Career[6-10]", AK69 &lt;= 20, "Established[11-20]", AK69 &lt;= 30, "Veteran[21-30]", AK69 &lt;= 40, "Late Career[31-40]")</f>
        <v>New[1-5]</v>
      </c>
      <c r="AM69" s="1">
        <v>0</v>
      </c>
      <c r="AN69" s="9" t="str" cm="1">
        <f t="array" ref="AN69">_xlfn.IFS(AM69 &lt;= 3, "New to Role[1-3]", AM69 &lt;= 7, "Settled[4-7]", AM69 &lt;= 12, "Experienced[[8-12]", AM69 &lt;= 18, "Long Tenured[13-18]")</f>
        <v>New to Role[1-3]</v>
      </c>
      <c r="AO69" s="1">
        <v>0</v>
      </c>
      <c r="AP69" s="9" t="str" cm="1">
        <f t="array" ref="AP69">_xlfn.IFS(AO69 &lt;= 3, "Recently[1-3]", AO69 &lt;= 6, "Due Soon[4-6]", AO69 &lt;= 10, "Overdue[7-10]", AO69 &lt;= 15, "Long Overdue[11-15]")</f>
        <v>Recently[1-3]</v>
      </c>
      <c r="AQ69" s="9" t="str" cm="1">
        <f t="array" ref="AQ69">_xlfn.IFS(AR69 &lt;= 3, "New Relationship[1-3]", AR69 &lt;= 7, "Established Relationship[4-7]", AR69 &lt;= 12, "Long Term Relationship[8-12]", AR69 &lt;= 17, "Very Long Term Relationship[13-17]")</f>
        <v>New Relationship[1-3]</v>
      </c>
      <c r="AR69" s="1">
        <v>0</v>
      </c>
    </row>
    <row r="70" spans="1:44" x14ac:dyDescent="0.25">
      <c r="A70" s="1">
        <v>35</v>
      </c>
      <c r="B70" s="8" t="str" cm="1">
        <f t="array" ref="B70">_xlfn.IFS(A70 &lt;= 25, "[18-25]", A70 &lt;= 35, "[26-35]", A70 &lt;=45, "[36-45]", A70 &lt;= 60, "[46- 60]")</f>
        <v>[26-35]</v>
      </c>
      <c r="C70" s="3" t="s">
        <v>43</v>
      </c>
      <c r="D70">
        <f t="shared" si="1"/>
        <v>0</v>
      </c>
      <c r="E70" t="s">
        <v>44</v>
      </c>
      <c r="F70" s="1">
        <v>664</v>
      </c>
      <c r="G70" s="3" t="s">
        <v>45</v>
      </c>
      <c r="H70" s="1">
        <v>1</v>
      </c>
      <c r="I70" s="9" t="str" cm="1">
        <f t="array" ref="I70">_xlfn.IFS(H70 &lt;= 2, "[1-2] very close", H70 &lt;= 10, "[3-10] close", H70 &lt;= 20, "[11-20] moderate", H70 &lt;= 30, "[21-30] far")</f>
        <v>[1-2] very close</v>
      </c>
      <c r="J70" s="1">
        <v>3</v>
      </c>
      <c r="K70" s="3" t="s">
        <v>51</v>
      </c>
      <c r="L70" s="1">
        <v>1</v>
      </c>
      <c r="M70" s="1">
        <v>88</v>
      </c>
      <c r="N70" s="1">
        <v>2</v>
      </c>
      <c r="O70" s="3" t="s">
        <v>46</v>
      </c>
      <c r="P70" s="1">
        <v>79</v>
      </c>
      <c r="Q70" s="1">
        <v>3</v>
      </c>
      <c r="R70" s="1">
        <v>1</v>
      </c>
      <c r="S70" s="3" t="s">
        <v>47</v>
      </c>
      <c r="T70" s="1">
        <v>1</v>
      </c>
      <c r="U70" s="3" t="s">
        <v>48</v>
      </c>
      <c r="V70" s="4">
        <v>2194</v>
      </c>
      <c r="W70" s="1">
        <v>5868</v>
      </c>
      <c r="X70" s="1">
        <v>4</v>
      </c>
      <c r="Y70" s="3" t="s">
        <v>42</v>
      </c>
      <c r="Z70" s="3" t="s">
        <v>43</v>
      </c>
      <c r="AA70" s="5">
        <v>0.13</v>
      </c>
      <c r="AB70" s="10" t="str" cm="1">
        <f t="array" ref="AB70">_xlfn.IFS(AA70 &lt;= 15%, "Low Hike[11-15%]", AA70 &lt;= 20%, "Moderate Hike[16-20%]", AA70 &lt;= 25%,"High Hike[21-25%]")</f>
        <v>Low Hike[11-15%]</v>
      </c>
      <c r="AC70" s="1">
        <v>3</v>
      </c>
      <c r="AD70" s="1">
        <v>4</v>
      </c>
      <c r="AE70" s="1">
        <v>80</v>
      </c>
      <c r="AF70" s="1">
        <v>1</v>
      </c>
      <c r="AG70" s="1">
        <v>5</v>
      </c>
      <c r="AH70" s="9" t="str" cm="1">
        <f t="array" ref="AH70">_xlfn.IFS(AG70 &lt;= 5, "New[1-5]", AG70 &lt;= 10, "Early Career[6-10]", AG70 &lt;= 20, "Established[11-20]", AG70 &lt;= 30, "Veteran[21-30]", AG70 &lt;= 40, "Late Career[31-40]")</f>
        <v>New[1-5]</v>
      </c>
      <c r="AI70" s="1">
        <v>2</v>
      </c>
      <c r="AJ70" s="1">
        <v>2</v>
      </c>
      <c r="AK70" s="1">
        <v>3</v>
      </c>
      <c r="AL70" s="9" t="str" cm="1">
        <f t="array" ref="AL70">_xlfn.IFS(AK70 &lt;= 5, "New[1-5]", AK70 &lt;= 10, "Early Career[6-10]", AK70 &lt;= 20, "Established[11-20]", AK70 &lt;= 30, "Veteran[21-30]", AK70 &lt;= 40, "Late Career[31-40]")</f>
        <v>New[1-5]</v>
      </c>
      <c r="AM70" s="1">
        <v>2</v>
      </c>
      <c r="AN70" s="9" t="str" cm="1">
        <f t="array" ref="AN70">_xlfn.IFS(AM70 &lt;= 3, "New to Role[1-3]", AM70 &lt;= 7, "Settled[4-7]", AM70 &lt;= 12, "Experienced[[8-12]", AM70 &lt;= 18, "Long Tenured[13-18]")</f>
        <v>New to Role[1-3]</v>
      </c>
      <c r="AO70" s="1">
        <v>1</v>
      </c>
      <c r="AP70" s="9" t="str" cm="1">
        <f t="array" ref="AP70">_xlfn.IFS(AO70 &lt;= 3, "Recently[1-3]", AO70 &lt;= 6, "Due Soon[4-6]", AO70 &lt;= 10, "Overdue[7-10]", AO70 &lt;= 15, "Long Overdue[11-15]")</f>
        <v>Recently[1-3]</v>
      </c>
      <c r="AQ70" s="9" t="str" cm="1">
        <f t="array" ref="AQ70">_xlfn.IFS(AR70 &lt;= 3, "New Relationship[1-3]", AR70 &lt;= 7, "Established Relationship[4-7]", AR70 &lt;= 12, "Long Term Relationship[8-12]", AR70 &lt;= 17, "Very Long Term Relationship[13-17]")</f>
        <v>New Relationship[1-3]</v>
      </c>
      <c r="AR70" s="1">
        <v>2</v>
      </c>
    </row>
    <row r="71" spans="1:44" x14ac:dyDescent="0.25">
      <c r="A71" s="1">
        <v>36</v>
      </c>
      <c r="B71" s="8" t="str" cm="1">
        <f t="array" ref="B71">_xlfn.IFS(A71 &lt;= 25, "[18-25]", A71 &lt;= 35, "[26-35]", A71 &lt;=45, "[36-45]", A71 &lt;= 60, "[46- 60]")</f>
        <v>[36-45]</v>
      </c>
      <c r="C71" s="3" t="s">
        <v>35</v>
      </c>
      <c r="D71">
        <f t="shared" si="1"/>
        <v>1</v>
      </c>
      <c r="E71" t="s">
        <v>36</v>
      </c>
      <c r="F71" s="1">
        <v>318</v>
      </c>
      <c r="G71" s="3" t="s">
        <v>45</v>
      </c>
      <c r="H71" s="1">
        <v>9</v>
      </c>
      <c r="I71" s="9" t="str" cm="1">
        <f t="array" ref="I71">_xlfn.IFS(H71 &lt;= 2, "[1-2] very close", H71 &lt;= 10, "[3-10] close", H71 &lt;= 20, "[11-20] moderate", H71 &lt;= 30, "[21-30] far")</f>
        <v>[3-10] close</v>
      </c>
      <c r="J71" s="1">
        <v>3</v>
      </c>
      <c r="K71" s="3" t="s">
        <v>51</v>
      </c>
      <c r="L71" s="1">
        <v>1</v>
      </c>
      <c r="M71" s="1">
        <v>90</v>
      </c>
      <c r="N71" s="1">
        <v>4</v>
      </c>
      <c r="O71" s="3" t="s">
        <v>46</v>
      </c>
      <c r="P71" s="1">
        <v>79</v>
      </c>
      <c r="Q71" s="1">
        <v>2</v>
      </c>
      <c r="R71" s="1">
        <v>1</v>
      </c>
      <c r="S71" s="3" t="s">
        <v>47</v>
      </c>
      <c r="T71" s="1">
        <v>3</v>
      </c>
      <c r="U71" s="3" t="s">
        <v>48</v>
      </c>
      <c r="V71" s="4">
        <v>3388</v>
      </c>
      <c r="W71" s="1">
        <v>21777</v>
      </c>
      <c r="X71" s="1">
        <v>0</v>
      </c>
      <c r="Y71" s="3" t="s">
        <v>42</v>
      </c>
      <c r="Z71" s="3" t="s">
        <v>35</v>
      </c>
      <c r="AA71" s="5">
        <v>0.17</v>
      </c>
      <c r="AB71" s="10" t="str" cm="1">
        <f t="array" ref="AB71">_xlfn.IFS(AA71 &lt;= 15%, "Low Hike[11-15%]", AA71 &lt;= 20%, "Moderate Hike[16-20%]", AA71 &lt;= 25%,"High Hike[21-25%]")</f>
        <v>Moderate Hike[16-20%]</v>
      </c>
      <c r="AC71" s="1">
        <v>3</v>
      </c>
      <c r="AD71" s="1">
        <v>1</v>
      </c>
      <c r="AE71" s="1">
        <v>80</v>
      </c>
      <c r="AF71" s="1">
        <v>1</v>
      </c>
      <c r="AG71" s="1">
        <v>2</v>
      </c>
      <c r="AH71" s="9" t="str" cm="1">
        <f t="array" ref="AH71">_xlfn.IFS(AG71 &lt;= 5, "New[1-5]", AG71 &lt;= 10, "Early Career[6-10]", AG71 &lt;= 20, "Established[11-20]", AG71 &lt;= 30, "Veteran[21-30]", AG71 &lt;= 40, "Late Career[31-40]")</f>
        <v>New[1-5]</v>
      </c>
      <c r="AI71" s="1">
        <v>0</v>
      </c>
      <c r="AJ71" s="1">
        <v>2</v>
      </c>
      <c r="AK71" s="1">
        <v>1</v>
      </c>
      <c r="AL71" s="9" t="str" cm="1">
        <f t="array" ref="AL71">_xlfn.IFS(AK71 &lt;= 5, "New[1-5]", AK71 &lt;= 10, "Early Career[6-10]", AK71 &lt;= 20, "Established[11-20]", AK71 &lt;= 30, "Veteran[21-30]", AK71 &lt;= 40, "Late Career[31-40]")</f>
        <v>New[1-5]</v>
      </c>
      <c r="AM71" s="1">
        <v>0</v>
      </c>
      <c r="AN71" s="9" t="str" cm="1">
        <f t="array" ref="AN71">_xlfn.IFS(AM71 &lt;= 3, "New to Role[1-3]", AM71 &lt;= 7, "Settled[4-7]", AM71 &lt;= 12, "Experienced[[8-12]", AM71 &lt;= 18, "Long Tenured[13-18]")</f>
        <v>New to Role[1-3]</v>
      </c>
      <c r="AO71" s="1">
        <v>0</v>
      </c>
      <c r="AP71" s="9" t="str" cm="1">
        <f t="array" ref="AP71">_xlfn.IFS(AO71 &lt;= 3, "Recently[1-3]", AO71 &lt;= 6, "Due Soon[4-6]", AO71 &lt;= 10, "Overdue[7-10]", AO71 &lt;= 15, "Long Overdue[11-15]")</f>
        <v>Recently[1-3]</v>
      </c>
      <c r="AQ71" s="9" t="str" cm="1">
        <f t="array" ref="AQ71">_xlfn.IFS(AR71 &lt;= 3, "New Relationship[1-3]", AR71 &lt;= 7, "Established Relationship[4-7]", AR71 &lt;= 12, "Long Term Relationship[8-12]", AR71 &lt;= 17, "Very Long Term Relationship[13-17]")</f>
        <v>New Relationship[1-3]</v>
      </c>
      <c r="AR71" s="1">
        <v>0</v>
      </c>
    </row>
    <row r="72" spans="1:44" x14ac:dyDescent="0.25">
      <c r="A72" s="1">
        <v>59</v>
      </c>
      <c r="B72" s="8" t="str" cm="1">
        <f t="array" ref="B72">_xlfn.IFS(A72 &lt;= 25, "[18-25]", A72 &lt;= 35, "[26-35]", A72 &lt;=45, "[36-45]", A72 &lt;= 60, "[46- 60]")</f>
        <v>[46- 60]</v>
      </c>
      <c r="C72" s="3" t="s">
        <v>43</v>
      </c>
      <c r="D72">
        <f t="shared" si="1"/>
        <v>0</v>
      </c>
      <c r="E72" t="s">
        <v>44</v>
      </c>
      <c r="F72" s="1">
        <v>1225</v>
      </c>
      <c r="G72" s="3" t="s">
        <v>37</v>
      </c>
      <c r="H72" s="1">
        <v>1</v>
      </c>
      <c r="I72" s="9" t="str" cm="1">
        <f t="array" ref="I72">_xlfn.IFS(H72 &lt;= 2, "[1-2] very close", H72 &lt;= 10, "[3-10] close", H72 &lt;= 20, "[11-20] moderate", H72 &lt;= 30, "[21-30] far")</f>
        <v>[1-2] very close</v>
      </c>
      <c r="J72" s="1">
        <v>1</v>
      </c>
      <c r="K72" s="3" t="s">
        <v>38</v>
      </c>
      <c r="L72" s="1">
        <v>1</v>
      </c>
      <c r="M72" s="1">
        <v>91</v>
      </c>
      <c r="N72" s="1">
        <v>1</v>
      </c>
      <c r="O72" s="3" t="s">
        <v>39</v>
      </c>
      <c r="P72" s="1">
        <v>57</v>
      </c>
      <c r="Q72" s="1">
        <v>2</v>
      </c>
      <c r="R72" s="1">
        <v>2</v>
      </c>
      <c r="S72" s="3" t="s">
        <v>40</v>
      </c>
      <c r="T72" s="1">
        <v>3</v>
      </c>
      <c r="U72" s="3" t="s">
        <v>41</v>
      </c>
      <c r="V72" s="4">
        <v>5473</v>
      </c>
      <c r="W72" s="1">
        <v>24668</v>
      </c>
      <c r="X72" s="1">
        <v>7</v>
      </c>
      <c r="Y72" s="3" t="s">
        <v>42</v>
      </c>
      <c r="Z72" s="3" t="s">
        <v>43</v>
      </c>
      <c r="AA72" s="5">
        <v>0.11</v>
      </c>
      <c r="AB72" s="10" t="str" cm="1">
        <f t="array" ref="AB72">_xlfn.IFS(AA72 &lt;= 15%, "Low Hike[11-15%]", AA72 &lt;= 20%, "Moderate Hike[16-20%]", AA72 &lt;= 25%,"High Hike[21-25%]")</f>
        <v>Low Hike[11-15%]</v>
      </c>
      <c r="AC72" s="1">
        <v>3</v>
      </c>
      <c r="AD72" s="1">
        <v>4</v>
      </c>
      <c r="AE72" s="1">
        <v>80</v>
      </c>
      <c r="AF72" s="1">
        <v>0</v>
      </c>
      <c r="AG72" s="1">
        <v>20</v>
      </c>
      <c r="AH72" s="9" t="str" cm="1">
        <f t="array" ref="AH72">_xlfn.IFS(AG72 &lt;= 5, "New[1-5]", AG72 &lt;= 10, "Early Career[6-10]", AG72 &lt;= 20, "Established[11-20]", AG72 &lt;= 30, "Veteran[21-30]", AG72 &lt;= 40, "Late Career[31-40]")</f>
        <v>Established[11-20]</v>
      </c>
      <c r="AI72" s="1">
        <v>2</v>
      </c>
      <c r="AJ72" s="1">
        <v>2</v>
      </c>
      <c r="AK72" s="1">
        <v>4</v>
      </c>
      <c r="AL72" s="9" t="str" cm="1">
        <f t="array" ref="AL72">_xlfn.IFS(AK72 &lt;= 5, "New[1-5]", AK72 &lt;= 10, "Early Career[6-10]", AK72 &lt;= 20, "Established[11-20]", AK72 &lt;= 30, "Veteran[21-30]", AK72 &lt;= 40, "Late Career[31-40]")</f>
        <v>New[1-5]</v>
      </c>
      <c r="AM72" s="1">
        <v>3</v>
      </c>
      <c r="AN72" s="9" t="str" cm="1">
        <f t="array" ref="AN72">_xlfn.IFS(AM72 &lt;= 3, "New to Role[1-3]", AM72 &lt;= 7, "Settled[4-7]", AM72 &lt;= 12, "Experienced[[8-12]", AM72 &lt;= 18, "Long Tenured[13-18]")</f>
        <v>New to Role[1-3]</v>
      </c>
      <c r="AO72" s="1">
        <v>1</v>
      </c>
      <c r="AP72" s="9" t="str" cm="1">
        <f t="array" ref="AP72">_xlfn.IFS(AO72 &lt;= 3, "Recently[1-3]", AO72 &lt;= 6, "Due Soon[4-6]", AO72 &lt;= 10, "Overdue[7-10]", AO72 &lt;= 15, "Long Overdue[11-15]")</f>
        <v>Recently[1-3]</v>
      </c>
      <c r="AQ72" s="9" t="str" cm="1">
        <f t="array" ref="AQ72">_xlfn.IFS(AR72 &lt;= 3, "New Relationship[1-3]", AR72 &lt;= 7, "Established Relationship[4-7]", AR72 &lt;= 12, "Long Term Relationship[8-12]", AR72 &lt;= 17, "Very Long Term Relationship[13-17]")</f>
        <v>New Relationship[1-3]</v>
      </c>
      <c r="AR72" s="1">
        <v>3</v>
      </c>
    </row>
    <row r="73" spans="1:44" x14ac:dyDescent="0.25">
      <c r="A73" s="1">
        <v>29</v>
      </c>
      <c r="B73" s="8" t="str" cm="1">
        <f t="array" ref="B73">_xlfn.IFS(A73 &lt;= 25, "[18-25]", A73 &lt;= 35, "[26-35]", A73 &lt;=45, "[36-45]", A73 &lt;= 60, "[46- 60]")</f>
        <v>[26-35]</v>
      </c>
      <c r="C73" s="3" t="s">
        <v>43</v>
      </c>
      <c r="D73">
        <f t="shared" si="1"/>
        <v>0</v>
      </c>
      <c r="E73" t="s">
        <v>36</v>
      </c>
      <c r="F73" s="1">
        <v>1328</v>
      </c>
      <c r="G73" s="3" t="s">
        <v>45</v>
      </c>
      <c r="H73" s="1">
        <v>2</v>
      </c>
      <c r="I73" s="9" t="str" cm="1">
        <f t="array" ref="I73">_xlfn.IFS(H73 &lt;= 2, "[1-2] very close", H73 &lt;= 10, "[3-10] close", H73 &lt;= 20, "[11-20] moderate", H73 &lt;= 30, "[21-30] far")</f>
        <v>[1-2] very close</v>
      </c>
      <c r="J73" s="1">
        <v>3</v>
      </c>
      <c r="K73" s="3" t="s">
        <v>38</v>
      </c>
      <c r="L73" s="1">
        <v>1</v>
      </c>
      <c r="M73" s="1">
        <v>94</v>
      </c>
      <c r="N73" s="1">
        <v>3</v>
      </c>
      <c r="O73" s="3" t="s">
        <v>46</v>
      </c>
      <c r="P73" s="1">
        <v>76</v>
      </c>
      <c r="Q73" s="1">
        <v>3</v>
      </c>
      <c r="R73" s="1">
        <v>1</v>
      </c>
      <c r="S73" s="3" t="s">
        <v>47</v>
      </c>
      <c r="T73" s="1">
        <v>2</v>
      </c>
      <c r="U73" s="3" t="s">
        <v>48</v>
      </c>
      <c r="V73" s="4">
        <v>2703</v>
      </c>
      <c r="W73" s="1">
        <v>4956</v>
      </c>
      <c r="X73" s="1">
        <v>0</v>
      </c>
      <c r="Y73" s="3" t="s">
        <v>42</v>
      </c>
      <c r="Z73" s="3" t="s">
        <v>43</v>
      </c>
      <c r="AA73" s="5">
        <v>0.23</v>
      </c>
      <c r="AB73" s="10" t="str" cm="1">
        <f t="array" ref="AB73">_xlfn.IFS(AA73 &lt;= 15%, "Low Hike[11-15%]", AA73 &lt;= 20%, "Moderate Hike[16-20%]", AA73 &lt;= 25%,"High Hike[21-25%]")</f>
        <v>High Hike[21-25%]</v>
      </c>
      <c r="AC73" s="1">
        <v>4</v>
      </c>
      <c r="AD73" s="1">
        <v>4</v>
      </c>
      <c r="AE73" s="1">
        <v>80</v>
      </c>
      <c r="AF73" s="1">
        <v>1</v>
      </c>
      <c r="AG73" s="1">
        <v>6</v>
      </c>
      <c r="AH73" s="9" t="str" cm="1">
        <f t="array" ref="AH73">_xlfn.IFS(AG73 &lt;= 5, "New[1-5]", AG73 &lt;= 10, "Early Career[6-10]", AG73 &lt;= 20, "Established[11-20]", AG73 &lt;= 30, "Veteran[21-30]", AG73 &lt;= 40, "Late Career[31-40]")</f>
        <v>Early Career[6-10]</v>
      </c>
      <c r="AI73" s="1">
        <v>3</v>
      </c>
      <c r="AJ73" s="1">
        <v>3</v>
      </c>
      <c r="AK73" s="1">
        <v>5</v>
      </c>
      <c r="AL73" s="9" t="str" cm="1">
        <f t="array" ref="AL73">_xlfn.IFS(AK73 &lt;= 5, "New[1-5]", AK73 &lt;= 10, "Early Career[6-10]", AK73 &lt;= 20, "Established[11-20]", AK73 &lt;= 30, "Veteran[21-30]", AK73 &lt;= 40, "Late Career[31-40]")</f>
        <v>New[1-5]</v>
      </c>
      <c r="AM73" s="1">
        <v>4</v>
      </c>
      <c r="AN73" s="9" t="str" cm="1">
        <f t="array" ref="AN73">_xlfn.IFS(AM73 &lt;= 3, "New to Role[1-3]", AM73 &lt;= 7, "Settled[4-7]", AM73 &lt;= 12, "Experienced[[8-12]", AM73 &lt;= 18, "Long Tenured[13-18]")</f>
        <v>Settled[4-7]</v>
      </c>
      <c r="AO73" s="1">
        <v>0</v>
      </c>
      <c r="AP73" s="9" t="str" cm="1">
        <f t="array" ref="AP73">_xlfn.IFS(AO73 &lt;= 3, "Recently[1-3]", AO73 &lt;= 6, "Due Soon[4-6]", AO73 &lt;= 10, "Overdue[7-10]", AO73 &lt;= 15, "Long Overdue[11-15]")</f>
        <v>Recently[1-3]</v>
      </c>
      <c r="AQ73" s="9" t="str" cm="1">
        <f t="array" ref="AQ73">_xlfn.IFS(AR73 &lt;= 3, "New Relationship[1-3]", AR73 &lt;= 7, "Established Relationship[4-7]", AR73 &lt;= 12, "Long Term Relationship[8-12]", AR73 &lt;= 17, "Very Long Term Relationship[13-17]")</f>
        <v>Established Relationship[4-7]</v>
      </c>
      <c r="AR73" s="1">
        <v>4</v>
      </c>
    </row>
    <row r="74" spans="1:44" x14ac:dyDescent="0.25">
      <c r="A74" s="1">
        <v>31</v>
      </c>
      <c r="B74" s="8" t="str" cm="1">
        <f t="array" ref="B74">_xlfn.IFS(A74 &lt;= 25, "[18-25]", A74 &lt;= 35, "[26-35]", A74 &lt;=45, "[36-45]", A74 &lt;= 60, "[46- 60]")</f>
        <v>[26-35]</v>
      </c>
      <c r="C74" s="3" t="s">
        <v>43</v>
      </c>
      <c r="D74">
        <f t="shared" si="1"/>
        <v>0</v>
      </c>
      <c r="E74" t="s">
        <v>36</v>
      </c>
      <c r="F74" s="1">
        <v>1082</v>
      </c>
      <c r="G74" s="3" t="s">
        <v>45</v>
      </c>
      <c r="H74" s="1">
        <v>1</v>
      </c>
      <c r="I74" s="9" t="str" cm="1">
        <f t="array" ref="I74">_xlfn.IFS(H74 &lt;= 2, "[1-2] very close", H74 &lt;= 10, "[3-10] close", H74 &lt;= 20, "[11-20] moderate", H74 &lt;= 30, "[21-30] far")</f>
        <v>[1-2] very close</v>
      </c>
      <c r="J74" s="1">
        <v>4</v>
      </c>
      <c r="K74" s="3" t="s">
        <v>51</v>
      </c>
      <c r="L74" s="1">
        <v>1</v>
      </c>
      <c r="M74" s="1">
        <v>95</v>
      </c>
      <c r="N74" s="1">
        <v>3</v>
      </c>
      <c r="O74" s="3" t="s">
        <v>46</v>
      </c>
      <c r="P74" s="1">
        <v>87</v>
      </c>
      <c r="Q74" s="1">
        <v>3</v>
      </c>
      <c r="R74" s="1">
        <v>1</v>
      </c>
      <c r="S74" s="3" t="s">
        <v>47</v>
      </c>
      <c r="T74" s="1">
        <v>2</v>
      </c>
      <c r="U74" s="3" t="s">
        <v>41</v>
      </c>
      <c r="V74" s="4">
        <v>2501</v>
      </c>
      <c r="W74" s="1">
        <v>18775</v>
      </c>
      <c r="X74" s="1">
        <v>1</v>
      </c>
      <c r="Y74" s="3" t="s">
        <v>42</v>
      </c>
      <c r="Z74" s="3" t="s">
        <v>43</v>
      </c>
      <c r="AA74" s="5">
        <v>0.17</v>
      </c>
      <c r="AB74" s="10" t="str" cm="1">
        <f t="array" ref="AB74">_xlfn.IFS(AA74 &lt;= 15%, "Low Hike[11-15%]", AA74 &lt;= 20%, "Moderate Hike[16-20%]", AA74 &lt;= 25%,"High Hike[21-25%]")</f>
        <v>Moderate Hike[16-20%]</v>
      </c>
      <c r="AC74" s="1">
        <v>3</v>
      </c>
      <c r="AD74" s="1">
        <v>2</v>
      </c>
      <c r="AE74" s="1">
        <v>80</v>
      </c>
      <c r="AF74" s="1">
        <v>0</v>
      </c>
      <c r="AG74" s="1">
        <v>1</v>
      </c>
      <c r="AH74" s="9" t="str" cm="1">
        <f t="array" ref="AH74">_xlfn.IFS(AG74 &lt;= 5, "New[1-5]", AG74 &lt;= 10, "Early Career[6-10]", AG74 &lt;= 20, "Established[11-20]", AG74 &lt;= 30, "Veteran[21-30]", AG74 &lt;= 40, "Late Career[31-40]")</f>
        <v>New[1-5]</v>
      </c>
      <c r="AI74" s="1">
        <v>4</v>
      </c>
      <c r="AJ74" s="1">
        <v>3</v>
      </c>
      <c r="AK74" s="1">
        <v>1</v>
      </c>
      <c r="AL74" s="9" t="str" cm="1">
        <f t="array" ref="AL74">_xlfn.IFS(AK74 &lt;= 5, "New[1-5]", AK74 &lt;= 10, "Early Career[6-10]", AK74 &lt;= 20, "Established[11-20]", AK74 &lt;= 30, "Veteran[21-30]", AK74 &lt;= 40, "Late Career[31-40]")</f>
        <v>New[1-5]</v>
      </c>
      <c r="AM74" s="1">
        <v>1</v>
      </c>
      <c r="AN74" s="9" t="str" cm="1">
        <f t="array" ref="AN74">_xlfn.IFS(AM74 &lt;= 3, "New to Role[1-3]", AM74 &lt;= 7, "Settled[4-7]", AM74 &lt;= 12, "Experienced[[8-12]", AM74 &lt;= 18, "Long Tenured[13-18]")</f>
        <v>New to Role[1-3]</v>
      </c>
      <c r="AO74" s="1">
        <v>1</v>
      </c>
      <c r="AP74" s="9" t="str" cm="1">
        <f t="array" ref="AP74">_xlfn.IFS(AO74 &lt;= 3, "Recently[1-3]", AO74 &lt;= 6, "Due Soon[4-6]", AO74 &lt;= 10, "Overdue[7-10]", AO74 &lt;= 15, "Long Overdue[11-15]")</f>
        <v>Recently[1-3]</v>
      </c>
      <c r="AQ74" s="9" t="str" cm="1">
        <f t="array" ref="AQ74">_xlfn.IFS(AR74 &lt;= 3, "New Relationship[1-3]", AR74 &lt;= 7, "Established Relationship[4-7]", AR74 &lt;= 12, "Long Term Relationship[8-12]", AR74 &lt;= 17, "Very Long Term Relationship[13-17]")</f>
        <v>New Relationship[1-3]</v>
      </c>
      <c r="AR74" s="1">
        <v>0</v>
      </c>
    </row>
    <row r="75" spans="1:44" x14ac:dyDescent="0.25">
      <c r="A75" s="1">
        <v>32</v>
      </c>
      <c r="B75" s="8" t="str" cm="1">
        <f t="array" ref="B75">_xlfn.IFS(A75 &lt;= 25, "[18-25]", A75 &lt;= 35, "[26-35]", A75 &lt;=45, "[36-45]", A75 &lt;= 60, "[46- 60]")</f>
        <v>[26-35]</v>
      </c>
      <c r="C75" s="3" t="s">
        <v>43</v>
      </c>
      <c r="D75">
        <f t="shared" si="1"/>
        <v>0</v>
      </c>
      <c r="E75" t="s">
        <v>36</v>
      </c>
      <c r="F75" s="1">
        <v>548</v>
      </c>
      <c r="G75" s="3" t="s">
        <v>45</v>
      </c>
      <c r="H75" s="1">
        <v>1</v>
      </c>
      <c r="I75" s="9" t="str" cm="1">
        <f t="array" ref="I75">_xlfn.IFS(H75 &lt;= 2, "[1-2] very close", H75 &lt;= 10, "[3-10] close", H75 &lt;= 20, "[11-20] moderate", H75 &lt;= 30, "[21-30] far")</f>
        <v>[1-2] very close</v>
      </c>
      <c r="J75" s="1">
        <v>3</v>
      </c>
      <c r="K75" s="3" t="s">
        <v>38</v>
      </c>
      <c r="L75" s="1">
        <v>1</v>
      </c>
      <c r="M75" s="1">
        <v>96</v>
      </c>
      <c r="N75" s="1">
        <v>2</v>
      </c>
      <c r="O75" s="3" t="s">
        <v>46</v>
      </c>
      <c r="P75" s="1">
        <v>66</v>
      </c>
      <c r="Q75" s="1">
        <v>3</v>
      </c>
      <c r="R75" s="1">
        <v>2</v>
      </c>
      <c r="S75" s="3" t="s">
        <v>47</v>
      </c>
      <c r="T75" s="1">
        <v>2</v>
      </c>
      <c r="U75" s="3" t="s">
        <v>48</v>
      </c>
      <c r="V75" s="4">
        <v>6220</v>
      </c>
      <c r="W75" s="1">
        <v>7346</v>
      </c>
      <c r="X75" s="1">
        <v>1</v>
      </c>
      <c r="Y75" s="3" t="s">
        <v>42</v>
      </c>
      <c r="Z75" s="3" t="s">
        <v>43</v>
      </c>
      <c r="AA75" s="5">
        <v>0.17</v>
      </c>
      <c r="AB75" s="10" t="str" cm="1">
        <f t="array" ref="AB75">_xlfn.IFS(AA75 &lt;= 15%, "Low Hike[11-15%]", AA75 &lt;= 20%, "Moderate Hike[16-20%]", AA75 &lt;= 25%,"High Hike[21-25%]")</f>
        <v>Moderate Hike[16-20%]</v>
      </c>
      <c r="AC75" s="1">
        <v>3</v>
      </c>
      <c r="AD75" s="1">
        <v>2</v>
      </c>
      <c r="AE75" s="1">
        <v>80</v>
      </c>
      <c r="AF75" s="1">
        <v>2</v>
      </c>
      <c r="AG75" s="1">
        <v>10</v>
      </c>
      <c r="AH75" s="9" t="str" cm="1">
        <f t="array" ref="AH75">_xlfn.IFS(AG75 &lt;= 5, "New[1-5]", AG75 &lt;= 10, "Early Career[6-10]", AG75 &lt;= 20, "Established[11-20]", AG75 &lt;= 30, "Veteran[21-30]", AG75 &lt;= 40, "Late Career[31-40]")</f>
        <v>Early Career[6-10]</v>
      </c>
      <c r="AI75" s="1">
        <v>3</v>
      </c>
      <c r="AJ75" s="1">
        <v>3</v>
      </c>
      <c r="AK75" s="1">
        <v>10</v>
      </c>
      <c r="AL75" s="9" t="str" cm="1">
        <f t="array" ref="AL75">_xlfn.IFS(AK75 &lt;= 5, "New[1-5]", AK75 &lt;= 10, "Early Career[6-10]", AK75 &lt;= 20, "Established[11-20]", AK75 &lt;= 30, "Veteran[21-30]", AK75 &lt;= 40, "Late Career[31-40]")</f>
        <v>Early Career[6-10]</v>
      </c>
      <c r="AM75" s="1">
        <v>4</v>
      </c>
      <c r="AN75" s="9" t="str" cm="1">
        <f t="array" ref="AN75">_xlfn.IFS(AM75 &lt;= 3, "New to Role[1-3]", AM75 &lt;= 7, "Settled[4-7]", AM75 &lt;= 12, "Experienced[[8-12]", AM75 &lt;= 18, "Long Tenured[13-18]")</f>
        <v>Settled[4-7]</v>
      </c>
      <c r="AO75" s="1">
        <v>0</v>
      </c>
      <c r="AP75" s="9" t="str" cm="1">
        <f t="array" ref="AP75">_xlfn.IFS(AO75 &lt;= 3, "Recently[1-3]", AO75 &lt;= 6, "Due Soon[4-6]", AO75 &lt;= 10, "Overdue[7-10]", AO75 &lt;= 15, "Long Overdue[11-15]")</f>
        <v>Recently[1-3]</v>
      </c>
      <c r="AQ75" s="9" t="str" cm="1">
        <f t="array" ref="AQ75">_xlfn.IFS(AR75 &lt;= 3, "New Relationship[1-3]", AR75 &lt;= 7, "Established Relationship[4-7]", AR75 &lt;= 12, "Long Term Relationship[8-12]", AR75 &lt;= 17, "Very Long Term Relationship[13-17]")</f>
        <v>Long Term Relationship[8-12]</v>
      </c>
      <c r="AR75" s="1">
        <v>9</v>
      </c>
    </row>
    <row r="76" spans="1:44" x14ac:dyDescent="0.25">
      <c r="A76" s="1">
        <v>36</v>
      </c>
      <c r="B76" s="8" t="str" cm="1">
        <f t="array" ref="B76">_xlfn.IFS(A76 &lt;= 25, "[18-25]", A76 &lt;= 35, "[26-35]", A76 &lt;=45, "[36-45]", A76 &lt;= 60, "[46- 60]")</f>
        <v>[36-45]</v>
      </c>
      <c r="C76" s="3" t="s">
        <v>43</v>
      </c>
      <c r="D76">
        <f t="shared" si="1"/>
        <v>0</v>
      </c>
      <c r="E76" t="s">
        <v>36</v>
      </c>
      <c r="F76" s="1">
        <v>132</v>
      </c>
      <c r="G76" s="3" t="s">
        <v>45</v>
      </c>
      <c r="H76" s="1">
        <v>6</v>
      </c>
      <c r="I76" s="9" t="str" cm="1">
        <f t="array" ref="I76">_xlfn.IFS(H76 &lt;= 2, "[1-2] very close", H76 &lt;= 10, "[3-10] close", H76 &lt;= 20, "[11-20] moderate", H76 &lt;= 30, "[21-30] far")</f>
        <v>[3-10] close</v>
      </c>
      <c r="J76" s="1">
        <v>3</v>
      </c>
      <c r="K76" s="3" t="s">
        <v>38</v>
      </c>
      <c r="L76" s="1">
        <v>1</v>
      </c>
      <c r="M76" s="1">
        <v>97</v>
      </c>
      <c r="N76" s="1">
        <v>2</v>
      </c>
      <c r="O76" s="3" t="s">
        <v>39</v>
      </c>
      <c r="P76" s="1">
        <v>55</v>
      </c>
      <c r="Q76" s="1">
        <v>4</v>
      </c>
      <c r="R76" s="1">
        <v>1</v>
      </c>
      <c r="S76" s="3" t="s">
        <v>50</v>
      </c>
      <c r="T76" s="1">
        <v>4</v>
      </c>
      <c r="U76" s="3" t="s">
        <v>48</v>
      </c>
      <c r="V76" s="4">
        <v>3038</v>
      </c>
      <c r="W76" s="1">
        <v>22002</v>
      </c>
      <c r="X76" s="1">
        <v>3</v>
      </c>
      <c r="Y76" s="3" t="s">
        <v>42</v>
      </c>
      <c r="Z76" s="3" t="s">
        <v>43</v>
      </c>
      <c r="AA76" s="5">
        <v>0.12</v>
      </c>
      <c r="AB76" s="10" t="str" cm="1">
        <f t="array" ref="AB76">_xlfn.IFS(AA76 &lt;= 15%, "Low Hike[11-15%]", AA76 &lt;= 20%, "Moderate Hike[16-20%]", AA76 &lt;= 25%,"High Hike[21-25%]")</f>
        <v>Low Hike[11-15%]</v>
      </c>
      <c r="AC76" s="1">
        <v>3</v>
      </c>
      <c r="AD76" s="1">
        <v>2</v>
      </c>
      <c r="AE76" s="1">
        <v>80</v>
      </c>
      <c r="AF76" s="1">
        <v>0</v>
      </c>
      <c r="AG76" s="1">
        <v>5</v>
      </c>
      <c r="AH76" s="9" t="str" cm="1">
        <f t="array" ref="AH76">_xlfn.IFS(AG76 &lt;= 5, "New[1-5]", AG76 &lt;= 10, "Early Career[6-10]", AG76 &lt;= 20, "Established[11-20]", AG76 &lt;= 30, "Veteran[21-30]", AG76 &lt;= 40, "Late Career[31-40]")</f>
        <v>New[1-5]</v>
      </c>
      <c r="AI76" s="1">
        <v>3</v>
      </c>
      <c r="AJ76" s="1">
        <v>3</v>
      </c>
      <c r="AK76" s="1">
        <v>1</v>
      </c>
      <c r="AL76" s="9" t="str" cm="1">
        <f t="array" ref="AL76">_xlfn.IFS(AK76 &lt;= 5, "New[1-5]", AK76 &lt;= 10, "Early Career[6-10]", AK76 &lt;= 20, "Established[11-20]", AK76 &lt;= 30, "Veteran[21-30]", AK76 &lt;= 40, "Late Career[31-40]")</f>
        <v>New[1-5]</v>
      </c>
      <c r="AM76" s="1">
        <v>0</v>
      </c>
      <c r="AN76" s="9" t="str" cm="1">
        <f t="array" ref="AN76">_xlfn.IFS(AM76 &lt;= 3, "New to Role[1-3]", AM76 &lt;= 7, "Settled[4-7]", AM76 &lt;= 12, "Experienced[[8-12]", AM76 &lt;= 18, "Long Tenured[13-18]")</f>
        <v>New to Role[1-3]</v>
      </c>
      <c r="AO76" s="1">
        <v>0</v>
      </c>
      <c r="AP76" s="9" t="str" cm="1">
        <f t="array" ref="AP76">_xlfn.IFS(AO76 &lt;= 3, "Recently[1-3]", AO76 &lt;= 6, "Due Soon[4-6]", AO76 &lt;= 10, "Overdue[7-10]", AO76 &lt;= 15, "Long Overdue[11-15]")</f>
        <v>Recently[1-3]</v>
      </c>
      <c r="AQ76" s="9" t="str" cm="1">
        <f t="array" ref="AQ76">_xlfn.IFS(AR76 &lt;= 3, "New Relationship[1-3]", AR76 &lt;= 7, "Established Relationship[4-7]", AR76 &lt;= 12, "Long Term Relationship[8-12]", AR76 &lt;= 17, "Very Long Term Relationship[13-17]")</f>
        <v>New Relationship[1-3]</v>
      </c>
      <c r="AR76" s="1">
        <v>0</v>
      </c>
    </row>
    <row r="77" spans="1:44" x14ac:dyDescent="0.25">
      <c r="A77" s="1">
        <v>31</v>
      </c>
      <c r="B77" s="8" t="str" cm="1">
        <f t="array" ref="B77">_xlfn.IFS(A77 &lt;= 25, "[18-25]", A77 &lt;= 35, "[26-35]", A77 &lt;=45, "[36-45]", A77 &lt;= 60, "[46- 60]")</f>
        <v>[26-35]</v>
      </c>
      <c r="C77" s="3" t="s">
        <v>43</v>
      </c>
      <c r="D77">
        <f t="shared" si="1"/>
        <v>0</v>
      </c>
      <c r="E77" t="s">
        <v>36</v>
      </c>
      <c r="F77" s="1">
        <v>746</v>
      </c>
      <c r="G77" s="3" t="s">
        <v>45</v>
      </c>
      <c r="H77" s="1">
        <v>8</v>
      </c>
      <c r="I77" s="9" t="str" cm="1">
        <f t="array" ref="I77">_xlfn.IFS(H77 &lt;= 2, "[1-2] very close", H77 &lt;= 10, "[3-10] close", H77 &lt;= 20, "[11-20] moderate", H77 &lt;= 30, "[21-30] far")</f>
        <v>[3-10] close</v>
      </c>
      <c r="J77" s="1">
        <v>4</v>
      </c>
      <c r="K77" s="3" t="s">
        <v>38</v>
      </c>
      <c r="L77" s="1">
        <v>1</v>
      </c>
      <c r="M77" s="1">
        <v>98</v>
      </c>
      <c r="N77" s="1">
        <v>3</v>
      </c>
      <c r="O77" s="3" t="s">
        <v>39</v>
      </c>
      <c r="P77" s="1">
        <v>61</v>
      </c>
      <c r="Q77" s="1">
        <v>3</v>
      </c>
      <c r="R77" s="1">
        <v>2</v>
      </c>
      <c r="S77" s="3" t="s">
        <v>53</v>
      </c>
      <c r="T77" s="1">
        <v>4</v>
      </c>
      <c r="U77" s="3" t="s">
        <v>41</v>
      </c>
      <c r="V77" s="4">
        <v>4424</v>
      </c>
      <c r="W77" s="1">
        <v>20682</v>
      </c>
      <c r="X77" s="1">
        <v>1</v>
      </c>
      <c r="Y77" s="3" t="s">
        <v>42</v>
      </c>
      <c r="Z77" s="3" t="s">
        <v>43</v>
      </c>
      <c r="AA77" s="5">
        <v>0.23</v>
      </c>
      <c r="AB77" s="10" t="str" cm="1">
        <f t="array" ref="AB77">_xlfn.IFS(AA77 &lt;= 15%, "Low Hike[11-15%]", AA77 &lt;= 20%, "Moderate Hike[16-20%]", AA77 &lt;= 25%,"High Hike[21-25%]")</f>
        <v>High Hike[21-25%]</v>
      </c>
      <c r="AC77" s="1">
        <v>4</v>
      </c>
      <c r="AD77" s="1">
        <v>4</v>
      </c>
      <c r="AE77" s="1">
        <v>80</v>
      </c>
      <c r="AF77" s="1">
        <v>0</v>
      </c>
      <c r="AG77" s="1">
        <v>11</v>
      </c>
      <c r="AH77" s="9" t="str" cm="1">
        <f t="array" ref="AH77">_xlfn.IFS(AG77 &lt;= 5, "New[1-5]", AG77 &lt;= 10, "Early Career[6-10]", AG77 &lt;= 20, "Established[11-20]", AG77 &lt;= 30, "Veteran[21-30]", AG77 &lt;= 40, "Late Career[31-40]")</f>
        <v>Established[11-20]</v>
      </c>
      <c r="AI77" s="1">
        <v>2</v>
      </c>
      <c r="AJ77" s="1">
        <v>3</v>
      </c>
      <c r="AK77" s="1">
        <v>11</v>
      </c>
      <c r="AL77" s="9" t="str" cm="1">
        <f t="array" ref="AL77">_xlfn.IFS(AK77 &lt;= 5, "New[1-5]", AK77 &lt;= 10, "Early Career[6-10]", AK77 &lt;= 20, "Established[11-20]", AK77 &lt;= 30, "Veteran[21-30]", AK77 &lt;= 40, "Late Career[31-40]")</f>
        <v>Established[11-20]</v>
      </c>
      <c r="AM77" s="1">
        <v>7</v>
      </c>
      <c r="AN77" s="9" t="str" cm="1">
        <f t="array" ref="AN77">_xlfn.IFS(AM77 &lt;= 3, "New to Role[1-3]", AM77 &lt;= 7, "Settled[4-7]", AM77 &lt;= 12, "Experienced[[8-12]", AM77 &lt;= 18, "Long Tenured[13-18]")</f>
        <v>Settled[4-7]</v>
      </c>
      <c r="AO77" s="1">
        <v>1</v>
      </c>
      <c r="AP77" s="9" t="str" cm="1">
        <f t="array" ref="AP77">_xlfn.IFS(AO77 &lt;= 3, "Recently[1-3]", AO77 &lt;= 6, "Due Soon[4-6]", AO77 &lt;= 10, "Overdue[7-10]", AO77 &lt;= 15, "Long Overdue[11-15]")</f>
        <v>Recently[1-3]</v>
      </c>
      <c r="AQ77" s="9" t="str" cm="1">
        <f t="array" ref="AQ77">_xlfn.IFS(AR77 &lt;= 3, "New Relationship[1-3]", AR77 &lt;= 7, "Established Relationship[4-7]", AR77 &lt;= 12, "Long Term Relationship[8-12]", AR77 &lt;= 17, "Very Long Term Relationship[13-17]")</f>
        <v>Long Term Relationship[8-12]</v>
      </c>
      <c r="AR77" s="1">
        <v>8</v>
      </c>
    </row>
    <row r="78" spans="1:44" x14ac:dyDescent="0.25">
      <c r="A78" s="1">
        <v>35</v>
      </c>
      <c r="B78" s="8" t="str" cm="1">
        <f t="array" ref="B78">_xlfn.IFS(A78 &lt;= 25, "[18-25]", A78 &lt;= 35, "[26-35]", A78 &lt;=45, "[36-45]", A78 &lt;= 60, "[46- 60]")</f>
        <v>[26-35]</v>
      </c>
      <c r="C78" s="3" t="s">
        <v>43</v>
      </c>
      <c r="D78">
        <f t="shared" si="1"/>
        <v>0</v>
      </c>
      <c r="E78" t="s">
        <v>36</v>
      </c>
      <c r="F78" s="1">
        <v>776</v>
      </c>
      <c r="G78" s="3" t="s">
        <v>37</v>
      </c>
      <c r="H78" s="1">
        <v>1</v>
      </c>
      <c r="I78" s="9" t="str" cm="1">
        <f t="array" ref="I78">_xlfn.IFS(H78 &lt;= 2, "[1-2] very close", H78 &lt;= 10, "[3-10] close", H78 &lt;= 20, "[11-20] moderate", H78 &lt;= 30, "[21-30] far")</f>
        <v>[1-2] very close</v>
      </c>
      <c r="J78" s="1">
        <v>4</v>
      </c>
      <c r="K78" s="3" t="s">
        <v>59</v>
      </c>
      <c r="L78" s="1">
        <v>1</v>
      </c>
      <c r="M78" s="1">
        <v>100</v>
      </c>
      <c r="N78" s="1">
        <v>3</v>
      </c>
      <c r="O78" s="3" t="s">
        <v>46</v>
      </c>
      <c r="P78" s="1">
        <v>32</v>
      </c>
      <c r="Q78" s="1">
        <v>2</v>
      </c>
      <c r="R78" s="1">
        <v>2</v>
      </c>
      <c r="S78" s="3" t="s">
        <v>40</v>
      </c>
      <c r="T78" s="1">
        <v>1</v>
      </c>
      <c r="U78" s="3" t="s">
        <v>41</v>
      </c>
      <c r="V78" s="4">
        <v>4312</v>
      </c>
      <c r="W78" s="1">
        <v>23016</v>
      </c>
      <c r="X78" s="1">
        <v>0</v>
      </c>
      <c r="Y78" s="3" t="s">
        <v>42</v>
      </c>
      <c r="Z78" s="3" t="s">
        <v>43</v>
      </c>
      <c r="AA78" s="5">
        <v>0.14000000000000001</v>
      </c>
      <c r="AB78" s="10" t="str" cm="1">
        <f t="array" ref="AB78">_xlfn.IFS(AA78 &lt;= 15%, "Low Hike[11-15%]", AA78 &lt;= 20%, "Moderate Hike[16-20%]", AA78 &lt;= 25%,"High Hike[21-25%]")</f>
        <v>Low Hike[11-15%]</v>
      </c>
      <c r="AC78" s="1">
        <v>3</v>
      </c>
      <c r="AD78" s="1">
        <v>2</v>
      </c>
      <c r="AE78" s="1">
        <v>80</v>
      </c>
      <c r="AF78" s="1">
        <v>0</v>
      </c>
      <c r="AG78" s="1">
        <v>16</v>
      </c>
      <c r="AH78" s="9" t="str" cm="1">
        <f t="array" ref="AH78">_xlfn.IFS(AG78 &lt;= 5, "New[1-5]", AG78 &lt;= 10, "Early Career[6-10]", AG78 &lt;= 20, "Established[11-20]", AG78 &lt;= 30, "Veteran[21-30]", AG78 &lt;= 40, "Late Career[31-40]")</f>
        <v>Established[11-20]</v>
      </c>
      <c r="AI78" s="1">
        <v>2</v>
      </c>
      <c r="AJ78" s="1">
        <v>3</v>
      </c>
      <c r="AK78" s="1">
        <v>15</v>
      </c>
      <c r="AL78" s="9" t="str" cm="1">
        <f t="array" ref="AL78">_xlfn.IFS(AK78 &lt;= 5, "New[1-5]", AK78 &lt;= 10, "Early Career[6-10]", AK78 &lt;= 20, "Established[11-20]", AK78 &lt;= 30, "Veteran[21-30]", AK78 &lt;= 40, "Late Career[31-40]")</f>
        <v>Established[11-20]</v>
      </c>
      <c r="AM78" s="1">
        <v>13</v>
      </c>
      <c r="AN78" s="9" t="str" cm="1">
        <f t="array" ref="AN78">_xlfn.IFS(AM78 &lt;= 3, "New to Role[1-3]", AM78 &lt;= 7, "Settled[4-7]", AM78 &lt;= 12, "Experienced[[8-12]", AM78 &lt;= 18, "Long Tenured[13-18]")</f>
        <v>Long Tenured[13-18]</v>
      </c>
      <c r="AO78" s="1">
        <v>2</v>
      </c>
      <c r="AP78" s="9" t="str" cm="1">
        <f t="array" ref="AP78">_xlfn.IFS(AO78 &lt;= 3, "Recently[1-3]", AO78 &lt;= 6, "Due Soon[4-6]", AO78 &lt;= 10, "Overdue[7-10]", AO78 &lt;= 15, "Long Overdue[11-15]")</f>
        <v>Recently[1-3]</v>
      </c>
      <c r="AQ78" s="9" t="str" cm="1">
        <f t="array" ref="AQ78">_xlfn.IFS(AR78 &lt;= 3, "New Relationship[1-3]", AR78 &lt;= 7, "Established Relationship[4-7]", AR78 &lt;= 12, "Long Term Relationship[8-12]", AR78 &lt;= 17, "Very Long Term Relationship[13-17]")</f>
        <v>Long Term Relationship[8-12]</v>
      </c>
      <c r="AR78" s="1">
        <v>8</v>
      </c>
    </row>
    <row r="79" spans="1:44" x14ac:dyDescent="0.25">
      <c r="A79" s="1">
        <v>45</v>
      </c>
      <c r="B79" s="8" t="str" cm="1">
        <f t="array" ref="B79">_xlfn.IFS(A79 &lt;= 25, "[18-25]", A79 &lt;= 35, "[26-35]", A79 &lt;=45, "[36-45]", A79 &lt;= 60, "[46- 60]")</f>
        <v>[36-45]</v>
      </c>
      <c r="C79" s="3" t="s">
        <v>43</v>
      </c>
      <c r="D79">
        <f t="shared" si="1"/>
        <v>0</v>
      </c>
      <c r="E79" t="s">
        <v>36</v>
      </c>
      <c r="F79" s="1">
        <v>193</v>
      </c>
      <c r="G79" s="3" t="s">
        <v>45</v>
      </c>
      <c r="H79" s="1">
        <v>6</v>
      </c>
      <c r="I79" s="9" t="str" cm="1">
        <f t="array" ref="I79">_xlfn.IFS(H79 &lt;= 2, "[1-2] very close", H79 &lt;= 10, "[3-10] close", H79 &lt;= 20, "[11-20] moderate", H79 &lt;= 30, "[21-30] far")</f>
        <v>[3-10] close</v>
      </c>
      <c r="J79" s="1">
        <v>4</v>
      </c>
      <c r="K79" s="3" t="s">
        <v>49</v>
      </c>
      <c r="L79" s="1">
        <v>1</v>
      </c>
      <c r="M79" s="1">
        <v>101</v>
      </c>
      <c r="N79" s="1">
        <v>4</v>
      </c>
      <c r="O79" s="3" t="s">
        <v>46</v>
      </c>
      <c r="P79" s="1">
        <v>52</v>
      </c>
      <c r="Q79" s="1">
        <v>3</v>
      </c>
      <c r="R79" s="1">
        <v>3</v>
      </c>
      <c r="S79" s="3" t="s">
        <v>58</v>
      </c>
      <c r="T79" s="1">
        <v>1</v>
      </c>
      <c r="U79" s="3" t="s">
        <v>48</v>
      </c>
      <c r="V79" s="4">
        <v>13245</v>
      </c>
      <c r="W79" s="1">
        <v>15067</v>
      </c>
      <c r="X79" s="1">
        <v>4</v>
      </c>
      <c r="Y79" s="3" t="s">
        <v>42</v>
      </c>
      <c r="Z79" s="3" t="s">
        <v>35</v>
      </c>
      <c r="AA79" s="5">
        <v>0.14000000000000001</v>
      </c>
      <c r="AB79" s="10" t="str" cm="1">
        <f t="array" ref="AB79">_xlfn.IFS(AA79 &lt;= 15%, "Low Hike[11-15%]", AA79 &lt;= 20%, "Moderate Hike[16-20%]", AA79 &lt;= 25%,"High Hike[21-25%]")</f>
        <v>Low Hike[11-15%]</v>
      </c>
      <c r="AC79" s="1">
        <v>3</v>
      </c>
      <c r="AD79" s="1">
        <v>2</v>
      </c>
      <c r="AE79" s="1">
        <v>80</v>
      </c>
      <c r="AF79" s="1">
        <v>0</v>
      </c>
      <c r="AG79" s="1">
        <v>17</v>
      </c>
      <c r="AH79" s="9" t="str" cm="1">
        <f t="array" ref="AH79">_xlfn.IFS(AG79 &lt;= 5, "New[1-5]", AG79 &lt;= 10, "Early Career[6-10]", AG79 &lt;= 20, "Established[11-20]", AG79 &lt;= 30, "Veteran[21-30]", AG79 &lt;= 40, "Late Career[31-40]")</f>
        <v>Established[11-20]</v>
      </c>
      <c r="AI79" s="1">
        <v>3</v>
      </c>
      <c r="AJ79" s="1">
        <v>4</v>
      </c>
      <c r="AK79" s="1">
        <v>0</v>
      </c>
      <c r="AL79" s="9" t="str" cm="1">
        <f t="array" ref="AL79">_xlfn.IFS(AK79 &lt;= 5, "New[1-5]", AK79 &lt;= 10, "Early Career[6-10]", AK79 &lt;= 20, "Established[11-20]", AK79 &lt;= 30, "Veteran[21-30]", AK79 &lt;= 40, "Late Career[31-40]")</f>
        <v>New[1-5]</v>
      </c>
      <c r="AM79" s="1">
        <v>0</v>
      </c>
      <c r="AN79" s="9" t="str" cm="1">
        <f t="array" ref="AN79">_xlfn.IFS(AM79 &lt;= 3, "New to Role[1-3]", AM79 &lt;= 7, "Settled[4-7]", AM79 &lt;= 12, "Experienced[[8-12]", AM79 &lt;= 18, "Long Tenured[13-18]")</f>
        <v>New to Role[1-3]</v>
      </c>
      <c r="AO79" s="1">
        <v>0</v>
      </c>
      <c r="AP79" s="9" t="str" cm="1">
        <f t="array" ref="AP79">_xlfn.IFS(AO79 &lt;= 3, "Recently[1-3]", AO79 &lt;= 6, "Due Soon[4-6]", AO79 &lt;= 10, "Overdue[7-10]", AO79 &lt;= 15, "Long Overdue[11-15]")</f>
        <v>Recently[1-3]</v>
      </c>
      <c r="AQ79" s="9" t="str" cm="1">
        <f t="array" ref="AQ79">_xlfn.IFS(AR79 &lt;= 3, "New Relationship[1-3]", AR79 &lt;= 7, "Established Relationship[4-7]", AR79 &lt;= 12, "Long Term Relationship[8-12]", AR79 &lt;= 17, "Very Long Term Relationship[13-17]")</f>
        <v>New Relationship[1-3]</v>
      </c>
      <c r="AR79" s="1">
        <v>0</v>
      </c>
    </row>
    <row r="80" spans="1:44" x14ac:dyDescent="0.25">
      <c r="A80" s="1">
        <v>37</v>
      </c>
      <c r="B80" s="8" t="str" cm="1">
        <f t="array" ref="B80">_xlfn.IFS(A80 &lt;= 25, "[18-25]", A80 &lt;= 35, "[26-35]", A80 &lt;=45, "[36-45]", A80 &lt;= 60, "[46- 60]")</f>
        <v>[36-45]</v>
      </c>
      <c r="C80" s="3" t="s">
        <v>43</v>
      </c>
      <c r="D80">
        <f t="shared" si="1"/>
        <v>0</v>
      </c>
      <c r="E80" t="s">
        <v>36</v>
      </c>
      <c r="F80" s="1">
        <v>397</v>
      </c>
      <c r="G80" s="3" t="s">
        <v>45</v>
      </c>
      <c r="H80" s="1">
        <v>7</v>
      </c>
      <c r="I80" s="9" t="str" cm="1">
        <f t="array" ref="I80">_xlfn.IFS(H80 &lt;= 2, "[1-2] very close", H80 &lt;= 10, "[3-10] close", H80 &lt;= 20, "[11-20] moderate", H80 &lt;= 30, "[21-30] far")</f>
        <v>[3-10] close</v>
      </c>
      <c r="J80" s="1">
        <v>4</v>
      </c>
      <c r="K80" s="3" t="s">
        <v>51</v>
      </c>
      <c r="L80" s="1">
        <v>1</v>
      </c>
      <c r="M80" s="1">
        <v>102</v>
      </c>
      <c r="N80" s="1">
        <v>1</v>
      </c>
      <c r="O80" s="3" t="s">
        <v>46</v>
      </c>
      <c r="P80" s="1">
        <v>30</v>
      </c>
      <c r="Q80" s="1">
        <v>3</v>
      </c>
      <c r="R80" s="1">
        <v>3</v>
      </c>
      <c r="S80" s="3" t="s">
        <v>58</v>
      </c>
      <c r="T80" s="1">
        <v>3</v>
      </c>
      <c r="U80" s="3" t="s">
        <v>41</v>
      </c>
      <c r="V80" s="4">
        <v>13664</v>
      </c>
      <c r="W80" s="1">
        <v>25258</v>
      </c>
      <c r="X80" s="1">
        <v>4</v>
      </c>
      <c r="Y80" s="3" t="s">
        <v>42</v>
      </c>
      <c r="Z80" s="3" t="s">
        <v>43</v>
      </c>
      <c r="AA80" s="5">
        <v>0.13</v>
      </c>
      <c r="AB80" s="10" t="str" cm="1">
        <f t="array" ref="AB80">_xlfn.IFS(AA80 &lt;= 15%, "Low Hike[11-15%]", AA80 &lt;= 20%, "Moderate Hike[16-20%]", AA80 &lt;= 25%,"High Hike[21-25%]")</f>
        <v>Low Hike[11-15%]</v>
      </c>
      <c r="AC80" s="1">
        <v>3</v>
      </c>
      <c r="AD80" s="1">
        <v>1</v>
      </c>
      <c r="AE80" s="1">
        <v>80</v>
      </c>
      <c r="AF80" s="1">
        <v>0</v>
      </c>
      <c r="AG80" s="1">
        <v>16</v>
      </c>
      <c r="AH80" s="9" t="str" cm="1">
        <f t="array" ref="AH80">_xlfn.IFS(AG80 &lt;= 5, "New[1-5]", AG80 &lt;= 10, "Early Career[6-10]", AG80 &lt;= 20, "Established[11-20]", AG80 &lt;= 30, "Veteran[21-30]", AG80 &lt;= 40, "Late Career[31-40]")</f>
        <v>Established[11-20]</v>
      </c>
      <c r="AI80" s="1">
        <v>3</v>
      </c>
      <c r="AJ80" s="1">
        <v>4</v>
      </c>
      <c r="AK80" s="1">
        <v>5</v>
      </c>
      <c r="AL80" s="9" t="str" cm="1">
        <f t="array" ref="AL80">_xlfn.IFS(AK80 &lt;= 5, "New[1-5]", AK80 &lt;= 10, "Early Career[6-10]", AK80 &lt;= 20, "Established[11-20]", AK80 &lt;= 30, "Veteran[21-30]", AK80 &lt;= 40, "Late Career[31-40]")</f>
        <v>New[1-5]</v>
      </c>
      <c r="AM80" s="1">
        <v>2</v>
      </c>
      <c r="AN80" s="9" t="str" cm="1">
        <f t="array" ref="AN80">_xlfn.IFS(AM80 &lt;= 3, "New to Role[1-3]", AM80 &lt;= 7, "Settled[4-7]", AM80 &lt;= 12, "Experienced[[8-12]", AM80 &lt;= 18, "Long Tenured[13-18]")</f>
        <v>New to Role[1-3]</v>
      </c>
      <c r="AO80" s="1">
        <v>0</v>
      </c>
      <c r="AP80" s="9" t="str" cm="1">
        <f t="array" ref="AP80">_xlfn.IFS(AO80 &lt;= 3, "Recently[1-3]", AO80 &lt;= 6, "Due Soon[4-6]", AO80 &lt;= 10, "Overdue[7-10]", AO80 &lt;= 15, "Long Overdue[11-15]")</f>
        <v>Recently[1-3]</v>
      </c>
      <c r="AQ80" s="9" t="str" cm="1">
        <f t="array" ref="AQ80">_xlfn.IFS(AR80 &lt;= 3, "New Relationship[1-3]", AR80 &lt;= 7, "Established Relationship[4-7]", AR80 &lt;= 12, "Long Term Relationship[8-12]", AR80 &lt;= 17, "Very Long Term Relationship[13-17]")</f>
        <v>New Relationship[1-3]</v>
      </c>
      <c r="AR80" s="1">
        <v>2</v>
      </c>
    </row>
    <row r="81" spans="1:44" x14ac:dyDescent="0.25">
      <c r="A81" s="1">
        <v>46</v>
      </c>
      <c r="B81" s="8" t="str" cm="1">
        <f t="array" ref="B81">_xlfn.IFS(A81 &lt;= 25, "[18-25]", A81 &lt;= 35, "[26-35]", A81 &lt;=45, "[36-45]", A81 &lt;= 60, "[46- 60]")</f>
        <v>[46- 60]</v>
      </c>
      <c r="C81" s="3" t="s">
        <v>43</v>
      </c>
      <c r="D81">
        <f t="shared" si="1"/>
        <v>0</v>
      </c>
      <c r="E81" t="s">
        <v>36</v>
      </c>
      <c r="F81" s="1">
        <v>945</v>
      </c>
      <c r="G81" s="3" t="s">
        <v>61</v>
      </c>
      <c r="H81" s="1">
        <v>5</v>
      </c>
      <c r="I81" s="9" t="str" cm="1">
        <f t="array" ref="I81">_xlfn.IFS(H81 &lt;= 2, "[1-2] very close", H81 &lt;= 10, "[3-10] close", H81 &lt;= 20, "[11-20] moderate", H81 &lt;= 30, "[21-30] far")</f>
        <v>[3-10] close</v>
      </c>
      <c r="J81" s="1">
        <v>2</v>
      </c>
      <c r="K81" s="3" t="s">
        <v>51</v>
      </c>
      <c r="L81" s="1">
        <v>1</v>
      </c>
      <c r="M81" s="1">
        <v>103</v>
      </c>
      <c r="N81" s="1">
        <v>2</v>
      </c>
      <c r="O81" s="3" t="s">
        <v>46</v>
      </c>
      <c r="P81" s="1">
        <v>80</v>
      </c>
      <c r="Q81" s="1">
        <v>3</v>
      </c>
      <c r="R81" s="1">
        <v>2</v>
      </c>
      <c r="S81" s="3" t="s">
        <v>61</v>
      </c>
      <c r="T81" s="1">
        <v>2</v>
      </c>
      <c r="U81" s="3" t="s">
        <v>52</v>
      </c>
      <c r="V81" s="4">
        <v>5021</v>
      </c>
      <c r="W81" s="1">
        <v>10425</v>
      </c>
      <c r="X81" s="1">
        <v>8</v>
      </c>
      <c r="Y81" s="3" t="s">
        <v>42</v>
      </c>
      <c r="Z81" s="3" t="s">
        <v>35</v>
      </c>
      <c r="AA81" s="5">
        <v>0.22</v>
      </c>
      <c r="AB81" s="10" t="str" cm="1">
        <f t="array" ref="AB81">_xlfn.IFS(AA81 &lt;= 15%, "Low Hike[11-15%]", AA81 &lt;= 20%, "Moderate Hike[16-20%]", AA81 &lt;= 25%,"High Hike[21-25%]")</f>
        <v>High Hike[21-25%]</v>
      </c>
      <c r="AC81" s="1">
        <v>4</v>
      </c>
      <c r="AD81" s="1">
        <v>4</v>
      </c>
      <c r="AE81" s="1">
        <v>80</v>
      </c>
      <c r="AF81" s="1">
        <v>1</v>
      </c>
      <c r="AG81" s="1">
        <v>16</v>
      </c>
      <c r="AH81" s="9" t="str" cm="1">
        <f t="array" ref="AH81">_xlfn.IFS(AG81 &lt;= 5, "New[1-5]", AG81 &lt;= 10, "Early Career[6-10]", AG81 &lt;= 20, "Established[11-20]", AG81 &lt;= 30, "Veteran[21-30]", AG81 &lt;= 40, "Late Career[31-40]")</f>
        <v>Established[11-20]</v>
      </c>
      <c r="AI81" s="1">
        <v>2</v>
      </c>
      <c r="AJ81" s="1">
        <v>3</v>
      </c>
      <c r="AK81" s="1">
        <v>4</v>
      </c>
      <c r="AL81" s="9" t="str" cm="1">
        <f t="array" ref="AL81">_xlfn.IFS(AK81 &lt;= 5, "New[1-5]", AK81 &lt;= 10, "Early Career[6-10]", AK81 &lt;= 20, "Established[11-20]", AK81 &lt;= 30, "Veteran[21-30]", AK81 &lt;= 40, "Late Career[31-40]")</f>
        <v>New[1-5]</v>
      </c>
      <c r="AM81" s="1">
        <v>2</v>
      </c>
      <c r="AN81" s="9" t="str" cm="1">
        <f t="array" ref="AN81">_xlfn.IFS(AM81 &lt;= 3, "New to Role[1-3]", AM81 &lt;= 7, "Settled[4-7]", AM81 &lt;= 12, "Experienced[[8-12]", AM81 &lt;= 18, "Long Tenured[13-18]")</f>
        <v>New to Role[1-3]</v>
      </c>
      <c r="AO81" s="1">
        <v>0</v>
      </c>
      <c r="AP81" s="9" t="str" cm="1">
        <f t="array" ref="AP81">_xlfn.IFS(AO81 &lt;= 3, "Recently[1-3]", AO81 &lt;= 6, "Due Soon[4-6]", AO81 &lt;= 10, "Overdue[7-10]", AO81 &lt;= 15, "Long Overdue[11-15]")</f>
        <v>Recently[1-3]</v>
      </c>
      <c r="AQ81" s="9" t="str" cm="1">
        <f t="array" ref="AQ81">_xlfn.IFS(AR81 &lt;= 3, "New Relationship[1-3]", AR81 &lt;= 7, "Established Relationship[4-7]", AR81 &lt;= 12, "Long Term Relationship[8-12]", AR81 &lt;= 17, "Very Long Term Relationship[13-17]")</f>
        <v>New Relationship[1-3]</v>
      </c>
      <c r="AR81" s="1">
        <v>2</v>
      </c>
    </row>
    <row r="82" spans="1:44" x14ac:dyDescent="0.25">
      <c r="A82" s="1">
        <v>30</v>
      </c>
      <c r="B82" s="8" t="str" cm="1">
        <f t="array" ref="B82">_xlfn.IFS(A82 &lt;= 25, "[18-25]", A82 &lt;= 35, "[26-35]", A82 &lt;=45, "[36-45]", A82 &lt;= 60, "[46- 60]")</f>
        <v>[26-35]</v>
      </c>
      <c r="C82" s="3" t="s">
        <v>43</v>
      </c>
      <c r="D82">
        <f t="shared" si="1"/>
        <v>0</v>
      </c>
      <c r="E82" t="s">
        <v>36</v>
      </c>
      <c r="F82" s="1">
        <v>852</v>
      </c>
      <c r="G82" s="3" t="s">
        <v>45</v>
      </c>
      <c r="H82" s="1">
        <v>1</v>
      </c>
      <c r="I82" s="9" t="str" cm="1">
        <f t="array" ref="I82">_xlfn.IFS(H82 &lt;= 2, "[1-2] very close", H82 &lt;= 10, "[3-10] close", H82 &lt;= 20, "[11-20] moderate", H82 &lt;= 30, "[21-30] far")</f>
        <v>[1-2] very close</v>
      </c>
      <c r="J82" s="1">
        <v>1</v>
      </c>
      <c r="K82" s="3" t="s">
        <v>38</v>
      </c>
      <c r="L82" s="1">
        <v>1</v>
      </c>
      <c r="M82" s="1">
        <v>104</v>
      </c>
      <c r="N82" s="1">
        <v>4</v>
      </c>
      <c r="O82" s="3" t="s">
        <v>46</v>
      </c>
      <c r="P82" s="1">
        <v>55</v>
      </c>
      <c r="Q82" s="1">
        <v>2</v>
      </c>
      <c r="R82" s="1">
        <v>2</v>
      </c>
      <c r="S82" s="3" t="s">
        <v>50</v>
      </c>
      <c r="T82" s="1">
        <v>4</v>
      </c>
      <c r="U82" s="3" t="s">
        <v>48</v>
      </c>
      <c r="V82" s="4">
        <v>5126</v>
      </c>
      <c r="W82" s="1">
        <v>15998</v>
      </c>
      <c r="X82" s="1">
        <v>1</v>
      </c>
      <c r="Y82" s="3" t="s">
        <v>42</v>
      </c>
      <c r="Z82" s="3" t="s">
        <v>35</v>
      </c>
      <c r="AA82" s="5">
        <v>0.12</v>
      </c>
      <c r="AB82" s="10" t="str" cm="1">
        <f t="array" ref="AB82">_xlfn.IFS(AA82 &lt;= 15%, "Low Hike[11-15%]", AA82 &lt;= 20%, "Moderate Hike[16-20%]", AA82 &lt;= 25%,"High Hike[21-25%]")</f>
        <v>Low Hike[11-15%]</v>
      </c>
      <c r="AC82" s="1">
        <v>3</v>
      </c>
      <c r="AD82" s="1">
        <v>3</v>
      </c>
      <c r="AE82" s="1">
        <v>80</v>
      </c>
      <c r="AF82" s="1">
        <v>2</v>
      </c>
      <c r="AG82" s="1">
        <v>10</v>
      </c>
      <c r="AH82" s="9" t="str" cm="1">
        <f t="array" ref="AH82">_xlfn.IFS(AG82 &lt;= 5, "New[1-5]", AG82 &lt;= 10, "Early Career[6-10]", AG82 &lt;= 20, "Established[11-20]", AG82 &lt;= 30, "Veteran[21-30]", AG82 &lt;= 40, "Late Career[31-40]")</f>
        <v>Early Career[6-10]</v>
      </c>
      <c r="AI82" s="1">
        <v>1</v>
      </c>
      <c r="AJ82" s="1">
        <v>2</v>
      </c>
      <c r="AK82" s="1">
        <v>10</v>
      </c>
      <c r="AL82" s="9" t="str" cm="1">
        <f t="array" ref="AL82">_xlfn.IFS(AK82 &lt;= 5, "New[1-5]", AK82 &lt;= 10, "Early Career[6-10]", AK82 &lt;= 20, "Established[11-20]", AK82 &lt;= 30, "Veteran[21-30]", AK82 &lt;= 40, "Late Career[31-40]")</f>
        <v>Early Career[6-10]</v>
      </c>
      <c r="AM82" s="1">
        <v>8</v>
      </c>
      <c r="AN82" s="9" t="str" cm="1">
        <f t="array" ref="AN82">_xlfn.IFS(AM82 &lt;= 3, "New to Role[1-3]", AM82 &lt;= 7, "Settled[4-7]", AM82 &lt;= 12, "Experienced[[8-12]", AM82 &lt;= 18, "Long Tenured[13-18]")</f>
        <v>Experienced[[8-12]</v>
      </c>
      <c r="AO82" s="1">
        <v>3</v>
      </c>
      <c r="AP82" s="9" t="str" cm="1">
        <f t="array" ref="AP82">_xlfn.IFS(AO82 &lt;= 3, "Recently[1-3]", AO82 &lt;= 6, "Due Soon[4-6]", AO82 &lt;= 10, "Overdue[7-10]", AO82 &lt;= 15, "Long Overdue[11-15]")</f>
        <v>Recently[1-3]</v>
      </c>
      <c r="AQ82" s="9" t="str" cm="1">
        <f t="array" ref="AQ82">_xlfn.IFS(AR82 &lt;= 3, "New Relationship[1-3]", AR82 &lt;= 7, "Established Relationship[4-7]", AR82 &lt;= 12, "Long Term Relationship[8-12]", AR82 &lt;= 17, "Very Long Term Relationship[13-17]")</f>
        <v>New Relationship[1-3]</v>
      </c>
      <c r="AR82" s="1">
        <v>0</v>
      </c>
    </row>
    <row r="83" spans="1:44" x14ac:dyDescent="0.25">
      <c r="A83" s="1">
        <v>35</v>
      </c>
      <c r="B83" s="8" t="str" cm="1">
        <f t="array" ref="B83">_xlfn.IFS(A83 &lt;= 25, "[18-25]", A83 &lt;= 35, "[26-35]", A83 &lt;=45, "[36-45]", A83 &lt;= 60, "[46- 60]")</f>
        <v>[26-35]</v>
      </c>
      <c r="C83" s="3" t="s">
        <v>43</v>
      </c>
      <c r="D83">
        <f t="shared" si="1"/>
        <v>0</v>
      </c>
      <c r="E83" t="s">
        <v>36</v>
      </c>
      <c r="F83" s="1">
        <v>1214</v>
      </c>
      <c r="G83" s="3" t="s">
        <v>45</v>
      </c>
      <c r="H83" s="1">
        <v>1</v>
      </c>
      <c r="I83" s="9" t="str" cm="1">
        <f t="array" ref="I83">_xlfn.IFS(H83 &lt;= 2, "[1-2] very close", H83 &lt;= 10, "[3-10] close", H83 &lt;= 20, "[11-20] moderate", H83 &lt;= 30, "[21-30] far")</f>
        <v>[1-2] very close</v>
      </c>
      <c r="J83" s="1">
        <v>3</v>
      </c>
      <c r="K83" s="3" t="s">
        <v>51</v>
      </c>
      <c r="L83" s="1">
        <v>1</v>
      </c>
      <c r="M83" s="1">
        <v>105</v>
      </c>
      <c r="N83" s="1">
        <v>2</v>
      </c>
      <c r="O83" s="3" t="s">
        <v>46</v>
      </c>
      <c r="P83" s="1">
        <v>30</v>
      </c>
      <c r="Q83" s="1">
        <v>2</v>
      </c>
      <c r="R83" s="1">
        <v>1</v>
      </c>
      <c r="S83" s="3" t="s">
        <v>47</v>
      </c>
      <c r="T83" s="1">
        <v>3</v>
      </c>
      <c r="U83" s="3" t="s">
        <v>41</v>
      </c>
      <c r="V83" s="4">
        <v>2859</v>
      </c>
      <c r="W83" s="1">
        <v>26278</v>
      </c>
      <c r="X83" s="1">
        <v>1</v>
      </c>
      <c r="Y83" s="3" t="s">
        <v>42</v>
      </c>
      <c r="Z83" s="3" t="s">
        <v>43</v>
      </c>
      <c r="AA83" s="5">
        <v>0.18</v>
      </c>
      <c r="AB83" s="10" t="str" cm="1">
        <f t="array" ref="AB83">_xlfn.IFS(AA83 &lt;= 15%, "Low Hike[11-15%]", AA83 &lt;= 20%, "Moderate Hike[16-20%]", AA83 &lt;= 25%,"High Hike[21-25%]")</f>
        <v>Moderate Hike[16-20%]</v>
      </c>
      <c r="AC83" s="1">
        <v>3</v>
      </c>
      <c r="AD83" s="1">
        <v>1</v>
      </c>
      <c r="AE83" s="1">
        <v>80</v>
      </c>
      <c r="AF83" s="1">
        <v>0</v>
      </c>
      <c r="AG83" s="1">
        <v>6</v>
      </c>
      <c r="AH83" s="9" t="str" cm="1">
        <f t="array" ref="AH83">_xlfn.IFS(AG83 &lt;= 5, "New[1-5]", AG83 &lt;= 10, "Early Career[6-10]", AG83 &lt;= 20, "Established[11-20]", AG83 &lt;= 30, "Veteran[21-30]", AG83 &lt;= 40, "Late Career[31-40]")</f>
        <v>Early Career[6-10]</v>
      </c>
      <c r="AI83" s="1">
        <v>3</v>
      </c>
      <c r="AJ83" s="1">
        <v>3</v>
      </c>
      <c r="AK83" s="1">
        <v>6</v>
      </c>
      <c r="AL83" s="9" t="str" cm="1">
        <f t="array" ref="AL83">_xlfn.IFS(AK83 &lt;= 5, "New[1-5]", AK83 &lt;= 10, "Early Career[6-10]", AK83 &lt;= 20, "Established[11-20]", AK83 &lt;= 30, "Veteran[21-30]", AK83 &lt;= 40, "Late Career[31-40]")</f>
        <v>Early Career[6-10]</v>
      </c>
      <c r="AM83" s="1">
        <v>4</v>
      </c>
      <c r="AN83" s="9" t="str" cm="1">
        <f t="array" ref="AN83">_xlfn.IFS(AM83 &lt;= 3, "New to Role[1-3]", AM83 &lt;= 7, "Settled[4-7]", AM83 &lt;= 12, "Experienced[[8-12]", AM83 &lt;= 18, "Long Tenured[13-18]")</f>
        <v>Settled[4-7]</v>
      </c>
      <c r="AO83" s="1">
        <v>0</v>
      </c>
      <c r="AP83" s="9" t="str" cm="1">
        <f t="array" ref="AP83">_xlfn.IFS(AO83 &lt;= 3, "Recently[1-3]", AO83 &lt;= 6, "Due Soon[4-6]", AO83 &lt;= 10, "Overdue[7-10]", AO83 &lt;= 15, "Long Overdue[11-15]")</f>
        <v>Recently[1-3]</v>
      </c>
      <c r="AQ83" s="9" t="str" cm="1">
        <f t="array" ref="AQ83">_xlfn.IFS(AR83 &lt;= 3, "New Relationship[1-3]", AR83 &lt;= 7, "Established Relationship[4-7]", AR83 &lt;= 12, "Long Term Relationship[8-12]", AR83 &lt;= 17, "Very Long Term Relationship[13-17]")</f>
        <v>Established Relationship[4-7]</v>
      </c>
      <c r="AR83" s="1">
        <v>4</v>
      </c>
    </row>
    <row r="84" spans="1:44" x14ac:dyDescent="0.25">
      <c r="A84" s="1">
        <v>55</v>
      </c>
      <c r="B84" s="8" t="str" cm="1">
        <f t="array" ref="B84">_xlfn.IFS(A84 &lt;= 25, "[18-25]", A84 &lt;= 35, "[26-35]", A84 &lt;=45, "[36-45]", A84 &lt;= 60, "[46- 60]")</f>
        <v>[46- 60]</v>
      </c>
      <c r="C84" s="3" t="s">
        <v>43</v>
      </c>
      <c r="D84">
        <f t="shared" si="1"/>
        <v>0</v>
      </c>
      <c r="E84" t="s">
        <v>36</v>
      </c>
      <c r="F84" s="1">
        <v>111</v>
      </c>
      <c r="G84" s="3" t="s">
        <v>37</v>
      </c>
      <c r="H84" s="1">
        <v>1</v>
      </c>
      <c r="I84" s="9" t="str" cm="1">
        <f t="array" ref="I84">_xlfn.IFS(H84 &lt;= 2, "[1-2] very close", H84 &lt;= 10, "[3-10] close", H84 &lt;= 20, "[11-20] moderate", H84 &lt;= 30, "[21-30] far")</f>
        <v>[1-2] very close</v>
      </c>
      <c r="J84" s="1">
        <v>2</v>
      </c>
      <c r="K84" s="3" t="s">
        <v>38</v>
      </c>
      <c r="L84" s="1">
        <v>1</v>
      </c>
      <c r="M84" s="1">
        <v>106</v>
      </c>
      <c r="N84" s="1">
        <v>1</v>
      </c>
      <c r="O84" s="3" t="s">
        <v>46</v>
      </c>
      <c r="P84" s="1">
        <v>70</v>
      </c>
      <c r="Q84" s="1">
        <v>3</v>
      </c>
      <c r="R84" s="1">
        <v>3</v>
      </c>
      <c r="S84" s="3" t="s">
        <v>40</v>
      </c>
      <c r="T84" s="1">
        <v>4</v>
      </c>
      <c r="U84" s="3" t="s">
        <v>48</v>
      </c>
      <c r="V84" s="4">
        <v>10239</v>
      </c>
      <c r="W84" s="1">
        <v>18092</v>
      </c>
      <c r="X84" s="1">
        <v>3</v>
      </c>
      <c r="Y84" s="3" t="s">
        <v>42</v>
      </c>
      <c r="Z84" s="3" t="s">
        <v>43</v>
      </c>
      <c r="AA84" s="5">
        <v>0.14000000000000001</v>
      </c>
      <c r="AB84" s="10" t="str" cm="1">
        <f t="array" ref="AB84">_xlfn.IFS(AA84 &lt;= 15%, "Low Hike[11-15%]", AA84 &lt;= 20%, "Moderate Hike[16-20%]", AA84 &lt;= 25%,"High Hike[21-25%]")</f>
        <v>Low Hike[11-15%]</v>
      </c>
      <c r="AC84" s="1">
        <v>3</v>
      </c>
      <c r="AD84" s="1">
        <v>4</v>
      </c>
      <c r="AE84" s="1">
        <v>80</v>
      </c>
      <c r="AF84" s="1">
        <v>1</v>
      </c>
      <c r="AG84" s="1">
        <v>24</v>
      </c>
      <c r="AH84" s="9" t="str" cm="1">
        <f t="array" ref="AH84">_xlfn.IFS(AG84 &lt;= 5, "New[1-5]", AG84 &lt;= 10, "Early Career[6-10]", AG84 &lt;= 20, "Established[11-20]", AG84 &lt;= 30, "Veteran[21-30]", AG84 &lt;= 40, "Late Career[31-40]")</f>
        <v>Veteran[21-30]</v>
      </c>
      <c r="AI84" s="1">
        <v>4</v>
      </c>
      <c r="AJ84" s="1">
        <v>3</v>
      </c>
      <c r="AK84" s="1">
        <v>1</v>
      </c>
      <c r="AL84" s="9" t="str" cm="1">
        <f t="array" ref="AL84">_xlfn.IFS(AK84 &lt;= 5, "New[1-5]", AK84 &lt;= 10, "Early Career[6-10]", AK84 &lt;= 20, "Established[11-20]", AK84 &lt;= 30, "Veteran[21-30]", AK84 &lt;= 40, "Late Career[31-40]")</f>
        <v>New[1-5]</v>
      </c>
      <c r="AM84" s="1">
        <v>0</v>
      </c>
      <c r="AN84" s="9" t="str" cm="1">
        <f t="array" ref="AN84">_xlfn.IFS(AM84 &lt;= 3, "New to Role[1-3]", AM84 &lt;= 7, "Settled[4-7]", AM84 &lt;= 12, "Experienced[[8-12]", AM84 &lt;= 18, "Long Tenured[13-18]")</f>
        <v>New to Role[1-3]</v>
      </c>
      <c r="AO84" s="1">
        <v>1</v>
      </c>
      <c r="AP84" s="9" t="str" cm="1">
        <f t="array" ref="AP84">_xlfn.IFS(AO84 &lt;= 3, "Recently[1-3]", AO84 &lt;= 6, "Due Soon[4-6]", AO84 &lt;= 10, "Overdue[7-10]", AO84 &lt;= 15, "Long Overdue[11-15]")</f>
        <v>Recently[1-3]</v>
      </c>
      <c r="AQ84" s="9" t="str" cm="1">
        <f t="array" ref="AQ84">_xlfn.IFS(AR84 &lt;= 3, "New Relationship[1-3]", AR84 &lt;= 7, "Established Relationship[4-7]", AR84 &lt;= 12, "Long Term Relationship[8-12]", AR84 &lt;= 17, "Very Long Term Relationship[13-17]")</f>
        <v>New Relationship[1-3]</v>
      </c>
      <c r="AR84" s="1">
        <v>0</v>
      </c>
    </row>
    <row r="85" spans="1:44" x14ac:dyDescent="0.25">
      <c r="A85" s="1">
        <v>38</v>
      </c>
      <c r="B85" s="8" t="str" cm="1">
        <f t="array" ref="B85">_xlfn.IFS(A85 &lt;= 25, "[18-25]", A85 &lt;= 35, "[26-35]", A85 &lt;=45, "[36-45]", A85 &lt;= 60, "[46- 60]")</f>
        <v>[36-45]</v>
      </c>
      <c r="C85" s="3" t="s">
        <v>43</v>
      </c>
      <c r="D85">
        <f t="shared" si="1"/>
        <v>0</v>
      </c>
      <c r="E85" t="s">
        <v>62</v>
      </c>
      <c r="F85" s="1">
        <v>573</v>
      </c>
      <c r="G85" s="3" t="s">
        <v>45</v>
      </c>
      <c r="H85" s="1">
        <v>6</v>
      </c>
      <c r="I85" s="9" t="str" cm="1">
        <f t="array" ref="I85">_xlfn.IFS(H85 &lt;= 2, "[1-2] very close", H85 &lt;= 10, "[3-10] close", H85 &lt;= 20, "[11-20] moderate", H85 &lt;= 30, "[21-30] far")</f>
        <v>[3-10] close</v>
      </c>
      <c r="J85" s="1">
        <v>3</v>
      </c>
      <c r="K85" s="3" t="s">
        <v>51</v>
      </c>
      <c r="L85" s="1">
        <v>1</v>
      </c>
      <c r="M85" s="1">
        <v>107</v>
      </c>
      <c r="N85" s="1">
        <v>2</v>
      </c>
      <c r="O85" s="3" t="s">
        <v>39</v>
      </c>
      <c r="P85" s="1">
        <v>79</v>
      </c>
      <c r="Q85" s="1">
        <v>1</v>
      </c>
      <c r="R85" s="1">
        <v>2</v>
      </c>
      <c r="S85" s="3" t="s">
        <v>47</v>
      </c>
      <c r="T85" s="1">
        <v>4</v>
      </c>
      <c r="U85" s="3" t="s">
        <v>52</v>
      </c>
      <c r="V85" s="4">
        <v>5329</v>
      </c>
      <c r="W85" s="1">
        <v>15717</v>
      </c>
      <c r="X85" s="1">
        <v>7</v>
      </c>
      <c r="Y85" s="3" t="s">
        <v>42</v>
      </c>
      <c r="Z85" s="3" t="s">
        <v>35</v>
      </c>
      <c r="AA85" s="5">
        <v>0.12</v>
      </c>
      <c r="AB85" s="10" t="str" cm="1">
        <f t="array" ref="AB85">_xlfn.IFS(AA85 &lt;= 15%, "Low Hike[11-15%]", AA85 &lt;= 20%, "Moderate Hike[16-20%]", AA85 &lt;= 25%,"High Hike[21-25%]")</f>
        <v>Low Hike[11-15%]</v>
      </c>
      <c r="AC85" s="1">
        <v>3</v>
      </c>
      <c r="AD85" s="1">
        <v>4</v>
      </c>
      <c r="AE85" s="1">
        <v>80</v>
      </c>
      <c r="AF85" s="1">
        <v>3</v>
      </c>
      <c r="AG85" s="1">
        <v>17</v>
      </c>
      <c r="AH85" s="9" t="str" cm="1">
        <f t="array" ref="AH85">_xlfn.IFS(AG85 &lt;= 5, "New[1-5]", AG85 &lt;= 10, "Early Career[6-10]", AG85 &lt;= 20, "Established[11-20]", AG85 &lt;= 30, "Veteran[21-30]", AG85 &lt;= 40, "Late Career[31-40]")</f>
        <v>Established[11-20]</v>
      </c>
      <c r="AI85" s="1">
        <v>3</v>
      </c>
      <c r="AJ85" s="1">
        <v>3</v>
      </c>
      <c r="AK85" s="1">
        <v>13</v>
      </c>
      <c r="AL85" s="9" t="str" cm="1">
        <f t="array" ref="AL85">_xlfn.IFS(AK85 &lt;= 5, "New[1-5]", AK85 &lt;= 10, "Early Career[6-10]", AK85 &lt;= 20, "Established[11-20]", AK85 &lt;= 30, "Veteran[21-30]", AK85 &lt;= 40, "Late Career[31-40]")</f>
        <v>Established[11-20]</v>
      </c>
      <c r="AM85" s="1">
        <v>11</v>
      </c>
      <c r="AN85" s="9" t="str" cm="1">
        <f t="array" ref="AN85">_xlfn.IFS(AM85 &lt;= 3, "New to Role[1-3]", AM85 &lt;= 7, "Settled[4-7]", AM85 &lt;= 12, "Experienced[[8-12]", AM85 &lt;= 18, "Long Tenured[13-18]")</f>
        <v>Experienced[[8-12]</v>
      </c>
      <c r="AO85" s="1">
        <v>1</v>
      </c>
      <c r="AP85" s="9" t="str" cm="1">
        <f t="array" ref="AP85">_xlfn.IFS(AO85 &lt;= 3, "Recently[1-3]", AO85 &lt;= 6, "Due Soon[4-6]", AO85 &lt;= 10, "Overdue[7-10]", AO85 &lt;= 15, "Long Overdue[11-15]")</f>
        <v>Recently[1-3]</v>
      </c>
      <c r="AQ85" s="9" t="str" cm="1">
        <f t="array" ref="AQ85">_xlfn.IFS(AR85 &lt;= 3, "New Relationship[1-3]", AR85 &lt;= 7, "Established Relationship[4-7]", AR85 &lt;= 12, "Long Term Relationship[8-12]", AR85 &lt;= 17, "Very Long Term Relationship[13-17]")</f>
        <v>Long Term Relationship[8-12]</v>
      </c>
      <c r="AR85" s="1">
        <v>9</v>
      </c>
    </row>
    <row r="86" spans="1:44" x14ac:dyDescent="0.25">
      <c r="A86" s="1">
        <v>34</v>
      </c>
      <c r="B86" s="8" t="str" cm="1">
        <f t="array" ref="B86">_xlfn.IFS(A86 &lt;= 25, "[18-25]", A86 &lt;= 35, "[26-35]", A86 &lt;=45, "[36-45]", A86 &lt;= 60, "[46- 60]")</f>
        <v>[26-35]</v>
      </c>
      <c r="C86" s="3" t="s">
        <v>43</v>
      </c>
      <c r="D86">
        <f t="shared" si="1"/>
        <v>0</v>
      </c>
      <c r="E86" t="s">
        <v>36</v>
      </c>
      <c r="F86" s="1">
        <v>1153</v>
      </c>
      <c r="G86" s="3" t="s">
        <v>45</v>
      </c>
      <c r="H86" s="1">
        <v>1</v>
      </c>
      <c r="I86" s="9" t="str" cm="1">
        <f t="array" ref="I86">_xlfn.IFS(H86 &lt;= 2, "[1-2] very close", H86 &lt;= 10, "[3-10] close", H86 &lt;= 20, "[11-20] moderate", H86 &lt;= 30, "[21-30] far")</f>
        <v>[1-2] very close</v>
      </c>
      <c r="J86" s="1">
        <v>2</v>
      </c>
      <c r="K86" s="3" t="s">
        <v>51</v>
      </c>
      <c r="L86" s="1">
        <v>1</v>
      </c>
      <c r="M86" s="1">
        <v>110</v>
      </c>
      <c r="N86" s="1">
        <v>1</v>
      </c>
      <c r="O86" s="3" t="s">
        <v>46</v>
      </c>
      <c r="P86" s="1">
        <v>94</v>
      </c>
      <c r="Q86" s="1">
        <v>3</v>
      </c>
      <c r="R86" s="1">
        <v>2</v>
      </c>
      <c r="S86" s="3" t="s">
        <v>53</v>
      </c>
      <c r="T86" s="1">
        <v>2</v>
      </c>
      <c r="U86" s="3" t="s">
        <v>48</v>
      </c>
      <c r="V86" s="4">
        <v>4325</v>
      </c>
      <c r="W86" s="1">
        <v>17736</v>
      </c>
      <c r="X86" s="1">
        <v>1</v>
      </c>
      <c r="Y86" s="3" t="s">
        <v>42</v>
      </c>
      <c r="Z86" s="3" t="s">
        <v>43</v>
      </c>
      <c r="AA86" s="5">
        <v>0.15</v>
      </c>
      <c r="AB86" s="10" t="str" cm="1">
        <f t="array" ref="AB86">_xlfn.IFS(AA86 &lt;= 15%, "Low Hike[11-15%]", AA86 &lt;= 20%, "Moderate Hike[16-20%]", AA86 &lt;= 25%,"High Hike[21-25%]")</f>
        <v>Low Hike[11-15%]</v>
      </c>
      <c r="AC86" s="1">
        <v>3</v>
      </c>
      <c r="AD86" s="1">
        <v>3</v>
      </c>
      <c r="AE86" s="1">
        <v>80</v>
      </c>
      <c r="AF86" s="1">
        <v>0</v>
      </c>
      <c r="AG86" s="1">
        <v>5</v>
      </c>
      <c r="AH86" s="9" t="str" cm="1">
        <f t="array" ref="AH86">_xlfn.IFS(AG86 &lt;= 5, "New[1-5]", AG86 &lt;= 10, "Early Career[6-10]", AG86 &lt;= 20, "Established[11-20]", AG86 &lt;= 30, "Veteran[21-30]", AG86 &lt;= 40, "Late Career[31-40]")</f>
        <v>New[1-5]</v>
      </c>
      <c r="AI86" s="1">
        <v>2</v>
      </c>
      <c r="AJ86" s="1">
        <v>3</v>
      </c>
      <c r="AK86" s="1">
        <v>5</v>
      </c>
      <c r="AL86" s="9" t="str" cm="1">
        <f t="array" ref="AL86">_xlfn.IFS(AK86 &lt;= 5, "New[1-5]", AK86 &lt;= 10, "Early Career[6-10]", AK86 &lt;= 20, "Established[11-20]", AK86 &lt;= 30, "Veteran[21-30]", AK86 &lt;= 40, "Late Career[31-40]")</f>
        <v>New[1-5]</v>
      </c>
      <c r="AM86" s="1">
        <v>2</v>
      </c>
      <c r="AN86" s="9" t="str" cm="1">
        <f t="array" ref="AN86">_xlfn.IFS(AM86 &lt;= 3, "New to Role[1-3]", AM86 &lt;= 7, "Settled[4-7]", AM86 &lt;= 12, "Experienced[[8-12]", AM86 &lt;= 18, "Long Tenured[13-18]")</f>
        <v>New to Role[1-3]</v>
      </c>
      <c r="AO86" s="1">
        <v>1</v>
      </c>
      <c r="AP86" s="9" t="str" cm="1">
        <f t="array" ref="AP86">_xlfn.IFS(AO86 &lt;= 3, "Recently[1-3]", AO86 &lt;= 6, "Due Soon[4-6]", AO86 &lt;= 10, "Overdue[7-10]", AO86 &lt;= 15, "Long Overdue[11-15]")</f>
        <v>Recently[1-3]</v>
      </c>
      <c r="AQ86" s="9" t="str" cm="1">
        <f t="array" ref="AQ86">_xlfn.IFS(AR86 &lt;= 3, "New Relationship[1-3]", AR86 &lt;= 7, "Established Relationship[4-7]", AR86 &lt;= 12, "Long Term Relationship[8-12]", AR86 &lt;= 17, "Very Long Term Relationship[13-17]")</f>
        <v>New Relationship[1-3]</v>
      </c>
      <c r="AR86" s="1">
        <v>3</v>
      </c>
    </row>
    <row r="87" spans="1:44" x14ac:dyDescent="0.25">
      <c r="A87" s="1">
        <v>56</v>
      </c>
      <c r="B87" s="8" t="str" cm="1">
        <f t="array" ref="B87">_xlfn.IFS(A87 &lt;= 25, "[18-25]", A87 &lt;= 35, "[26-35]", A87 &lt;=45, "[36-45]", A87 &lt;= 60, "[46- 60]")</f>
        <v>[46- 60]</v>
      </c>
      <c r="C87" s="3" t="s">
        <v>43</v>
      </c>
      <c r="D87">
        <f t="shared" si="1"/>
        <v>0</v>
      </c>
      <c r="E87" t="s">
        <v>36</v>
      </c>
      <c r="F87" s="1">
        <v>1400</v>
      </c>
      <c r="G87" s="3" t="s">
        <v>45</v>
      </c>
      <c r="H87" s="1">
        <v>7</v>
      </c>
      <c r="I87" s="9" t="str" cm="1">
        <f t="array" ref="I87">_xlfn.IFS(H87 &lt;= 2, "[1-2] very close", H87 &lt;= 10, "[3-10] close", H87 &lt;= 20, "[11-20] moderate", H87 &lt;= 30, "[21-30] far")</f>
        <v>[3-10] close</v>
      </c>
      <c r="J87" s="1">
        <v>3</v>
      </c>
      <c r="K87" s="3" t="s">
        <v>38</v>
      </c>
      <c r="L87" s="1">
        <v>1</v>
      </c>
      <c r="M87" s="1">
        <v>112</v>
      </c>
      <c r="N87" s="1">
        <v>4</v>
      </c>
      <c r="O87" s="3" t="s">
        <v>46</v>
      </c>
      <c r="P87" s="1">
        <v>49</v>
      </c>
      <c r="Q87" s="1">
        <v>1</v>
      </c>
      <c r="R87" s="1">
        <v>3</v>
      </c>
      <c r="S87" s="3" t="s">
        <v>53</v>
      </c>
      <c r="T87" s="1">
        <v>4</v>
      </c>
      <c r="U87" s="3" t="s">
        <v>41</v>
      </c>
      <c r="V87" s="4">
        <v>7260</v>
      </c>
      <c r="W87" s="1">
        <v>21698</v>
      </c>
      <c r="X87" s="1">
        <v>4</v>
      </c>
      <c r="Y87" s="3" t="s">
        <v>42</v>
      </c>
      <c r="Z87" s="3" t="s">
        <v>43</v>
      </c>
      <c r="AA87" s="5">
        <v>0.11</v>
      </c>
      <c r="AB87" s="10" t="str" cm="1">
        <f t="array" ref="AB87">_xlfn.IFS(AA87 &lt;= 15%, "Low Hike[11-15%]", AA87 &lt;= 20%, "Moderate Hike[16-20%]", AA87 &lt;= 25%,"High Hike[21-25%]")</f>
        <v>Low Hike[11-15%]</v>
      </c>
      <c r="AC87" s="1">
        <v>3</v>
      </c>
      <c r="AD87" s="1">
        <v>1</v>
      </c>
      <c r="AE87" s="1">
        <v>80</v>
      </c>
      <c r="AF87" s="1">
        <v>0</v>
      </c>
      <c r="AG87" s="1">
        <v>37</v>
      </c>
      <c r="AH87" s="9" t="str" cm="1">
        <f t="array" ref="AH87">_xlfn.IFS(AG87 &lt;= 5, "New[1-5]", AG87 &lt;= 10, "Early Career[6-10]", AG87 &lt;= 20, "Established[11-20]", AG87 &lt;= 30, "Veteran[21-30]", AG87 &lt;= 40, "Late Career[31-40]")</f>
        <v>Late Career[31-40]</v>
      </c>
      <c r="AI87" s="1">
        <v>3</v>
      </c>
      <c r="AJ87" s="1">
        <v>2</v>
      </c>
      <c r="AK87" s="1">
        <v>6</v>
      </c>
      <c r="AL87" s="9" t="str" cm="1">
        <f t="array" ref="AL87">_xlfn.IFS(AK87 &lt;= 5, "New[1-5]", AK87 &lt;= 10, "Early Career[6-10]", AK87 &lt;= 20, "Established[11-20]", AK87 &lt;= 30, "Veteran[21-30]", AK87 &lt;= 40, "Late Career[31-40]")</f>
        <v>Early Career[6-10]</v>
      </c>
      <c r="AM87" s="1">
        <v>4</v>
      </c>
      <c r="AN87" s="9" t="str" cm="1">
        <f t="array" ref="AN87">_xlfn.IFS(AM87 &lt;= 3, "New to Role[1-3]", AM87 &lt;= 7, "Settled[4-7]", AM87 &lt;= 12, "Experienced[[8-12]", AM87 &lt;= 18, "Long Tenured[13-18]")</f>
        <v>Settled[4-7]</v>
      </c>
      <c r="AO87" s="1">
        <v>0</v>
      </c>
      <c r="AP87" s="9" t="str" cm="1">
        <f t="array" ref="AP87">_xlfn.IFS(AO87 &lt;= 3, "Recently[1-3]", AO87 &lt;= 6, "Due Soon[4-6]", AO87 &lt;= 10, "Overdue[7-10]", AO87 &lt;= 15, "Long Overdue[11-15]")</f>
        <v>Recently[1-3]</v>
      </c>
      <c r="AQ87" s="9" t="str" cm="1">
        <f t="array" ref="AQ87">_xlfn.IFS(AR87 &lt;= 3, "New Relationship[1-3]", AR87 &lt;= 7, "Established Relationship[4-7]", AR87 &lt;= 12, "Long Term Relationship[8-12]", AR87 &lt;= 17, "Very Long Term Relationship[13-17]")</f>
        <v>New Relationship[1-3]</v>
      </c>
      <c r="AR87" s="1">
        <v>2</v>
      </c>
    </row>
    <row r="88" spans="1:44" x14ac:dyDescent="0.25">
      <c r="A88" s="1">
        <v>23</v>
      </c>
      <c r="B88" s="8" t="str" cm="1">
        <f t="array" ref="B88">_xlfn.IFS(A88 &lt;= 25, "[18-25]", A88 &lt;= 35, "[26-35]", A88 &lt;=45, "[36-45]", A88 &lt;= 60, "[46- 60]")</f>
        <v>[18-25]</v>
      </c>
      <c r="C88" s="3" t="s">
        <v>43</v>
      </c>
      <c r="D88">
        <f t="shared" si="1"/>
        <v>0</v>
      </c>
      <c r="E88" t="s">
        <v>36</v>
      </c>
      <c r="F88" s="1">
        <v>541</v>
      </c>
      <c r="G88" s="3" t="s">
        <v>37</v>
      </c>
      <c r="H88" s="1">
        <v>2</v>
      </c>
      <c r="I88" s="9" t="str" cm="1">
        <f t="array" ref="I88">_xlfn.IFS(H88 &lt;= 2, "[1-2] very close", H88 &lt;= 10, "[3-10] close", H88 &lt;= 20, "[11-20] moderate", H88 &lt;= 30, "[21-30] far")</f>
        <v>[1-2] very close</v>
      </c>
      <c r="J88" s="1">
        <v>1</v>
      </c>
      <c r="K88" s="3" t="s">
        <v>60</v>
      </c>
      <c r="L88" s="1">
        <v>1</v>
      </c>
      <c r="M88" s="1">
        <v>113</v>
      </c>
      <c r="N88" s="1">
        <v>3</v>
      </c>
      <c r="O88" s="3" t="s">
        <v>46</v>
      </c>
      <c r="P88" s="1">
        <v>62</v>
      </c>
      <c r="Q88" s="1">
        <v>3</v>
      </c>
      <c r="R88" s="1">
        <v>1</v>
      </c>
      <c r="S88" s="3" t="s">
        <v>57</v>
      </c>
      <c r="T88" s="1">
        <v>1</v>
      </c>
      <c r="U88" s="3" t="s">
        <v>52</v>
      </c>
      <c r="V88" s="4">
        <v>2322</v>
      </c>
      <c r="W88" s="1">
        <v>9518</v>
      </c>
      <c r="X88" s="1">
        <v>3</v>
      </c>
      <c r="Y88" s="3" t="s">
        <v>42</v>
      </c>
      <c r="Z88" s="3" t="s">
        <v>43</v>
      </c>
      <c r="AA88" s="5">
        <v>0.13</v>
      </c>
      <c r="AB88" s="10" t="str" cm="1">
        <f t="array" ref="AB88">_xlfn.IFS(AA88 &lt;= 15%, "Low Hike[11-15%]", AA88 &lt;= 20%, "Moderate Hike[16-20%]", AA88 &lt;= 25%,"High Hike[21-25%]")</f>
        <v>Low Hike[11-15%]</v>
      </c>
      <c r="AC88" s="1">
        <v>3</v>
      </c>
      <c r="AD88" s="1">
        <v>3</v>
      </c>
      <c r="AE88" s="1">
        <v>80</v>
      </c>
      <c r="AF88" s="1">
        <v>1</v>
      </c>
      <c r="AG88" s="1">
        <v>3</v>
      </c>
      <c r="AH88" s="9" t="str" cm="1">
        <f t="array" ref="AH88">_xlfn.IFS(AG88 &lt;= 5, "New[1-5]", AG88 &lt;= 10, "Early Career[6-10]", AG88 &lt;= 20, "Established[11-20]", AG88 &lt;= 30, "Veteran[21-30]", AG88 &lt;= 40, "Late Career[31-40]")</f>
        <v>New[1-5]</v>
      </c>
      <c r="AI88" s="1">
        <v>3</v>
      </c>
      <c r="AJ88" s="1">
        <v>3</v>
      </c>
      <c r="AK88" s="1">
        <v>0</v>
      </c>
      <c r="AL88" s="9" t="str" cm="1">
        <f t="array" ref="AL88">_xlfn.IFS(AK88 &lt;= 5, "New[1-5]", AK88 &lt;= 10, "Early Career[6-10]", AK88 &lt;= 20, "Established[11-20]", AK88 &lt;= 30, "Veteran[21-30]", AK88 &lt;= 40, "Late Career[31-40]")</f>
        <v>New[1-5]</v>
      </c>
      <c r="AM88" s="1">
        <v>0</v>
      </c>
      <c r="AN88" s="9" t="str" cm="1">
        <f t="array" ref="AN88">_xlfn.IFS(AM88 &lt;= 3, "New to Role[1-3]", AM88 &lt;= 7, "Settled[4-7]", AM88 &lt;= 12, "Experienced[[8-12]", AM88 &lt;= 18, "Long Tenured[13-18]")</f>
        <v>New to Role[1-3]</v>
      </c>
      <c r="AO88" s="1">
        <v>0</v>
      </c>
      <c r="AP88" s="9" t="str" cm="1">
        <f t="array" ref="AP88">_xlfn.IFS(AO88 &lt;= 3, "Recently[1-3]", AO88 &lt;= 6, "Due Soon[4-6]", AO88 &lt;= 10, "Overdue[7-10]", AO88 &lt;= 15, "Long Overdue[11-15]")</f>
        <v>Recently[1-3]</v>
      </c>
      <c r="AQ88" s="9" t="str" cm="1">
        <f t="array" ref="AQ88">_xlfn.IFS(AR88 &lt;= 3, "New Relationship[1-3]", AR88 &lt;= 7, "Established Relationship[4-7]", AR88 &lt;= 12, "Long Term Relationship[8-12]", AR88 &lt;= 17, "Very Long Term Relationship[13-17]")</f>
        <v>New Relationship[1-3]</v>
      </c>
      <c r="AR88" s="1">
        <v>0</v>
      </c>
    </row>
    <row r="89" spans="1:44" x14ac:dyDescent="0.25">
      <c r="A89" s="1">
        <v>51</v>
      </c>
      <c r="B89" s="8" t="str" cm="1">
        <f t="array" ref="B89">_xlfn.IFS(A89 &lt;= 25, "[18-25]", A89 &lt;= 35, "[26-35]", A89 &lt;=45, "[36-45]", A89 &lt;= 60, "[46- 60]")</f>
        <v>[46- 60]</v>
      </c>
      <c r="C89" s="3" t="s">
        <v>43</v>
      </c>
      <c r="D89">
        <f t="shared" si="1"/>
        <v>0</v>
      </c>
      <c r="E89" t="s">
        <v>36</v>
      </c>
      <c r="F89" s="1">
        <v>432</v>
      </c>
      <c r="G89" s="3" t="s">
        <v>45</v>
      </c>
      <c r="H89" s="1">
        <v>9</v>
      </c>
      <c r="I89" s="9" t="str" cm="1">
        <f t="array" ref="I89">_xlfn.IFS(H89 &lt;= 2, "[1-2] very close", H89 &lt;= 10, "[3-10] close", H89 &lt;= 20, "[11-20] moderate", H89 &lt;= 30, "[21-30] far")</f>
        <v>[3-10] close</v>
      </c>
      <c r="J89" s="1">
        <v>4</v>
      </c>
      <c r="K89" s="3" t="s">
        <v>38</v>
      </c>
      <c r="L89" s="1">
        <v>1</v>
      </c>
      <c r="M89" s="1">
        <v>116</v>
      </c>
      <c r="N89" s="1">
        <v>4</v>
      </c>
      <c r="O89" s="3" t="s">
        <v>46</v>
      </c>
      <c r="P89" s="1">
        <v>96</v>
      </c>
      <c r="Q89" s="1">
        <v>3</v>
      </c>
      <c r="R89" s="1">
        <v>1</v>
      </c>
      <c r="S89" s="3" t="s">
        <v>50</v>
      </c>
      <c r="T89" s="1">
        <v>4</v>
      </c>
      <c r="U89" s="3" t="s">
        <v>48</v>
      </c>
      <c r="V89" s="4">
        <v>2075</v>
      </c>
      <c r="W89" s="1">
        <v>18725</v>
      </c>
      <c r="X89" s="1">
        <v>3</v>
      </c>
      <c r="Y89" s="3" t="s">
        <v>42</v>
      </c>
      <c r="Z89" s="3" t="s">
        <v>43</v>
      </c>
      <c r="AA89" s="5">
        <v>0.23</v>
      </c>
      <c r="AB89" s="10" t="str" cm="1">
        <f t="array" ref="AB89">_xlfn.IFS(AA89 &lt;= 15%, "Low Hike[11-15%]", AA89 &lt;= 20%, "Moderate Hike[16-20%]", AA89 &lt;= 25%,"High Hike[21-25%]")</f>
        <v>High Hike[21-25%]</v>
      </c>
      <c r="AC89" s="1">
        <v>4</v>
      </c>
      <c r="AD89" s="1">
        <v>2</v>
      </c>
      <c r="AE89" s="1">
        <v>80</v>
      </c>
      <c r="AF89" s="1">
        <v>2</v>
      </c>
      <c r="AG89" s="1">
        <v>10</v>
      </c>
      <c r="AH89" s="9" t="str" cm="1">
        <f t="array" ref="AH89">_xlfn.IFS(AG89 &lt;= 5, "New[1-5]", AG89 &lt;= 10, "Early Career[6-10]", AG89 &lt;= 20, "Established[11-20]", AG89 &lt;= 30, "Veteran[21-30]", AG89 &lt;= 40, "Late Career[31-40]")</f>
        <v>Early Career[6-10]</v>
      </c>
      <c r="AI89" s="1">
        <v>4</v>
      </c>
      <c r="AJ89" s="1">
        <v>3</v>
      </c>
      <c r="AK89" s="1">
        <v>4</v>
      </c>
      <c r="AL89" s="9" t="str" cm="1">
        <f t="array" ref="AL89">_xlfn.IFS(AK89 &lt;= 5, "New[1-5]", AK89 &lt;= 10, "Early Career[6-10]", AK89 &lt;= 20, "Established[11-20]", AK89 &lt;= 30, "Veteran[21-30]", AK89 &lt;= 40, "Late Career[31-40]")</f>
        <v>New[1-5]</v>
      </c>
      <c r="AM89" s="1">
        <v>2</v>
      </c>
      <c r="AN89" s="9" t="str" cm="1">
        <f t="array" ref="AN89">_xlfn.IFS(AM89 &lt;= 3, "New to Role[1-3]", AM89 &lt;= 7, "Settled[4-7]", AM89 &lt;= 12, "Experienced[[8-12]", AM89 &lt;= 18, "Long Tenured[13-18]")</f>
        <v>New to Role[1-3]</v>
      </c>
      <c r="AO89" s="1">
        <v>0</v>
      </c>
      <c r="AP89" s="9" t="str" cm="1">
        <f t="array" ref="AP89">_xlfn.IFS(AO89 &lt;= 3, "Recently[1-3]", AO89 &lt;= 6, "Due Soon[4-6]", AO89 &lt;= 10, "Overdue[7-10]", AO89 &lt;= 15, "Long Overdue[11-15]")</f>
        <v>Recently[1-3]</v>
      </c>
      <c r="AQ89" s="9" t="str" cm="1">
        <f t="array" ref="AQ89">_xlfn.IFS(AR89 &lt;= 3, "New Relationship[1-3]", AR89 &lt;= 7, "Established Relationship[4-7]", AR89 &lt;= 12, "Long Term Relationship[8-12]", AR89 &lt;= 17, "Very Long Term Relationship[13-17]")</f>
        <v>New Relationship[1-3]</v>
      </c>
      <c r="AR89" s="1">
        <v>3</v>
      </c>
    </row>
    <row r="90" spans="1:44" x14ac:dyDescent="0.25">
      <c r="A90" s="1">
        <v>30</v>
      </c>
      <c r="B90" s="8" t="str" cm="1">
        <f t="array" ref="B90">_xlfn.IFS(A90 &lt;= 25, "[18-25]", A90 &lt;= 35, "[26-35]", A90 &lt;=45, "[36-45]", A90 &lt;= 60, "[46- 60]")</f>
        <v>[26-35]</v>
      </c>
      <c r="C90" s="3" t="s">
        <v>43</v>
      </c>
      <c r="D90">
        <f t="shared" si="1"/>
        <v>0</v>
      </c>
      <c r="E90" t="s">
        <v>36</v>
      </c>
      <c r="F90" s="1">
        <v>288</v>
      </c>
      <c r="G90" s="3" t="s">
        <v>45</v>
      </c>
      <c r="H90" s="1">
        <v>2</v>
      </c>
      <c r="I90" s="9" t="str" cm="1">
        <f t="array" ref="I90">_xlfn.IFS(H90 &lt;= 2, "[1-2] very close", H90 &lt;= 10, "[3-10] close", H90 &lt;= 20, "[11-20] moderate", H90 &lt;= 30, "[21-30] far")</f>
        <v>[1-2] very close</v>
      </c>
      <c r="J90" s="1">
        <v>3</v>
      </c>
      <c r="K90" s="3" t="s">
        <v>38</v>
      </c>
      <c r="L90" s="1">
        <v>1</v>
      </c>
      <c r="M90" s="1">
        <v>117</v>
      </c>
      <c r="N90" s="1">
        <v>3</v>
      </c>
      <c r="O90" s="3" t="s">
        <v>46</v>
      </c>
      <c r="P90" s="1">
        <v>99</v>
      </c>
      <c r="Q90" s="1">
        <v>2</v>
      </c>
      <c r="R90" s="1">
        <v>2</v>
      </c>
      <c r="S90" s="3" t="s">
        <v>54</v>
      </c>
      <c r="T90" s="1">
        <v>4</v>
      </c>
      <c r="U90" s="3" t="s">
        <v>48</v>
      </c>
      <c r="V90" s="4">
        <v>4152</v>
      </c>
      <c r="W90" s="1">
        <v>15830</v>
      </c>
      <c r="X90" s="1">
        <v>1</v>
      </c>
      <c r="Y90" s="3" t="s">
        <v>42</v>
      </c>
      <c r="Z90" s="3" t="s">
        <v>43</v>
      </c>
      <c r="AA90" s="5">
        <v>0.19</v>
      </c>
      <c r="AB90" s="10" t="str" cm="1">
        <f t="array" ref="AB90">_xlfn.IFS(AA90 &lt;= 15%, "Low Hike[11-15%]", AA90 &lt;= 20%, "Moderate Hike[16-20%]", AA90 &lt;= 25%,"High Hike[21-25%]")</f>
        <v>Moderate Hike[16-20%]</v>
      </c>
      <c r="AC90" s="1">
        <v>3</v>
      </c>
      <c r="AD90" s="1">
        <v>1</v>
      </c>
      <c r="AE90" s="1">
        <v>80</v>
      </c>
      <c r="AF90" s="1">
        <v>3</v>
      </c>
      <c r="AG90" s="1">
        <v>11</v>
      </c>
      <c r="AH90" s="9" t="str" cm="1">
        <f t="array" ref="AH90">_xlfn.IFS(AG90 &lt;= 5, "New[1-5]", AG90 &lt;= 10, "Early Career[6-10]", AG90 &lt;= 20, "Established[11-20]", AG90 &lt;= 30, "Veteran[21-30]", AG90 &lt;= 40, "Late Career[31-40]")</f>
        <v>Established[11-20]</v>
      </c>
      <c r="AI90" s="1">
        <v>3</v>
      </c>
      <c r="AJ90" s="1">
        <v>3</v>
      </c>
      <c r="AK90" s="1">
        <v>11</v>
      </c>
      <c r="AL90" s="9" t="str" cm="1">
        <f t="array" ref="AL90">_xlfn.IFS(AK90 &lt;= 5, "New[1-5]", AK90 &lt;= 10, "Early Career[6-10]", AK90 &lt;= 20, "Established[11-20]", AK90 &lt;= 30, "Veteran[21-30]", AK90 &lt;= 40, "Late Career[31-40]")</f>
        <v>Established[11-20]</v>
      </c>
      <c r="AM90" s="1">
        <v>10</v>
      </c>
      <c r="AN90" s="9" t="str" cm="1">
        <f t="array" ref="AN90">_xlfn.IFS(AM90 &lt;= 3, "New to Role[1-3]", AM90 &lt;= 7, "Settled[4-7]", AM90 &lt;= 12, "Experienced[[8-12]", AM90 &lt;= 18, "Long Tenured[13-18]")</f>
        <v>Experienced[[8-12]</v>
      </c>
      <c r="AO90" s="1">
        <v>10</v>
      </c>
      <c r="AP90" s="9" t="str" cm="1">
        <f t="array" ref="AP90">_xlfn.IFS(AO90 &lt;= 3, "Recently[1-3]", AO90 &lt;= 6, "Due Soon[4-6]", AO90 &lt;= 10, "Overdue[7-10]", AO90 &lt;= 15, "Long Overdue[11-15]")</f>
        <v>Overdue[7-10]</v>
      </c>
      <c r="AQ90" s="9" t="str" cm="1">
        <f t="array" ref="AQ90">_xlfn.IFS(AR90 &lt;= 3, "New Relationship[1-3]", AR90 &lt;= 7, "Established Relationship[4-7]", AR90 &lt;= 12, "Long Term Relationship[8-12]", AR90 &lt;= 17, "Very Long Term Relationship[13-17]")</f>
        <v>Long Term Relationship[8-12]</v>
      </c>
      <c r="AR90" s="1">
        <v>8</v>
      </c>
    </row>
    <row r="91" spans="1:44" x14ac:dyDescent="0.25">
      <c r="A91" s="1">
        <v>46</v>
      </c>
      <c r="B91" s="8" t="str" cm="1">
        <f t="array" ref="B91">_xlfn.IFS(A91 &lt;= 25, "[18-25]", A91 &lt;= 35, "[26-35]", A91 &lt;=45, "[36-45]", A91 &lt;= 60, "[46- 60]")</f>
        <v>[46- 60]</v>
      </c>
      <c r="C91" s="3" t="s">
        <v>35</v>
      </c>
      <c r="D91">
        <f t="shared" si="1"/>
        <v>1</v>
      </c>
      <c r="E91" t="s">
        <v>36</v>
      </c>
      <c r="F91" s="1">
        <v>669</v>
      </c>
      <c r="G91" s="3" t="s">
        <v>37</v>
      </c>
      <c r="H91" s="1">
        <v>9</v>
      </c>
      <c r="I91" s="9" t="str" cm="1">
        <f t="array" ref="I91">_xlfn.IFS(H91 &lt;= 2, "[1-2] very close", H91 &lt;= 10, "[3-10] close", H91 &lt;= 20, "[11-20] moderate", H91 &lt;= 30, "[21-30] far")</f>
        <v>[3-10] close</v>
      </c>
      <c r="J91" s="1">
        <v>2</v>
      </c>
      <c r="K91" s="3" t="s">
        <v>51</v>
      </c>
      <c r="L91" s="1">
        <v>1</v>
      </c>
      <c r="M91" s="1">
        <v>118</v>
      </c>
      <c r="N91" s="1">
        <v>3</v>
      </c>
      <c r="O91" s="3" t="s">
        <v>46</v>
      </c>
      <c r="P91" s="1">
        <v>64</v>
      </c>
      <c r="Q91" s="1">
        <v>2</v>
      </c>
      <c r="R91" s="1">
        <v>3</v>
      </c>
      <c r="S91" s="3" t="s">
        <v>40</v>
      </c>
      <c r="T91" s="1">
        <v>4</v>
      </c>
      <c r="U91" s="3" t="s">
        <v>41</v>
      </c>
      <c r="V91" s="4">
        <v>9619</v>
      </c>
      <c r="W91" s="1">
        <v>13596</v>
      </c>
      <c r="X91" s="1">
        <v>1</v>
      </c>
      <c r="Y91" s="3" t="s">
        <v>42</v>
      </c>
      <c r="Z91" s="3" t="s">
        <v>43</v>
      </c>
      <c r="AA91" s="5">
        <v>0.16</v>
      </c>
      <c r="AB91" s="10" t="str" cm="1">
        <f t="array" ref="AB91">_xlfn.IFS(AA91 &lt;= 15%, "Low Hike[11-15%]", AA91 &lt;= 20%, "Moderate Hike[16-20%]", AA91 &lt;= 25%,"High Hike[21-25%]")</f>
        <v>Moderate Hike[16-20%]</v>
      </c>
      <c r="AC91" s="1">
        <v>3</v>
      </c>
      <c r="AD91" s="1">
        <v>4</v>
      </c>
      <c r="AE91" s="1">
        <v>80</v>
      </c>
      <c r="AF91" s="1">
        <v>0</v>
      </c>
      <c r="AG91" s="1">
        <v>9</v>
      </c>
      <c r="AH91" s="9" t="str" cm="1">
        <f t="array" ref="AH91">_xlfn.IFS(AG91 &lt;= 5, "New[1-5]", AG91 &lt;= 10, "Early Career[6-10]", AG91 &lt;= 20, "Established[11-20]", AG91 &lt;= 30, "Veteran[21-30]", AG91 &lt;= 40, "Late Career[31-40]")</f>
        <v>Early Career[6-10]</v>
      </c>
      <c r="AI91" s="1">
        <v>3</v>
      </c>
      <c r="AJ91" s="1">
        <v>3</v>
      </c>
      <c r="AK91" s="1">
        <v>9</v>
      </c>
      <c r="AL91" s="9" t="str" cm="1">
        <f t="array" ref="AL91">_xlfn.IFS(AK91 &lt;= 5, "New[1-5]", AK91 &lt;= 10, "Early Career[6-10]", AK91 &lt;= 20, "Established[11-20]", AK91 &lt;= 30, "Veteran[21-30]", AK91 &lt;= 40, "Late Career[31-40]")</f>
        <v>Early Career[6-10]</v>
      </c>
      <c r="AM91" s="1">
        <v>8</v>
      </c>
      <c r="AN91" s="9" t="str" cm="1">
        <f t="array" ref="AN91">_xlfn.IFS(AM91 &lt;= 3, "New to Role[1-3]", AM91 &lt;= 7, "Settled[4-7]", AM91 &lt;= 12, "Experienced[[8-12]", AM91 &lt;= 18, "Long Tenured[13-18]")</f>
        <v>Experienced[[8-12]</v>
      </c>
      <c r="AO91" s="1">
        <v>4</v>
      </c>
      <c r="AP91" s="9" t="str" cm="1">
        <f t="array" ref="AP91">_xlfn.IFS(AO91 &lt;= 3, "Recently[1-3]", AO91 &lt;= 6, "Due Soon[4-6]", AO91 &lt;= 10, "Overdue[7-10]", AO91 &lt;= 15, "Long Overdue[11-15]")</f>
        <v>Due Soon[4-6]</v>
      </c>
      <c r="AQ91" s="9" t="str" cm="1">
        <f t="array" ref="AQ91">_xlfn.IFS(AR91 &lt;= 3, "New Relationship[1-3]", AR91 &lt;= 7, "Established Relationship[4-7]", AR91 &lt;= 12, "Long Term Relationship[8-12]", AR91 &lt;= 17, "Very Long Term Relationship[13-17]")</f>
        <v>Established Relationship[4-7]</v>
      </c>
      <c r="AR91" s="1">
        <v>7</v>
      </c>
    </row>
    <row r="92" spans="1:44" x14ac:dyDescent="0.25">
      <c r="A92" s="1">
        <v>40</v>
      </c>
      <c r="B92" s="8" t="str" cm="1">
        <f t="array" ref="B92">_xlfn.IFS(A92 &lt;= 25, "[18-25]", A92 &lt;= 35, "[26-35]", A92 &lt;=45, "[36-45]", A92 &lt;= 60, "[46- 60]")</f>
        <v>[36-45]</v>
      </c>
      <c r="C92" s="3" t="s">
        <v>43</v>
      </c>
      <c r="D92">
        <f t="shared" si="1"/>
        <v>0</v>
      </c>
      <c r="E92" t="s">
        <v>44</v>
      </c>
      <c r="F92" s="1">
        <v>530</v>
      </c>
      <c r="G92" s="3" t="s">
        <v>45</v>
      </c>
      <c r="H92" s="1">
        <v>1</v>
      </c>
      <c r="I92" s="9" t="str" cm="1">
        <f t="array" ref="I92">_xlfn.IFS(H92 &lt;= 2, "[1-2] very close", H92 &lt;= 10, "[3-10] close", H92 &lt;= 20, "[11-20] moderate", H92 &lt;= 30, "[21-30] far")</f>
        <v>[1-2] very close</v>
      </c>
      <c r="J92" s="1">
        <v>4</v>
      </c>
      <c r="K92" s="3" t="s">
        <v>38</v>
      </c>
      <c r="L92" s="1">
        <v>1</v>
      </c>
      <c r="M92" s="1">
        <v>119</v>
      </c>
      <c r="N92" s="1">
        <v>3</v>
      </c>
      <c r="O92" s="3" t="s">
        <v>46</v>
      </c>
      <c r="P92" s="1">
        <v>78</v>
      </c>
      <c r="Q92" s="1">
        <v>2</v>
      </c>
      <c r="R92" s="1">
        <v>4</v>
      </c>
      <c r="S92" s="3" t="s">
        <v>54</v>
      </c>
      <c r="T92" s="1">
        <v>2</v>
      </c>
      <c r="U92" s="3" t="s">
        <v>48</v>
      </c>
      <c r="V92" s="4">
        <v>13503</v>
      </c>
      <c r="W92" s="1">
        <v>14115</v>
      </c>
      <c r="X92" s="1">
        <v>1</v>
      </c>
      <c r="Y92" s="3" t="s">
        <v>42</v>
      </c>
      <c r="Z92" s="3" t="s">
        <v>43</v>
      </c>
      <c r="AA92" s="5">
        <v>0.22</v>
      </c>
      <c r="AB92" s="10" t="str" cm="1">
        <f t="array" ref="AB92">_xlfn.IFS(AA92 &lt;= 15%, "Low Hike[11-15%]", AA92 &lt;= 20%, "Moderate Hike[16-20%]", AA92 &lt;= 25%,"High Hike[21-25%]")</f>
        <v>High Hike[21-25%]</v>
      </c>
      <c r="AC92" s="1">
        <v>4</v>
      </c>
      <c r="AD92" s="1">
        <v>4</v>
      </c>
      <c r="AE92" s="1">
        <v>80</v>
      </c>
      <c r="AF92" s="1">
        <v>1</v>
      </c>
      <c r="AG92" s="1">
        <v>22</v>
      </c>
      <c r="AH92" s="9" t="str" cm="1">
        <f t="array" ref="AH92">_xlfn.IFS(AG92 &lt;= 5, "New[1-5]", AG92 &lt;= 10, "Early Career[6-10]", AG92 &lt;= 20, "Established[11-20]", AG92 &lt;= 30, "Veteran[21-30]", AG92 &lt;= 40, "Late Career[31-40]")</f>
        <v>Veteran[21-30]</v>
      </c>
      <c r="AI92" s="1">
        <v>3</v>
      </c>
      <c r="AJ92" s="1">
        <v>2</v>
      </c>
      <c r="AK92" s="1">
        <v>22</v>
      </c>
      <c r="AL92" s="9" t="str" cm="1">
        <f t="array" ref="AL92">_xlfn.IFS(AK92 &lt;= 5, "New[1-5]", AK92 &lt;= 10, "Early Career[6-10]", AK92 &lt;= 20, "Established[11-20]", AK92 &lt;= 30, "Veteran[21-30]", AK92 &lt;= 40, "Late Career[31-40]")</f>
        <v>Veteran[21-30]</v>
      </c>
      <c r="AM92" s="1">
        <v>3</v>
      </c>
      <c r="AN92" s="9" t="str" cm="1">
        <f t="array" ref="AN92">_xlfn.IFS(AM92 &lt;= 3, "New to Role[1-3]", AM92 &lt;= 7, "Settled[4-7]", AM92 &lt;= 12, "Experienced[[8-12]", AM92 &lt;= 18, "Long Tenured[13-18]")</f>
        <v>New to Role[1-3]</v>
      </c>
      <c r="AO92" s="1">
        <v>11</v>
      </c>
      <c r="AP92" s="9" t="str" cm="1">
        <f t="array" ref="AP92">_xlfn.IFS(AO92 &lt;= 3, "Recently[1-3]", AO92 &lt;= 6, "Due Soon[4-6]", AO92 &lt;= 10, "Overdue[7-10]", AO92 &lt;= 15, "Long Overdue[11-15]")</f>
        <v>Long Overdue[11-15]</v>
      </c>
      <c r="AQ92" s="9" t="str" cm="1">
        <f t="array" ref="AQ92">_xlfn.IFS(AR92 &lt;= 3, "New Relationship[1-3]", AR92 &lt;= 7, "Established Relationship[4-7]", AR92 &lt;= 12, "Long Term Relationship[8-12]", AR92 &lt;= 17, "Very Long Term Relationship[13-17]")</f>
        <v>Long Term Relationship[8-12]</v>
      </c>
      <c r="AR92" s="1">
        <v>11</v>
      </c>
    </row>
    <row r="93" spans="1:44" x14ac:dyDescent="0.25">
      <c r="A93" s="1">
        <v>51</v>
      </c>
      <c r="B93" s="8" t="str" cm="1">
        <f t="array" ref="B93">_xlfn.IFS(A93 &lt;= 25, "[18-25]", A93 &lt;= 35, "[26-35]", A93 &lt;=45, "[36-45]", A93 &lt;= 60, "[46- 60]")</f>
        <v>[46- 60]</v>
      </c>
      <c r="C93" s="3" t="s">
        <v>43</v>
      </c>
      <c r="D93">
        <f t="shared" si="1"/>
        <v>0</v>
      </c>
      <c r="E93" t="s">
        <v>36</v>
      </c>
      <c r="F93" s="1">
        <v>632</v>
      </c>
      <c r="G93" s="3" t="s">
        <v>37</v>
      </c>
      <c r="H93" s="1">
        <v>21</v>
      </c>
      <c r="I93" s="9" t="str" cm="1">
        <f t="array" ref="I93">_xlfn.IFS(H93 &lt;= 2, "[1-2] very close", H93 &lt;= 10, "[3-10] close", H93 &lt;= 20, "[11-20] moderate", H93 &lt;= 30, "[21-30] far")</f>
        <v>[21-30] far</v>
      </c>
      <c r="J93" s="1">
        <v>4</v>
      </c>
      <c r="K93" s="3" t="s">
        <v>59</v>
      </c>
      <c r="L93" s="1">
        <v>1</v>
      </c>
      <c r="M93" s="1">
        <v>120</v>
      </c>
      <c r="N93" s="1">
        <v>3</v>
      </c>
      <c r="O93" s="3" t="s">
        <v>46</v>
      </c>
      <c r="P93" s="1">
        <v>71</v>
      </c>
      <c r="Q93" s="1">
        <v>3</v>
      </c>
      <c r="R93" s="1">
        <v>2</v>
      </c>
      <c r="S93" s="3" t="s">
        <v>40</v>
      </c>
      <c r="T93" s="1">
        <v>4</v>
      </c>
      <c r="U93" s="3" t="s">
        <v>41</v>
      </c>
      <c r="V93" s="4">
        <v>5441</v>
      </c>
      <c r="W93" s="1">
        <v>8423</v>
      </c>
      <c r="X93" s="1">
        <v>0</v>
      </c>
      <c r="Y93" s="3" t="s">
        <v>42</v>
      </c>
      <c r="Z93" s="3" t="s">
        <v>35</v>
      </c>
      <c r="AA93" s="5">
        <v>0.22</v>
      </c>
      <c r="AB93" s="10" t="str" cm="1">
        <f t="array" ref="AB93">_xlfn.IFS(AA93 &lt;= 15%, "Low Hike[11-15%]", AA93 &lt;= 20%, "Moderate Hike[16-20%]", AA93 &lt;= 25%,"High Hike[21-25%]")</f>
        <v>High Hike[21-25%]</v>
      </c>
      <c r="AC93" s="1">
        <v>4</v>
      </c>
      <c r="AD93" s="1">
        <v>4</v>
      </c>
      <c r="AE93" s="1">
        <v>80</v>
      </c>
      <c r="AF93" s="1">
        <v>0</v>
      </c>
      <c r="AG93" s="1">
        <v>11</v>
      </c>
      <c r="AH93" s="9" t="str" cm="1">
        <f t="array" ref="AH93">_xlfn.IFS(AG93 &lt;= 5, "New[1-5]", AG93 &lt;= 10, "Early Career[6-10]", AG93 &lt;= 20, "Established[11-20]", AG93 &lt;= 30, "Veteran[21-30]", AG93 &lt;= 40, "Late Career[31-40]")</f>
        <v>Established[11-20]</v>
      </c>
      <c r="AI93" s="1">
        <v>2</v>
      </c>
      <c r="AJ93" s="1">
        <v>1</v>
      </c>
      <c r="AK93" s="1">
        <v>10</v>
      </c>
      <c r="AL93" s="9" t="str" cm="1">
        <f t="array" ref="AL93">_xlfn.IFS(AK93 &lt;= 5, "New[1-5]", AK93 &lt;= 10, "Early Career[6-10]", AK93 &lt;= 20, "Established[11-20]", AK93 &lt;= 30, "Veteran[21-30]", AK93 &lt;= 40, "Late Career[31-40]")</f>
        <v>Early Career[6-10]</v>
      </c>
      <c r="AM93" s="1">
        <v>7</v>
      </c>
      <c r="AN93" s="9" t="str" cm="1">
        <f t="array" ref="AN93">_xlfn.IFS(AM93 &lt;= 3, "New to Role[1-3]", AM93 &lt;= 7, "Settled[4-7]", AM93 &lt;= 12, "Experienced[[8-12]", AM93 &lt;= 18, "Long Tenured[13-18]")</f>
        <v>Settled[4-7]</v>
      </c>
      <c r="AO93" s="1">
        <v>1</v>
      </c>
      <c r="AP93" s="9" t="str" cm="1">
        <f t="array" ref="AP93">_xlfn.IFS(AO93 &lt;= 3, "Recently[1-3]", AO93 &lt;= 6, "Due Soon[4-6]", AO93 &lt;= 10, "Overdue[7-10]", AO93 &lt;= 15, "Long Overdue[11-15]")</f>
        <v>Recently[1-3]</v>
      </c>
      <c r="AQ93" s="9" t="str" cm="1">
        <f t="array" ref="AQ93">_xlfn.IFS(AR93 &lt;= 3, "New Relationship[1-3]", AR93 &lt;= 7, "Established Relationship[4-7]", AR93 &lt;= 12, "Long Term Relationship[8-12]", AR93 &lt;= 17, "Very Long Term Relationship[13-17]")</f>
        <v>New Relationship[1-3]</v>
      </c>
      <c r="AR93" s="1">
        <v>0</v>
      </c>
    </row>
    <row r="94" spans="1:44" x14ac:dyDescent="0.25">
      <c r="A94" s="1">
        <v>30</v>
      </c>
      <c r="B94" s="8" t="str" cm="1">
        <f t="array" ref="B94">_xlfn.IFS(A94 &lt;= 25, "[18-25]", A94 &lt;= 35, "[26-35]", A94 &lt;=45, "[36-45]", A94 &lt;= 60, "[46- 60]")</f>
        <v>[26-35]</v>
      </c>
      <c r="C94" s="3" t="s">
        <v>43</v>
      </c>
      <c r="D94">
        <f t="shared" si="1"/>
        <v>0</v>
      </c>
      <c r="E94" t="s">
        <v>36</v>
      </c>
      <c r="F94" s="1">
        <v>1334</v>
      </c>
      <c r="G94" s="3" t="s">
        <v>37</v>
      </c>
      <c r="H94" s="1">
        <v>4</v>
      </c>
      <c r="I94" s="9" t="str" cm="1">
        <f t="array" ref="I94">_xlfn.IFS(H94 &lt;= 2, "[1-2] very close", H94 &lt;= 10, "[3-10] close", H94 &lt;= 20, "[11-20] moderate", H94 &lt;= 30, "[21-30] far")</f>
        <v>[3-10] close</v>
      </c>
      <c r="J94" s="1">
        <v>2</v>
      </c>
      <c r="K94" s="3" t="s">
        <v>51</v>
      </c>
      <c r="L94" s="1">
        <v>1</v>
      </c>
      <c r="M94" s="1">
        <v>121</v>
      </c>
      <c r="N94" s="1">
        <v>3</v>
      </c>
      <c r="O94" s="3" t="s">
        <v>39</v>
      </c>
      <c r="P94" s="1">
        <v>63</v>
      </c>
      <c r="Q94" s="1">
        <v>2</v>
      </c>
      <c r="R94" s="1">
        <v>2</v>
      </c>
      <c r="S94" s="3" t="s">
        <v>40</v>
      </c>
      <c r="T94" s="1">
        <v>2</v>
      </c>
      <c r="U94" s="3" t="s">
        <v>52</v>
      </c>
      <c r="V94" s="4">
        <v>5209</v>
      </c>
      <c r="W94" s="1">
        <v>19760</v>
      </c>
      <c r="X94" s="1">
        <v>1</v>
      </c>
      <c r="Y94" s="3" t="s">
        <v>42</v>
      </c>
      <c r="Z94" s="3" t="s">
        <v>35</v>
      </c>
      <c r="AA94" s="5">
        <v>0.12</v>
      </c>
      <c r="AB94" s="10" t="str" cm="1">
        <f t="array" ref="AB94">_xlfn.IFS(AA94 &lt;= 15%, "Low Hike[11-15%]", AA94 &lt;= 20%, "Moderate Hike[16-20%]", AA94 &lt;= 25%,"High Hike[21-25%]")</f>
        <v>Low Hike[11-15%]</v>
      </c>
      <c r="AC94" s="1">
        <v>3</v>
      </c>
      <c r="AD94" s="1">
        <v>2</v>
      </c>
      <c r="AE94" s="1">
        <v>80</v>
      </c>
      <c r="AF94" s="1">
        <v>3</v>
      </c>
      <c r="AG94" s="1">
        <v>11</v>
      </c>
      <c r="AH94" s="9" t="str" cm="1">
        <f t="array" ref="AH94">_xlfn.IFS(AG94 &lt;= 5, "New[1-5]", AG94 &lt;= 10, "Early Career[6-10]", AG94 &lt;= 20, "Established[11-20]", AG94 &lt;= 30, "Veteran[21-30]", AG94 &lt;= 40, "Late Career[31-40]")</f>
        <v>Established[11-20]</v>
      </c>
      <c r="AI94" s="1">
        <v>4</v>
      </c>
      <c r="AJ94" s="1">
        <v>2</v>
      </c>
      <c r="AK94" s="1">
        <v>11</v>
      </c>
      <c r="AL94" s="9" t="str" cm="1">
        <f t="array" ref="AL94">_xlfn.IFS(AK94 &lt;= 5, "New[1-5]", AK94 &lt;= 10, "Early Career[6-10]", AK94 &lt;= 20, "Established[11-20]", AK94 &lt;= 30, "Veteran[21-30]", AK94 &lt;= 40, "Late Career[31-40]")</f>
        <v>Established[11-20]</v>
      </c>
      <c r="AM94" s="1">
        <v>8</v>
      </c>
      <c r="AN94" s="9" t="str" cm="1">
        <f t="array" ref="AN94">_xlfn.IFS(AM94 &lt;= 3, "New to Role[1-3]", AM94 &lt;= 7, "Settled[4-7]", AM94 &lt;= 12, "Experienced[[8-12]", AM94 &lt;= 18, "Long Tenured[13-18]")</f>
        <v>Experienced[[8-12]</v>
      </c>
      <c r="AO94" s="1">
        <v>2</v>
      </c>
      <c r="AP94" s="9" t="str" cm="1">
        <f t="array" ref="AP94">_xlfn.IFS(AO94 &lt;= 3, "Recently[1-3]", AO94 &lt;= 6, "Due Soon[4-6]", AO94 &lt;= 10, "Overdue[7-10]", AO94 &lt;= 15, "Long Overdue[11-15]")</f>
        <v>Recently[1-3]</v>
      </c>
      <c r="AQ94" s="9" t="str" cm="1">
        <f t="array" ref="AQ94">_xlfn.IFS(AR94 &lt;= 3, "New Relationship[1-3]", AR94 &lt;= 7, "Established Relationship[4-7]", AR94 &lt;= 12, "Long Term Relationship[8-12]", AR94 &lt;= 17, "Very Long Term Relationship[13-17]")</f>
        <v>Established Relationship[4-7]</v>
      </c>
      <c r="AR94" s="1">
        <v>7</v>
      </c>
    </row>
    <row r="95" spans="1:44" x14ac:dyDescent="0.25">
      <c r="A95" s="1">
        <v>46</v>
      </c>
      <c r="B95" s="8" t="str" cm="1">
        <f t="array" ref="B95">_xlfn.IFS(A95 &lt;= 25, "[18-25]", A95 &lt;= 35, "[26-35]", A95 &lt;=45, "[36-45]", A95 &lt;= 60, "[46- 60]")</f>
        <v>[46- 60]</v>
      </c>
      <c r="C95" s="3" t="s">
        <v>43</v>
      </c>
      <c r="D95">
        <f t="shared" si="1"/>
        <v>0</v>
      </c>
      <c r="E95" t="s">
        <v>44</v>
      </c>
      <c r="F95" s="1">
        <v>638</v>
      </c>
      <c r="G95" s="3" t="s">
        <v>45</v>
      </c>
      <c r="H95" s="1">
        <v>1</v>
      </c>
      <c r="I95" s="9" t="str" cm="1">
        <f t="array" ref="I95">_xlfn.IFS(H95 &lt;= 2, "[1-2] very close", H95 &lt;= 10, "[3-10] close", H95 &lt;= 20, "[11-20] moderate", H95 &lt;= 30, "[21-30] far")</f>
        <v>[1-2] very close</v>
      </c>
      <c r="J95" s="1">
        <v>3</v>
      </c>
      <c r="K95" s="3" t="s">
        <v>51</v>
      </c>
      <c r="L95" s="1">
        <v>1</v>
      </c>
      <c r="M95" s="1">
        <v>124</v>
      </c>
      <c r="N95" s="1">
        <v>3</v>
      </c>
      <c r="O95" s="3" t="s">
        <v>46</v>
      </c>
      <c r="P95" s="1">
        <v>40</v>
      </c>
      <c r="Q95" s="1">
        <v>2</v>
      </c>
      <c r="R95" s="1">
        <v>3</v>
      </c>
      <c r="S95" s="3" t="s">
        <v>54</v>
      </c>
      <c r="T95" s="1">
        <v>1</v>
      </c>
      <c r="U95" s="3" t="s">
        <v>48</v>
      </c>
      <c r="V95" s="4">
        <v>10673</v>
      </c>
      <c r="W95" s="1">
        <v>3142</v>
      </c>
      <c r="X95" s="1">
        <v>2</v>
      </c>
      <c r="Y95" s="3" t="s">
        <v>42</v>
      </c>
      <c r="Z95" s="3" t="s">
        <v>35</v>
      </c>
      <c r="AA95" s="5">
        <v>0.13</v>
      </c>
      <c r="AB95" s="10" t="str" cm="1">
        <f t="array" ref="AB95">_xlfn.IFS(AA95 &lt;= 15%, "Low Hike[11-15%]", AA95 &lt;= 20%, "Moderate Hike[16-20%]", AA95 &lt;= 25%,"High Hike[21-25%]")</f>
        <v>Low Hike[11-15%]</v>
      </c>
      <c r="AC95" s="1">
        <v>3</v>
      </c>
      <c r="AD95" s="1">
        <v>3</v>
      </c>
      <c r="AE95" s="1">
        <v>80</v>
      </c>
      <c r="AF95" s="1">
        <v>1</v>
      </c>
      <c r="AG95" s="1">
        <v>21</v>
      </c>
      <c r="AH95" s="9" t="str" cm="1">
        <f t="array" ref="AH95">_xlfn.IFS(AG95 &lt;= 5, "New[1-5]", AG95 &lt;= 10, "Early Career[6-10]", AG95 &lt;= 20, "Established[11-20]", AG95 &lt;= 30, "Veteran[21-30]", AG95 &lt;= 40, "Late Career[31-40]")</f>
        <v>Veteran[21-30]</v>
      </c>
      <c r="AI95" s="1">
        <v>5</v>
      </c>
      <c r="AJ95" s="1">
        <v>2</v>
      </c>
      <c r="AK95" s="1">
        <v>10</v>
      </c>
      <c r="AL95" s="9" t="str" cm="1">
        <f t="array" ref="AL95">_xlfn.IFS(AK95 &lt;= 5, "New[1-5]", AK95 &lt;= 10, "Early Career[6-10]", AK95 &lt;= 20, "Established[11-20]", AK95 &lt;= 30, "Veteran[21-30]", AK95 &lt;= 40, "Late Career[31-40]")</f>
        <v>Early Career[6-10]</v>
      </c>
      <c r="AM95" s="1">
        <v>9</v>
      </c>
      <c r="AN95" s="9" t="str" cm="1">
        <f t="array" ref="AN95">_xlfn.IFS(AM95 &lt;= 3, "New to Role[1-3]", AM95 &lt;= 7, "Settled[4-7]", AM95 &lt;= 12, "Experienced[[8-12]", AM95 &lt;= 18, "Long Tenured[13-18]")</f>
        <v>Experienced[[8-12]</v>
      </c>
      <c r="AO95" s="1">
        <v>9</v>
      </c>
      <c r="AP95" s="9" t="str" cm="1">
        <f t="array" ref="AP95">_xlfn.IFS(AO95 &lt;= 3, "Recently[1-3]", AO95 &lt;= 6, "Due Soon[4-6]", AO95 &lt;= 10, "Overdue[7-10]", AO95 &lt;= 15, "Long Overdue[11-15]")</f>
        <v>Overdue[7-10]</v>
      </c>
      <c r="AQ95" s="9" t="str" cm="1">
        <f t="array" ref="AQ95">_xlfn.IFS(AR95 &lt;= 3, "New Relationship[1-3]", AR95 &lt;= 7, "Established Relationship[4-7]", AR95 &lt;= 12, "Long Term Relationship[8-12]", AR95 &lt;= 17, "Very Long Term Relationship[13-17]")</f>
        <v>Established Relationship[4-7]</v>
      </c>
      <c r="AR95" s="1">
        <v>5</v>
      </c>
    </row>
    <row r="96" spans="1:44" x14ac:dyDescent="0.25">
      <c r="A96" s="1">
        <v>32</v>
      </c>
      <c r="B96" s="8" t="str" cm="1">
        <f t="array" ref="B96">_xlfn.IFS(A96 &lt;= 25, "[18-25]", A96 &lt;= 35, "[26-35]", A96 &lt;=45, "[36-45]", A96 &lt;= 60, "[46- 60]")</f>
        <v>[26-35]</v>
      </c>
      <c r="C96" s="3" t="s">
        <v>43</v>
      </c>
      <c r="D96">
        <f t="shared" si="1"/>
        <v>0</v>
      </c>
      <c r="E96" t="s">
        <v>36</v>
      </c>
      <c r="F96" s="1">
        <v>1093</v>
      </c>
      <c r="G96" s="3" t="s">
        <v>37</v>
      </c>
      <c r="H96" s="1">
        <v>6</v>
      </c>
      <c r="I96" s="9" t="str" cm="1">
        <f t="array" ref="I96">_xlfn.IFS(H96 &lt;= 2, "[1-2] very close", H96 &lt;= 10, "[3-10] close", H96 &lt;= 20, "[11-20] moderate", H96 &lt;= 30, "[21-30] far")</f>
        <v>[3-10] close</v>
      </c>
      <c r="J96" s="1">
        <v>4</v>
      </c>
      <c r="K96" s="3" t="s">
        <v>51</v>
      </c>
      <c r="L96" s="1">
        <v>1</v>
      </c>
      <c r="M96" s="1">
        <v>125</v>
      </c>
      <c r="N96" s="1">
        <v>2</v>
      </c>
      <c r="O96" s="3" t="s">
        <v>46</v>
      </c>
      <c r="P96" s="1">
        <v>87</v>
      </c>
      <c r="Q96" s="1">
        <v>3</v>
      </c>
      <c r="R96" s="1">
        <v>2</v>
      </c>
      <c r="S96" s="3" t="s">
        <v>40</v>
      </c>
      <c r="T96" s="1">
        <v>3</v>
      </c>
      <c r="U96" s="3" t="s">
        <v>41</v>
      </c>
      <c r="V96" s="4">
        <v>5010</v>
      </c>
      <c r="W96" s="1">
        <v>24301</v>
      </c>
      <c r="X96" s="1">
        <v>1</v>
      </c>
      <c r="Y96" s="3" t="s">
        <v>42</v>
      </c>
      <c r="Z96" s="3" t="s">
        <v>43</v>
      </c>
      <c r="AA96" s="5">
        <v>0.16</v>
      </c>
      <c r="AB96" s="10" t="str" cm="1">
        <f t="array" ref="AB96">_xlfn.IFS(AA96 &lt;= 15%, "Low Hike[11-15%]", AA96 &lt;= 20%, "Moderate Hike[16-20%]", AA96 &lt;= 25%,"High Hike[21-25%]")</f>
        <v>Moderate Hike[16-20%]</v>
      </c>
      <c r="AC96" s="1">
        <v>3</v>
      </c>
      <c r="AD96" s="1">
        <v>1</v>
      </c>
      <c r="AE96" s="1">
        <v>80</v>
      </c>
      <c r="AF96" s="1">
        <v>0</v>
      </c>
      <c r="AG96" s="1">
        <v>12</v>
      </c>
      <c r="AH96" s="9" t="str" cm="1">
        <f t="array" ref="AH96">_xlfn.IFS(AG96 &lt;= 5, "New[1-5]", AG96 &lt;= 10, "Early Career[6-10]", AG96 &lt;= 20, "Established[11-20]", AG96 &lt;= 30, "Veteran[21-30]", AG96 &lt;= 40, "Late Career[31-40]")</f>
        <v>Established[11-20]</v>
      </c>
      <c r="AI96" s="1">
        <v>0</v>
      </c>
      <c r="AJ96" s="1">
        <v>3</v>
      </c>
      <c r="AK96" s="1">
        <v>11</v>
      </c>
      <c r="AL96" s="9" t="str" cm="1">
        <f t="array" ref="AL96">_xlfn.IFS(AK96 &lt;= 5, "New[1-5]", AK96 &lt;= 10, "Early Career[6-10]", AK96 &lt;= 20, "Established[11-20]", AK96 &lt;= 30, "Veteran[21-30]", AK96 &lt;= 40, "Late Career[31-40]")</f>
        <v>Established[11-20]</v>
      </c>
      <c r="AM96" s="1">
        <v>8</v>
      </c>
      <c r="AN96" s="9" t="str" cm="1">
        <f t="array" ref="AN96">_xlfn.IFS(AM96 &lt;= 3, "New to Role[1-3]", AM96 &lt;= 7, "Settled[4-7]", AM96 &lt;= 12, "Experienced[[8-12]", AM96 &lt;= 18, "Long Tenured[13-18]")</f>
        <v>Experienced[[8-12]</v>
      </c>
      <c r="AO96" s="1">
        <v>5</v>
      </c>
      <c r="AP96" s="9" t="str" cm="1">
        <f t="array" ref="AP96">_xlfn.IFS(AO96 &lt;= 3, "Recently[1-3]", AO96 &lt;= 6, "Due Soon[4-6]", AO96 &lt;= 10, "Overdue[7-10]", AO96 &lt;= 15, "Long Overdue[11-15]")</f>
        <v>Due Soon[4-6]</v>
      </c>
      <c r="AQ96" s="9" t="str" cm="1">
        <f t="array" ref="AQ96">_xlfn.IFS(AR96 &lt;= 3, "New Relationship[1-3]", AR96 &lt;= 7, "Established Relationship[4-7]", AR96 &lt;= 12, "Long Term Relationship[8-12]", AR96 &lt;= 17, "Very Long Term Relationship[13-17]")</f>
        <v>Established Relationship[4-7]</v>
      </c>
      <c r="AR96" s="1">
        <v>7</v>
      </c>
    </row>
    <row r="97" spans="1:44" x14ac:dyDescent="0.25">
      <c r="A97" s="1">
        <v>54</v>
      </c>
      <c r="B97" s="8" t="str" cm="1">
        <f t="array" ref="B97">_xlfn.IFS(A97 &lt;= 25, "[18-25]", A97 &lt;= 35, "[26-35]", A97 &lt;=45, "[36-45]", A97 &lt;= 60, "[46- 60]")</f>
        <v>[46- 60]</v>
      </c>
      <c r="C97" s="3" t="s">
        <v>43</v>
      </c>
      <c r="D97">
        <f t="shared" si="1"/>
        <v>0</v>
      </c>
      <c r="E97" t="s">
        <v>36</v>
      </c>
      <c r="F97" s="1">
        <v>1217</v>
      </c>
      <c r="G97" s="3" t="s">
        <v>45</v>
      </c>
      <c r="H97" s="1">
        <v>2</v>
      </c>
      <c r="I97" s="9" t="str" cm="1">
        <f t="array" ref="I97">_xlfn.IFS(H97 &lt;= 2, "[1-2] very close", H97 &lt;= 10, "[3-10] close", H97 &lt;= 20, "[11-20] moderate", H97 &lt;= 30, "[21-30] far")</f>
        <v>[1-2] very close</v>
      </c>
      <c r="J97" s="1">
        <v>4</v>
      </c>
      <c r="K97" s="3" t="s">
        <v>60</v>
      </c>
      <c r="L97" s="1">
        <v>1</v>
      </c>
      <c r="M97" s="1">
        <v>126</v>
      </c>
      <c r="N97" s="1">
        <v>1</v>
      </c>
      <c r="O97" s="3" t="s">
        <v>39</v>
      </c>
      <c r="P97" s="1">
        <v>60</v>
      </c>
      <c r="Q97" s="1">
        <v>3</v>
      </c>
      <c r="R97" s="1">
        <v>3</v>
      </c>
      <c r="S97" s="3" t="s">
        <v>58</v>
      </c>
      <c r="T97" s="1">
        <v>3</v>
      </c>
      <c r="U97" s="3" t="s">
        <v>48</v>
      </c>
      <c r="V97" s="4">
        <v>13549</v>
      </c>
      <c r="W97" s="1">
        <v>24001</v>
      </c>
      <c r="X97" s="1">
        <v>9</v>
      </c>
      <c r="Y97" s="3" t="s">
        <v>42</v>
      </c>
      <c r="Z97" s="3" t="s">
        <v>43</v>
      </c>
      <c r="AA97" s="5">
        <v>0.12</v>
      </c>
      <c r="AB97" s="10" t="str" cm="1">
        <f t="array" ref="AB97">_xlfn.IFS(AA97 &lt;= 15%, "Low Hike[11-15%]", AA97 &lt;= 20%, "Moderate Hike[16-20%]", AA97 &lt;= 25%,"High Hike[21-25%]")</f>
        <v>Low Hike[11-15%]</v>
      </c>
      <c r="AC97" s="1">
        <v>3</v>
      </c>
      <c r="AD97" s="1">
        <v>1</v>
      </c>
      <c r="AE97" s="1">
        <v>80</v>
      </c>
      <c r="AF97" s="1">
        <v>1</v>
      </c>
      <c r="AG97" s="1">
        <v>16</v>
      </c>
      <c r="AH97" s="9" t="str" cm="1">
        <f t="array" ref="AH97">_xlfn.IFS(AG97 &lt;= 5, "New[1-5]", AG97 &lt;= 10, "Early Career[6-10]", AG97 &lt;= 20, "Established[11-20]", AG97 &lt;= 30, "Veteran[21-30]", AG97 &lt;= 40, "Late Career[31-40]")</f>
        <v>Established[11-20]</v>
      </c>
      <c r="AI97" s="1">
        <v>5</v>
      </c>
      <c r="AJ97" s="1">
        <v>1</v>
      </c>
      <c r="AK97" s="1">
        <v>4</v>
      </c>
      <c r="AL97" s="9" t="str" cm="1">
        <f t="array" ref="AL97">_xlfn.IFS(AK97 &lt;= 5, "New[1-5]", AK97 &lt;= 10, "Early Career[6-10]", AK97 &lt;= 20, "Established[11-20]", AK97 &lt;= 30, "Veteran[21-30]", AK97 &lt;= 40, "Late Career[31-40]")</f>
        <v>New[1-5]</v>
      </c>
      <c r="AM97" s="1">
        <v>3</v>
      </c>
      <c r="AN97" s="9" t="str" cm="1">
        <f t="array" ref="AN97">_xlfn.IFS(AM97 &lt;= 3, "New to Role[1-3]", AM97 &lt;= 7, "Settled[4-7]", AM97 &lt;= 12, "Experienced[[8-12]", AM97 &lt;= 18, "Long Tenured[13-18]")</f>
        <v>New to Role[1-3]</v>
      </c>
      <c r="AO97" s="1">
        <v>0</v>
      </c>
      <c r="AP97" s="9" t="str" cm="1">
        <f t="array" ref="AP97">_xlfn.IFS(AO97 &lt;= 3, "Recently[1-3]", AO97 &lt;= 6, "Due Soon[4-6]", AO97 &lt;= 10, "Overdue[7-10]", AO97 &lt;= 15, "Long Overdue[11-15]")</f>
        <v>Recently[1-3]</v>
      </c>
      <c r="AQ97" s="9" t="str" cm="1">
        <f t="array" ref="AQ97">_xlfn.IFS(AR97 &lt;= 3, "New Relationship[1-3]", AR97 &lt;= 7, "Established Relationship[4-7]", AR97 &lt;= 12, "Long Term Relationship[8-12]", AR97 &lt;= 17, "Very Long Term Relationship[13-17]")</f>
        <v>New Relationship[1-3]</v>
      </c>
      <c r="AR97" s="1">
        <v>3</v>
      </c>
    </row>
    <row r="98" spans="1:44" x14ac:dyDescent="0.25">
      <c r="A98" s="1">
        <v>24</v>
      </c>
      <c r="B98" s="8" t="str" cm="1">
        <f t="array" ref="B98">_xlfn.IFS(A98 &lt;= 25, "[18-25]", A98 &lt;= 35, "[26-35]", A98 &lt;=45, "[36-45]", A98 &lt;= 60, "[46- 60]")</f>
        <v>[18-25]</v>
      </c>
      <c r="C98" s="3" t="s">
        <v>43</v>
      </c>
      <c r="D98">
        <f t="shared" si="1"/>
        <v>0</v>
      </c>
      <c r="E98" t="s">
        <v>36</v>
      </c>
      <c r="F98" s="1">
        <v>1353</v>
      </c>
      <c r="G98" s="3" t="s">
        <v>37</v>
      </c>
      <c r="H98" s="1">
        <v>3</v>
      </c>
      <c r="I98" s="9" t="str" cm="1">
        <f t="array" ref="I98">_xlfn.IFS(H98 &lt;= 2, "[1-2] very close", H98 &lt;= 10, "[3-10] close", H98 &lt;= 20, "[11-20] moderate", H98 &lt;= 30, "[21-30] far")</f>
        <v>[3-10] close</v>
      </c>
      <c r="J98" s="1">
        <v>2</v>
      </c>
      <c r="K98" s="3" t="s">
        <v>49</v>
      </c>
      <c r="L98" s="1">
        <v>1</v>
      </c>
      <c r="M98" s="1">
        <v>128</v>
      </c>
      <c r="N98" s="1">
        <v>1</v>
      </c>
      <c r="O98" s="3" t="s">
        <v>39</v>
      </c>
      <c r="P98" s="1">
        <v>33</v>
      </c>
      <c r="Q98" s="1">
        <v>3</v>
      </c>
      <c r="R98" s="1">
        <v>2</v>
      </c>
      <c r="S98" s="3" t="s">
        <v>40</v>
      </c>
      <c r="T98" s="1">
        <v>3</v>
      </c>
      <c r="U98" s="3" t="s">
        <v>48</v>
      </c>
      <c r="V98" s="4">
        <v>4999</v>
      </c>
      <c r="W98" s="1">
        <v>17519</v>
      </c>
      <c r="X98" s="1">
        <v>0</v>
      </c>
      <c r="Y98" s="3" t="s">
        <v>42</v>
      </c>
      <c r="Z98" s="3" t="s">
        <v>43</v>
      </c>
      <c r="AA98" s="5">
        <v>0.21</v>
      </c>
      <c r="AB98" s="10" t="str" cm="1">
        <f t="array" ref="AB98">_xlfn.IFS(AA98 &lt;= 15%, "Low Hike[11-15%]", AA98 &lt;= 20%, "Moderate Hike[16-20%]", AA98 &lt;= 25%,"High Hike[21-25%]")</f>
        <v>High Hike[21-25%]</v>
      </c>
      <c r="AC98" s="1">
        <v>4</v>
      </c>
      <c r="AD98" s="1">
        <v>1</v>
      </c>
      <c r="AE98" s="1">
        <v>80</v>
      </c>
      <c r="AF98" s="1">
        <v>1</v>
      </c>
      <c r="AG98" s="1">
        <v>4</v>
      </c>
      <c r="AH98" s="9" t="str" cm="1">
        <f t="array" ref="AH98">_xlfn.IFS(AG98 &lt;= 5, "New[1-5]", AG98 &lt;= 10, "Early Career[6-10]", AG98 &lt;= 20, "Established[11-20]", AG98 &lt;= 30, "Veteran[21-30]", AG98 &lt;= 40, "Late Career[31-40]")</f>
        <v>New[1-5]</v>
      </c>
      <c r="AI98" s="1">
        <v>2</v>
      </c>
      <c r="AJ98" s="1">
        <v>2</v>
      </c>
      <c r="AK98" s="1">
        <v>3</v>
      </c>
      <c r="AL98" s="9" t="str" cm="1">
        <f t="array" ref="AL98">_xlfn.IFS(AK98 &lt;= 5, "New[1-5]", AK98 &lt;= 10, "Early Career[6-10]", AK98 &lt;= 20, "Established[11-20]", AK98 &lt;= 30, "Veteran[21-30]", AK98 &lt;= 40, "Late Career[31-40]")</f>
        <v>New[1-5]</v>
      </c>
      <c r="AM98" s="1">
        <v>2</v>
      </c>
      <c r="AN98" s="9" t="str" cm="1">
        <f t="array" ref="AN98">_xlfn.IFS(AM98 &lt;= 3, "New to Role[1-3]", AM98 &lt;= 7, "Settled[4-7]", AM98 &lt;= 12, "Experienced[[8-12]", AM98 &lt;= 18, "Long Tenured[13-18]")</f>
        <v>New to Role[1-3]</v>
      </c>
      <c r="AO98" s="1">
        <v>0</v>
      </c>
      <c r="AP98" s="9" t="str" cm="1">
        <f t="array" ref="AP98">_xlfn.IFS(AO98 &lt;= 3, "Recently[1-3]", AO98 &lt;= 6, "Due Soon[4-6]", AO98 &lt;= 10, "Overdue[7-10]", AO98 &lt;= 15, "Long Overdue[11-15]")</f>
        <v>Recently[1-3]</v>
      </c>
      <c r="AQ98" s="9" t="str" cm="1">
        <f t="array" ref="AQ98">_xlfn.IFS(AR98 &lt;= 3, "New Relationship[1-3]", AR98 &lt;= 7, "Established Relationship[4-7]", AR98 &lt;= 12, "Long Term Relationship[8-12]", AR98 &lt;= 17, "Very Long Term Relationship[13-17]")</f>
        <v>New Relationship[1-3]</v>
      </c>
      <c r="AR98" s="1">
        <v>2</v>
      </c>
    </row>
    <row r="99" spans="1:44" x14ac:dyDescent="0.25">
      <c r="A99" s="1">
        <v>28</v>
      </c>
      <c r="B99" s="8" t="str" cm="1">
        <f t="array" ref="B99">_xlfn.IFS(A99 &lt;= 25, "[18-25]", A99 &lt;= 35, "[26-35]", A99 &lt;=45, "[36-45]", A99 &lt;= 60, "[46- 60]")</f>
        <v>[26-35]</v>
      </c>
      <c r="C99" s="3" t="s">
        <v>43</v>
      </c>
      <c r="D99">
        <f t="shared" si="1"/>
        <v>0</v>
      </c>
      <c r="E99" t="s">
        <v>62</v>
      </c>
      <c r="F99" s="1">
        <v>120</v>
      </c>
      <c r="G99" s="3" t="s">
        <v>37</v>
      </c>
      <c r="H99" s="1">
        <v>4</v>
      </c>
      <c r="I99" s="9" t="str" cm="1">
        <f t="array" ref="I99">_xlfn.IFS(H99 &lt;= 2, "[1-2] very close", H99 &lt;= 10, "[3-10] close", H99 &lt;= 20, "[11-20] moderate", H99 &lt;= 30, "[21-30] far")</f>
        <v>[3-10] close</v>
      </c>
      <c r="J99" s="1">
        <v>3</v>
      </c>
      <c r="K99" s="3" t="s">
        <v>51</v>
      </c>
      <c r="L99" s="1">
        <v>1</v>
      </c>
      <c r="M99" s="1">
        <v>129</v>
      </c>
      <c r="N99" s="1">
        <v>2</v>
      </c>
      <c r="O99" s="3" t="s">
        <v>46</v>
      </c>
      <c r="P99" s="1">
        <v>43</v>
      </c>
      <c r="Q99" s="1">
        <v>3</v>
      </c>
      <c r="R99" s="1">
        <v>2</v>
      </c>
      <c r="S99" s="3" t="s">
        <v>40</v>
      </c>
      <c r="T99" s="1">
        <v>3</v>
      </c>
      <c r="U99" s="3" t="s">
        <v>48</v>
      </c>
      <c r="V99" s="4">
        <v>4221</v>
      </c>
      <c r="W99" s="1">
        <v>8863</v>
      </c>
      <c r="X99" s="1">
        <v>1</v>
      </c>
      <c r="Y99" s="3" t="s">
        <v>42</v>
      </c>
      <c r="Z99" s="3" t="s">
        <v>43</v>
      </c>
      <c r="AA99" s="5">
        <v>0.15</v>
      </c>
      <c r="AB99" s="10" t="str" cm="1">
        <f t="array" ref="AB99">_xlfn.IFS(AA99 &lt;= 15%, "Low Hike[11-15%]", AA99 &lt;= 20%, "Moderate Hike[16-20%]", AA99 &lt;= 25%,"High Hike[21-25%]")</f>
        <v>Low Hike[11-15%]</v>
      </c>
      <c r="AC99" s="1">
        <v>3</v>
      </c>
      <c r="AD99" s="1">
        <v>2</v>
      </c>
      <c r="AE99" s="1">
        <v>80</v>
      </c>
      <c r="AF99" s="1">
        <v>0</v>
      </c>
      <c r="AG99" s="1">
        <v>5</v>
      </c>
      <c r="AH99" s="9" t="str" cm="1">
        <f t="array" ref="AH99">_xlfn.IFS(AG99 &lt;= 5, "New[1-5]", AG99 &lt;= 10, "Early Career[6-10]", AG99 &lt;= 20, "Established[11-20]", AG99 &lt;= 30, "Veteran[21-30]", AG99 &lt;= 40, "Late Career[31-40]")</f>
        <v>New[1-5]</v>
      </c>
      <c r="AI99" s="1">
        <v>3</v>
      </c>
      <c r="AJ99" s="1">
        <v>4</v>
      </c>
      <c r="AK99" s="1">
        <v>5</v>
      </c>
      <c r="AL99" s="9" t="str" cm="1">
        <f t="array" ref="AL99">_xlfn.IFS(AK99 &lt;= 5, "New[1-5]", AK99 &lt;= 10, "Early Career[6-10]", AK99 &lt;= 20, "Established[11-20]", AK99 &lt;= 30, "Veteran[21-30]", AK99 &lt;= 40, "Late Career[31-40]")</f>
        <v>New[1-5]</v>
      </c>
      <c r="AM99" s="1">
        <v>4</v>
      </c>
      <c r="AN99" s="9" t="str" cm="1">
        <f t="array" ref="AN99">_xlfn.IFS(AM99 &lt;= 3, "New to Role[1-3]", AM99 &lt;= 7, "Settled[4-7]", AM99 &lt;= 12, "Experienced[[8-12]", AM99 &lt;= 18, "Long Tenured[13-18]")</f>
        <v>Settled[4-7]</v>
      </c>
      <c r="AO99" s="1">
        <v>0</v>
      </c>
      <c r="AP99" s="9" t="str" cm="1">
        <f t="array" ref="AP99">_xlfn.IFS(AO99 &lt;= 3, "Recently[1-3]", AO99 &lt;= 6, "Due Soon[4-6]", AO99 &lt;= 10, "Overdue[7-10]", AO99 &lt;= 15, "Long Overdue[11-15]")</f>
        <v>Recently[1-3]</v>
      </c>
      <c r="AQ99" s="9" t="str" cm="1">
        <f t="array" ref="AQ99">_xlfn.IFS(AR99 &lt;= 3, "New Relationship[1-3]", AR99 &lt;= 7, "Established Relationship[4-7]", AR99 &lt;= 12, "Long Term Relationship[8-12]", AR99 &lt;= 17, "Very Long Term Relationship[13-17]")</f>
        <v>Established Relationship[4-7]</v>
      </c>
      <c r="AR99" s="1">
        <v>4</v>
      </c>
    </row>
    <row r="100" spans="1:44" x14ac:dyDescent="0.25">
      <c r="A100" s="1">
        <v>58</v>
      </c>
      <c r="B100" s="8" t="str" cm="1">
        <f t="array" ref="B100">_xlfn.IFS(A100 &lt;= 25, "[18-25]", A100 &lt;= 35, "[26-35]", A100 &lt;=45, "[36-45]", A100 &lt;= 60, "[46- 60]")</f>
        <v>[46- 60]</v>
      </c>
      <c r="C100" s="3" t="s">
        <v>43</v>
      </c>
      <c r="D100">
        <f t="shared" si="1"/>
        <v>0</v>
      </c>
      <c r="E100" t="s">
        <v>36</v>
      </c>
      <c r="F100" s="1">
        <v>682</v>
      </c>
      <c r="G100" s="3" t="s">
        <v>37</v>
      </c>
      <c r="H100" s="1">
        <v>10</v>
      </c>
      <c r="I100" s="9" t="str" cm="1">
        <f t="array" ref="I100">_xlfn.IFS(H100 &lt;= 2, "[1-2] very close", H100 &lt;= 10, "[3-10] close", H100 &lt;= 20, "[11-20] moderate", H100 &lt;= 30, "[21-30] far")</f>
        <v>[3-10] close</v>
      </c>
      <c r="J100" s="1">
        <v>4</v>
      </c>
      <c r="K100" s="3" t="s">
        <v>51</v>
      </c>
      <c r="L100" s="1">
        <v>1</v>
      </c>
      <c r="M100" s="1">
        <v>131</v>
      </c>
      <c r="N100" s="1">
        <v>4</v>
      </c>
      <c r="O100" s="3" t="s">
        <v>46</v>
      </c>
      <c r="P100" s="1">
        <v>37</v>
      </c>
      <c r="Q100" s="1">
        <v>3</v>
      </c>
      <c r="R100" s="1">
        <v>4</v>
      </c>
      <c r="S100" s="3" t="s">
        <v>40</v>
      </c>
      <c r="T100" s="1">
        <v>3</v>
      </c>
      <c r="U100" s="3" t="s">
        <v>41</v>
      </c>
      <c r="V100" s="4">
        <v>13872</v>
      </c>
      <c r="W100" s="1">
        <v>24409</v>
      </c>
      <c r="X100" s="1">
        <v>0</v>
      </c>
      <c r="Y100" s="3" t="s">
        <v>42</v>
      </c>
      <c r="Z100" s="3" t="s">
        <v>43</v>
      </c>
      <c r="AA100" s="5">
        <v>0.13</v>
      </c>
      <c r="AB100" s="10" t="str" cm="1">
        <f t="array" ref="AB100">_xlfn.IFS(AA100 &lt;= 15%, "Low Hike[11-15%]", AA100 &lt;= 20%, "Moderate Hike[16-20%]", AA100 &lt;= 25%,"High Hike[21-25%]")</f>
        <v>Low Hike[11-15%]</v>
      </c>
      <c r="AC100" s="1">
        <v>3</v>
      </c>
      <c r="AD100" s="1">
        <v>3</v>
      </c>
      <c r="AE100" s="1">
        <v>80</v>
      </c>
      <c r="AF100" s="1">
        <v>0</v>
      </c>
      <c r="AG100" s="1">
        <v>38</v>
      </c>
      <c r="AH100" s="9" t="str" cm="1">
        <f t="array" ref="AH100">_xlfn.IFS(AG100 &lt;= 5, "New[1-5]", AG100 &lt;= 10, "Early Career[6-10]", AG100 &lt;= 20, "Established[11-20]", AG100 &lt;= 30, "Veteran[21-30]", AG100 &lt;= 40, "Late Career[31-40]")</f>
        <v>Late Career[31-40]</v>
      </c>
      <c r="AI100" s="1">
        <v>1</v>
      </c>
      <c r="AJ100" s="1">
        <v>2</v>
      </c>
      <c r="AK100" s="1">
        <v>37</v>
      </c>
      <c r="AL100" s="9" t="str" cm="1">
        <f t="array" ref="AL100">_xlfn.IFS(AK100 &lt;= 5, "New[1-5]", AK100 &lt;= 10, "Early Career[6-10]", AK100 &lt;= 20, "Established[11-20]", AK100 &lt;= 30, "Veteran[21-30]", AK100 &lt;= 40, "Late Career[31-40]")</f>
        <v>Late Career[31-40]</v>
      </c>
      <c r="AM100" s="1">
        <v>10</v>
      </c>
      <c r="AN100" s="9" t="str" cm="1">
        <f t="array" ref="AN100">_xlfn.IFS(AM100 &lt;= 3, "New to Role[1-3]", AM100 &lt;= 7, "Settled[4-7]", AM100 &lt;= 12, "Experienced[[8-12]", AM100 &lt;= 18, "Long Tenured[13-18]")</f>
        <v>Experienced[[8-12]</v>
      </c>
      <c r="AO100" s="1">
        <v>1</v>
      </c>
      <c r="AP100" s="9" t="str" cm="1">
        <f t="array" ref="AP100">_xlfn.IFS(AO100 &lt;= 3, "Recently[1-3]", AO100 &lt;= 6, "Due Soon[4-6]", AO100 &lt;= 10, "Overdue[7-10]", AO100 &lt;= 15, "Long Overdue[11-15]")</f>
        <v>Recently[1-3]</v>
      </c>
      <c r="AQ100" s="9" t="str" cm="1">
        <f t="array" ref="AQ100">_xlfn.IFS(AR100 &lt;= 3, "New Relationship[1-3]", AR100 &lt;= 7, "Established Relationship[4-7]", AR100 &lt;= 12, "Long Term Relationship[8-12]", AR100 &lt;= 17, "Very Long Term Relationship[13-17]")</f>
        <v>Long Term Relationship[8-12]</v>
      </c>
      <c r="AR100" s="1">
        <v>8</v>
      </c>
    </row>
    <row r="101" spans="1:44" x14ac:dyDescent="0.25">
      <c r="A101" s="1">
        <v>44</v>
      </c>
      <c r="B101" s="8" t="str" cm="1">
        <f t="array" ref="B101">_xlfn.IFS(A101 &lt;= 25, "[18-25]", A101 &lt;= 35, "[26-35]", A101 &lt;=45, "[36-45]", A101 &lt;= 60, "[46- 60]")</f>
        <v>[36-45]</v>
      </c>
      <c r="C101" s="3" t="s">
        <v>43</v>
      </c>
      <c r="D101">
        <f t="shared" si="1"/>
        <v>0</v>
      </c>
      <c r="E101" t="s">
        <v>62</v>
      </c>
      <c r="F101" s="1">
        <v>489</v>
      </c>
      <c r="G101" s="3" t="s">
        <v>45</v>
      </c>
      <c r="H101" s="1">
        <v>23</v>
      </c>
      <c r="I101" s="9" t="str" cm="1">
        <f t="array" ref="I101">_xlfn.IFS(H101 &lt;= 2, "[1-2] very close", H101 &lt;= 10, "[3-10] close", H101 &lt;= 20, "[11-20] moderate", H101 &lt;= 30, "[21-30] far")</f>
        <v>[21-30] far</v>
      </c>
      <c r="J101" s="1">
        <v>3</v>
      </c>
      <c r="K101" s="3" t="s">
        <v>51</v>
      </c>
      <c r="L101" s="1">
        <v>1</v>
      </c>
      <c r="M101" s="1">
        <v>132</v>
      </c>
      <c r="N101" s="1">
        <v>2</v>
      </c>
      <c r="O101" s="3" t="s">
        <v>46</v>
      </c>
      <c r="P101" s="1">
        <v>67</v>
      </c>
      <c r="Q101" s="1">
        <v>3</v>
      </c>
      <c r="R101" s="1">
        <v>2</v>
      </c>
      <c r="S101" s="3" t="s">
        <v>50</v>
      </c>
      <c r="T101" s="1">
        <v>2</v>
      </c>
      <c r="U101" s="3" t="s">
        <v>48</v>
      </c>
      <c r="V101" s="4">
        <v>2042</v>
      </c>
      <c r="W101" s="1">
        <v>25043</v>
      </c>
      <c r="X101" s="1">
        <v>4</v>
      </c>
      <c r="Y101" s="3" t="s">
        <v>42</v>
      </c>
      <c r="Z101" s="3" t="s">
        <v>43</v>
      </c>
      <c r="AA101" s="5">
        <v>0.12</v>
      </c>
      <c r="AB101" s="10" t="str" cm="1">
        <f t="array" ref="AB101">_xlfn.IFS(AA101 &lt;= 15%, "Low Hike[11-15%]", AA101 &lt;= 20%, "Moderate Hike[16-20%]", AA101 &lt;= 25%,"High Hike[21-25%]")</f>
        <v>Low Hike[11-15%]</v>
      </c>
      <c r="AC101" s="1">
        <v>3</v>
      </c>
      <c r="AD101" s="1">
        <v>3</v>
      </c>
      <c r="AE101" s="1">
        <v>80</v>
      </c>
      <c r="AF101" s="1">
        <v>1</v>
      </c>
      <c r="AG101" s="1">
        <v>17</v>
      </c>
      <c r="AH101" s="9" t="str" cm="1">
        <f t="array" ref="AH101">_xlfn.IFS(AG101 &lt;= 5, "New[1-5]", AG101 &lt;= 10, "Early Career[6-10]", AG101 &lt;= 20, "Established[11-20]", AG101 &lt;= 30, "Veteran[21-30]", AG101 &lt;= 40, "Late Career[31-40]")</f>
        <v>Established[11-20]</v>
      </c>
      <c r="AI101" s="1">
        <v>3</v>
      </c>
      <c r="AJ101" s="1">
        <v>4</v>
      </c>
      <c r="AK101" s="1">
        <v>3</v>
      </c>
      <c r="AL101" s="9" t="str" cm="1">
        <f t="array" ref="AL101">_xlfn.IFS(AK101 &lt;= 5, "New[1-5]", AK101 &lt;= 10, "Early Career[6-10]", AK101 &lt;= 20, "Established[11-20]", AK101 &lt;= 30, "Veteran[21-30]", AK101 &lt;= 40, "Late Career[31-40]")</f>
        <v>New[1-5]</v>
      </c>
      <c r="AM101" s="1">
        <v>2</v>
      </c>
      <c r="AN101" s="9" t="str" cm="1">
        <f t="array" ref="AN101">_xlfn.IFS(AM101 &lt;= 3, "New to Role[1-3]", AM101 &lt;= 7, "Settled[4-7]", AM101 &lt;= 12, "Experienced[[8-12]", AM101 &lt;= 18, "Long Tenured[13-18]")</f>
        <v>New to Role[1-3]</v>
      </c>
      <c r="AO101" s="1">
        <v>1</v>
      </c>
      <c r="AP101" s="9" t="str" cm="1">
        <f t="array" ref="AP101">_xlfn.IFS(AO101 &lt;= 3, "Recently[1-3]", AO101 &lt;= 6, "Due Soon[4-6]", AO101 &lt;= 10, "Overdue[7-10]", AO101 &lt;= 15, "Long Overdue[11-15]")</f>
        <v>Recently[1-3]</v>
      </c>
      <c r="AQ101" s="9" t="str" cm="1">
        <f t="array" ref="AQ101">_xlfn.IFS(AR101 &lt;= 3, "New Relationship[1-3]", AR101 &lt;= 7, "Established Relationship[4-7]", AR101 &lt;= 12, "Long Term Relationship[8-12]", AR101 &lt;= 17, "Very Long Term Relationship[13-17]")</f>
        <v>New Relationship[1-3]</v>
      </c>
      <c r="AR101" s="1">
        <v>2</v>
      </c>
    </row>
    <row r="102" spans="1:44" x14ac:dyDescent="0.25">
      <c r="A102" s="1">
        <v>37</v>
      </c>
      <c r="B102" s="8" t="str" cm="1">
        <f t="array" ref="B102">_xlfn.IFS(A102 &lt;= 25, "[18-25]", A102 &lt;= 35, "[26-35]", A102 &lt;=45, "[36-45]", A102 &lt;= 60, "[46- 60]")</f>
        <v>[36-45]</v>
      </c>
      <c r="C102" s="3" t="s">
        <v>35</v>
      </c>
      <c r="D102">
        <f t="shared" si="1"/>
        <v>1</v>
      </c>
      <c r="E102" t="s">
        <v>36</v>
      </c>
      <c r="F102" s="1">
        <v>807</v>
      </c>
      <c r="G102" s="3" t="s">
        <v>61</v>
      </c>
      <c r="H102" s="1">
        <v>6</v>
      </c>
      <c r="I102" s="9" t="str" cm="1">
        <f t="array" ref="I102">_xlfn.IFS(H102 &lt;= 2, "[1-2] very close", H102 &lt;= 10, "[3-10] close", H102 &lt;= 20, "[11-20] moderate", H102 &lt;= 30, "[21-30] far")</f>
        <v>[3-10] close</v>
      </c>
      <c r="J102" s="1">
        <v>4</v>
      </c>
      <c r="K102" s="3" t="s">
        <v>61</v>
      </c>
      <c r="L102" s="1">
        <v>1</v>
      </c>
      <c r="M102" s="1">
        <v>133</v>
      </c>
      <c r="N102" s="1">
        <v>3</v>
      </c>
      <c r="O102" s="3" t="s">
        <v>46</v>
      </c>
      <c r="P102" s="1">
        <v>63</v>
      </c>
      <c r="Q102" s="1">
        <v>3</v>
      </c>
      <c r="R102" s="1">
        <v>1</v>
      </c>
      <c r="S102" s="3" t="s">
        <v>61</v>
      </c>
      <c r="T102" s="1">
        <v>1</v>
      </c>
      <c r="U102" s="3" t="s">
        <v>52</v>
      </c>
      <c r="V102" s="4">
        <v>2073</v>
      </c>
      <c r="W102" s="1">
        <v>23648</v>
      </c>
      <c r="X102" s="1">
        <v>4</v>
      </c>
      <c r="Y102" s="3" t="s">
        <v>42</v>
      </c>
      <c r="Z102" s="3" t="s">
        <v>35</v>
      </c>
      <c r="AA102" s="5">
        <v>0.22</v>
      </c>
      <c r="AB102" s="10" t="str" cm="1">
        <f t="array" ref="AB102">_xlfn.IFS(AA102 &lt;= 15%, "Low Hike[11-15%]", AA102 &lt;= 20%, "Moderate Hike[16-20%]", AA102 &lt;= 25%,"High Hike[21-25%]")</f>
        <v>High Hike[21-25%]</v>
      </c>
      <c r="AC102" s="1">
        <v>4</v>
      </c>
      <c r="AD102" s="1">
        <v>4</v>
      </c>
      <c r="AE102" s="1">
        <v>80</v>
      </c>
      <c r="AF102" s="1">
        <v>0</v>
      </c>
      <c r="AG102" s="1">
        <v>7</v>
      </c>
      <c r="AH102" s="9" t="str" cm="1">
        <f t="array" ref="AH102">_xlfn.IFS(AG102 &lt;= 5, "New[1-5]", AG102 &lt;= 10, "Early Career[6-10]", AG102 &lt;= 20, "Established[11-20]", AG102 &lt;= 30, "Veteran[21-30]", AG102 &lt;= 40, "Late Career[31-40]")</f>
        <v>Early Career[6-10]</v>
      </c>
      <c r="AI102" s="1">
        <v>3</v>
      </c>
      <c r="AJ102" s="1">
        <v>3</v>
      </c>
      <c r="AK102" s="1">
        <v>3</v>
      </c>
      <c r="AL102" s="9" t="str" cm="1">
        <f t="array" ref="AL102">_xlfn.IFS(AK102 &lt;= 5, "New[1-5]", AK102 &lt;= 10, "Early Career[6-10]", AK102 &lt;= 20, "Established[11-20]", AK102 &lt;= 30, "Veteran[21-30]", AK102 &lt;= 40, "Late Career[31-40]")</f>
        <v>New[1-5]</v>
      </c>
      <c r="AM102" s="1">
        <v>2</v>
      </c>
      <c r="AN102" s="9" t="str" cm="1">
        <f t="array" ref="AN102">_xlfn.IFS(AM102 &lt;= 3, "New to Role[1-3]", AM102 &lt;= 7, "Settled[4-7]", AM102 &lt;= 12, "Experienced[[8-12]", AM102 &lt;= 18, "Long Tenured[13-18]")</f>
        <v>New to Role[1-3]</v>
      </c>
      <c r="AO102" s="1">
        <v>0</v>
      </c>
      <c r="AP102" s="9" t="str" cm="1">
        <f t="array" ref="AP102">_xlfn.IFS(AO102 &lt;= 3, "Recently[1-3]", AO102 &lt;= 6, "Due Soon[4-6]", AO102 &lt;= 10, "Overdue[7-10]", AO102 &lt;= 15, "Long Overdue[11-15]")</f>
        <v>Recently[1-3]</v>
      </c>
      <c r="AQ102" s="9" t="str" cm="1">
        <f t="array" ref="AQ102">_xlfn.IFS(AR102 &lt;= 3, "New Relationship[1-3]", AR102 &lt;= 7, "Established Relationship[4-7]", AR102 &lt;= 12, "Long Term Relationship[8-12]", AR102 &lt;= 17, "Very Long Term Relationship[13-17]")</f>
        <v>New Relationship[1-3]</v>
      </c>
      <c r="AR102" s="1">
        <v>2</v>
      </c>
    </row>
    <row r="103" spans="1:44" x14ac:dyDescent="0.25">
      <c r="A103" s="1">
        <v>32</v>
      </c>
      <c r="B103" s="8" t="str" cm="1">
        <f t="array" ref="B103">_xlfn.IFS(A103 &lt;= 25, "[18-25]", A103 &lt;= 35, "[26-35]", A103 &lt;=45, "[36-45]", A103 &lt;= 60, "[46- 60]")</f>
        <v>[26-35]</v>
      </c>
      <c r="C103" s="3" t="s">
        <v>43</v>
      </c>
      <c r="D103">
        <f t="shared" si="1"/>
        <v>0</v>
      </c>
      <c r="E103" t="s">
        <v>36</v>
      </c>
      <c r="F103" s="1">
        <v>827</v>
      </c>
      <c r="G103" s="3" t="s">
        <v>45</v>
      </c>
      <c r="H103" s="1">
        <v>1</v>
      </c>
      <c r="I103" s="9" t="str" cm="1">
        <f t="array" ref="I103">_xlfn.IFS(H103 &lt;= 2, "[1-2] very close", H103 &lt;= 10, "[3-10] close", H103 &lt;= 20, "[11-20] moderate", H103 &lt;= 30, "[21-30] far")</f>
        <v>[1-2] very close</v>
      </c>
      <c r="J103" s="1">
        <v>1</v>
      </c>
      <c r="K103" s="3" t="s">
        <v>38</v>
      </c>
      <c r="L103" s="1">
        <v>1</v>
      </c>
      <c r="M103" s="1">
        <v>134</v>
      </c>
      <c r="N103" s="1">
        <v>4</v>
      </c>
      <c r="O103" s="3" t="s">
        <v>46</v>
      </c>
      <c r="P103" s="1">
        <v>71</v>
      </c>
      <c r="Q103" s="1">
        <v>3</v>
      </c>
      <c r="R103" s="1">
        <v>1</v>
      </c>
      <c r="S103" s="3" t="s">
        <v>47</v>
      </c>
      <c r="T103" s="1">
        <v>1</v>
      </c>
      <c r="U103" s="3" t="s">
        <v>41</v>
      </c>
      <c r="V103" s="4">
        <v>2956</v>
      </c>
      <c r="W103" s="1">
        <v>15178</v>
      </c>
      <c r="X103" s="1">
        <v>1</v>
      </c>
      <c r="Y103" s="3" t="s">
        <v>42</v>
      </c>
      <c r="Z103" s="3" t="s">
        <v>43</v>
      </c>
      <c r="AA103" s="5">
        <v>0.13</v>
      </c>
      <c r="AB103" s="10" t="str" cm="1">
        <f t="array" ref="AB103">_xlfn.IFS(AA103 &lt;= 15%, "Low Hike[11-15%]", AA103 &lt;= 20%, "Moderate Hike[16-20%]", AA103 &lt;= 25%,"High Hike[21-25%]")</f>
        <v>Low Hike[11-15%]</v>
      </c>
      <c r="AC103" s="1">
        <v>3</v>
      </c>
      <c r="AD103" s="1">
        <v>4</v>
      </c>
      <c r="AE103" s="1">
        <v>80</v>
      </c>
      <c r="AF103" s="1">
        <v>0</v>
      </c>
      <c r="AG103" s="1">
        <v>1</v>
      </c>
      <c r="AH103" s="9" t="str" cm="1">
        <f t="array" ref="AH103">_xlfn.IFS(AG103 &lt;= 5, "New[1-5]", AG103 &lt;= 10, "Early Career[6-10]", AG103 &lt;= 20, "Established[11-20]", AG103 &lt;= 30, "Veteran[21-30]", AG103 &lt;= 40, "Late Career[31-40]")</f>
        <v>New[1-5]</v>
      </c>
      <c r="AI103" s="1">
        <v>2</v>
      </c>
      <c r="AJ103" s="1">
        <v>3</v>
      </c>
      <c r="AK103" s="1">
        <v>1</v>
      </c>
      <c r="AL103" s="9" t="str" cm="1">
        <f t="array" ref="AL103">_xlfn.IFS(AK103 &lt;= 5, "New[1-5]", AK103 &lt;= 10, "Early Career[6-10]", AK103 &lt;= 20, "Established[11-20]", AK103 &lt;= 30, "Veteran[21-30]", AK103 &lt;= 40, "Late Career[31-40]")</f>
        <v>New[1-5]</v>
      </c>
      <c r="AM103" s="1">
        <v>0</v>
      </c>
      <c r="AN103" s="9" t="str" cm="1">
        <f t="array" ref="AN103">_xlfn.IFS(AM103 &lt;= 3, "New to Role[1-3]", AM103 &lt;= 7, "Settled[4-7]", AM103 &lt;= 12, "Experienced[[8-12]", AM103 &lt;= 18, "Long Tenured[13-18]")</f>
        <v>New to Role[1-3]</v>
      </c>
      <c r="AO103" s="1">
        <v>0</v>
      </c>
      <c r="AP103" s="9" t="str" cm="1">
        <f t="array" ref="AP103">_xlfn.IFS(AO103 &lt;= 3, "Recently[1-3]", AO103 &lt;= 6, "Due Soon[4-6]", AO103 &lt;= 10, "Overdue[7-10]", AO103 &lt;= 15, "Long Overdue[11-15]")</f>
        <v>Recently[1-3]</v>
      </c>
      <c r="AQ103" s="9" t="str" cm="1">
        <f t="array" ref="AQ103">_xlfn.IFS(AR103 &lt;= 3, "New Relationship[1-3]", AR103 &lt;= 7, "Established Relationship[4-7]", AR103 &lt;= 12, "Long Term Relationship[8-12]", AR103 &lt;= 17, "Very Long Term Relationship[13-17]")</f>
        <v>New Relationship[1-3]</v>
      </c>
      <c r="AR103" s="1">
        <v>0</v>
      </c>
    </row>
    <row r="104" spans="1:44" x14ac:dyDescent="0.25">
      <c r="A104" s="1">
        <v>20</v>
      </c>
      <c r="B104" s="8" t="str" cm="1">
        <f t="array" ref="B104">_xlfn.IFS(A104 &lt;= 25, "[18-25]", A104 &lt;= 35, "[26-35]", A104 &lt;=45, "[36-45]", A104 &lt;= 60, "[46- 60]")</f>
        <v>[18-25]</v>
      </c>
      <c r="C104" s="3" t="s">
        <v>35</v>
      </c>
      <c r="D104">
        <f t="shared" si="1"/>
        <v>1</v>
      </c>
      <c r="E104" t="s">
        <v>44</v>
      </c>
      <c r="F104" s="1">
        <v>871</v>
      </c>
      <c r="G104" s="3" t="s">
        <v>45</v>
      </c>
      <c r="H104" s="1">
        <v>6</v>
      </c>
      <c r="I104" s="9" t="str" cm="1">
        <f t="array" ref="I104">_xlfn.IFS(H104 &lt;= 2, "[1-2] very close", H104 &lt;= 10, "[3-10] close", H104 &lt;= 20, "[11-20] moderate", H104 &lt;= 30, "[21-30] far")</f>
        <v>[3-10] close</v>
      </c>
      <c r="J104" s="1">
        <v>3</v>
      </c>
      <c r="K104" s="3" t="s">
        <v>38</v>
      </c>
      <c r="L104" s="1">
        <v>1</v>
      </c>
      <c r="M104" s="1">
        <v>137</v>
      </c>
      <c r="N104" s="1">
        <v>4</v>
      </c>
      <c r="O104" s="3" t="s">
        <v>39</v>
      </c>
      <c r="P104" s="1">
        <v>66</v>
      </c>
      <c r="Q104" s="1">
        <v>2</v>
      </c>
      <c r="R104" s="1">
        <v>1</v>
      </c>
      <c r="S104" s="3" t="s">
        <v>50</v>
      </c>
      <c r="T104" s="1">
        <v>4</v>
      </c>
      <c r="U104" s="3" t="s">
        <v>41</v>
      </c>
      <c r="V104" s="4">
        <v>2926</v>
      </c>
      <c r="W104" s="1">
        <v>19783</v>
      </c>
      <c r="X104" s="1">
        <v>1</v>
      </c>
      <c r="Y104" s="3" t="s">
        <v>42</v>
      </c>
      <c r="Z104" s="3" t="s">
        <v>35</v>
      </c>
      <c r="AA104" s="5">
        <v>0.18</v>
      </c>
      <c r="AB104" s="10" t="str" cm="1">
        <f t="array" ref="AB104">_xlfn.IFS(AA104 &lt;= 15%, "Low Hike[11-15%]", AA104 &lt;= 20%, "Moderate Hike[16-20%]", AA104 &lt;= 25%,"High Hike[21-25%]")</f>
        <v>Moderate Hike[16-20%]</v>
      </c>
      <c r="AC104" s="1">
        <v>3</v>
      </c>
      <c r="AD104" s="1">
        <v>2</v>
      </c>
      <c r="AE104" s="1">
        <v>80</v>
      </c>
      <c r="AF104" s="1">
        <v>0</v>
      </c>
      <c r="AG104" s="1">
        <v>1</v>
      </c>
      <c r="AH104" s="9" t="str" cm="1">
        <f t="array" ref="AH104">_xlfn.IFS(AG104 &lt;= 5, "New[1-5]", AG104 &lt;= 10, "Early Career[6-10]", AG104 &lt;= 20, "Established[11-20]", AG104 &lt;= 30, "Veteran[21-30]", AG104 &lt;= 40, "Late Career[31-40]")</f>
        <v>New[1-5]</v>
      </c>
      <c r="AI104" s="1">
        <v>5</v>
      </c>
      <c r="AJ104" s="1">
        <v>3</v>
      </c>
      <c r="AK104" s="1">
        <v>1</v>
      </c>
      <c r="AL104" s="9" t="str" cm="1">
        <f t="array" ref="AL104">_xlfn.IFS(AK104 &lt;= 5, "New[1-5]", AK104 &lt;= 10, "Early Career[6-10]", AK104 &lt;= 20, "Established[11-20]", AK104 &lt;= 30, "Veteran[21-30]", AK104 &lt;= 40, "Late Career[31-40]")</f>
        <v>New[1-5]</v>
      </c>
      <c r="AM104" s="1">
        <v>0</v>
      </c>
      <c r="AN104" s="9" t="str" cm="1">
        <f t="array" ref="AN104">_xlfn.IFS(AM104 &lt;= 3, "New to Role[1-3]", AM104 &lt;= 7, "Settled[4-7]", AM104 &lt;= 12, "Experienced[[8-12]", AM104 &lt;= 18, "Long Tenured[13-18]")</f>
        <v>New to Role[1-3]</v>
      </c>
      <c r="AO104" s="1">
        <v>1</v>
      </c>
      <c r="AP104" s="9" t="str" cm="1">
        <f t="array" ref="AP104">_xlfn.IFS(AO104 &lt;= 3, "Recently[1-3]", AO104 &lt;= 6, "Due Soon[4-6]", AO104 &lt;= 10, "Overdue[7-10]", AO104 &lt;= 15, "Long Overdue[11-15]")</f>
        <v>Recently[1-3]</v>
      </c>
      <c r="AQ104" s="9" t="str" cm="1">
        <f t="array" ref="AQ104">_xlfn.IFS(AR104 &lt;= 3, "New Relationship[1-3]", AR104 &lt;= 7, "Established Relationship[4-7]", AR104 &lt;= 12, "Long Term Relationship[8-12]", AR104 &lt;= 17, "Very Long Term Relationship[13-17]")</f>
        <v>New Relationship[1-3]</v>
      </c>
      <c r="AR104" s="1">
        <v>0</v>
      </c>
    </row>
    <row r="105" spans="1:44" x14ac:dyDescent="0.25">
      <c r="A105" s="1">
        <v>34</v>
      </c>
      <c r="B105" s="8" t="str" cm="1">
        <f t="array" ref="B105">_xlfn.IFS(A105 &lt;= 25, "[18-25]", A105 &lt;= 35, "[26-35]", A105 &lt;=45, "[36-45]", A105 &lt;= 60, "[46- 60]")</f>
        <v>[26-35]</v>
      </c>
      <c r="C105" s="3" t="s">
        <v>43</v>
      </c>
      <c r="D105">
        <f t="shared" si="1"/>
        <v>0</v>
      </c>
      <c r="E105" t="s">
        <v>36</v>
      </c>
      <c r="F105" s="1">
        <v>665</v>
      </c>
      <c r="G105" s="3" t="s">
        <v>45</v>
      </c>
      <c r="H105" s="1">
        <v>6</v>
      </c>
      <c r="I105" s="9" t="str" cm="1">
        <f t="array" ref="I105">_xlfn.IFS(H105 &lt;= 2, "[1-2] very close", H105 &lt;= 10, "[3-10] close", H105 &lt;= 20, "[11-20] moderate", H105 &lt;= 30, "[21-30] far")</f>
        <v>[3-10] close</v>
      </c>
      <c r="J105" s="1">
        <v>4</v>
      </c>
      <c r="K105" s="3" t="s">
        <v>49</v>
      </c>
      <c r="L105" s="1">
        <v>1</v>
      </c>
      <c r="M105" s="1">
        <v>138</v>
      </c>
      <c r="N105" s="1">
        <v>1</v>
      </c>
      <c r="O105" s="3" t="s">
        <v>39</v>
      </c>
      <c r="P105" s="1">
        <v>41</v>
      </c>
      <c r="Q105" s="1">
        <v>3</v>
      </c>
      <c r="R105" s="1">
        <v>2</v>
      </c>
      <c r="S105" s="3" t="s">
        <v>47</v>
      </c>
      <c r="T105" s="1">
        <v>3</v>
      </c>
      <c r="U105" s="3" t="s">
        <v>41</v>
      </c>
      <c r="V105" s="4">
        <v>4809</v>
      </c>
      <c r="W105" s="1">
        <v>12482</v>
      </c>
      <c r="X105" s="1">
        <v>1</v>
      </c>
      <c r="Y105" s="3" t="s">
        <v>42</v>
      </c>
      <c r="Z105" s="3" t="s">
        <v>43</v>
      </c>
      <c r="AA105" s="5">
        <v>0.14000000000000001</v>
      </c>
      <c r="AB105" s="10" t="str" cm="1">
        <f t="array" ref="AB105">_xlfn.IFS(AA105 &lt;= 15%, "Low Hike[11-15%]", AA105 &lt;= 20%, "Moderate Hike[16-20%]", AA105 &lt;= 25%,"High Hike[21-25%]")</f>
        <v>Low Hike[11-15%]</v>
      </c>
      <c r="AC105" s="1">
        <v>3</v>
      </c>
      <c r="AD105" s="1">
        <v>3</v>
      </c>
      <c r="AE105" s="1">
        <v>80</v>
      </c>
      <c r="AF105" s="1">
        <v>0</v>
      </c>
      <c r="AG105" s="1">
        <v>16</v>
      </c>
      <c r="AH105" s="9" t="str" cm="1">
        <f t="array" ref="AH105">_xlfn.IFS(AG105 &lt;= 5, "New[1-5]", AG105 &lt;= 10, "Early Career[6-10]", AG105 &lt;= 20, "Established[11-20]", AG105 &lt;= 30, "Veteran[21-30]", AG105 &lt;= 40, "Late Career[31-40]")</f>
        <v>Established[11-20]</v>
      </c>
      <c r="AI105" s="1">
        <v>3</v>
      </c>
      <c r="AJ105" s="1">
        <v>3</v>
      </c>
      <c r="AK105" s="1">
        <v>16</v>
      </c>
      <c r="AL105" s="9" t="str" cm="1">
        <f t="array" ref="AL105">_xlfn.IFS(AK105 &lt;= 5, "New[1-5]", AK105 &lt;= 10, "Early Career[6-10]", AK105 &lt;= 20, "Established[11-20]", AK105 &lt;= 30, "Veteran[21-30]", AK105 &lt;= 40, "Late Career[31-40]")</f>
        <v>Established[11-20]</v>
      </c>
      <c r="AM105" s="1">
        <v>13</v>
      </c>
      <c r="AN105" s="9" t="str" cm="1">
        <f t="array" ref="AN105">_xlfn.IFS(AM105 &lt;= 3, "New to Role[1-3]", AM105 &lt;= 7, "Settled[4-7]", AM105 &lt;= 12, "Experienced[[8-12]", AM105 &lt;= 18, "Long Tenured[13-18]")</f>
        <v>Long Tenured[13-18]</v>
      </c>
      <c r="AO105" s="1">
        <v>2</v>
      </c>
      <c r="AP105" s="9" t="str" cm="1">
        <f t="array" ref="AP105">_xlfn.IFS(AO105 &lt;= 3, "Recently[1-3]", AO105 &lt;= 6, "Due Soon[4-6]", AO105 &lt;= 10, "Overdue[7-10]", AO105 &lt;= 15, "Long Overdue[11-15]")</f>
        <v>Recently[1-3]</v>
      </c>
      <c r="AQ105" s="9" t="str" cm="1">
        <f t="array" ref="AQ105">_xlfn.IFS(AR105 &lt;= 3, "New Relationship[1-3]", AR105 &lt;= 7, "Established Relationship[4-7]", AR105 &lt;= 12, "Long Term Relationship[8-12]", AR105 &lt;= 17, "Very Long Term Relationship[13-17]")</f>
        <v>Long Term Relationship[8-12]</v>
      </c>
      <c r="AR105" s="1">
        <v>10</v>
      </c>
    </row>
    <row r="106" spans="1:44" x14ac:dyDescent="0.25">
      <c r="A106" s="1">
        <v>37</v>
      </c>
      <c r="B106" s="8" t="str" cm="1">
        <f t="array" ref="B106">_xlfn.IFS(A106 &lt;= 25, "[18-25]", A106 &lt;= 35, "[26-35]", A106 &lt;=45, "[36-45]", A106 &lt;= 60, "[46- 60]")</f>
        <v>[36-45]</v>
      </c>
      <c r="C106" s="3" t="s">
        <v>43</v>
      </c>
      <c r="D106">
        <f t="shared" si="1"/>
        <v>0</v>
      </c>
      <c r="E106" t="s">
        <v>62</v>
      </c>
      <c r="F106" s="1">
        <v>1040</v>
      </c>
      <c r="G106" s="3" t="s">
        <v>45</v>
      </c>
      <c r="H106" s="1">
        <v>2</v>
      </c>
      <c r="I106" s="9" t="str" cm="1">
        <f t="array" ref="I106">_xlfn.IFS(H106 &lt;= 2, "[1-2] very close", H106 &lt;= 10, "[3-10] close", H106 &lt;= 20, "[11-20] moderate", H106 &lt;= 30, "[21-30] far")</f>
        <v>[1-2] very close</v>
      </c>
      <c r="J106" s="1">
        <v>2</v>
      </c>
      <c r="K106" s="3" t="s">
        <v>38</v>
      </c>
      <c r="L106" s="1">
        <v>1</v>
      </c>
      <c r="M106" s="1">
        <v>139</v>
      </c>
      <c r="N106" s="1">
        <v>3</v>
      </c>
      <c r="O106" s="3" t="s">
        <v>46</v>
      </c>
      <c r="P106" s="1">
        <v>100</v>
      </c>
      <c r="Q106" s="1">
        <v>2</v>
      </c>
      <c r="R106" s="1">
        <v>2</v>
      </c>
      <c r="S106" s="3" t="s">
        <v>54</v>
      </c>
      <c r="T106" s="1">
        <v>4</v>
      </c>
      <c r="U106" s="3" t="s">
        <v>52</v>
      </c>
      <c r="V106" s="4">
        <v>5163</v>
      </c>
      <c r="W106" s="1">
        <v>15850</v>
      </c>
      <c r="X106" s="1">
        <v>5</v>
      </c>
      <c r="Y106" s="3" t="s">
        <v>42</v>
      </c>
      <c r="Z106" s="3" t="s">
        <v>43</v>
      </c>
      <c r="AA106" s="5">
        <v>0.14000000000000001</v>
      </c>
      <c r="AB106" s="10" t="str" cm="1">
        <f t="array" ref="AB106">_xlfn.IFS(AA106 &lt;= 15%, "Low Hike[11-15%]", AA106 &lt;= 20%, "Moderate Hike[16-20%]", AA106 &lt;= 25%,"High Hike[21-25%]")</f>
        <v>Low Hike[11-15%]</v>
      </c>
      <c r="AC106" s="1">
        <v>3</v>
      </c>
      <c r="AD106" s="1">
        <v>4</v>
      </c>
      <c r="AE106" s="1">
        <v>80</v>
      </c>
      <c r="AF106" s="1">
        <v>1</v>
      </c>
      <c r="AG106" s="1">
        <v>17</v>
      </c>
      <c r="AH106" s="9" t="str" cm="1">
        <f t="array" ref="AH106">_xlfn.IFS(AG106 &lt;= 5, "New[1-5]", AG106 &lt;= 10, "Early Career[6-10]", AG106 &lt;= 20, "Established[11-20]", AG106 &lt;= 30, "Veteran[21-30]", AG106 &lt;= 40, "Late Career[31-40]")</f>
        <v>Established[11-20]</v>
      </c>
      <c r="AI106" s="1">
        <v>2</v>
      </c>
      <c r="AJ106" s="1">
        <v>4</v>
      </c>
      <c r="AK106" s="1">
        <v>1</v>
      </c>
      <c r="AL106" s="9" t="str" cm="1">
        <f t="array" ref="AL106">_xlfn.IFS(AK106 &lt;= 5, "New[1-5]", AK106 &lt;= 10, "Early Career[6-10]", AK106 &lt;= 20, "Established[11-20]", AK106 &lt;= 30, "Veteran[21-30]", AK106 &lt;= 40, "Late Career[31-40]")</f>
        <v>New[1-5]</v>
      </c>
      <c r="AM106" s="1">
        <v>0</v>
      </c>
      <c r="AN106" s="9" t="str" cm="1">
        <f t="array" ref="AN106">_xlfn.IFS(AM106 &lt;= 3, "New to Role[1-3]", AM106 &lt;= 7, "Settled[4-7]", AM106 &lt;= 12, "Experienced[[8-12]", AM106 &lt;= 18, "Long Tenured[13-18]")</f>
        <v>New to Role[1-3]</v>
      </c>
      <c r="AO106" s="1">
        <v>0</v>
      </c>
      <c r="AP106" s="9" t="str" cm="1">
        <f t="array" ref="AP106">_xlfn.IFS(AO106 &lt;= 3, "Recently[1-3]", AO106 &lt;= 6, "Due Soon[4-6]", AO106 &lt;= 10, "Overdue[7-10]", AO106 &lt;= 15, "Long Overdue[11-15]")</f>
        <v>Recently[1-3]</v>
      </c>
      <c r="AQ106" s="9" t="str" cm="1">
        <f t="array" ref="AQ106">_xlfn.IFS(AR106 &lt;= 3, "New Relationship[1-3]", AR106 &lt;= 7, "Established Relationship[4-7]", AR106 &lt;= 12, "Long Term Relationship[8-12]", AR106 &lt;= 17, "Very Long Term Relationship[13-17]")</f>
        <v>New Relationship[1-3]</v>
      </c>
      <c r="AR106" s="1">
        <v>0</v>
      </c>
    </row>
    <row r="107" spans="1:44" x14ac:dyDescent="0.25">
      <c r="A107" s="1">
        <v>59</v>
      </c>
      <c r="B107" s="8" t="str" cm="1">
        <f t="array" ref="B107">_xlfn.IFS(A107 &lt;= 25, "[18-25]", A107 &lt;= 35, "[26-35]", A107 &lt;=45, "[36-45]", A107 &lt;= 60, "[46- 60]")</f>
        <v>[46- 60]</v>
      </c>
      <c r="C107" s="3" t="s">
        <v>43</v>
      </c>
      <c r="D107">
        <f t="shared" si="1"/>
        <v>0</v>
      </c>
      <c r="E107" t="s">
        <v>62</v>
      </c>
      <c r="F107" s="1">
        <v>1420</v>
      </c>
      <c r="G107" s="3" t="s">
        <v>61</v>
      </c>
      <c r="H107" s="1">
        <v>2</v>
      </c>
      <c r="I107" s="9" t="str" cm="1">
        <f t="array" ref="I107">_xlfn.IFS(H107 &lt;= 2, "[1-2] very close", H107 &lt;= 10, "[3-10] close", H107 &lt;= 20, "[11-20] moderate", H107 &lt;= 30, "[21-30] far")</f>
        <v>[1-2] very close</v>
      </c>
      <c r="J107" s="1">
        <v>4</v>
      </c>
      <c r="K107" s="3" t="s">
        <v>61</v>
      </c>
      <c r="L107" s="1">
        <v>1</v>
      </c>
      <c r="M107" s="1">
        <v>140</v>
      </c>
      <c r="N107" s="1">
        <v>3</v>
      </c>
      <c r="O107" s="3" t="s">
        <v>39</v>
      </c>
      <c r="P107" s="1">
        <v>32</v>
      </c>
      <c r="Q107" s="1">
        <v>2</v>
      </c>
      <c r="R107" s="1">
        <v>5</v>
      </c>
      <c r="S107" s="3" t="s">
        <v>56</v>
      </c>
      <c r="T107" s="1">
        <v>4</v>
      </c>
      <c r="U107" s="3" t="s">
        <v>48</v>
      </c>
      <c r="V107" s="4">
        <v>18844</v>
      </c>
      <c r="W107" s="1">
        <v>21922</v>
      </c>
      <c r="X107" s="1">
        <v>9</v>
      </c>
      <c r="Y107" s="3" t="s">
        <v>42</v>
      </c>
      <c r="Z107" s="3" t="s">
        <v>43</v>
      </c>
      <c r="AA107" s="5">
        <v>0.21</v>
      </c>
      <c r="AB107" s="10" t="str" cm="1">
        <f t="array" ref="AB107">_xlfn.IFS(AA107 &lt;= 15%, "Low Hike[11-15%]", AA107 &lt;= 20%, "Moderate Hike[16-20%]", AA107 &lt;= 25%,"High Hike[21-25%]")</f>
        <v>High Hike[21-25%]</v>
      </c>
      <c r="AC107" s="1">
        <v>4</v>
      </c>
      <c r="AD107" s="1">
        <v>4</v>
      </c>
      <c r="AE107" s="1">
        <v>80</v>
      </c>
      <c r="AF107" s="1">
        <v>1</v>
      </c>
      <c r="AG107" s="1">
        <v>30</v>
      </c>
      <c r="AH107" s="9" t="str" cm="1">
        <f t="array" ref="AH107">_xlfn.IFS(AG107 &lt;= 5, "New[1-5]", AG107 &lt;= 10, "Early Career[6-10]", AG107 &lt;= 20, "Established[11-20]", AG107 &lt;= 30, "Veteran[21-30]", AG107 &lt;= 40, "Late Career[31-40]")</f>
        <v>Veteran[21-30]</v>
      </c>
      <c r="AI107" s="1">
        <v>3</v>
      </c>
      <c r="AJ107" s="1">
        <v>3</v>
      </c>
      <c r="AK107" s="1">
        <v>3</v>
      </c>
      <c r="AL107" s="9" t="str" cm="1">
        <f t="array" ref="AL107">_xlfn.IFS(AK107 &lt;= 5, "New[1-5]", AK107 &lt;= 10, "Early Career[6-10]", AK107 &lt;= 20, "Established[11-20]", AK107 &lt;= 30, "Veteran[21-30]", AK107 &lt;= 40, "Late Career[31-40]")</f>
        <v>New[1-5]</v>
      </c>
      <c r="AM107" s="1">
        <v>2</v>
      </c>
      <c r="AN107" s="9" t="str" cm="1">
        <f t="array" ref="AN107">_xlfn.IFS(AM107 &lt;= 3, "New to Role[1-3]", AM107 &lt;= 7, "Settled[4-7]", AM107 &lt;= 12, "Experienced[[8-12]", AM107 &lt;= 18, "Long Tenured[13-18]")</f>
        <v>New to Role[1-3]</v>
      </c>
      <c r="AO107" s="1">
        <v>2</v>
      </c>
      <c r="AP107" s="9" t="str" cm="1">
        <f t="array" ref="AP107">_xlfn.IFS(AO107 &lt;= 3, "Recently[1-3]", AO107 &lt;= 6, "Due Soon[4-6]", AO107 &lt;= 10, "Overdue[7-10]", AO107 &lt;= 15, "Long Overdue[11-15]")</f>
        <v>Recently[1-3]</v>
      </c>
      <c r="AQ107" s="9" t="str" cm="1">
        <f t="array" ref="AQ107">_xlfn.IFS(AR107 &lt;= 3, "New Relationship[1-3]", AR107 &lt;= 7, "Established Relationship[4-7]", AR107 &lt;= 12, "Long Term Relationship[8-12]", AR107 &lt;= 17, "Very Long Term Relationship[13-17]")</f>
        <v>New Relationship[1-3]</v>
      </c>
      <c r="AR107" s="1">
        <v>2</v>
      </c>
    </row>
    <row r="108" spans="1:44" x14ac:dyDescent="0.25">
      <c r="A108" s="1">
        <v>50</v>
      </c>
      <c r="B108" s="8" t="str" cm="1">
        <f t="array" ref="B108">_xlfn.IFS(A108 &lt;= 25, "[18-25]", A108 &lt;= 35, "[26-35]", A108 &lt;=45, "[36-45]", A108 &lt;= 60, "[46- 60]")</f>
        <v>[46- 60]</v>
      </c>
      <c r="C108" s="3" t="s">
        <v>43</v>
      </c>
      <c r="D108">
        <f t="shared" si="1"/>
        <v>0</v>
      </c>
      <c r="E108" t="s">
        <v>44</v>
      </c>
      <c r="F108" s="1">
        <v>1115</v>
      </c>
      <c r="G108" s="3" t="s">
        <v>45</v>
      </c>
      <c r="H108" s="1">
        <v>1</v>
      </c>
      <c r="I108" s="9" t="str" cm="1">
        <f t="array" ref="I108">_xlfn.IFS(H108 &lt;= 2, "[1-2] very close", H108 &lt;= 10, "[3-10] close", H108 &lt;= 20, "[11-20] moderate", H108 &lt;= 30, "[21-30] far")</f>
        <v>[1-2] very close</v>
      </c>
      <c r="J108" s="1">
        <v>3</v>
      </c>
      <c r="K108" s="3" t="s">
        <v>38</v>
      </c>
      <c r="L108" s="1">
        <v>1</v>
      </c>
      <c r="M108" s="1">
        <v>141</v>
      </c>
      <c r="N108" s="1">
        <v>1</v>
      </c>
      <c r="O108" s="3" t="s">
        <v>39</v>
      </c>
      <c r="P108" s="1">
        <v>73</v>
      </c>
      <c r="Q108" s="1">
        <v>3</v>
      </c>
      <c r="R108" s="1">
        <v>5</v>
      </c>
      <c r="S108" s="3" t="s">
        <v>58</v>
      </c>
      <c r="T108" s="1">
        <v>2</v>
      </c>
      <c r="U108" s="3" t="s">
        <v>48</v>
      </c>
      <c r="V108" s="4">
        <v>18172</v>
      </c>
      <c r="W108" s="1">
        <v>9755</v>
      </c>
      <c r="X108" s="1">
        <v>3</v>
      </c>
      <c r="Y108" s="3" t="s">
        <v>42</v>
      </c>
      <c r="Z108" s="3" t="s">
        <v>35</v>
      </c>
      <c r="AA108" s="5">
        <v>0.19</v>
      </c>
      <c r="AB108" s="10" t="str" cm="1">
        <f t="array" ref="AB108">_xlfn.IFS(AA108 &lt;= 15%, "Low Hike[11-15%]", AA108 &lt;= 20%, "Moderate Hike[16-20%]", AA108 &lt;= 25%,"High Hike[21-25%]")</f>
        <v>Moderate Hike[16-20%]</v>
      </c>
      <c r="AC108" s="1">
        <v>3</v>
      </c>
      <c r="AD108" s="1">
        <v>1</v>
      </c>
      <c r="AE108" s="1">
        <v>80</v>
      </c>
      <c r="AF108" s="1">
        <v>0</v>
      </c>
      <c r="AG108" s="1">
        <v>28</v>
      </c>
      <c r="AH108" s="9" t="str" cm="1">
        <f t="array" ref="AH108">_xlfn.IFS(AG108 &lt;= 5, "New[1-5]", AG108 &lt;= 10, "Early Career[6-10]", AG108 &lt;= 20, "Established[11-20]", AG108 &lt;= 30, "Veteran[21-30]", AG108 &lt;= 40, "Late Career[31-40]")</f>
        <v>Veteran[21-30]</v>
      </c>
      <c r="AI108" s="1">
        <v>1</v>
      </c>
      <c r="AJ108" s="1">
        <v>2</v>
      </c>
      <c r="AK108" s="1">
        <v>8</v>
      </c>
      <c r="AL108" s="9" t="str" cm="1">
        <f t="array" ref="AL108">_xlfn.IFS(AK108 &lt;= 5, "New[1-5]", AK108 &lt;= 10, "Early Career[6-10]", AK108 &lt;= 20, "Established[11-20]", AK108 &lt;= 30, "Veteran[21-30]", AK108 &lt;= 40, "Late Career[31-40]")</f>
        <v>Early Career[6-10]</v>
      </c>
      <c r="AM108" s="1">
        <v>3</v>
      </c>
      <c r="AN108" s="9" t="str" cm="1">
        <f t="array" ref="AN108">_xlfn.IFS(AM108 &lt;= 3, "New to Role[1-3]", AM108 &lt;= 7, "Settled[4-7]", AM108 &lt;= 12, "Experienced[[8-12]", AM108 &lt;= 18, "Long Tenured[13-18]")</f>
        <v>New to Role[1-3]</v>
      </c>
      <c r="AO108" s="1">
        <v>0</v>
      </c>
      <c r="AP108" s="9" t="str" cm="1">
        <f t="array" ref="AP108">_xlfn.IFS(AO108 &lt;= 3, "Recently[1-3]", AO108 &lt;= 6, "Due Soon[4-6]", AO108 &lt;= 10, "Overdue[7-10]", AO108 &lt;= 15, "Long Overdue[11-15]")</f>
        <v>Recently[1-3]</v>
      </c>
      <c r="AQ108" s="9" t="str" cm="1">
        <f t="array" ref="AQ108">_xlfn.IFS(AR108 &lt;= 3, "New Relationship[1-3]", AR108 &lt;= 7, "Established Relationship[4-7]", AR108 &lt;= 12, "Long Term Relationship[8-12]", AR108 &lt;= 17, "Very Long Term Relationship[13-17]")</f>
        <v>Established Relationship[4-7]</v>
      </c>
      <c r="AR108" s="1">
        <v>7</v>
      </c>
    </row>
    <row r="109" spans="1:44" x14ac:dyDescent="0.25">
      <c r="A109" s="1">
        <v>25</v>
      </c>
      <c r="B109" s="8" t="str" cm="1">
        <f t="array" ref="B109">_xlfn.IFS(A109 &lt;= 25, "[18-25]", A109 &lt;= 35, "[26-35]", A109 &lt;=45, "[36-45]", A109 &lt;= 60, "[46- 60]")</f>
        <v>[18-25]</v>
      </c>
      <c r="C109" s="3" t="s">
        <v>35</v>
      </c>
      <c r="D109">
        <f t="shared" si="1"/>
        <v>1</v>
      </c>
      <c r="E109" t="s">
        <v>36</v>
      </c>
      <c r="F109" s="1">
        <v>240</v>
      </c>
      <c r="G109" s="3" t="s">
        <v>37</v>
      </c>
      <c r="H109" s="1">
        <v>5</v>
      </c>
      <c r="I109" s="9" t="str" cm="1">
        <f t="array" ref="I109">_xlfn.IFS(H109 &lt;= 2, "[1-2] very close", H109 &lt;= 10, "[3-10] close", H109 &lt;= 20, "[11-20] moderate", H109 &lt;= 30, "[21-30] far")</f>
        <v>[3-10] close</v>
      </c>
      <c r="J109" s="1">
        <v>3</v>
      </c>
      <c r="K109" s="3" t="s">
        <v>59</v>
      </c>
      <c r="L109" s="1">
        <v>1</v>
      </c>
      <c r="M109" s="1">
        <v>142</v>
      </c>
      <c r="N109" s="1">
        <v>3</v>
      </c>
      <c r="O109" s="3" t="s">
        <v>46</v>
      </c>
      <c r="P109" s="1">
        <v>46</v>
      </c>
      <c r="Q109" s="1">
        <v>2</v>
      </c>
      <c r="R109" s="1">
        <v>2</v>
      </c>
      <c r="S109" s="3" t="s">
        <v>40</v>
      </c>
      <c r="T109" s="1">
        <v>3</v>
      </c>
      <c r="U109" s="3" t="s">
        <v>41</v>
      </c>
      <c r="V109" s="4">
        <v>5744</v>
      </c>
      <c r="W109" s="1">
        <v>26959</v>
      </c>
      <c r="X109" s="1">
        <v>1</v>
      </c>
      <c r="Y109" s="3" t="s">
        <v>42</v>
      </c>
      <c r="Z109" s="3" t="s">
        <v>35</v>
      </c>
      <c r="AA109" s="5">
        <v>0.11</v>
      </c>
      <c r="AB109" s="10" t="str" cm="1">
        <f t="array" ref="AB109">_xlfn.IFS(AA109 &lt;= 15%, "Low Hike[11-15%]", AA109 &lt;= 20%, "Moderate Hike[16-20%]", AA109 &lt;= 25%,"High Hike[21-25%]")</f>
        <v>Low Hike[11-15%]</v>
      </c>
      <c r="AC109" s="1">
        <v>3</v>
      </c>
      <c r="AD109" s="1">
        <v>4</v>
      </c>
      <c r="AE109" s="1">
        <v>80</v>
      </c>
      <c r="AF109" s="1">
        <v>0</v>
      </c>
      <c r="AG109" s="1">
        <v>6</v>
      </c>
      <c r="AH109" s="9" t="str" cm="1">
        <f t="array" ref="AH109">_xlfn.IFS(AG109 &lt;= 5, "New[1-5]", AG109 &lt;= 10, "Early Career[6-10]", AG109 &lt;= 20, "Established[11-20]", AG109 &lt;= 30, "Veteran[21-30]", AG109 &lt;= 40, "Late Career[31-40]")</f>
        <v>Early Career[6-10]</v>
      </c>
      <c r="AI109" s="1">
        <v>1</v>
      </c>
      <c r="AJ109" s="1">
        <v>3</v>
      </c>
      <c r="AK109" s="1">
        <v>6</v>
      </c>
      <c r="AL109" s="9" t="str" cm="1">
        <f t="array" ref="AL109">_xlfn.IFS(AK109 &lt;= 5, "New[1-5]", AK109 &lt;= 10, "Early Career[6-10]", AK109 &lt;= 20, "Established[11-20]", AK109 &lt;= 30, "Veteran[21-30]", AK109 &lt;= 40, "Late Career[31-40]")</f>
        <v>Early Career[6-10]</v>
      </c>
      <c r="AM109" s="1">
        <v>4</v>
      </c>
      <c r="AN109" s="9" t="str" cm="1">
        <f t="array" ref="AN109">_xlfn.IFS(AM109 &lt;= 3, "New to Role[1-3]", AM109 &lt;= 7, "Settled[4-7]", AM109 &lt;= 12, "Experienced[[8-12]", AM109 &lt;= 18, "Long Tenured[13-18]")</f>
        <v>Settled[4-7]</v>
      </c>
      <c r="AO109" s="1">
        <v>0</v>
      </c>
      <c r="AP109" s="9" t="str" cm="1">
        <f t="array" ref="AP109">_xlfn.IFS(AO109 &lt;= 3, "Recently[1-3]", AO109 &lt;= 6, "Due Soon[4-6]", AO109 &lt;= 10, "Overdue[7-10]", AO109 &lt;= 15, "Long Overdue[11-15]")</f>
        <v>Recently[1-3]</v>
      </c>
      <c r="AQ109" s="9" t="str" cm="1">
        <f t="array" ref="AQ109">_xlfn.IFS(AR109 &lt;= 3, "New Relationship[1-3]", AR109 &lt;= 7, "Established Relationship[4-7]", AR109 &lt;= 12, "Long Term Relationship[8-12]", AR109 &lt;= 17, "Very Long Term Relationship[13-17]")</f>
        <v>New Relationship[1-3]</v>
      </c>
      <c r="AR109" s="1">
        <v>3</v>
      </c>
    </row>
    <row r="110" spans="1:44" x14ac:dyDescent="0.25">
      <c r="A110" s="1">
        <v>25</v>
      </c>
      <c r="B110" s="8" t="str" cm="1">
        <f t="array" ref="B110">_xlfn.IFS(A110 &lt;= 25, "[18-25]", A110 &lt;= 35, "[26-35]", A110 &lt;=45, "[36-45]", A110 &lt;= 60, "[46- 60]")</f>
        <v>[18-25]</v>
      </c>
      <c r="C110" s="3" t="s">
        <v>43</v>
      </c>
      <c r="D110">
        <f t="shared" si="1"/>
        <v>0</v>
      </c>
      <c r="E110" t="s">
        <v>36</v>
      </c>
      <c r="F110" s="1">
        <v>1280</v>
      </c>
      <c r="G110" s="3" t="s">
        <v>45</v>
      </c>
      <c r="H110" s="1">
        <v>7</v>
      </c>
      <c r="I110" s="9" t="str" cm="1">
        <f t="array" ref="I110">_xlfn.IFS(H110 &lt;= 2, "[1-2] very close", H110 &lt;= 10, "[3-10] close", H110 &lt;= 20, "[11-20] moderate", H110 &lt;= 30, "[21-30] far")</f>
        <v>[3-10] close</v>
      </c>
      <c r="J110" s="1">
        <v>1</v>
      </c>
      <c r="K110" s="3" t="s">
        <v>51</v>
      </c>
      <c r="L110" s="1">
        <v>1</v>
      </c>
      <c r="M110" s="1">
        <v>143</v>
      </c>
      <c r="N110" s="1">
        <v>4</v>
      </c>
      <c r="O110" s="3" t="s">
        <v>46</v>
      </c>
      <c r="P110" s="1">
        <v>64</v>
      </c>
      <c r="Q110" s="1">
        <v>2</v>
      </c>
      <c r="R110" s="1">
        <v>1</v>
      </c>
      <c r="S110" s="3" t="s">
        <v>47</v>
      </c>
      <c r="T110" s="1">
        <v>4</v>
      </c>
      <c r="U110" s="3" t="s">
        <v>48</v>
      </c>
      <c r="V110" s="4">
        <v>2889</v>
      </c>
      <c r="W110" s="1">
        <v>26897</v>
      </c>
      <c r="X110" s="1">
        <v>1</v>
      </c>
      <c r="Y110" s="3" t="s">
        <v>42</v>
      </c>
      <c r="Z110" s="3" t="s">
        <v>43</v>
      </c>
      <c r="AA110" s="5">
        <v>0.11</v>
      </c>
      <c r="AB110" s="10" t="str" cm="1">
        <f t="array" ref="AB110">_xlfn.IFS(AA110 &lt;= 15%, "Low Hike[11-15%]", AA110 &lt;= 20%, "Moderate Hike[16-20%]", AA110 &lt;= 25%,"High Hike[21-25%]")</f>
        <v>Low Hike[11-15%]</v>
      </c>
      <c r="AC110" s="1">
        <v>3</v>
      </c>
      <c r="AD110" s="1">
        <v>3</v>
      </c>
      <c r="AE110" s="1">
        <v>80</v>
      </c>
      <c r="AF110" s="1">
        <v>2</v>
      </c>
      <c r="AG110" s="1">
        <v>2</v>
      </c>
      <c r="AH110" s="9" t="str" cm="1">
        <f t="array" ref="AH110">_xlfn.IFS(AG110 &lt;= 5, "New[1-5]", AG110 &lt;= 10, "Early Career[6-10]", AG110 &lt;= 20, "Established[11-20]", AG110 &lt;= 30, "Veteran[21-30]", AG110 &lt;= 40, "Late Career[31-40]")</f>
        <v>New[1-5]</v>
      </c>
      <c r="AI110" s="1">
        <v>2</v>
      </c>
      <c r="AJ110" s="1">
        <v>3</v>
      </c>
      <c r="AK110" s="1">
        <v>2</v>
      </c>
      <c r="AL110" s="9" t="str" cm="1">
        <f t="array" ref="AL110">_xlfn.IFS(AK110 &lt;= 5, "New[1-5]", AK110 &lt;= 10, "Early Career[6-10]", AK110 &lt;= 20, "Established[11-20]", AK110 &lt;= 30, "Veteran[21-30]", AK110 &lt;= 40, "Late Career[31-40]")</f>
        <v>New[1-5]</v>
      </c>
      <c r="AM110" s="1">
        <v>2</v>
      </c>
      <c r="AN110" s="9" t="str" cm="1">
        <f t="array" ref="AN110">_xlfn.IFS(AM110 &lt;= 3, "New to Role[1-3]", AM110 &lt;= 7, "Settled[4-7]", AM110 &lt;= 12, "Experienced[[8-12]", AM110 &lt;= 18, "Long Tenured[13-18]")</f>
        <v>New to Role[1-3]</v>
      </c>
      <c r="AO110" s="1">
        <v>2</v>
      </c>
      <c r="AP110" s="9" t="str" cm="1">
        <f t="array" ref="AP110">_xlfn.IFS(AO110 &lt;= 3, "Recently[1-3]", AO110 &lt;= 6, "Due Soon[4-6]", AO110 &lt;= 10, "Overdue[7-10]", AO110 &lt;= 15, "Long Overdue[11-15]")</f>
        <v>Recently[1-3]</v>
      </c>
      <c r="AQ110" s="9" t="str" cm="1">
        <f t="array" ref="AQ110">_xlfn.IFS(AR110 &lt;= 3, "New Relationship[1-3]", AR110 &lt;= 7, "Established Relationship[4-7]", AR110 &lt;= 12, "Long Term Relationship[8-12]", AR110 &lt;= 17, "Very Long Term Relationship[13-17]")</f>
        <v>New Relationship[1-3]</v>
      </c>
      <c r="AR110" s="1">
        <v>1</v>
      </c>
    </row>
    <row r="111" spans="1:44" x14ac:dyDescent="0.25">
      <c r="A111" s="1">
        <v>22</v>
      </c>
      <c r="B111" s="8" t="str" cm="1">
        <f t="array" ref="B111">_xlfn.IFS(A111 &lt;= 25, "[18-25]", A111 &lt;= 35, "[26-35]", A111 &lt;=45, "[36-45]", A111 &lt;= 60, "[46- 60]")</f>
        <v>[18-25]</v>
      </c>
      <c r="C111" s="3" t="s">
        <v>43</v>
      </c>
      <c r="D111">
        <f t="shared" si="1"/>
        <v>0</v>
      </c>
      <c r="E111" t="s">
        <v>36</v>
      </c>
      <c r="F111" s="1">
        <v>534</v>
      </c>
      <c r="G111" s="3" t="s">
        <v>45</v>
      </c>
      <c r="H111" s="1">
        <v>15</v>
      </c>
      <c r="I111" s="9" t="str" cm="1">
        <f t="array" ref="I111">_xlfn.IFS(H111 &lt;= 2, "[1-2] very close", H111 &lt;= 10, "[3-10] close", H111 &lt;= 20, "[11-20] moderate", H111 &lt;= 30, "[21-30] far")</f>
        <v>[11-20] moderate</v>
      </c>
      <c r="J111" s="1">
        <v>3</v>
      </c>
      <c r="K111" s="3" t="s">
        <v>51</v>
      </c>
      <c r="L111" s="1">
        <v>1</v>
      </c>
      <c r="M111" s="1">
        <v>144</v>
      </c>
      <c r="N111" s="1">
        <v>2</v>
      </c>
      <c r="O111" s="3" t="s">
        <v>39</v>
      </c>
      <c r="P111" s="1">
        <v>59</v>
      </c>
      <c r="Q111" s="1">
        <v>3</v>
      </c>
      <c r="R111" s="1">
        <v>1</v>
      </c>
      <c r="S111" s="3" t="s">
        <v>50</v>
      </c>
      <c r="T111" s="1">
        <v>4</v>
      </c>
      <c r="U111" s="3" t="s">
        <v>41</v>
      </c>
      <c r="V111" s="4">
        <v>2871</v>
      </c>
      <c r="W111" s="1">
        <v>23785</v>
      </c>
      <c r="X111" s="1">
        <v>1</v>
      </c>
      <c r="Y111" s="3" t="s">
        <v>42</v>
      </c>
      <c r="Z111" s="3" t="s">
        <v>43</v>
      </c>
      <c r="AA111" s="5">
        <v>0.15</v>
      </c>
      <c r="AB111" s="10" t="str" cm="1">
        <f t="array" ref="AB111">_xlfn.IFS(AA111 &lt;= 15%, "Low Hike[11-15%]", AA111 &lt;= 20%, "Moderate Hike[16-20%]", AA111 &lt;= 25%,"High Hike[21-25%]")</f>
        <v>Low Hike[11-15%]</v>
      </c>
      <c r="AC111" s="1">
        <v>3</v>
      </c>
      <c r="AD111" s="1">
        <v>3</v>
      </c>
      <c r="AE111" s="1">
        <v>80</v>
      </c>
      <c r="AF111" s="1">
        <v>0</v>
      </c>
      <c r="AG111" s="1">
        <v>1</v>
      </c>
      <c r="AH111" s="9" t="str" cm="1">
        <f t="array" ref="AH111">_xlfn.IFS(AG111 &lt;= 5, "New[1-5]", AG111 &lt;= 10, "Early Career[6-10]", AG111 &lt;= 20, "Established[11-20]", AG111 &lt;= 30, "Veteran[21-30]", AG111 &lt;= 40, "Late Career[31-40]")</f>
        <v>New[1-5]</v>
      </c>
      <c r="AI111" s="1">
        <v>5</v>
      </c>
      <c r="AJ111" s="1">
        <v>3</v>
      </c>
      <c r="AK111" s="1">
        <v>0</v>
      </c>
      <c r="AL111" s="9" t="str" cm="1">
        <f t="array" ref="AL111">_xlfn.IFS(AK111 &lt;= 5, "New[1-5]", AK111 &lt;= 10, "Early Career[6-10]", AK111 &lt;= 20, "Established[11-20]", AK111 &lt;= 30, "Veteran[21-30]", AK111 &lt;= 40, "Late Career[31-40]")</f>
        <v>New[1-5]</v>
      </c>
      <c r="AM111" s="1">
        <v>0</v>
      </c>
      <c r="AN111" s="9" t="str" cm="1">
        <f t="array" ref="AN111">_xlfn.IFS(AM111 &lt;= 3, "New to Role[1-3]", AM111 &lt;= 7, "Settled[4-7]", AM111 &lt;= 12, "Experienced[[8-12]", AM111 &lt;= 18, "Long Tenured[13-18]")</f>
        <v>New to Role[1-3]</v>
      </c>
      <c r="AO111" s="1">
        <v>0</v>
      </c>
      <c r="AP111" s="9" t="str" cm="1">
        <f t="array" ref="AP111">_xlfn.IFS(AO111 &lt;= 3, "Recently[1-3]", AO111 &lt;= 6, "Due Soon[4-6]", AO111 &lt;= 10, "Overdue[7-10]", AO111 &lt;= 15, "Long Overdue[11-15]")</f>
        <v>Recently[1-3]</v>
      </c>
      <c r="AQ111" s="9" t="str" cm="1">
        <f t="array" ref="AQ111">_xlfn.IFS(AR111 &lt;= 3, "New Relationship[1-3]", AR111 &lt;= 7, "Established Relationship[4-7]", AR111 &lt;= 12, "Long Term Relationship[8-12]", AR111 &lt;= 17, "Very Long Term Relationship[13-17]")</f>
        <v>New Relationship[1-3]</v>
      </c>
      <c r="AR111" s="1">
        <v>0</v>
      </c>
    </row>
    <row r="112" spans="1:44" x14ac:dyDescent="0.25">
      <c r="A112" s="1">
        <v>51</v>
      </c>
      <c r="B112" s="8" t="str" cm="1">
        <f t="array" ref="B112">_xlfn.IFS(A112 &lt;= 25, "[18-25]", A112 &lt;= 35, "[26-35]", A112 &lt;=45, "[36-45]", A112 &lt;= 60, "[46- 60]")</f>
        <v>[46- 60]</v>
      </c>
      <c r="C112" s="3" t="s">
        <v>43</v>
      </c>
      <c r="D112">
        <f t="shared" si="1"/>
        <v>0</v>
      </c>
      <c r="E112" t="s">
        <v>44</v>
      </c>
      <c r="F112" s="1">
        <v>1456</v>
      </c>
      <c r="G112" s="3" t="s">
        <v>45</v>
      </c>
      <c r="H112" s="1">
        <v>1</v>
      </c>
      <c r="I112" s="9" t="str" cm="1">
        <f t="array" ref="I112">_xlfn.IFS(H112 &lt;= 2, "[1-2] very close", H112 &lt;= 10, "[3-10] close", H112 &lt;= 20, "[11-20] moderate", H112 &lt;= 30, "[21-30] far")</f>
        <v>[1-2] very close</v>
      </c>
      <c r="J112" s="1">
        <v>4</v>
      </c>
      <c r="K112" s="3" t="s">
        <v>51</v>
      </c>
      <c r="L112" s="1">
        <v>1</v>
      </c>
      <c r="M112" s="1">
        <v>145</v>
      </c>
      <c r="N112" s="1">
        <v>1</v>
      </c>
      <c r="O112" s="3" t="s">
        <v>39</v>
      </c>
      <c r="P112" s="1">
        <v>30</v>
      </c>
      <c r="Q112" s="1">
        <v>2</v>
      </c>
      <c r="R112" s="1">
        <v>3</v>
      </c>
      <c r="S112" s="3" t="s">
        <v>54</v>
      </c>
      <c r="T112" s="1">
        <v>1</v>
      </c>
      <c r="U112" s="3" t="s">
        <v>41</v>
      </c>
      <c r="V112" s="4">
        <v>7484</v>
      </c>
      <c r="W112" s="1">
        <v>25796</v>
      </c>
      <c r="X112" s="1">
        <v>3</v>
      </c>
      <c r="Y112" s="3" t="s">
        <v>42</v>
      </c>
      <c r="Z112" s="3" t="s">
        <v>43</v>
      </c>
      <c r="AA112" s="5">
        <v>0.2</v>
      </c>
      <c r="AB112" s="10" t="str" cm="1">
        <f t="array" ref="AB112">_xlfn.IFS(AA112 &lt;= 15%, "Low Hike[11-15%]", AA112 &lt;= 20%, "Moderate Hike[16-20%]", AA112 &lt;= 25%,"High Hike[21-25%]")</f>
        <v>Moderate Hike[16-20%]</v>
      </c>
      <c r="AC112" s="1">
        <v>4</v>
      </c>
      <c r="AD112" s="1">
        <v>3</v>
      </c>
      <c r="AE112" s="1">
        <v>80</v>
      </c>
      <c r="AF112" s="1">
        <v>0</v>
      </c>
      <c r="AG112" s="1">
        <v>23</v>
      </c>
      <c r="AH112" s="9" t="str" cm="1">
        <f t="array" ref="AH112">_xlfn.IFS(AG112 &lt;= 5, "New[1-5]", AG112 &lt;= 10, "Early Career[6-10]", AG112 &lt;= 20, "Established[11-20]", AG112 &lt;= 30, "Veteran[21-30]", AG112 &lt;= 40, "Late Career[31-40]")</f>
        <v>Veteran[21-30]</v>
      </c>
      <c r="AI112" s="1">
        <v>1</v>
      </c>
      <c r="AJ112" s="1">
        <v>2</v>
      </c>
      <c r="AK112" s="1">
        <v>13</v>
      </c>
      <c r="AL112" s="9" t="str" cm="1">
        <f t="array" ref="AL112">_xlfn.IFS(AK112 &lt;= 5, "New[1-5]", AK112 &lt;= 10, "Early Career[6-10]", AK112 &lt;= 20, "Established[11-20]", AK112 &lt;= 30, "Veteran[21-30]", AK112 &lt;= 40, "Late Career[31-40]")</f>
        <v>Established[11-20]</v>
      </c>
      <c r="AM112" s="1">
        <v>12</v>
      </c>
      <c r="AN112" s="9" t="str" cm="1">
        <f t="array" ref="AN112">_xlfn.IFS(AM112 &lt;= 3, "New to Role[1-3]", AM112 &lt;= 7, "Settled[4-7]", AM112 &lt;= 12, "Experienced[[8-12]", AM112 &lt;= 18, "Long Tenured[13-18]")</f>
        <v>Experienced[[8-12]</v>
      </c>
      <c r="AO112" s="1">
        <v>12</v>
      </c>
      <c r="AP112" s="9" t="str" cm="1">
        <f t="array" ref="AP112">_xlfn.IFS(AO112 &lt;= 3, "Recently[1-3]", AO112 &lt;= 6, "Due Soon[4-6]", AO112 &lt;= 10, "Overdue[7-10]", AO112 &lt;= 15, "Long Overdue[11-15]")</f>
        <v>Long Overdue[11-15]</v>
      </c>
      <c r="AQ112" s="9" t="str" cm="1">
        <f t="array" ref="AQ112">_xlfn.IFS(AR112 &lt;= 3, "New Relationship[1-3]", AR112 &lt;= 7, "Established Relationship[4-7]", AR112 &lt;= 12, "Long Term Relationship[8-12]", AR112 &lt;= 17, "Very Long Term Relationship[13-17]")</f>
        <v>Long Term Relationship[8-12]</v>
      </c>
      <c r="AR112" s="1">
        <v>8</v>
      </c>
    </row>
    <row r="113" spans="1:44" x14ac:dyDescent="0.25">
      <c r="A113" s="1">
        <v>34</v>
      </c>
      <c r="B113" s="8" t="str" cm="1">
        <f t="array" ref="B113">_xlfn.IFS(A113 &lt;= 25, "[18-25]", A113 &lt;= 35, "[26-35]", A113 &lt;=45, "[36-45]", A113 &lt;= 60, "[46- 60]")</f>
        <v>[26-35]</v>
      </c>
      <c r="C113" s="3" t="s">
        <v>35</v>
      </c>
      <c r="D113">
        <f t="shared" si="1"/>
        <v>1</v>
      </c>
      <c r="E113" t="s">
        <v>44</v>
      </c>
      <c r="F113" s="1">
        <v>658</v>
      </c>
      <c r="G113" s="3" t="s">
        <v>45</v>
      </c>
      <c r="H113" s="1">
        <v>7</v>
      </c>
      <c r="I113" s="9" t="str" cm="1">
        <f t="array" ref="I113">_xlfn.IFS(H113 &lt;= 2, "[1-2] very close", H113 &lt;= 10, "[3-10] close", H113 &lt;= 20, "[11-20] moderate", H113 &lt;= 30, "[21-30] far")</f>
        <v>[3-10] close</v>
      </c>
      <c r="J113" s="1">
        <v>3</v>
      </c>
      <c r="K113" s="3" t="s">
        <v>38</v>
      </c>
      <c r="L113" s="1">
        <v>1</v>
      </c>
      <c r="M113" s="1">
        <v>147</v>
      </c>
      <c r="N113" s="1">
        <v>1</v>
      </c>
      <c r="O113" s="3" t="s">
        <v>46</v>
      </c>
      <c r="P113" s="1">
        <v>66</v>
      </c>
      <c r="Q113" s="1">
        <v>1</v>
      </c>
      <c r="R113" s="1">
        <v>2</v>
      </c>
      <c r="S113" s="3" t="s">
        <v>50</v>
      </c>
      <c r="T113" s="1">
        <v>3</v>
      </c>
      <c r="U113" s="3" t="s">
        <v>41</v>
      </c>
      <c r="V113" s="4">
        <v>6074</v>
      </c>
      <c r="W113" s="1">
        <v>22887</v>
      </c>
      <c r="X113" s="1">
        <v>1</v>
      </c>
      <c r="Y113" s="3" t="s">
        <v>42</v>
      </c>
      <c r="Z113" s="3" t="s">
        <v>35</v>
      </c>
      <c r="AA113" s="5">
        <v>0.24</v>
      </c>
      <c r="AB113" s="10" t="str" cm="1">
        <f t="array" ref="AB113">_xlfn.IFS(AA113 &lt;= 15%, "Low Hike[11-15%]", AA113 &lt;= 20%, "Moderate Hike[16-20%]", AA113 &lt;= 25%,"High Hike[21-25%]")</f>
        <v>High Hike[21-25%]</v>
      </c>
      <c r="AC113" s="1">
        <v>4</v>
      </c>
      <c r="AD113" s="1">
        <v>4</v>
      </c>
      <c r="AE113" s="1">
        <v>80</v>
      </c>
      <c r="AF113" s="1">
        <v>0</v>
      </c>
      <c r="AG113" s="1">
        <v>9</v>
      </c>
      <c r="AH113" s="9" t="str" cm="1">
        <f t="array" ref="AH113">_xlfn.IFS(AG113 &lt;= 5, "New[1-5]", AG113 &lt;= 10, "Early Career[6-10]", AG113 &lt;= 20, "Established[11-20]", AG113 &lt;= 30, "Veteran[21-30]", AG113 &lt;= 40, "Late Career[31-40]")</f>
        <v>Early Career[6-10]</v>
      </c>
      <c r="AI113" s="1">
        <v>3</v>
      </c>
      <c r="AJ113" s="1">
        <v>3</v>
      </c>
      <c r="AK113" s="1">
        <v>9</v>
      </c>
      <c r="AL113" s="9" t="str" cm="1">
        <f t="array" ref="AL113">_xlfn.IFS(AK113 &lt;= 5, "New[1-5]", AK113 &lt;= 10, "Early Career[6-10]", AK113 &lt;= 20, "Established[11-20]", AK113 &lt;= 30, "Veteran[21-30]", AK113 &lt;= 40, "Late Career[31-40]")</f>
        <v>Early Career[6-10]</v>
      </c>
      <c r="AM113" s="1">
        <v>7</v>
      </c>
      <c r="AN113" s="9" t="str" cm="1">
        <f t="array" ref="AN113">_xlfn.IFS(AM113 &lt;= 3, "New to Role[1-3]", AM113 &lt;= 7, "Settled[4-7]", AM113 &lt;= 12, "Experienced[[8-12]", AM113 &lt;= 18, "Long Tenured[13-18]")</f>
        <v>Settled[4-7]</v>
      </c>
      <c r="AO113" s="1">
        <v>0</v>
      </c>
      <c r="AP113" s="9" t="str" cm="1">
        <f t="array" ref="AP113">_xlfn.IFS(AO113 &lt;= 3, "Recently[1-3]", AO113 &lt;= 6, "Due Soon[4-6]", AO113 &lt;= 10, "Overdue[7-10]", AO113 &lt;= 15, "Long Overdue[11-15]")</f>
        <v>Recently[1-3]</v>
      </c>
      <c r="AQ113" s="9" t="str" cm="1">
        <f t="array" ref="AQ113">_xlfn.IFS(AR113 &lt;= 3, "New Relationship[1-3]", AR113 &lt;= 7, "Established Relationship[4-7]", AR113 &lt;= 12, "Long Term Relationship[8-12]", AR113 &lt;= 17, "Very Long Term Relationship[13-17]")</f>
        <v>Established Relationship[4-7]</v>
      </c>
      <c r="AR113" s="1">
        <v>6</v>
      </c>
    </row>
    <row r="114" spans="1:44" x14ac:dyDescent="0.25">
      <c r="A114" s="1">
        <v>54</v>
      </c>
      <c r="B114" s="8" t="str" cm="1">
        <f t="array" ref="B114">_xlfn.IFS(A114 &lt;= 25, "[18-25]", A114 &lt;= 35, "[26-35]", A114 &lt;=45, "[36-45]", A114 &lt;= 60, "[46- 60]")</f>
        <v>[46- 60]</v>
      </c>
      <c r="C114" s="3" t="s">
        <v>43</v>
      </c>
      <c r="D114">
        <f t="shared" si="1"/>
        <v>0</v>
      </c>
      <c r="E114" t="s">
        <v>62</v>
      </c>
      <c r="F114" s="1">
        <v>142</v>
      </c>
      <c r="G114" s="3" t="s">
        <v>61</v>
      </c>
      <c r="H114" s="1">
        <v>26</v>
      </c>
      <c r="I114" s="9" t="str" cm="1">
        <f t="array" ref="I114">_xlfn.IFS(H114 &lt;= 2, "[1-2] very close", H114 &lt;= 10, "[3-10] close", H114 &lt;= 20, "[11-20] moderate", H114 &lt;= 30, "[21-30] far")</f>
        <v>[21-30] far</v>
      </c>
      <c r="J114" s="1">
        <v>3</v>
      </c>
      <c r="K114" s="3" t="s">
        <v>61</v>
      </c>
      <c r="L114" s="1">
        <v>1</v>
      </c>
      <c r="M114" s="1">
        <v>148</v>
      </c>
      <c r="N114" s="1">
        <v>4</v>
      </c>
      <c r="O114" s="3" t="s">
        <v>39</v>
      </c>
      <c r="P114" s="1">
        <v>30</v>
      </c>
      <c r="Q114" s="1">
        <v>4</v>
      </c>
      <c r="R114" s="1">
        <v>4</v>
      </c>
      <c r="S114" s="3" t="s">
        <v>56</v>
      </c>
      <c r="T114" s="1">
        <v>4</v>
      </c>
      <c r="U114" s="3" t="s">
        <v>41</v>
      </c>
      <c r="V114" s="4">
        <v>17328</v>
      </c>
      <c r="W114" s="1">
        <v>13871</v>
      </c>
      <c r="X114" s="1">
        <v>2</v>
      </c>
      <c r="Y114" s="3" t="s">
        <v>42</v>
      </c>
      <c r="Z114" s="3" t="s">
        <v>35</v>
      </c>
      <c r="AA114" s="5">
        <v>0.12</v>
      </c>
      <c r="AB114" s="10" t="str" cm="1">
        <f t="array" ref="AB114">_xlfn.IFS(AA114 &lt;= 15%, "Low Hike[11-15%]", AA114 &lt;= 20%, "Moderate Hike[16-20%]", AA114 &lt;= 25%,"High Hike[21-25%]")</f>
        <v>Low Hike[11-15%]</v>
      </c>
      <c r="AC114" s="1">
        <v>3</v>
      </c>
      <c r="AD114" s="1">
        <v>3</v>
      </c>
      <c r="AE114" s="1">
        <v>80</v>
      </c>
      <c r="AF114" s="1">
        <v>0</v>
      </c>
      <c r="AG114" s="1">
        <v>23</v>
      </c>
      <c r="AH114" s="9" t="str" cm="1">
        <f t="array" ref="AH114">_xlfn.IFS(AG114 &lt;= 5, "New[1-5]", AG114 &lt;= 10, "Early Career[6-10]", AG114 &lt;= 20, "Established[11-20]", AG114 &lt;= 30, "Veteran[21-30]", AG114 &lt;= 40, "Late Career[31-40]")</f>
        <v>Veteran[21-30]</v>
      </c>
      <c r="AI114" s="1">
        <v>3</v>
      </c>
      <c r="AJ114" s="1">
        <v>3</v>
      </c>
      <c r="AK114" s="1">
        <v>5</v>
      </c>
      <c r="AL114" s="9" t="str" cm="1">
        <f t="array" ref="AL114">_xlfn.IFS(AK114 &lt;= 5, "New[1-5]", AK114 &lt;= 10, "Early Career[6-10]", AK114 &lt;= 20, "Established[11-20]", AK114 &lt;= 30, "Veteran[21-30]", AK114 &lt;= 40, "Late Career[31-40]")</f>
        <v>New[1-5]</v>
      </c>
      <c r="AM114" s="1">
        <v>3</v>
      </c>
      <c r="AN114" s="9" t="str" cm="1">
        <f t="array" ref="AN114">_xlfn.IFS(AM114 &lt;= 3, "New to Role[1-3]", AM114 &lt;= 7, "Settled[4-7]", AM114 &lt;= 12, "Experienced[[8-12]", AM114 &lt;= 18, "Long Tenured[13-18]")</f>
        <v>New to Role[1-3]</v>
      </c>
      <c r="AO114" s="1">
        <v>4</v>
      </c>
      <c r="AP114" s="9" t="str" cm="1">
        <f t="array" ref="AP114">_xlfn.IFS(AO114 &lt;= 3, "Recently[1-3]", AO114 &lt;= 6, "Due Soon[4-6]", AO114 &lt;= 10, "Overdue[7-10]", AO114 &lt;= 15, "Long Overdue[11-15]")</f>
        <v>Due Soon[4-6]</v>
      </c>
      <c r="AQ114" s="9" t="str" cm="1">
        <f t="array" ref="AQ114">_xlfn.IFS(AR114 &lt;= 3, "New Relationship[1-3]", AR114 &lt;= 7, "Established Relationship[4-7]", AR114 &lt;= 12, "Long Term Relationship[8-12]", AR114 &lt;= 17, "Very Long Term Relationship[13-17]")</f>
        <v>Established Relationship[4-7]</v>
      </c>
      <c r="AR114" s="1">
        <v>4</v>
      </c>
    </row>
    <row r="115" spans="1:44" x14ac:dyDescent="0.25">
      <c r="A115" s="1">
        <v>24</v>
      </c>
      <c r="B115" s="8" t="str" cm="1">
        <f t="array" ref="B115">_xlfn.IFS(A115 &lt;= 25, "[18-25]", A115 &lt;= 35, "[26-35]", A115 &lt;=45, "[36-45]", A115 &lt;= 60, "[46- 60]")</f>
        <v>[18-25]</v>
      </c>
      <c r="C115" s="3" t="s">
        <v>43</v>
      </c>
      <c r="D115">
        <f t="shared" si="1"/>
        <v>0</v>
      </c>
      <c r="E115" t="s">
        <v>36</v>
      </c>
      <c r="F115" s="1">
        <v>1127</v>
      </c>
      <c r="G115" s="3" t="s">
        <v>45</v>
      </c>
      <c r="H115" s="1">
        <v>18</v>
      </c>
      <c r="I115" s="9" t="str" cm="1">
        <f t="array" ref="I115">_xlfn.IFS(H115 &lt;= 2, "[1-2] very close", H115 &lt;= 10, "[3-10] close", H115 &lt;= 20, "[11-20] moderate", H115 &lt;= 30, "[21-30] far")</f>
        <v>[11-20] moderate</v>
      </c>
      <c r="J115" s="1">
        <v>1</v>
      </c>
      <c r="K115" s="3" t="s">
        <v>38</v>
      </c>
      <c r="L115" s="1">
        <v>1</v>
      </c>
      <c r="M115" s="1">
        <v>150</v>
      </c>
      <c r="N115" s="1">
        <v>2</v>
      </c>
      <c r="O115" s="3" t="s">
        <v>46</v>
      </c>
      <c r="P115" s="1">
        <v>52</v>
      </c>
      <c r="Q115" s="1">
        <v>3</v>
      </c>
      <c r="R115" s="1">
        <v>1</v>
      </c>
      <c r="S115" s="3" t="s">
        <v>50</v>
      </c>
      <c r="T115" s="1">
        <v>3</v>
      </c>
      <c r="U115" s="3" t="s">
        <v>48</v>
      </c>
      <c r="V115" s="4">
        <v>2774</v>
      </c>
      <c r="W115" s="1">
        <v>13257</v>
      </c>
      <c r="X115" s="1">
        <v>0</v>
      </c>
      <c r="Y115" s="3" t="s">
        <v>42</v>
      </c>
      <c r="Z115" s="3" t="s">
        <v>43</v>
      </c>
      <c r="AA115" s="5">
        <v>0.12</v>
      </c>
      <c r="AB115" s="10" t="str" cm="1">
        <f t="array" ref="AB115">_xlfn.IFS(AA115 &lt;= 15%, "Low Hike[11-15%]", AA115 &lt;= 20%, "Moderate Hike[16-20%]", AA115 &lt;= 25%,"High Hike[21-25%]")</f>
        <v>Low Hike[11-15%]</v>
      </c>
      <c r="AC115" s="1">
        <v>3</v>
      </c>
      <c r="AD115" s="1">
        <v>3</v>
      </c>
      <c r="AE115" s="1">
        <v>80</v>
      </c>
      <c r="AF115" s="1">
        <v>1</v>
      </c>
      <c r="AG115" s="1">
        <v>6</v>
      </c>
      <c r="AH115" s="9" t="str" cm="1">
        <f t="array" ref="AH115">_xlfn.IFS(AG115 &lt;= 5, "New[1-5]", AG115 &lt;= 10, "Early Career[6-10]", AG115 &lt;= 20, "Established[11-20]", AG115 &lt;= 30, "Veteran[21-30]", AG115 &lt;= 40, "Late Career[31-40]")</f>
        <v>Early Career[6-10]</v>
      </c>
      <c r="AI115" s="1">
        <v>2</v>
      </c>
      <c r="AJ115" s="1">
        <v>3</v>
      </c>
      <c r="AK115" s="1">
        <v>5</v>
      </c>
      <c r="AL115" s="9" t="str" cm="1">
        <f t="array" ref="AL115">_xlfn.IFS(AK115 &lt;= 5, "New[1-5]", AK115 &lt;= 10, "Early Career[6-10]", AK115 &lt;= 20, "Established[11-20]", AK115 &lt;= 30, "Veteran[21-30]", AK115 &lt;= 40, "Late Career[31-40]")</f>
        <v>New[1-5]</v>
      </c>
      <c r="AM115" s="1">
        <v>3</v>
      </c>
      <c r="AN115" s="9" t="str" cm="1">
        <f t="array" ref="AN115">_xlfn.IFS(AM115 &lt;= 3, "New to Role[1-3]", AM115 &lt;= 7, "Settled[4-7]", AM115 &lt;= 12, "Experienced[[8-12]", AM115 &lt;= 18, "Long Tenured[13-18]")</f>
        <v>New to Role[1-3]</v>
      </c>
      <c r="AO115" s="1">
        <v>1</v>
      </c>
      <c r="AP115" s="9" t="str" cm="1">
        <f t="array" ref="AP115">_xlfn.IFS(AO115 &lt;= 3, "Recently[1-3]", AO115 &lt;= 6, "Due Soon[4-6]", AO115 &lt;= 10, "Overdue[7-10]", AO115 &lt;= 15, "Long Overdue[11-15]")</f>
        <v>Recently[1-3]</v>
      </c>
      <c r="AQ115" s="9" t="str" cm="1">
        <f t="array" ref="AQ115">_xlfn.IFS(AR115 &lt;= 3, "New Relationship[1-3]", AR115 &lt;= 7, "Established Relationship[4-7]", AR115 &lt;= 12, "Long Term Relationship[8-12]", AR115 &lt;= 17, "Very Long Term Relationship[13-17]")</f>
        <v>New Relationship[1-3]</v>
      </c>
      <c r="AR115" s="1">
        <v>2</v>
      </c>
    </row>
    <row r="116" spans="1:44" x14ac:dyDescent="0.25">
      <c r="A116" s="1">
        <v>34</v>
      </c>
      <c r="B116" s="8" t="str" cm="1">
        <f t="array" ref="B116">_xlfn.IFS(A116 &lt;= 25, "[18-25]", A116 &lt;= 35, "[26-35]", A116 &lt;=45, "[36-45]", A116 &lt;= 60, "[46- 60]")</f>
        <v>[26-35]</v>
      </c>
      <c r="C116" s="3" t="s">
        <v>43</v>
      </c>
      <c r="D116">
        <f t="shared" si="1"/>
        <v>0</v>
      </c>
      <c r="E116" t="s">
        <v>36</v>
      </c>
      <c r="F116" s="1">
        <v>1031</v>
      </c>
      <c r="G116" s="3" t="s">
        <v>45</v>
      </c>
      <c r="H116" s="1">
        <v>6</v>
      </c>
      <c r="I116" s="9" t="str" cm="1">
        <f t="array" ref="I116">_xlfn.IFS(H116 &lt;= 2, "[1-2] very close", H116 &lt;= 10, "[3-10] close", H116 &lt;= 20, "[11-20] moderate", H116 &lt;= 30, "[21-30] far")</f>
        <v>[3-10] close</v>
      </c>
      <c r="J116" s="1">
        <v>4</v>
      </c>
      <c r="K116" s="3" t="s">
        <v>38</v>
      </c>
      <c r="L116" s="1">
        <v>1</v>
      </c>
      <c r="M116" s="1">
        <v>151</v>
      </c>
      <c r="N116" s="1">
        <v>3</v>
      </c>
      <c r="O116" s="3" t="s">
        <v>39</v>
      </c>
      <c r="P116" s="1">
        <v>45</v>
      </c>
      <c r="Q116" s="1">
        <v>2</v>
      </c>
      <c r="R116" s="1">
        <v>2</v>
      </c>
      <c r="S116" s="3" t="s">
        <v>47</v>
      </c>
      <c r="T116" s="1">
        <v>2</v>
      </c>
      <c r="U116" s="3" t="s">
        <v>52</v>
      </c>
      <c r="V116" s="4">
        <v>4505</v>
      </c>
      <c r="W116" s="1">
        <v>15000</v>
      </c>
      <c r="X116" s="1">
        <v>6</v>
      </c>
      <c r="Y116" s="3" t="s">
        <v>42</v>
      </c>
      <c r="Z116" s="3" t="s">
        <v>43</v>
      </c>
      <c r="AA116" s="5">
        <v>0.15</v>
      </c>
      <c r="AB116" s="10" t="str" cm="1">
        <f t="array" ref="AB116">_xlfn.IFS(AA116 &lt;= 15%, "Low Hike[11-15%]", AA116 &lt;= 20%, "Moderate Hike[16-20%]", AA116 &lt;= 25%,"High Hike[21-25%]")</f>
        <v>Low Hike[11-15%]</v>
      </c>
      <c r="AC116" s="1">
        <v>3</v>
      </c>
      <c r="AD116" s="1">
        <v>3</v>
      </c>
      <c r="AE116" s="1">
        <v>80</v>
      </c>
      <c r="AF116" s="1">
        <v>1</v>
      </c>
      <c r="AG116" s="1">
        <v>12</v>
      </c>
      <c r="AH116" s="9" t="str" cm="1">
        <f t="array" ref="AH116">_xlfn.IFS(AG116 &lt;= 5, "New[1-5]", AG116 &lt;= 10, "Early Career[6-10]", AG116 &lt;= 20, "Established[11-20]", AG116 &lt;= 30, "Veteran[21-30]", AG116 &lt;= 40, "Late Career[31-40]")</f>
        <v>Established[11-20]</v>
      </c>
      <c r="AI116" s="1">
        <v>3</v>
      </c>
      <c r="AJ116" s="1">
        <v>3</v>
      </c>
      <c r="AK116" s="1">
        <v>1</v>
      </c>
      <c r="AL116" s="9" t="str" cm="1">
        <f t="array" ref="AL116">_xlfn.IFS(AK116 &lt;= 5, "New[1-5]", AK116 &lt;= 10, "Early Career[6-10]", AK116 &lt;= 20, "Established[11-20]", AK116 &lt;= 30, "Veteran[21-30]", AK116 &lt;= 40, "Late Career[31-40]")</f>
        <v>New[1-5]</v>
      </c>
      <c r="AM116" s="1">
        <v>0</v>
      </c>
      <c r="AN116" s="9" t="str" cm="1">
        <f t="array" ref="AN116">_xlfn.IFS(AM116 &lt;= 3, "New to Role[1-3]", AM116 &lt;= 7, "Settled[4-7]", AM116 &lt;= 12, "Experienced[[8-12]", AM116 &lt;= 18, "Long Tenured[13-18]")</f>
        <v>New to Role[1-3]</v>
      </c>
      <c r="AO116" s="1">
        <v>0</v>
      </c>
      <c r="AP116" s="9" t="str" cm="1">
        <f t="array" ref="AP116">_xlfn.IFS(AO116 &lt;= 3, "Recently[1-3]", AO116 &lt;= 6, "Due Soon[4-6]", AO116 &lt;= 10, "Overdue[7-10]", AO116 &lt;= 15, "Long Overdue[11-15]")</f>
        <v>Recently[1-3]</v>
      </c>
      <c r="AQ116" s="9" t="str" cm="1">
        <f t="array" ref="AQ116">_xlfn.IFS(AR116 &lt;= 3, "New Relationship[1-3]", AR116 &lt;= 7, "Established Relationship[4-7]", AR116 &lt;= 12, "Long Term Relationship[8-12]", AR116 &lt;= 17, "Very Long Term Relationship[13-17]")</f>
        <v>New Relationship[1-3]</v>
      </c>
      <c r="AR116" s="1">
        <v>0</v>
      </c>
    </row>
    <row r="117" spans="1:44" x14ac:dyDescent="0.25">
      <c r="A117" s="1">
        <v>37</v>
      </c>
      <c r="B117" s="8" t="str" cm="1">
        <f t="array" ref="B117">_xlfn.IFS(A117 &lt;= 25, "[18-25]", A117 &lt;= 35, "[26-35]", A117 &lt;=45, "[36-45]", A117 &lt;= 60, "[46- 60]")</f>
        <v>[36-45]</v>
      </c>
      <c r="C117" s="3" t="s">
        <v>43</v>
      </c>
      <c r="D117">
        <f t="shared" si="1"/>
        <v>0</v>
      </c>
      <c r="E117" t="s">
        <v>36</v>
      </c>
      <c r="F117" s="1">
        <v>1189</v>
      </c>
      <c r="G117" s="3" t="s">
        <v>37</v>
      </c>
      <c r="H117" s="1">
        <v>3</v>
      </c>
      <c r="I117" s="9" t="str" cm="1">
        <f t="array" ref="I117">_xlfn.IFS(H117 &lt;= 2, "[1-2] very close", H117 &lt;= 10, "[3-10] close", H117 &lt;= 20, "[11-20] moderate", H117 &lt;= 30, "[21-30] far")</f>
        <v>[3-10] close</v>
      </c>
      <c r="J117" s="1">
        <v>3</v>
      </c>
      <c r="K117" s="3" t="s">
        <v>38</v>
      </c>
      <c r="L117" s="1">
        <v>1</v>
      </c>
      <c r="M117" s="1">
        <v>152</v>
      </c>
      <c r="N117" s="1">
        <v>3</v>
      </c>
      <c r="O117" s="3" t="s">
        <v>46</v>
      </c>
      <c r="P117" s="1">
        <v>87</v>
      </c>
      <c r="Q117" s="1">
        <v>3</v>
      </c>
      <c r="R117" s="1">
        <v>3</v>
      </c>
      <c r="S117" s="3" t="s">
        <v>40</v>
      </c>
      <c r="T117" s="1">
        <v>4</v>
      </c>
      <c r="U117" s="3" t="s">
        <v>41</v>
      </c>
      <c r="V117" s="4">
        <v>7428</v>
      </c>
      <c r="W117" s="1">
        <v>14506</v>
      </c>
      <c r="X117" s="1">
        <v>2</v>
      </c>
      <c r="Y117" s="3" t="s">
        <v>42</v>
      </c>
      <c r="Z117" s="3" t="s">
        <v>43</v>
      </c>
      <c r="AA117" s="5">
        <v>0.12</v>
      </c>
      <c r="AB117" s="10" t="str" cm="1">
        <f t="array" ref="AB117">_xlfn.IFS(AA117 &lt;= 15%, "Low Hike[11-15%]", AA117 &lt;= 20%, "Moderate Hike[16-20%]", AA117 &lt;= 25%,"High Hike[21-25%]")</f>
        <v>Low Hike[11-15%]</v>
      </c>
      <c r="AC117" s="1">
        <v>3</v>
      </c>
      <c r="AD117" s="1">
        <v>1</v>
      </c>
      <c r="AE117" s="1">
        <v>80</v>
      </c>
      <c r="AF117" s="1">
        <v>0</v>
      </c>
      <c r="AG117" s="1">
        <v>12</v>
      </c>
      <c r="AH117" s="9" t="str" cm="1">
        <f t="array" ref="AH117">_xlfn.IFS(AG117 &lt;= 5, "New[1-5]", AG117 &lt;= 10, "Early Career[6-10]", AG117 &lt;= 20, "Established[11-20]", AG117 &lt;= 30, "Veteran[21-30]", AG117 &lt;= 40, "Late Career[31-40]")</f>
        <v>Established[11-20]</v>
      </c>
      <c r="AI117" s="1">
        <v>3</v>
      </c>
      <c r="AJ117" s="1">
        <v>3</v>
      </c>
      <c r="AK117" s="1">
        <v>5</v>
      </c>
      <c r="AL117" s="9" t="str" cm="1">
        <f t="array" ref="AL117">_xlfn.IFS(AK117 &lt;= 5, "New[1-5]", AK117 &lt;= 10, "Early Career[6-10]", AK117 &lt;= 20, "Established[11-20]", AK117 &lt;= 30, "Veteran[21-30]", AK117 &lt;= 40, "Late Career[31-40]")</f>
        <v>New[1-5]</v>
      </c>
      <c r="AM117" s="1">
        <v>3</v>
      </c>
      <c r="AN117" s="9" t="str" cm="1">
        <f t="array" ref="AN117">_xlfn.IFS(AM117 &lt;= 3, "New to Role[1-3]", AM117 &lt;= 7, "Settled[4-7]", AM117 &lt;= 12, "Experienced[[8-12]", AM117 &lt;= 18, "Long Tenured[13-18]")</f>
        <v>New to Role[1-3]</v>
      </c>
      <c r="AO117" s="1">
        <v>1</v>
      </c>
      <c r="AP117" s="9" t="str" cm="1">
        <f t="array" ref="AP117">_xlfn.IFS(AO117 &lt;= 3, "Recently[1-3]", AO117 &lt;= 6, "Due Soon[4-6]", AO117 &lt;= 10, "Overdue[7-10]", AO117 &lt;= 15, "Long Overdue[11-15]")</f>
        <v>Recently[1-3]</v>
      </c>
      <c r="AQ117" s="9" t="str" cm="1">
        <f t="array" ref="AQ117">_xlfn.IFS(AR117 &lt;= 3, "New Relationship[1-3]", AR117 &lt;= 7, "Established Relationship[4-7]", AR117 &lt;= 12, "Long Term Relationship[8-12]", AR117 &lt;= 17, "Very Long Term Relationship[13-17]")</f>
        <v>New Relationship[1-3]</v>
      </c>
      <c r="AR117" s="1">
        <v>3</v>
      </c>
    </row>
    <row r="118" spans="1:44" x14ac:dyDescent="0.25">
      <c r="A118" s="1">
        <v>34</v>
      </c>
      <c r="B118" s="8" t="str" cm="1">
        <f t="array" ref="B118">_xlfn.IFS(A118 &lt;= 25, "[18-25]", A118 &lt;= 35, "[26-35]", A118 &lt;=45, "[36-45]", A118 &lt;= 60, "[46- 60]")</f>
        <v>[26-35]</v>
      </c>
      <c r="C118" s="3" t="s">
        <v>43</v>
      </c>
      <c r="D118">
        <f t="shared" si="1"/>
        <v>0</v>
      </c>
      <c r="E118" t="s">
        <v>36</v>
      </c>
      <c r="F118" s="1">
        <v>1354</v>
      </c>
      <c r="G118" s="3" t="s">
        <v>45</v>
      </c>
      <c r="H118" s="1">
        <v>5</v>
      </c>
      <c r="I118" s="9" t="str" cm="1">
        <f t="array" ref="I118">_xlfn.IFS(H118 &lt;= 2, "[1-2] very close", H118 &lt;= 10, "[3-10] close", H118 &lt;= 20, "[11-20] moderate", H118 &lt;= 30, "[21-30] far")</f>
        <v>[3-10] close</v>
      </c>
      <c r="J118" s="1">
        <v>3</v>
      </c>
      <c r="K118" s="3" t="s">
        <v>51</v>
      </c>
      <c r="L118" s="1">
        <v>1</v>
      </c>
      <c r="M118" s="1">
        <v>153</v>
      </c>
      <c r="N118" s="1">
        <v>3</v>
      </c>
      <c r="O118" s="3" t="s">
        <v>39</v>
      </c>
      <c r="P118" s="1">
        <v>45</v>
      </c>
      <c r="Q118" s="1">
        <v>2</v>
      </c>
      <c r="R118" s="1">
        <v>3</v>
      </c>
      <c r="S118" s="3" t="s">
        <v>56</v>
      </c>
      <c r="T118" s="1">
        <v>1</v>
      </c>
      <c r="U118" s="3" t="s">
        <v>41</v>
      </c>
      <c r="V118" s="4">
        <v>11631</v>
      </c>
      <c r="W118" s="1">
        <v>5615</v>
      </c>
      <c r="X118" s="1">
        <v>2</v>
      </c>
      <c r="Y118" s="3" t="s">
        <v>42</v>
      </c>
      <c r="Z118" s="3" t="s">
        <v>43</v>
      </c>
      <c r="AA118" s="5">
        <v>0.12</v>
      </c>
      <c r="AB118" s="10" t="str" cm="1">
        <f t="array" ref="AB118">_xlfn.IFS(AA118 &lt;= 15%, "Low Hike[11-15%]", AA118 &lt;= 20%, "Moderate Hike[16-20%]", AA118 &lt;= 25%,"High Hike[21-25%]")</f>
        <v>Low Hike[11-15%]</v>
      </c>
      <c r="AC118" s="1">
        <v>3</v>
      </c>
      <c r="AD118" s="1">
        <v>4</v>
      </c>
      <c r="AE118" s="1">
        <v>80</v>
      </c>
      <c r="AF118" s="1">
        <v>0</v>
      </c>
      <c r="AG118" s="1">
        <v>14</v>
      </c>
      <c r="AH118" s="9" t="str" cm="1">
        <f t="array" ref="AH118">_xlfn.IFS(AG118 &lt;= 5, "New[1-5]", AG118 &lt;= 10, "Early Career[6-10]", AG118 &lt;= 20, "Established[11-20]", AG118 &lt;= 30, "Veteran[21-30]", AG118 &lt;= 40, "Late Career[31-40]")</f>
        <v>Established[11-20]</v>
      </c>
      <c r="AI118" s="1">
        <v>6</v>
      </c>
      <c r="AJ118" s="1">
        <v>3</v>
      </c>
      <c r="AK118" s="1">
        <v>11</v>
      </c>
      <c r="AL118" s="9" t="str" cm="1">
        <f t="array" ref="AL118">_xlfn.IFS(AK118 &lt;= 5, "New[1-5]", AK118 &lt;= 10, "Early Career[6-10]", AK118 &lt;= 20, "Established[11-20]", AK118 &lt;= 30, "Veteran[21-30]", AK118 &lt;= 40, "Late Career[31-40]")</f>
        <v>Established[11-20]</v>
      </c>
      <c r="AM118" s="1">
        <v>10</v>
      </c>
      <c r="AN118" s="9" t="str" cm="1">
        <f t="array" ref="AN118">_xlfn.IFS(AM118 &lt;= 3, "New to Role[1-3]", AM118 &lt;= 7, "Settled[4-7]", AM118 &lt;= 12, "Experienced[[8-12]", AM118 &lt;= 18, "Long Tenured[13-18]")</f>
        <v>Experienced[[8-12]</v>
      </c>
      <c r="AO118" s="1">
        <v>5</v>
      </c>
      <c r="AP118" s="9" t="str" cm="1">
        <f t="array" ref="AP118">_xlfn.IFS(AO118 &lt;= 3, "Recently[1-3]", AO118 &lt;= 6, "Due Soon[4-6]", AO118 &lt;= 10, "Overdue[7-10]", AO118 &lt;= 15, "Long Overdue[11-15]")</f>
        <v>Due Soon[4-6]</v>
      </c>
      <c r="AQ118" s="9" t="str" cm="1">
        <f t="array" ref="AQ118">_xlfn.IFS(AR118 &lt;= 3, "New Relationship[1-3]", AR118 &lt;= 7, "Established Relationship[4-7]", AR118 &lt;= 12, "Long Term Relationship[8-12]", AR118 &lt;= 17, "Very Long Term Relationship[13-17]")</f>
        <v>Long Term Relationship[8-12]</v>
      </c>
      <c r="AR118" s="1">
        <v>8</v>
      </c>
    </row>
    <row r="119" spans="1:44" x14ac:dyDescent="0.25">
      <c r="A119" s="1">
        <v>36</v>
      </c>
      <c r="B119" s="8" t="str" cm="1">
        <f t="array" ref="B119">_xlfn.IFS(A119 &lt;= 25, "[18-25]", A119 &lt;= 35, "[26-35]", A119 &lt;=45, "[36-45]", A119 &lt;= 60, "[46- 60]")</f>
        <v>[36-45]</v>
      </c>
      <c r="C119" s="3" t="s">
        <v>43</v>
      </c>
      <c r="D119">
        <f t="shared" si="1"/>
        <v>0</v>
      </c>
      <c r="E119" t="s">
        <v>44</v>
      </c>
      <c r="F119" s="1">
        <v>1467</v>
      </c>
      <c r="G119" s="3" t="s">
        <v>37</v>
      </c>
      <c r="H119" s="1">
        <v>11</v>
      </c>
      <c r="I119" s="9" t="str" cm="1">
        <f t="array" ref="I119">_xlfn.IFS(H119 &lt;= 2, "[1-2] very close", H119 &lt;= 10, "[3-10] close", H119 &lt;= 20, "[11-20] moderate", H119 &lt;= 30, "[21-30] far")</f>
        <v>[11-20] moderate</v>
      </c>
      <c r="J119" s="1">
        <v>2</v>
      </c>
      <c r="K119" s="3" t="s">
        <v>60</v>
      </c>
      <c r="L119" s="1">
        <v>1</v>
      </c>
      <c r="M119" s="1">
        <v>154</v>
      </c>
      <c r="N119" s="1">
        <v>2</v>
      </c>
      <c r="O119" s="3" t="s">
        <v>39</v>
      </c>
      <c r="P119" s="1">
        <v>92</v>
      </c>
      <c r="Q119" s="1">
        <v>3</v>
      </c>
      <c r="R119" s="1">
        <v>3</v>
      </c>
      <c r="S119" s="3" t="s">
        <v>40</v>
      </c>
      <c r="T119" s="1">
        <v>4</v>
      </c>
      <c r="U119" s="3" t="s">
        <v>48</v>
      </c>
      <c r="V119" s="4">
        <v>9738</v>
      </c>
      <c r="W119" s="1">
        <v>22952</v>
      </c>
      <c r="X119" s="1">
        <v>0</v>
      </c>
      <c r="Y119" s="3" t="s">
        <v>42</v>
      </c>
      <c r="Z119" s="3" t="s">
        <v>43</v>
      </c>
      <c r="AA119" s="5">
        <v>0.14000000000000001</v>
      </c>
      <c r="AB119" s="10" t="str" cm="1">
        <f t="array" ref="AB119">_xlfn.IFS(AA119 &lt;= 15%, "Low Hike[11-15%]", AA119 &lt;= 20%, "Moderate Hike[16-20%]", AA119 &lt;= 25%,"High Hike[21-25%]")</f>
        <v>Low Hike[11-15%]</v>
      </c>
      <c r="AC119" s="1">
        <v>3</v>
      </c>
      <c r="AD119" s="1">
        <v>3</v>
      </c>
      <c r="AE119" s="1">
        <v>80</v>
      </c>
      <c r="AF119" s="1">
        <v>1</v>
      </c>
      <c r="AG119" s="1">
        <v>10</v>
      </c>
      <c r="AH119" s="9" t="str" cm="1">
        <f t="array" ref="AH119">_xlfn.IFS(AG119 &lt;= 5, "New[1-5]", AG119 &lt;= 10, "Early Career[6-10]", AG119 &lt;= 20, "Established[11-20]", AG119 &lt;= 30, "Veteran[21-30]", AG119 &lt;= 40, "Late Career[31-40]")</f>
        <v>Early Career[6-10]</v>
      </c>
      <c r="AI119" s="1">
        <v>6</v>
      </c>
      <c r="AJ119" s="1">
        <v>3</v>
      </c>
      <c r="AK119" s="1">
        <v>9</v>
      </c>
      <c r="AL119" s="9" t="str" cm="1">
        <f t="array" ref="AL119">_xlfn.IFS(AK119 &lt;= 5, "New[1-5]", AK119 &lt;= 10, "Early Career[6-10]", AK119 &lt;= 20, "Established[11-20]", AK119 &lt;= 30, "Veteran[21-30]", AK119 &lt;= 40, "Late Career[31-40]")</f>
        <v>Early Career[6-10]</v>
      </c>
      <c r="AM119" s="1">
        <v>7</v>
      </c>
      <c r="AN119" s="9" t="str" cm="1">
        <f t="array" ref="AN119">_xlfn.IFS(AM119 &lt;= 3, "New to Role[1-3]", AM119 &lt;= 7, "Settled[4-7]", AM119 &lt;= 12, "Experienced[[8-12]", AM119 &lt;= 18, "Long Tenured[13-18]")</f>
        <v>Settled[4-7]</v>
      </c>
      <c r="AO119" s="1">
        <v>2</v>
      </c>
      <c r="AP119" s="9" t="str" cm="1">
        <f t="array" ref="AP119">_xlfn.IFS(AO119 &lt;= 3, "Recently[1-3]", AO119 &lt;= 6, "Due Soon[4-6]", AO119 &lt;= 10, "Overdue[7-10]", AO119 &lt;= 15, "Long Overdue[11-15]")</f>
        <v>Recently[1-3]</v>
      </c>
      <c r="AQ119" s="9" t="str" cm="1">
        <f t="array" ref="AQ119">_xlfn.IFS(AR119 &lt;= 3, "New Relationship[1-3]", AR119 &lt;= 7, "Established Relationship[4-7]", AR119 &lt;= 12, "Long Term Relationship[8-12]", AR119 &lt;= 17, "Very Long Term Relationship[13-17]")</f>
        <v>Long Term Relationship[8-12]</v>
      </c>
      <c r="AR119" s="1">
        <v>8</v>
      </c>
    </row>
    <row r="120" spans="1:44" x14ac:dyDescent="0.25">
      <c r="A120" s="1">
        <v>36</v>
      </c>
      <c r="B120" s="8" t="str" cm="1">
        <f t="array" ref="B120">_xlfn.IFS(A120 &lt;= 25, "[18-25]", A120 &lt;= 35, "[26-35]", A120 &lt;=45, "[36-45]", A120 &lt;= 60, "[46- 60]")</f>
        <v>[36-45]</v>
      </c>
      <c r="C120" s="3" t="s">
        <v>43</v>
      </c>
      <c r="D120">
        <f t="shared" si="1"/>
        <v>0</v>
      </c>
      <c r="E120" t="s">
        <v>36</v>
      </c>
      <c r="F120" s="1">
        <v>922</v>
      </c>
      <c r="G120" s="3" t="s">
        <v>45</v>
      </c>
      <c r="H120" s="1">
        <v>3</v>
      </c>
      <c r="I120" s="9" t="str" cm="1">
        <f t="array" ref="I120">_xlfn.IFS(H120 &lt;= 2, "[1-2] very close", H120 &lt;= 10, "[3-10] close", H120 &lt;= 20, "[11-20] moderate", H120 &lt;= 30, "[21-30] far")</f>
        <v>[3-10] close</v>
      </c>
      <c r="J120" s="1">
        <v>2</v>
      </c>
      <c r="K120" s="3" t="s">
        <v>38</v>
      </c>
      <c r="L120" s="1">
        <v>1</v>
      </c>
      <c r="M120" s="1">
        <v>155</v>
      </c>
      <c r="N120" s="1">
        <v>1</v>
      </c>
      <c r="O120" s="3" t="s">
        <v>39</v>
      </c>
      <c r="P120" s="1">
        <v>39</v>
      </c>
      <c r="Q120" s="1">
        <v>3</v>
      </c>
      <c r="R120" s="1">
        <v>1</v>
      </c>
      <c r="S120" s="3" t="s">
        <v>50</v>
      </c>
      <c r="T120" s="1">
        <v>4</v>
      </c>
      <c r="U120" s="3" t="s">
        <v>52</v>
      </c>
      <c r="V120" s="4">
        <v>2835</v>
      </c>
      <c r="W120" s="1">
        <v>2561</v>
      </c>
      <c r="X120" s="1">
        <v>5</v>
      </c>
      <c r="Y120" s="3" t="s">
        <v>42</v>
      </c>
      <c r="Z120" s="3" t="s">
        <v>43</v>
      </c>
      <c r="AA120" s="5">
        <v>0.22</v>
      </c>
      <c r="AB120" s="10" t="str" cm="1">
        <f t="array" ref="AB120">_xlfn.IFS(AA120 &lt;= 15%, "Low Hike[11-15%]", AA120 &lt;= 20%, "Moderate Hike[16-20%]", AA120 &lt;= 25%,"High Hike[21-25%]")</f>
        <v>High Hike[21-25%]</v>
      </c>
      <c r="AC120" s="1">
        <v>4</v>
      </c>
      <c r="AD120" s="1">
        <v>1</v>
      </c>
      <c r="AE120" s="1">
        <v>80</v>
      </c>
      <c r="AF120" s="1">
        <v>1</v>
      </c>
      <c r="AG120" s="1">
        <v>7</v>
      </c>
      <c r="AH120" s="9" t="str" cm="1">
        <f t="array" ref="AH120">_xlfn.IFS(AG120 &lt;= 5, "New[1-5]", AG120 &lt;= 10, "Early Career[6-10]", AG120 &lt;= 20, "Established[11-20]", AG120 &lt;= 30, "Veteran[21-30]", AG120 &lt;= 40, "Late Career[31-40]")</f>
        <v>Early Career[6-10]</v>
      </c>
      <c r="AI120" s="1">
        <v>2</v>
      </c>
      <c r="AJ120" s="1">
        <v>3</v>
      </c>
      <c r="AK120" s="1">
        <v>1</v>
      </c>
      <c r="AL120" s="9" t="str" cm="1">
        <f t="array" ref="AL120">_xlfn.IFS(AK120 &lt;= 5, "New[1-5]", AK120 &lt;= 10, "Early Career[6-10]", AK120 &lt;= 20, "Established[11-20]", AK120 &lt;= 30, "Veteran[21-30]", AK120 &lt;= 40, "Late Career[31-40]")</f>
        <v>New[1-5]</v>
      </c>
      <c r="AM120" s="1">
        <v>0</v>
      </c>
      <c r="AN120" s="9" t="str" cm="1">
        <f t="array" ref="AN120">_xlfn.IFS(AM120 &lt;= 3, "New to Role[1-3]", AM120 &lt;= 7, "Settled[4-7]", AM120 &lt;= 12, "Experienced[[8-12]", AM120 &lt;= 18, "Long Tenured[13-18]")</f>
        <v>New to Role[1-3]</v>
      </c>
      <c r="AO120" s="1">
        <v>0</v>
      </c>
      <c r="AP120" s="9" t="str" cm="1">
        <f t="array" ref="AP120">_xlfn.IFS(AO120 &lt;= 3, "Recently[1-3]", AO120 &lt;= 6, "Due Soon[4-6]", AO120 &lt;= 10, "Overdue[7-10]", AO120 &lt;= 15, "Long Overdue[11-15]")</f>
        <v>Recently[1-3]</v>
      </c>
      <c r="AQ120" s="9" t="str" cm="1">
        <f t="array" ref="AQ120">_xlfn.IFS(AR120 &lt;= 3, "New Relationship[1-3]", AR120 &lt;= 7, "Established Relationship[4-7]", AR120 &lt;= 12, "Long Term Relationship[8-12]", AR120 &lt;= 17, "Very Long Term Relationship[13-17]")</f>
        <v>New Relationship[1-3]</v>
      </c>
      <c r="AR120" s="1">
        <v>0</v>
      </c>
    </row>
    <row r="121" spans="1:44" x14ac:dyDescent="0.25">
      <c r="A121" s="1">
        <v>43</v>
      </c>
      <c r="B121" s="8" t="str" cm="1">
        <f t="array" ref="B121">_xlfn.IFS(A121 &lt;= 25, "[18-25]", A121 &lt;= 35, "[26-35]", A121 &lt;=45, "[36-45]", A121 &lt;= 60, "[46- 60]")</f>
        <v>[36-45]</v>
      </c>
      <c r="C121" s="3" t="s">
        <v>43</v>
      </c>
      <c r="D121">
        <f t="shared" si="1"/>
        <v>0</v>
      </c>
      <c r="E121" t="s">
        <v>44</v>
      </c>
      <c r="F121" s="1">
        <v>394</v>
      </c>
      <c r="G121" s="3" t="s">
        <v>37</v>
      </c>
      <c r="H121" s="1">
        <v>26</v>
      </c>
      <c r="I121" s="9" t="str" cm="1">
        <f t="array" ref="I121">_xlfn.IFS(H121 &lt;= 2, "[1-2] very close", H121 &lt;= 10, "[3-10] close", H121 &lt;= 20, "[11-20] moderate", H121 &lt;= 30, "[21-30] far")</f>
        <v>[21-30] far</v>
      </c>
      <c r="J121" s="1">
        <v>2</v>
      </c>
      <c r="K121" s="3" t="s">
        <v>38</v>
      </c>
      <c r="L121" s="1">
        <v>1</v>
      </c>
      <c r="M121" s="1">
        <v>158</v>
      </c>
      <c r="N121" s="1">
        <v>3</v>
      </c>
      <c r="O121" s="3" t="s">
        <v>46</v>
      </c>
      <c r="P121" s="1">
        <v>92</v>
      </c>
      <c r="Q121" s="1">
        <v>3</v>
      </c>
      <c r="R121" s="1">
        <v>4</v>
      </c>
      <c r="S121" s="3" t="s">
        <v>56</v>
      </c>
      <c r="T121" s="1">
        <v>4</v>
      </c>
      <c r="U121" s="3" t="s">
        <v>48</v>
      </c>
      <c r="V121" s="4">
        <v>16959</v>
      </c>
      <c r="W121" s="1">
        <v>19494</v>
      </c>
      <c r="X121" s="1">
        <v>1</v>
      </c>
      <c r="Y121" s="3" t="s">
        <v>42</v>
      </c>
      <c r="Z121" s="3" t="s">
        <v>35</v>
      </c>
      <c r="AA121" s="5">
        <v>0.12</v>
      </c>
      <c r="AB121" s="10" t="str" cm="1">
        <f t="array" ref="AB121">_xlfn.IFS(AA121 &lt;= 15%, "Low Hike[11-15%]", AA121 &lt;= 20%, "Moderate Hike[16-20%]", AA121 &lt;= 25%,"High Hike[21-25%]")</f>
        <v>Low Hike[11-15%]</v>
      </c>
      <c r="AC121" s="1">
        <v>3</v>
      </c>
      <c r="AD121" s="1">
        <v>4</v>
      </c>
      <c r="AE121" s="1">
        <v>80</v>
      </c>
      <c r="AF121" s="1">
        <v>2</v>
      </c>
      <c r="AG121" s="1">
        <v>25</v>
      </c>
      <c r="AH121" s="9" t="str" cm="1">
        <f t="array" ref="AH121">_xlfn.IFS(AG121 &lt;= 5, "New[1-5]", AG121 &lt;= 10, "Early Career[6-10]", AG121 &lt;= 20, "Established[11-20]", AG121 &lt;= 30, "Veteran[21-30]", AG121 &lt;= 40, "Late Career[31-40]")</f>
        <v>Veteran[21-30]</v>
      </c>
      <c r="AI121" s="1">
        <v>3</v>
      </c>
      <c r="AJ121" s="1">
        <v>4</v>
      </c>
      <c r="AK121" s="1">
        <v>25</v>
      </c>
      <c r="AL121" s="9" t="str" cm="1">
        <f t="array" ref="AL121">_xlfn.IFS(AK121 &lt;= 5, "New[1-5]", AK121 &lt;= 10, "Early Career[6-10]", AK121 &lt;= 20, "Established[11-20]", AK121 &lt;= 30, "Veteran[21-30]", AK121 &lt;= 40, "Late Career[31-40]")</f>
        <v>Veteran[21-30]</v>
      </c>
      <c r="AM121" s="1">
        <v>12</v>
      </c>
      <c r="AN121" s="9" t="str" cm="1">
        <f t="array" ref="AN121">_xlfn.IFS(AM121 &lt;= 3, "New to Role[1-3]", AM121 &lt;= 7, "Settled[4-7]", AM121 &lt;= 12, "Experienced[[8-12]", AM121 &lt;= 18, "Long Tenured[13-18]")</f>
        <v>Experienced[[8-12]</v>
      </c>
      <c r="AO121" s="1">
        <v>4</v>
      </c>
      <c r="AP121" s="9" t="str" cm="1">
        <f t="array" ref="AP121">_xlfn.IFS(AO121 &lt;= 3, "Recently[1-3]", AO121 &lt;= 6, "Due Soon[4-6]", AO121 &lt;= 10, "Overdue[7-10]", AO121 &lt;= 15, "Long Overdue[11-15]")</f>
        <v>Due Soon[4-6]</v>
      </c>
      <c r="AQ121" s="9" t="str" cm="1">
        <f t="array" ref="AQ121">_xlfn.IFS(AR121 &lt;= 3, "New Relationship[1-3]", AR121 &lt;= 7, "Established Relationship[4-7]", AR121 &lt;= 12, "Long Term Relationship[8-12]", AR121 &lt;= 17, "Very Long Term Relationship[13-17]")</f>
        <v>Long Term Relationship[8-12]</v>
      </c>
      <c r="AR121" s="1">
        <v>12</v>
      </c>
    </row>
    <row r="122" spans="1:44" x14ac:dyDescent="0.25">
      <c r="A122" s="1">
        <v>30</v>
      </c>
      <c r="B122" s="8" t="str" cm="1">
        <f t="array" ref="B122">_xlfn.IFS(A122 &lt;= 25, "[18-25]", A122 &lt;= 35, "[26-35]", A122 &lt;=45, "[36-45]", A122 &lt;= 60, "[46- 60]")</f>
        <v>[26-35]</v>
      </c>
      <c r="C122" s="3" t="s">
        <v>43</v>
      </c>
      <c r="D122">
        <f t="shared" si="1"/>
        <v>0</v>
      </c>
      <c r="E122" t="s">
        <v>44</v>
      </c>
      <c r="F122" s="1">
        <v>1312</v>
      </c>
      <c r="G122" s="3" t="s">
        <v>45</v>
      </c>
      <c r="H122" s="1">
        <v>23</v>
      </c>
      <c r="I122" s="9" t="str" cm="1">
        <f t="array" ref="I122">_xlfn.IFS(H122 &lt;= 2, "[1-2] very close", H122 &lt;= 10, "[3-10] close", H122 &lt;= 20, "[11-20] moderate", H122 &lt;= 30, "[21-30] far")</f>
        <v>[21-30] far</v>
      </c>
      <c r="J122" s="1">
        <v>3</v>
      </c>
      <c r="K122" s="3" t="s">
        <v>38</v>
      </c>
      <c r="L122" s="1">
        <v>1</v>
      </c>
      <c r="M122" s="1">
        <v>159</v>
      </c>
      <c r="N122" s="1">
        <v>1</v>
      </c>
      <c r="O122" s="3" t="s">
        <v>46</v>
      </c>
      <c r="P122" s="1">
        <v>96</v>
      </c>
      <c r="Q122" s="1">
        <v>1</v>
      </c>
      <c r="R122" s="1">
        <v>1</v>
      </c>
      <c r="S122" s="3" t="s">
        <v>47</v>
      </c>
      <c r="T122" s="1">
        <v>3</v>
      </c>
      <c r="U122" s="3" t="s">
        <v>52</v>
      </c>
      <c r="V122" s="4">
        <v>2613</v>
      </c>
      <c r="W122" s="1">
        <v>22310</v>
      </c>
      <c r="X122" s="1">
        <v>1</v>
      </c>
      <c r="Y122" s="3" t="s">
        <v>42</v>
      </c>
      <c r="Z122" s="3" t="s">
        <v>43</v>
      </c>
      <c r="AA122" s="5">
        <v>0.25</v>
      </c>
      <c r="AB122" s="10" t="str" cm="1">
        <f t="array" ref="AB122">_xlfn.IFS(AA122 &lt;= 15%, "Low Hike[11-15%]", AA122 &lt;= 20%, "Moderate Hike[16-20%]", AA122 &lt;= 25%,"High Hike[21-25%]")</f>
        <v>High Hike[21-25%]</v>
      </c>
      <c r="AC122" s="1">
        <v>4</v>
      </c>
      <c r="AD122" s="1">
        <v>3</v>
      </c>
      <c r="AE122" s="1">
        <v>80</v>
      </c>
      <c r="AF122" s="1">
        <v>3</v>
      </c>
      <c r="AG122" s="1">
        <v>10</v>
      </c>
      <c r="AH122" s="9" t="str" cm="1">
        <f t="array" ref="AH122">_xlfn.IFS(AG122 &lt;= 5, "New[1-5]", AG122 &lt;= 10, "Early Career[6-10]", AG122 &lt;= 20, "Established[11-20]", AG122 &lt;= 30, "Veteran[21-30]", AG122 &lt;= 40, "Late Career[31-40]")</f>
        <v>Early Career[6-10]</v>
      </c>
      <c r="AI122" s="1">
        <v>2</v>
      </c>
      <c r="AJ122" s="1">
        <v>2</v>
      </c>
      <c r="AK122" s="1">
        <v>10</v>
      </c>
      <c r="AL122" s="9" t="str" cm="1">
        <f t="array" ref="AL122">_xlfn.IFS(AK122 &lt;= 5, "New[1-5]", AK122 &lt;= 10, "Early Career[6-10]", AK122 &lt;= 20, "Established[11-20]", AK122 &lt;= 30, "Veteran[21-30]", AK122 &lt;= 40, "Late Career[31-40]")</f>
        <v>Early Career[6-10]</v>
      </c>
      <c r="AM122" s="1">
        <v>7</v>
      </c>
      <c r="AN122" s="9" t="str" cm="1">
        <f t="array" ref="AN122">_xlfn.IFS(AM122 &lt;= 3, "New to Role[1-3]", AM122 &lt;= 7, "Settled[4-7]", AM122 &lt;= 12, "Experienced[[8-12]", AM122 &lt;= 18, "Long Tenured[13-18]")</f>
        <v>Settled[4-7]</v>
      </c>
      <c r="AO122" s="1">
        <v>0</v>
      </c>
      <c r="AP122" s="9" t="str" cm="1">
        <f t="array" ref="AP122">_xlfn.IFS(AO122 &lt;= 3, "Recently[1-3]", AO122 &lt;= 6, "Due Soon[4-6]", AO122 &lt;= 10, "Overdue[7-10]", AO122 &lt;= 15, "Long Overdue[11-15]")</f>
        <v>Recently[1-3]</v>
      </c>
      <c r="AQ122" s="9" t="str" cm="1">
        <f t="array" ref="AQ122">_xlfn.IFS(AR122 &lt;= 3, "New Relationship[1-3]", AR122 &lt;= 7, "Established Relationship[4-7]", AR122 &lt;= 12, "Long Term Relationship[8-12]", AR122 &lt;= 17, "Very Long Term Relationship[13-17]")</f>
        <v>Long Term Relationship[8-12]</v>
      </c>
      <c r="AR122" s="1">
        <v>9</v>
      </c>
    </row>
    <row r="123" spans="1:44" x14ac:dyDescent="0.25">
      <c r="A123" s="1">
        <v>33</v>
      </c>
      <c r="B123" s="8" t="str" cm="1">
        <f t="array" ref="B123">_xlfn.IFS(A123 &lt;= 25, "[18-25]", A123 &lt;= 35, "[26-35]", A123 &lt;=45, "[36-45]", A123 &lt;= 60, "[46- 60]")</f>
        <v>[26-35]</v>
      </c>
      <c r="C123" s="3" t="s">
        <v>43</v>
      </c>
      <c r="D123">
        <f t="shared" si="1"/>
        <v>0</v>
      </c>
      <c r="E123" t="s">
        <v>62</v>
      </c>
      <c r="F123" s="1">
        <v>750</v>
      </c>
      <c r="G123" s="3" t="s">
        <v>37</v>
      </c>
      <c r="H123" s="1">
        <v>22</v>
      </c>
      <c r="I123" s="9" t="str" cm="1">
        <f t="array" ref="I123">_xlfn.IFS(H123 &lt;= 2, "[1-2] very close", H123 &lt;= 10, "[3-10] close", H123 &lt;= 20, "[11-20] moderate", H123 &lt;= 30, "[21-30] far")</f>
        <v>[21-30] far</v>
      </c>
      <c r="J123" s="1">
        <v>2</v>
      </c>
      <c r="K123" s="3" t="s">
        <v>59</v>
      </c>
      <c r="L123" s="1">
        <v>1</v>
      </c>
      <c r="M123" s="1">
        <v>160</v>
      </c>
      <c r="N123" s="1">
        <v>3</v>
      </c>
      <c r="O123" s="3" t="s">
        <v>46</v>
      </c>
      <c r="P123" s="1">
        <v>95</v>
      </c>
      <c r="Q123" s="1">
        <v>3</v>
      </c>
      <c r="R123" s="1">
        <v>2</v>
      </c>
      <c r="S123" s="3" t="s">
        <v>40</v>
      </c>
      <c r="T123" s="1">
        <v>2</v>
      </c>
      <c r="U123" s="3" t="s">
        <v>48</v>
      </c>
      <c r="V123" s="4">
        <v>6146</v>
      </c>
      <c r="W123" s="1">
        <v>15480</v>
      </c>
      <c r="X123" s="1">
        <v>0</v>
      </c>
      <c r="Y123" s="3" t="s">
        <v>42</v>
      </c>
      <c r="Z123" s="3" t="s">
        <v>43</v>
      </c>
      <c r="AA123" s="5">
        <v>0.13</v>
      </c>
      <c r="AB123" s="10" t="str" cm="1">
        <f t="array" ref="AB123">_xlfn.IFS(AA123 &lt;= 15%, "Low Hike[11-15%]", AA123 &lt;= 20%, "Moderate Hike[16-20%]", AA123 &lt;= 25%,"High Hike[21-25%]")</f>
        <v>Low Hike[11-15%]</v>
      </c>
      <c r="AC123" s="1">
        <v>3</v>
      </c>
      <c r="AD123" s="1">
        <v>1</v>
      </c>
      <c r="AE123" s="1">
        <v>80</v>
      </c>
      <c r="AF123" s="1">
        <v>1</v>
      </c>
      <c r="AG123" s="1">
        <v>8</v>
      </c>
      <c r="AH123" s="9" t="str" cm="1">
        <f t="array" ref="AH123">_xlfn.IFS(AG123 &lt;= 5, "New[1-5]", AG123 &lt;= 10, "Early Career[6-10]", AG123 &lt;= 20, "Established[11-20]", AG123 &lt;= 30, "Veteran[21-30]", AG123 &lt;= 40, "Late Career[31-40]")</f>
        <v>Early Career[6-10]</v>
      </c>
      <c r="AI123" s="1">
        <v>2</v>
      </c>
      <c r="AJ123" s="1">
        <v>4</v>
      </c>
      <c r="AK123" s="1">
        <v>7</v>
      </c>
      <c r="AL123" s="9" t="str" cm="1">
        <f t="array" ref="AL123">_xlfn.IFS(AK123 &lt;= 5, "New[1-5]", AK123 &lt;= 10, "Early Career[6-10]", AK123 &lt;= 20, "Established[11-20]", AK123 &lt;= 30, "Veteran[21-30]", AK123 &lt;= 40, "Late Career[31-40]")</f>
        <v>Early Career[6-10]</v>
      </c>
      <c r="AM123" s="1">
        <v>7</v>
      </c>
      <c r="AN123" s="9" t="str" cm="1">
        <f t="array" ref="AN123">_xlfn.IFS(AM123 &lt;= 3, "New to Role[1-3]", AM123 &lt;= 7, "Settled[4-7]", AM123 &lt;= 12, "Experienced[[8-12]", AM123 &lt;= 18, "Long Tenured[13-18]")</f>
        <v>Settled[4-7]</v>
      </c>
      <c r="AO123" s="1">
        <v>0</v>
      </c>
      <c r="AP123" s="9" t="str" cm="1">
        <f t="array" ref="AP123">_xlfn.IFS(AO123 &lt;= 3, "Recently[1-3]", AO123 &lt;= 6, "Due Soon[4-6]", AO123 &lt;= 10, "Overdue[7-10]", AO123 &lt;= 15, "Long Overdue[11-15]")</f>
        <v>Recently[1-3]</v>
      </c>
      <c r="AQ123" s="9" t="str" cm="1">
        <f t="array" ref="AQ123">_xlfn.IFS(AR123 &lt;= 3, "New Relationship[1-3]", AR123 &lt;= 7, "Established Relationship[4-7]", AR123 &lt;= 12, "Long Term Relationship[8-12]", AR123 &lt;= 17, "Very Long Term Relationship[13-17]")</f>
        <v>Established Relationship[4-7]</v>
      </c>
      <c r="AR123" s="1">
        <v>7</v>
      </c>
    </row>
    <row r="124" spans="1:44" x14ac:dyDescent="0.25">
      <c r="A124" s="1">
        <v>56</v>
      </c>
      <c r="B124" s="8" t="str" cm="1">
        <f t="array" ref="B124">_xlfn.IFS(A124 &lt;= 25, "[18-25]", A124 &lt;= 35, "[26-35]", A124 &lt;=45, "[36-45]", A124 &lt;= 60, "[46- 60]")</f>
        <v>[46- 60]</v>
      </c>
      <c r="C124" s="3" t="s">
        <v>35</v>
      </c>
      <c r="D124">
        <f t="shared" si="1"/>
        <v>1</v>
      </c>
      <c r="E124" t="s">
        <v>36</v>
      </c>
      <c r="F124" s="1">
        <v>441</v>
      </c>
      <c r="G124" s="3" t="s">
        <v>45</v>
      </c>
      <c r="H124" s="1">
        <v>14</v>
      </c>
      <c r="I124" s="9" t="str" cm="1">
        <f t="array" ref="I124">_xlfn.IFS(H124 &lt;= 2, "[1-2] very close", H124 &lt;= 10, "[3-10] close", H124 &lt;= 20, "[11-20] moderate", H124 &lt;= 30, "[21-30] far")</f>
        <v>[11-20] moderate</v>
      </c>
      <c r="J124" s="1">
        <v>4</v>
      </c>
      <c r="K124" s="3" t="s">
        <v>38</v>
      </c>
      <c r="L124" s="1">
        <v>1</v>
      </c>
      <c r="M124" s="1">
        <v>161</v>
      </c>
      <c r="N124" s="1">
        <v>2</v>
      </c>
      <c r="O124" s="3" t="s">
        <v>39</v>
      </c>
      <c r="P124" s="1">
        <v>72</v>
      </c>
      <c r="Q124" s="1">
        <v>3</v>
      </c>
      <c r="R124" s="1">
        <v>1</v>
      </c>
      <c r="S124" s="3" t="s">
        <v>47</v>
      </c>
      <c r="T124" s="1">
        <v>2</v>
      </c>
      <c r="U124" s="3" t="s">
        <v>48</v>
      </c>
      <c r="V124" s="4">
        <v>4963</v>
      </c>
      <c r="W124" s="1">
        <v>4510</v>
      </c>
      <c r="X124" s="1">
        <v>9</v>
      </c>
      <c r="Y124" s="3" t="s">
        <v>42</v>
      </c>
      <c r="Z124" s="3" t="s">
        <v>35</v>
      </c>
      <c r="AA124" s="5">
        <v>0.18</v>
      </c>
      <c r="AB124" s="10" t="str" cm="1">
        <f t="array" ref="AB124">_xlfn.IFS(AA124 &lt;= 15%, "Low Hike[11-15%]", AA124 &lt;= 20%, "Moderate Hike[16-20%]", AA124 &lt;= 25%,"High Hike[21-25%]")</f>
        <v>Moderate Hike[16-20%]</v>
      </c>
      <c r="AC124" s="1">
        <v>3</v>
      </c>
      <c r="AD124" s="1">
        <v>1</v>
      </c>
      <c r="AE124" s="1">
        <v>80</v>
      </c>
      <c r="AF124" s="1">
        <v>3</v>
      </c>
      <c r="AG124" s="1">
        <v>7</v>
      </c>
      <c r="AH124" s="9" t="str" cm="1">
        <f t="array" ref="AH124">_xlfn.IFS(AG124 &lt;= 5, "New[1-5]", AG124 &lt;= 10, "Early Career[6-10]", AG124 &lt;= 20, "Established[11-20]", AG124 &lt;= 30, "Veteran[21-30]", AG124 &lt;= 40, "Late Career[31-40]")</f>
        <v>Early Career[6-10]</v>
      </c>
      <c r="AI124" s="1">
        <v>2</v>
      </c>
      <c r="AJ124" s="1">
        <v>3</v>
      </c>
      <c r="AK124" s="1">
        <v>5</v>
      </c>
      <c r="AL124" s="9" t="str" cm="1">
        <f t="array" ref="AL124">_xlfn.IFS(AK124 &lt;= 5, "New[1-5]", AK124 &lt;= 10, "Early Career[6-10]", AK124 &lt;= 20, "Established[11-20]", AK124 &lt;= 30, "Veteran[21-30]", AK124 &lt;= 40, "Late Career[31-40]")</f>
        <v>New[1-5]</v>
      </c>
      <c r="AM124" s="1">
        <v>4</v>
      </c>
      <c r="AN124" s="9" t="str" cm="1">
        <f t="array" ref="AN124">_xlfn.IFS(AM124 &lt;= 3, "New to Role[1-3]", AM124 &lt;= 7, "Settled[4-7]", AM124 &lt;= 12, "Experienced[[8-12]", AM124 &lt;= 18, "Long Tenured[13-18]")</f>
        <v>Settled[4-7]</v>
      </c>
      <c r="AO124" s="1">
        <v>4</v>
      </c>
      <c r="AP124" s="9" t="str" cm="1">
        <f t="array" ref="AP124">_xlfn.IFS(AO124 &lt;= 3, "Recently[1-3]", AO124 &lt;= 6, "Due Soon[4-6]", AO124 &lt;= 10, "Overdue[7-10]", AO124 &lt;= 15, "Long Overdue[11-15]")</f>
        <v>Due Soon[4-6]</v>
      </c>
      <c r="AQ124" s="9" t="str" cm="1">
        <f t="array" ref="AQ124">_xlfn.IFS(AR124 &lt;= 3, "New Relationship[1-3]", AR124 &lt;= 7, "Established Relationship[4-7]", AR124 &lt;= 12, "Long Term Relationship[8-12]", AR124 &lt;= 17, "Very Long Term Relationship[13-17]")</f>
        <v>New Relationship[1-3]</v>
      </c>
      <c r="AR124" s="1">
        <v>3</v>
      </c>
    </row>
    <row r="125" spans="1:44" x14ac:dyDescent="0.25">
      <c r="A125" s="1">
        <v>51</v>
      </c>
      <c r="B125" s="8" t="str" cm="1">
        <f t="array" ref="B125">_xlfn.IFS(A125 &lt;= 25, "[18-25]", A125 &lt;= 35, "[26-35]", A125 &lt;=45, "[36-45]", A125 &lt;= 60, "[46- 60]")</f>
        <v>[46- 60]</v>
      </c>
      <c r="C125" s="3" t="s">
        <v>43</v>
      </c>
      <c r="D125">
        <f t="shared" si="1"/>
        <v>0</v>
      </c>
      <c r="E125" t="s">
        <v>36</v>
      </c>
      <c r="F125" s="1">
        <v>684</v>
      </c>
      <c r="G125" s="3" t="s">
        <v>45</v>
      </c>
      <c r="H125" s="1">
        <v>6</v>
      </c>
      <c r="I125" s="9" t="str" cm="1">
        <f t="array" ref="I125">_xlfn.IFS(H125 &lt;= 2, "[1-2] very close", H125 &lt;= 10, "[3-10] close", H125 &lt;= 20, "[11-20] moderate", H125 &lt;= 30, "[21-30] far")</f>
        <v>[3-10] close</v>
      </c>
      <c r="J125" s="1">
        <v>3</v>
      </c>
      <c r="K125" s="3" t="s">
        <v>38</v>
      </c>
      <c r="L125" s="1">
        <v>1</v>
      </c>
      <c r="M125" s="1">
        <v>162</v>
      </c>
      <c r="N125" s="1">
        <v>1</v>
      </c>
      <c r="O125" s="3" t="s">
        <v>46</v>
      </c>
      <c r="P125" s="1">
        <v>51</v>
      </c>
      <c r="Q125" s="1">
        <v>3</v>
      </c>
      <c r="R125" s="1">
        <v>5</v>
      </c>
      <c r="S125" s="3" t="s">
        <v>58</v>
      </c>
      <c r="T125" s="1">
        <v>3</v>
      </c>
      <c r="U125" s="3" t="s">
        <v>41</v>
      </c>
      <c r="V125" s="4">
        <v>19537</v>
      </c>
      <c r="W125" s="1">
        <v>6462</v>
      </c>
      <c r="X125" s="1">
        <v>7</v>
      </c>
      <c r="Y125" s="3" t="s">
        <v>42</v>
      </c>
      <c r="Z125" s="3" t="s">
        <v>43</v>
      </c>
      <c r="AA125" s="5">
        <v>0.13</v>
      </c>
      <c r="AB125" s="10" t="str" cm="1">
        <f t="array" ref="AB125">_xlfn.IFS(AA125 &lt;= 15%, "Low Hike[11-15%]", AA125 &lt;= 20%, "Moderate Hike[16-20%]", AA125 &lt;= 25%,"High Hike[21-25%]")</f>
        <v>Low Hike[11-15%]</v>
      </c>
      <c r="AC125" s="1">
        <v>3</v>
      </c>
      <c r="AD125" s="1">
        <v>3</v>
      </c>
      <c r="AE125" s="1">
        <v>80</v>
      </c>
      <c r="AF125" s="1">
        <v>0</v>
      </c>
      <c r="AG125" s="1">
        <v>23</v>
      </c>
      <c r="AH125" s="9" t="str" cm="1">
        <f t="array" ref="AH125">_xlfn.IFS(AG125 &lt;= 5, "New[1-5]", AG125 &lt;= 10, "Early Career[6-10]", AG125 &lt;= 20, "Established[11-20]", AG125 &lt;= 30, "Veteran[21-30]", AG125 &lt;= 40, "Late Career[31-40]")</f>
        <v>Veteran[21-30]</v>
      </c>
      <c r="AI125" s="1">
        <v>5</v>
      </c>
      <c r="AJ125" s="1">
        <v>3</v>
      </c>
      <c r="AK125" s="1">
        <v>20</v>
      </c>
      <c r="AL125" s="9" t="str" cm="1">
        <f t="array" ref="AL125">_xlfn.IFS(AK125 &lt;= 5, "New[1-5]", AK125 &lt;= 10, "Early Career[6-10]", AK125 &lt;= 20, "Established[11-20]", AK125 &lt;= 30, "Veteran[21-30]", AK125 &lt;= 40, "Late Career[31-40]")</f>
        <v>Established[11-20]</v>
      </c>
      <c r="AM125" s="1">
        <v>18</v>
      </c>
      <c r="AN125" s="9" t="str" cm="1">
        <f t="array" ref="AN125">_xlfn.IFS(AM125 &lt;= 3, "New to Role[1-3]", AM125 &lt;= 7, "Settled[4-7]", AM125 &lt;= 12, "Experienced[[8-12]", AM125 &lt;= 18, "Long Tenured[13-18]")</f>
        <v>Long Tenured[13-18]</v>
      </c>
      <c r="AO125" s="1">
        <v>15</v>
      </c>
      <c r="AP125" s="9" t="str" cm="1">
        <f t="array" ref="AP125">_xlfn.IFS(AO125 &lt;= 3, "Recently[1-3]", AO125 &lt;= 6, "Due Soon[4-6]", AO125 &lt;= 10, "Overdue[7-10]", AO125 &lt;= 15, "Long Overdue[11-15]")</f>
        <v>Long Overdue[11-15]</v>
      </c>
      <c r="AQ125" s="9" t="str" cm="1">
        <f t="array" ref="AQ125">_xlfn.IFS(AR125 &lt;= 3, "New Relationship[1-3]", AR125 &lt;= 7, "Established Relationship[4-7]", AR125 &lt;= 12, "Long Term Relationship[8-12]", AR125 &lt;= 17, "Very Long Term Relationship[13-17]")</f>
        <v>Very Long Term Relationship[13-17]</v>
      </c>
      <c r="AR125" s="1">
        <v>15</v>
      </c>
    </row>
    <row r="126" spans="1:44" x14ac:dyDescent="0.25">
      <c r="A126" s="1">
        <v>31</v>
      </c>
      <c r="B126" s="8" t="str" cm="1">
        <f t="array" ref="B126">_xlfn.IFS(A126 &lt;= 25, "[18-25]", A126 &lt;= 35, "[26-35]", A126 &lt;=45, "[36-45]", A126 &lt;= 60, "[46- 60]")</f>
        <v>[26-35]</v>
      </c>
      <c r="C126" s="3" t="s">
        <v>35</v>
      </c>
      <c r="D126">
        <f t="shared" si="1"/>
        <v>1</v>
      </c>
      <c r="E126" t="s">
        <v>36</v>
      </c>
      <c r="F126" s="1">
        <v>249</v>
      </c>
      <c r="G126" s="3" t="s">
        <v>37</v>
      </c>
      <c r="H126" s="1">
        <v>6</v>
      </c>
      <c r="I126" s="9" t="str" cm="1">
        <f t="array" ref="I126">_xlfn.IFS(H126 &lt;= 2, "[1-2] very close", H126 &lt;= 10, "[3-10] close", H126 &lt;= 20, "[11-20] moderate", H126 &lt;= 30, "[21-30] far")</f>
        <v>[3-10] close</v>
      </c>
      <c r="J126" s="1">
        <v>4</v>
      </c>
      <c r="K126" s="3" t="s">
        <v>38</v>
      </c>
      <c r="L126" s="1">
        <v>1</v>
      </c>
      <c r="M126" s="1">
        <v>163</v>
      </c>
      <c r="N126" s="1">
        <v>2</v>
      </c>
      <c r="O126" s="3" t="s">
        <v>46</v>
      </c>
      <c r="P126" s="1">
        <v>76</v>
      </c>
      <c r="Q126" s="1">
        <v>1</v>
      </c>
      <c r="R126" s="1">
        <v>2</v>
      </c>
      <c r="S126" s="3" t="s">
        <v>40</v>
      </c>
      <c r="T126" s="1">
        <v>3</v>
      </c>
      <c r="U126" s="3" t="s">
        <v>48</v>
      </c>
      <c r="V126" s="4">
        <v>6172</v>
      </c>
      <c r="W126" s="1">
        <v>20739</v>
      </c>
      <c r="X126" s="1">
        <v>4</v>
      </c>
      <c r="Y126" s="3" t="s">
        <v>42</v>
      </c>
      <c r="Z126" s="3" t="s">
        <v>35</v>
      </c>
      <c r="AA126" s="5">
        <v>0.18</v>
      </c>
      <c r="AB126" s="10" t="str" cm="1">
        <f t="array" ref="AB126">_xlfn.IFS(AA126 &lt;= 15%, "Low Hike[11-15%]", AA126 &lt;= 20%, "Moderate Hike[16-20%]", AA126 &lt;= 25%,"High Hike[21-25%]")</f>
        <v>Moderate Hike[16-20%]</v>
      </c>
      <c r="AC126" s="1">
        <v>3</v>
      </c>
      <c r="AD126" s="1">
        <v>2</v>
      </c>
      <c r="AE126" s="1">
        <v>80</v>
      </c>
      <c r="AF126" s="1">
        <v>0</v>
      </c>
      <c r="AG126" s="1">
        <v>12</v>
      </c>
      <c r="AH126" s="9" t="str" cm="1">
        <f t="array" ref="AH126">_xlfn.IFS(AG126 &lt;= 5, "New[1-5]", AG126 &lt;= 10, "Early Career[6-10]", AG126 &lt;= 20, "Established[11-20]", AG126 &lt;= 30, "Veteran[21-30]", AG126 &lt;= 40, "Late Career[31-40]")</f>
        <v>Established[11-20]</v>
      </c>
      <c r="AI126" s="1">
        <v>3</v>
      </c>
      <c r="AJ126" s="1">
        <v>2</v>
      </c>
      <c r="AK126" s="1">
        <v>7</v>
      </c>
      <c r="AL126" s="9" t="str" cm="1">
        <f t="array" ref="AL126">_xlfn.IFS(AK126 &lt;= 5, "New[1-5]", AK126 &lt;= 10, "Early Career[6-10]", AK126 &lt;= 20, "Established[11-20]", AK126 &lt;= 30, "Veteran[21-30]", AK126 &lt;= 40, "Late Career[31-40]")</f>
        <v>Early Career[6-10]</v>
      </c>
      <c r="AM126" s="1">
        <v>7</v>
      </c>
      <c r="AN126" s="9" t="str" cm="1">
        <f t="array" ref="AN126">_xlfn.IFS(AM126 &lt;= 3, "New to Role[1-3]", AM126 &lt;= 7, "Settled[4-7]", AM126 &lt;= 12, "Experienced[[8-12]", AM126 &lt;= 18, "Long Tenured[13-18]")</f>
        <v>Settled[4-7]</v>
      </c>
      <c r="AO126" s="1">
        <v>7</v>
      </c>
      <c r="AP126" s="9" t="str" cm="1">
        <f t="array" ref="AP126">_xlfn.IFS(AO126 &lt;= 3, "Recently[1-3]", AO126 &lt;= 6, "Due Soon[4-6]", AO126 &lt;= 10, "Overdue[7-10]", AO126 &lt;= 15, "Long Overdue[11-15]")</f>
        <v>Overdue[7-10]</v>
      </c>
      <c r="AQ126" s="9" t="str" cm="1">
        <f t="array" ref="AQ126">_xlfn.IFS(AR126 &lt;= 3, "New Relationship[1-3]", AR126 &lt;= 7, "Established Relationship[4-7]", AR126 &lt;= 12, "Long Term Relationship[8-12]", AR126 &lt;= 17, "Very Long Term Relationship[13-17]")</f>
        <v>Established Relationship[4-7]</v>
      </c>
      <c r="AR126" s="1">
        <v>7</v>
      </c>
    </row>
    <row r="127" spans="1:44" x14ac:dyDescent="0.25">
      <c r="A127" s="1">
        <v>26</v>
      </c>
      <c r="B127" s="8" t="str" cm="1">
        <f t="array" ref="B127">_xlfn.IFS(A127 &lt;= 25, "[18-25]", A127 &lt;= 35, "[26-35]", A127 &lt;=45, "[36-45]", A127 &lt;= 60, "[46- 60]")</f>
        <v>[26-35]</v>
      </c>
      <c r="C127" s="3" t="s">
        <v>43</v>
      </c>
      <c r="D127">
        <f t="shared" si="1"/>
        <v>0</v>
      </c>
      <c r="E127" t="s">
        <v>36</v>
      </c>
      <c r="F127" s="1">
        <v>841</v>
      </c>
      <c r="G127" s="3" t="s">
        <v>45</v>
      </c>
      <c r="H127" s="1">
        <v>6</v>
      </c>
      <c r="I127" s="9" t="str" cm="1">
        <f t="array" ref="I127">_xlfn.IFS(H127 &lt;= 2, "[1-2] very close", H127 &lt;= 10, "[3-10] close", H127 &lt;= 20, "[11-20] moderate", H127 &lt;= 30, "[21-30] far")</f>
        <v>[3-10] close</v>
      </c>
      <c r="J127" s="1">
        <v>3</v>
      </c>
      <c r="K127" s="3" t="s">
        <v>49</v>
      </c>
      <c r="L127" s="1">
        <v>1</v>
      </c>
      <c r="M127" s="1">
        <v>164</v>
      </c>
      <c r="N127" s="1">
        <v>3</v>
      </c>
      <c r="O127" s="3" t="s">
        <v>39</v>
      </c>
      <c r="P127" s="1">
        <v>46</v>
      </c>
      <c r="Q127" s="1">
        <v>2</v>
      </c>
      <c r="R127" s="1">
        <v>1</v>
      </c>
      <c r="S127" s="3" t="s">
        <v>47</v>
      </c>
      <c r="T127" s="1">
        <v>2</v>
      </c>
      <c r="U127" s="3" t="s">
        <v>48</v>
      </c>
      <c r="V127" s="4">
        <v>2368</v>
      </c>
      <c r="W127" s="1">
        <v>23300</v>
      </c>
      <c r="X127" s="1">
        <v>1</v>
      </c>
      <c r="Y127" s="3" t="s">
        <v>42</v>
      </c>
      <c r="Z127" s="3" t="s">
        <v>43</v>
      </c>
      <c r="AA127" s="5">
        <v>0.19</v>
      </c>
      <c r="AB127" s="10" t="str" cm="1">
        <f t="array" ref="AB127">_xlfn.IFS(AA127 &lt;= 15%, "Low Hike[11-15%]", AA127 &lt;= 20%, "Moderate Hike[16-20%]", AA127 &lt;= 25%,"High Hike[21-25%]")</f>
        <v>Moderate Hike[16-20%]</v>
      </c>
      <c r="AC127" s="1">
        <v>3</v>
      </c>
      <c r="AD127" s="1">
        <v>3</v>
      </c>
      <c r="AE127" s="1">
        <v>80</v>
      </c>
      <c r="AF127" s="1">
        <v>0</v>
      </c>
      <c r="AG127" s="1">
        <v>5</v>
      </c>
      <c r="AH127" s="9" t="str" cm="1">
        <f t="array" ref="AH127">_xlfn.IFS(AG127 &lt;= 5, "New[1-5]", AG127 &lt;= 10, "Early Career[6-10]", AG127 &lt;= 20, "Established[11-20]", AG127 &lt;= 30, "Veteran[21-30]", AG127 &lt;= 40, "Late Career[31-40]")</f>
        <v>New[1-5]</v>
      </c>
      <c r="AI127" s="1">
        <v>3</v>
      </c>
      <c r="AJ127" s="1">
        <v>2</v>
      </c>
      <c r="AK127" s="1">
        <v>5</v>
      </c>
      <c r="AL127" s="9" t="str" cm="1">
        <f t="array" ref="AL127">_xlfn.IFS(AK127 &lt;= 5, "New[1-5]", AK127 &lt;= 10, "Early Career[6-10]", AK127 &lt;= 20, "Established[11-20]", AK127 &lt;= 30, "Veteran[21-30]", AK127 &lt;= 40, "Late Career[31-40]")</f>
        <v>New[1-5]</v>
      </c>
      <c r="AM127" s="1">
        <v>4</v>
      </c>
      <c r="AN127" s="9" t="str" cm="1">
        <f t="array" ref="AN127">_xlfn.IFS(AM127 &lt;= 3, "New to Role[1-3]", AM127 &lt;= 7, "Settled[4-7]", AM127 &lt;= 12, "Experienced[[8-12]", AM127 &lt;= 18, "Long Tenured[13-18]")</f>
        <v>Settled[4-7]</v>
      </c>
      <c r="AO127" s="1">
        <v>4</v>
      </c>
      <c r="AP127" s="9" t="str" cm="1">
        <f t="array" ref="AP127">_xlfn.IFS(AO127 &lt;= 3, "Recently[1-3]", AO127 &lt;= 6, "Due Soon[4-6]", AO127 &lt;= 10, "Overdue[7-10]", AO127 &lt;= 15, "Long Overdue[11-15]")</f>
        <v>Due Soon[4-6]</v>
      </c>
      <c r="AQ127" s="9" t="str" cm="1">
        <f t="array" ref="AQ127">_xlfn.IFS(AR127 &lt;= 3, "New Relationship[1-3]", AR127 &lt;= 7, "Established Relationship[4-7]", AR127 &lt;= 12, "Long Term Relationship[8-12]", AR127 &lt;= 17, "Very Long Term Relationship[13-17]")</f>
        <v>New Relationship[1-3]</v>
      </c>
      <c r="AR127" s="1">
        <v>3</v>
      </c>
    </row>
    <row r="128" spans="1:44" x14ac:dyDescent="0.25">
      <c r="A128" s="1">
        <v>58</v>
      </c>
      <c r="B128" s="8" t="str" cm="1">
        <f t="array" ref="B128">_xlfn.IFS(A128 &lt;= 25, "[18-25]", A128 &lt;= 35, "[26-35]", A128 &lt;=45, "[36-45]", A128 &lt;= 60, "[46- 60]")</f>
        <v>[46- 60]</v>
      </c>
      <c r="C128" s="3" t="s">
        <v>35</v>
      </c>
      <c r="D128">
        <f t="shared" si="1"/>
        <v>1</v>
      </c>
      <c r="E128" t="s">
        <v>36</v>
      </c>
      <c r="F128" s="1">
        <v>147</v>
      </c>
      <c r="G128" s="3" t="s">
        <v>45</v>
      </c>
      <c r="H128" s="1">
        <v>23</v>
      </c>
      <c r="I128" s="9" t="str" cm="1">
        <f t="array" ref="I128">_xlfn.IFS(H128 &lt;= 2, "[1-2] very close", H128 &lt;= 10, "[3-10] close", H128 &lt;= 20, "[11-20] moderate", H128 &lt;= 30, "[21-30] far")</f>
        <v>[21-30] far</v>
      </c>
      <c r="J128" s="1">
        <v>4</v>
      </c>
      <c r="K128" s="3" t="s">
        <v>51</v>
      </c>
      <c r="L128" s="1">
        <v>1</v>
      </c>
      <c r="M128" s="1">
        <v>165</v>
      </c>
      <c r="N128" s="1">
        <v>4</v>
      </c>
      <c r="O128" s="3" t="s">
        <v>39</v>
      </c>
      <c r="P128" s="1">
        <v>94</v>
      </c>
      <c r="Q128" s="1">
        <v>3</v>
      </c>
      <c r="R128" s="1">
        <v>3</v>
      </c>
      <c r="S128" s="3" t="s">
        <v>54</v>
      </c>
      <c r="T128" s="1">
        <v>4</v>
      </c>
      <c r="U128" s="3" t="s">
        <v>48</v>
      </c>
      <c r="V128" s="4">
        <v>10312</v>
      </c>
      <c r="W128" s="1">
        <v>3465</v>
      </c>
      <c r="X128" s="1">
        <v>1</v>
      </c>
      <c r="Y128" s="3" t="s">
        <v>42</v>
      </c>
      <c r="Z128" s="3" t="s">
        <v>43</v>
      </c>
      <c r="AA128" s="5">
        <v>0.12</v>
      </c>
      <c r="AB128" s="10" t="str" cm="1">
        <f t="array" ref="AB128">_xlfn.IFS(AA128 &lt;= 15%, "Low Hike[11-15%]", AA128 &lt;= 20%, "Moderate Hike[16-20%]", AA128 &lt;= 25%,"High Hike[21-25%]")</f>
        <v>Low Hike[11-15%]</v>
      </c>
      <c r="AC128" s="1">
        <v>3</v>
      </c>
      <c r="AD128" s="1">
        <v>4</v>
      </c>
      <c r="AE128" s="1">
        <v>80</v>
      </c>
      <c r="AF128" s="1">
        <v>1</v>
      </c>
      <c r="AG128" s="1">
        <v>40</v>
      </c>
      <c r="AH128" s="9" t="str" cm="1">
        <f t="array" ref="AH128">_xlfn.IFS(AG128 &lt;= 5, "New[1-5]", AG128 &lt;= 10, "Early Career[6-10]", AG128 &lt;= 20, "Established[11-20]", AG128 &lt;= 30, "Veteran[21-30]", AG128 &lt;= 40, "Late Career[31-40]")</f>
        <v>Late Career[31-40]</v>
      </c>
      <c r="AI128" s="1">
        <v>3</v>
      </c>
      <c r="AJ128" s="1">
        <v>2</v>
      </c>
      <c r="AK128" s="1">
        <v>40</v>
      </c>
      <c r="AL128" s="9" t="str" cm="1">
        <f t="array" ref="AL128">_xlfn.IFS(AK128 &lt;= 5, "New[1-5]", AK128 &lt;= 10, "Early Career[6-10]", AK128 &lt;= 20, "Established[11-20]", AK128 &lt;= 30, "Veteran[21-30]", AK128 &lt;= 40, "Late Career[31-40]")</f>
        <v>Late Career[31-40]</v>
      </c>
      <c r="AM128" s="1">
        <v>10</v>
      </c>
      <c r="AN128" s="9" t="str" cm="1">
        <f t="array" ref="AN128">_xlfn.IFS(AM128 &lt;= 3, "New to Role[1-3]", AM128 &lt;= 7, "Settled[4-7]", AM128 &lt;= 12, "Experienced[[8-12]", AM128 &lt;= 18, "Long Tenured[13-18]")</f>
        <v>Experienced[[8-12]</v>
      </c>
      <c r="AO128" s="1">
        <v>15</v>
      </c>
      <c r="AP128" s="9" t="str" cm="1">
        <f t="array" ref="AP128">_xlfn.IFS(AO128 &lt;= 3, "Recently[1-3]", AO128 &lt;= 6, "Due Soon[4-6]", AO128 &lt;= 10, "Overdue[7-10]", AO128 &lt;= 15, "Long Overdue[11-15]")</f>
        <v>Long Overdue[11-15]</v>
      </c>
      <c r="AQ128" s="9" t="str" cm="1">
        <f t="array" ref="AQ128">_xlfn.IFS(AR128 &lt;= 3, "New Relationship[1-3]", AR128 &lt;= 7, "Established Relationship[4-7]", AR128 &lt;= 12, "Long Term Relationship[8-12]", AR128 &lt;= 17, "Very Long Term Relationship[13-17]")</f>
        <v>Established Relationship[4-7]</v>
      </c>
      <c r="AR128" s="1">
        <v>6</v>
      </c>
    </row>
    <row r="129" spans="1:44" x14ac:dyDescent="0.25">
      <c r="A129" s="1">
        <v>19</v>
      </c>
      <c r="B129" s="8" t="str" cm="1">
        <f t="array" ref="B129">_xlfn.IFS(A129 &lt;= 25, "[18-25]", A129 &lt;= 35, "[26-35]", A129 &lt;=45, "[36-45]", A129 &lt;= 60, "[46- 60]")</f>
        <v>[18-25]</v>
      </c>
      <c r="C129" s="3" t="s">
        <v>35</v>
      </c>
      <c r="D129">
        <f t="shared" si="1"/>
        <v>1</v>
      </c>
      <c r="E129" t="s">
        <v>36</v>
      </c>
      <c r="F129" s="1">
        <v>528</v>
      </c>
      <c r="G129" s="3" t="s">
        <v>37</v>
      </c>
      <c r="H129" s="1">
        <v>22</v>
      </c>
      <c r="I129" s="9" t="str" cm="1">
        <f t="array" ref="I129">_xlfn.IFS(H129 &lt;= 2, "[1-2] very close", H129 &lt;= 10, "[3-10] close", H129 &lt;= 20, "[11-20] moderate", H129 &lt;= 30, "[21-30] far")</f>
        <v>[21-30] far</v>
      </c>
      <c r="J129" s="1">
        <v>1</v>
      </c>
      <c r="K129" s="3" t="s">
        <v>59</v>
      </c>
      <c r="L129" s="1">
        <v>1</v>
      </c>
      <c r="M129" s="1">
        <v>167</v>
      </c>
      <c r="N129" s="1">
        <v>4</v>
      </c>
      <c r="O129" s="3" t="s">
        <v>46</v>
      </c>
      <c r="P129" s="1">
        <v>50</v>
      </c>
      <c r="Q129" s="1">
        <v>3</v>
      </c>
      <c r="R129" s="1">
        <v>1</v>
      </c>
      <c r="S129" s="3" t="s">
        <v>57</v>
      </c>
      <c r="T129" s="1">
        <v>3</v>
      </c>
      <c r="U129" s="3" t="s">
        <v>41</v>
      </c>
      <c r="V129" s="4">
        <v>1675</v>
      </c>
      <c r="W129" s="1">
        <v>26820</v>
      </c>
      <c r="X129" s="1">
        <v>1</v>
      </c>
      <c r="Y129" s="3" t="s">
        <v>42</v>
      </c>
      <c r="Z129" s="3" t="s">
        <v>35</v>
      </c>
      <c r="AA129" s="5">
        <v>0.19</v>
      </c>
      <c r="AB129" s="10" t="str" cm="1">
        <f t="array" ref="AB129">_xlfn.IFS(AA129 &lt;= 15%, "Low Hike[11-15%]", AA129 &lt;= 20%, "Moderate Hike[16-20%]", AA129 &lt;= 25%,"High Hike[21-25%]")</f>
        <v>Moderate Hike[16-20%]</v>
      </c>
      <c r="AC129" s="1">
        <v>3</v>
      </c>
      <c r="AD129" s="1">
        <v>4</v>
      </c>
      <c r="AE129" s="1">
        <v>80</v>
      </c>
      <c r="AF129" s="1">
        <v>0</v>
      </c>
      <c r="AG129" s="1">
        <v>0</v>
      </c>
      <c r="AH129" s="9" t="str" cm="1">
        <f t="array" ref="AH129">_xlfn.IFS(AG129 &lt;= 5, "New[1-5]", AG129 &lt;= 10, "Early Career[6-10]", AG129 &lt;= 20, "Established[11-20]", AG129 &lt;= 30, "Veteran[21-30]", AG129 &lt;= 40, "Late Career[31-40]")</f>
        <v>New[1-5]</v>
      </c>
      <c r="AI129" s="1">
        <v>2</v>
      </c>
      <c r="AJ129" s="1">
        <v>2</v>
      </c>
      <c r="AK129" s="1">
        <v>0</v>
      </c>
      <c r="AL129" s="9" t="str" cm="1">
        <f t="array" ref="AL129">_xlfn.IFS(AK129 &lt;= 5, "New[1-5]", AK129 &lt;= 10, "Early Career[6-10]", AK129 &lt;= 20, "Established[11-20]", AK129 &lt;= 30, "Veteran[21-30]", AK129 &lt;= 40, "Late Career[31-40]")</f>
        <v>New[1-5]</v>
      </c>
      <c r="AM129" s="1">
        <v>0</v>
      </c>
      <c r="AN129" s="9" t="str" cm="1">
        <f t="array" ref="AN129">_xlfn.IFS(AM129 &lt;= 3, "New to Role[1-3]", AM129 &lt;= 7, "Settled[4-7]", AM129 &lt;= 12, "Experienced[[8-12]", AM129 &lt;= 18, "Long Tenured[13-18]")</f>
        <v>New to Role[1-3]</v>
      </c>
      <c r="AO129" s="1">
        <v>0</v>
      </c>
      <c r="AP129" s="9" t="str" cm="1">
        <f t="array" ref="AP129">_xlfn.IFS(AO129 &lt;= 3, "Recently[1-3]", AO129 &lt;= 6, "Due Soon[4-6]", AO129 &lt;= 10, "Overdue[7-10]", AO129 &lt;= 15, "Long Overdue[11-15]")</f>
        <v>Recently[1-3]</v>
      </c>
      <c r="AQ129" s="9" t="str" cm="1">
        <f t="array" ref="AQ129">_xlfn.IFS(AR129 &lt;= 3, "New Relationship[1-3]", AR129 &lt;= 7, "Established Relationship[4-7]", AR129 &lt;= 12, "Long Term Relationship[8-12]", AR129 &lt;= 17, "Very Long Term Relationship[13-17]")</f>
        <v>New Relationship[1-3]</v>
      </c>
      <c r="AR129" s="1">
        <v>0</v>
      </c>
    </row>
    <row r="130" spans="1:44" x14ac:dyDescent="0.25">
      <c r="A130" s="1">
        <v>22</v>
      </c>
      <c r="B130" s="8" t="str" cm="1">
        <f t="array" ref="B130">_xlfn.IFS(A130 &lt;= 25, "[18-25]", A130 &lt;= 35, "[26-35]", A130 &lt;=45, "[36-45]", A130 &lt;= 60, "[46- 60]")</f>
        <v>[18-25]</v>
      </c>
      <c r="C130" s="3" t="s">
        <v>43</v>
      </c>
      <c r="D130">
        <f t="shared" ref="D130:D193" si="2">IF(C130 = "Yes",1, 0)</f>
        <v>0</v>
      </c>
      <c r="E130" t="s">
        <v>36</v>
      </c>
      <c r="F130" s="1">
        <v>594</v>
      </c>
      <c r="G130" s="3" t="s">
        <v>45</v>
      </c>
      <c r="H130" s="1">
        <v>2</v>
      </c>
      <c r="I130" s="9" t="str" cm="1">
        <f t="array" ref="I130">_xlfn.IFS(H130 &lt;= 2, "[1-2] very close", H130 &lt;= 10, "[3-10] close", H130 &lt;= 20, "[11-20] moderate", H130 &lt;= 30, "[21-30] far")</f>
        <v>[1-2] very close</v>
      </c>
      <c r="J130" s="1">
        <v>1</v>
      </c>
      <c r="K130" s="3" t="s">
        <v>60</v>
      </c>
      <c r="L130" s="1">
        <v>1</v>
      </c>
      <c r="M130" s="1">
        <v>169</v>
      </c>
      <c r="N130" s="1">
        <v>3</v>
      </c>
      <c r="O130" s="3" t="s">
        <v>46</v>
      </c>
      <c r="P130" s="1">
        <v>100</v>
      </c>
      <c r="Q130" s="1">
        <v>3</v>
      </c>
      <c r="R130" s="1">
        <v>1</v>
      </c>
      <c r="S130" s="3" t="s">
        <v>50</v>
      </c>
      <c r="T130" s="1">
        <v>4</v>
      </c>
      <c r="U130" s="3" t="s">
        <v>48</v>
      </c>
      <c r="V130" s="4">
        <v>2523</v>
      </c>
      <c r="W130" s="1">
        <v>19299</v>
      </c>
      <c r="X130" s="1">
        <v>0</v>
      </c>
      <c r="Y130" s="3" t="s">
        <v>42</v>
      </c>
      <c r="Z130" s="3" t="s">
        <v>43</v>
      </c>
      <c r="AA130" s="5">
        <v>0.14000000000000001</v>
      </c>
      <c r="AB130" s="10" t="str" cm="1">
        <f t="array" ref="AB130">_xlfn.IFS(AA130 &lt;= 15%, "Low Hike[11-15%]", AA130 &lt;= 20%, "Moderate Hike[16-20%]", AA130 &lt;= 25%,"High Hike[21-25%]")</f>
        <v>Low Hike[11-15%]</v>
      </c>
      <c r="AC130" s="1">
        <v>3</v>
      </c>
      <c r="AD130" s="1">
        <v>3</v>
      </c>
      <c r="AE130" s="1">
        <v>80</v>
      </c>
      <c r="AF130" s="1">
        <v>1</v>
      </c>
      <c r="AG130" s="1">
        <v>3</v>
      </c>
      <c r="AH130" s="9" t="str" cm="1">
        <f t="array" ref="AH130">_xlfn.IFS(AG130 &lt;= 5, "New[1-5]", AG130 &lt;= 10, "Early Career[6-10]", AG130 &lt;= 20, "Established[11-20]", AG130 &lt;= 30, "Veteran[21-30]", AG130 &lt;= 40, "Late Career[31-40]")</f>
        <v>New[1-5]</v>
      </c>
      <c r="AI130" s="1">
        <v>2</v>
      </c>
      <c r="AJ130" s="1">
        <v>3</v>
      </c>
      <c r="AK130" s="1">
        <v>2</v>
      </c>
      <c r="AL130" s="9" t="str" cm="1">
        <f t="array" ref="AL130">_xlfn.IFS(AK130 &lt;= 5, "New[1-5]", AK130 &lt;= 10, "Early Career[6-10]", AK130 &lt;= 20, "Established[11-20]", AK130 &lt;= 30, "Veteran[21-30]", AK130 &lt;= 40, "Late Career[31-40]")</f>
        <v>New[1-5]</v>
      </c>
      <c r="AM130" s="1">
        <v>1</v>
      </c>
      <c r="AN130" s="9" t="str" cm="1">
        <f t="array" ref="AN130">_xlfn.IFS(AM130 &lt;= 3, "New to Role[1-3]", AM130 &lt;= 7, "Settled[4-7]", AM130 &lt;= 12, "Experienced[[8-12]", AM130 &lt;= 18, "Long Tenured[13-18]")</f>
        <v>New to Role[1-3]</v>
      </c>
      <c r="AO130" s="1">
        <v>2</v>
      </c>
      <c r="AP130" s="9" t="str" cm="1">
        <f t="array" ref="AP130">_xlfn.IFS(AO130 &lt;= 3, "Recently[1-3]", AO130 &lt;= 6, "Due Soon[4-6]", AO130 &lt;= 10, "Overdue[7-10]", AO130 &lt;= 15, "Long Overdue[11-15]")</f>
        <v>Recently[1-3]</v>
      </c>
      <c r="AQ130" s="9" t="str" cm="1">
        <f t="array" ref="AQ130">_xlfn.IFS(AR130 &lt;= 3, "New Relationship[1-3]", AR130 &lt;= 7, "Established Relationship[4-7]", AR130 &lt;= 12, "Long Term Relationship[8-12]", AR130 &lt;= 17, "Very Long Term Relationship[13-17]")</f>
        <v>New Relationship[1-3]</v>
      </c>
      <c r="AR130" s="1">
        <v>1</v>
      </c>
    </row>
    <row r="131" spans="1:44" x14ac:dyDescent="0.25">
      <c r="A131" s="1">
        <v>49</v>
      </c>
      <c r="B131" s="8" t="str" cm="1">
        <f t="array" ref="B131">_xlfn.IFS(A131 &lt;= 25, "[18-25]", A131 &lt;= 35, "[26-35]", A131 &lt;=45, "[36-45]", A131 &lt;= 60, "[46- 60]")</f>
        <v>[46- 60]</v>
      </c>
      <c r="C131" s="3" t="s">
        <v>43</v>
      </c>
      <c r="D131">
        <f t="shared" si="2"/>
        <v>0</v>
      </c>
      <c r="E131" t="s">
        <v>36</v>
      </c>
      <c r="F131" s="1">
        <v>470</v>
      </c>
      <c r="G131" s="3" t="s">
        <v>45</v>
      </c>
      <c r="H131" s="1">
        <v>20</v>
      </c>
      <c r="I131" s="9" t="str" cm="1">
        <f t="array" ref="I131">_xlfn.IFS(H131 &lt;= 2, "[1-2] very close", H131 &lt;= 10, "[3-10] close", H131 &lt;= 20, "[11-20] moderate", H131 &lt;= 30, "[21-30] far")</f>
        <v>[11-20] moderate</v>
      </c>
      <c r="J131" s="1">
        <v>4</v>
      </c>
      <c r="K131" s="3" t="s">
        <v>51</v>
      </c>
      <c r="L131" s="1">
        <v>1</v>
      </c>
      <c r="M131" s="1">
        <v>170</v>
      </c>
      <c r="N131" s="1">
        <v>3</v>
      </c>
      <c r="O131" s="3" t="s">
        <v>39</v>
      </c>
      <c r="P131" s="1">
        <v>96</v>
      </c>
      <c r="Q131" s="1">
        <v>3</v>
      </c>
      <c r="R131" s="1">
        <v>2</v>
      </c>
      <c r="S131" s="3" t="s">
        <v>53</v>
      </c>
      <c r="T131" s="1">
        <v>1</v>
      </c>
      <c r="U131" s="3" t="s">
        <v>48</v>
      </c>
      <c r="V131" s="4">
        <v>6567</v>
      </c>
      <c r="W131" s="1">
        <v>5549</v>
      </c>
      <c r="X131" s="1">
        <v>1</v>
      </c>
      <c r="Y131" s="3" t="s">
        <v>42</v>
      </c>
      <c r="Z131" s="3" t="s">
        <v>43</v>
      </c>
      <c r="AA131" s="5">
        <v>0.14000000000000001</v>
      </c>
      <c r="AB131" s="10" t="str" cm="1">
        <f t="array" ref="AB131">_xlfn.IFS(AA131 &lt;= 15%, "Low Hike[11-15%]", AA131 &lt;= 20%, "Moderate Hike[16-20%]", AA131 &lt;= 25%,"High Hike[21-25%]")</f>
        <v>Low Hike[11-15%]</v>
      </c>
      <c r="AC131" s="1">
        <v>3</v>
      </c>
      <c r="AD131" s="1">
        <v>3</v>
      </c>
      <c r="AE131" s="1">
        <v>80</v>
      </c>
      <c r="AF131" s="1">
        <v>0</v>
      </c>
      <c r="AG131" s="1">
        <v>16</v>
      </c>
      <c r="AH131" s="9" t="str" cm="1">
        <f t="array" ref="AH131">_xlfn.IFS(AG131 &lt;= 5, "New[1-5]", AG131 &lt;= 10, "Early Career[6-10]", AG131 &lt;= 20, "Established[11-20]", AG131 &lt;= 30, "Veteran[21-30]", AG131 &lt;= 40, "Late Career[31-40]")</f>
        <v>Established[11-20]</v>
      </c>
      <c r="AI131" s="1">
        <v>2</v>
      </c>
      <c r="AJ131" s="1">
        <v>2</v>
      </c>
      <c r="AK131" s="1">
        <v>15</v>
      </c>
      <c r="AL131" s="9" t="str" cm="1">
        <f t="array" ref="AL131">_xlfn.IFS(AK131 &lt;= 5, "New[1-5]", AK131 &lt;= 10, "Early Career[6-10]", AK131 &lt;= 20, "Established[11-20]", AK131 &lt;= 30, "Veteran[21-30]", AK131 &lt;= 40, "Late Career[31-40]")</f>
        <v>Established[11-20]</v>
      </c>
      <c r="AM131" s="1">
        <v>11</v>
      </c>
      <c r="AN131" s="9" t="str" cm="1">
        <f t="array" ref="AN131">_xlfn.IFS(AM131 &lt;= 3, "New to Role[1-3]", AM131 &lt;= 7, "Settled[4-7]", AM131 &lt;= 12, "Experienced[[8-12]", AM131 &lt;= 18, "Long Tenured[13-18]")</f>
        <v>Experienced[[8-12]</v>
      </c>
      <c r="AO131" s="1">
        <v>5</v>
      </c>
      <c r="AP131" s="9" t="str" cm="1">
        <f t="array" ref="AP131">_xlfn.IFS(AO131 &lt;= 3, "Recently[1-3]", AO131 &lt;= 6, "Due Soon[4-6]", AO131 &lt;= 10, "Overdue[7-10]", AO131 &lt;= 15, "Long Overdue[11-15]")</f>
        <v>Due Soon[4-6]</v>
      </c>
      <c r="AQ131" s="9" t="str" cm="1">
        <f t="array" ref="AQ131">_xlfn.IFS(AR131 &lt;= 3, "New Relationship[1-3]", AR131 &lt;= 7, "Established Relationship[4-7]", AR131 &lt;= 12, "Long Term Relationship[8-12]", AR131 &lt;= 17, "Very Long Term Relationship[13-17]")</f>
        <v>Long Term Relationship[8-12]</v>
      </c>
      <c r="AR131" s="1">
        <v>11</v>
      </c>
    </row>
    <row r="132" spans="1:44" x14ac:dyDescent="0.25">
      <c r="A132" s="1">
        <v>43</v>
      </c>
      <c r="B132" s="8" t="str" cm="1">
        <f t="array" ref="B132">_xlfn.IFS(A132 &lt;= 25, "[18-25]", A132 &lt;= 35, "[26-35]", A132 &lt;=45, "[36-45]", A132 &lt;= 60, "[46- 60]")</f>
        <v>[36-45]</v>
      </c>
      <c r="C132" s="3" t="s">
        <v>43</v>
      </c>
      <c r="D132">
        <f t="shared" si="2"/>
        <v>0</v>
      </c>
      <c r="E132" t="s">
        <v>44</v>
      </c>
      <c r="F132" s="1">
        <v>957</v>
      </c>
      <c r="G132" s="3" t="s">
        <v>45</v>
      </c>
      <c r="H132" s="1">
        <v>28</v>
      </c>
      <c r="I132" s="9" t="str" cm="1">
        <f t="array" ref="I132">_xlfn.IFS(H132 &lt;= 2, "[1-2] very close", H132 &lt;= 10, "[3-10] close", H132 &lt;= 20, "[11-20] moderate", H132 &lt;= 30, "[21-30] far")</f>
        <v>[21-30] far</v>
      </c>
      <c r="J132" s="1">
        <v>3</v>
      </c>
      <c r="K132" s="3" t="s">
        <v>51</v>
      </c>
      <c r="L132" s="1">
        <v>1</v>
      </c>
      <c r="M132" s="1">
        <v>171</v>
      </c>
      <c r="N132" s="1">
        <v>2</v>
      </c>
      <c r="O132" s="3" t="s">
        <v>39</v>
      </c>
      <c r="P132" s="1">
        <v>72</v>
      </c>
      <c r="Q132" s="1">
        <v>4</v>
      </c>
      <c r="R132" s="1">
        <v>1</v>
      </c>
      <c r="S132" s="3" t="s">
        <v>47</v>
      </c>
      <c r="T132" s="1">
        <v>3</v>
      </c>
      <c r="U132" s="3" t="s">
        <v>41</v>
      </c>
      <c r="V132" s="4">
        <v>4739</v>
      </c>
      <c r="W132" s="1">
        <v>16090</v>
      </c>
      <c r="X132" s="1">
        <v>4</v>
      </c>
      <c r="Y132" s="3" t="s">
        <v>42</v>
      </c>
      <c r="Z132" s="3" t="s">
        <v>43</v>
      </c>
      <c r="AA132" s="5">
        <v>0.12</v>
      </c>
      <c r="AB132" s="10" t="str" cm="1">
        <f t="array" ref="AB132">_xlfn.IFS(AA132 &lt;= 15%, "Low Hike[11-15%]", AA132 &lt;= 20%, "Moderate Hike[16-20%]", AA132 &lt;= 25%,"High Hike[21-25%]")</f>
        <v>Low Hike[11-15%]</v>
      </c>
      <c r="AC132" s="1">
        <v>3</v>
      </c>
      <c r="AD132" s="1">
        <v>4</v>
      </c>
      <c r="AE132" s="1">
        <v>80</v>
      </c>
      <c r="AF132" s="1">
        <v>0</v>
      </c>
      <c r="AG132" s="1">
        <v>18</v>
      </c>
      <c r="AH132" s="9" t="str" cm="1">
        <f t="array" ref="AH132">_xlfn.IFS(AG132 &lt;= 5, "New[1-5]", AG132 &lt;= 10, "Early Career[6-10]", AG132 &lt;= 20, "Established[11-20]", AG132 &lt;= 30, "Veteran[21-30]", AG132 &lt;= 40, "Late Career[31-40]")</f>
        <v>Established[11-20]</v>
      </c>
      <c r="AI132" s="1">
        <v>2</v>
      </c>
      <c r="AJ132" s="1">
        <v>3</v>
      </c>
      <c r="AK132" s="1">
        <v>3</v>
      </c>
      <c r="AL132" s="9" t="str" cm="1">
        <f t="array" ref="AL132">_xlfn.IFS(AK132 &lt;= 5, "New[1-5]", AK132 &lt;= 10, "Early Career[6-10]", AK132 &lt;= 20, "Established[11-20]", AK132 &lt;= 30, "Veteran[21-30]", AK132 &lt;= 40, "Late Career[31-40]")</f>
        <v>New[1-5]</v>
      </c>
      <c r="AM132" s="1">
        <v>2</v>
      </c>
      <c r="AN132" s="9" t="str" cm="1">
        <f t="array" ref="AN132">_xlfn.IFS(AM132 &lt;= 3, "New to Role[1-3]", AM132 &lt;= 7, "Settled[4-7]", AM132 &lt;= 12, "Experienced[[8-12]", AM132 &lt;= 18, "Long Tenured[13-18]")</f>
        <v>New to Role[1-3]</v>
      </c>
      <c r="AO132" s="1">
        <v>1</v>
      </c>
      <c r="AP132" s="9" t="str" cm="1">
        <f t="array" ref="AP132">_xlfn.IFS(AO132 &lt;= 3, "Recently[1-3]", AO132 &lt;= 6, "Due Soon[4-6]", AO132 &lt;= 10, "Overdue[7-10]", AO132 &lt;= 15, "Long Overdue[11-15]")</f>
        <v>Recently[1-3]</v>
      </c>
      <c r="AQ132" s="9" t="str" cm="1">
        <f t="array" ref="AQ132">_xlfn.IFS(AR132 &lt;= 3, "New Relationship[1-3]", AR132 &lt;= 7, "Established Relationship[4-7]", AR132 &lt;= 12, "Long Term Relationship[8-12]", AR132 &lt;= 17, "Very Long Term Relationship[13-17]")</f>
        <v>New Relationship[1-3]</v>
      </c>
      <c r="AR132" s="1">
        <v>2</v>
      </c>
    </row>
    <row r="133" spans="1:44" x14ac:dyDescent="0.25">
      <c r="A133" s="1">
        <v>50</v>
      </c>
      <c r="B133" s="8" t="str" cm="1">
        <f t="array" ref="B133">_xlfn.IFS(A133 &lt;= 25, "[18-25]", A133 &lt;= 35, "[26-35]", A133 &lt;=45, "[36-45]", A133 &lt;= 60, "[46- 60]")</f>
        <v>[46- 60]</v>
      </c>
      <c r="C133" s="3" t="s">
        <v>43</v>
      </c>
      <c r="D133">
        <f t="shared" si="2"/>
        <v>0</v>
      </c>
      <c r="E133" t="s">
        <v>44</v>
      </c>
      <c r="F133" s="1">
        <v>809</v>
      </c>
      <c r="G133" s="3" t="s">
        <v>37</v>
      </c>
      <c r="H133" s="1">
        <v>12</v>
      </c>
      <c r="I133" s="9" t="str" cm="1">
        <f t="array" ref="I133">_xlfn.IFS(H133 &lt;= 2, "[1-2] very close", H133 &lt;= 10, "[3-10] close", H133 &lt;= 20, "[11-20] moderate", H133 &lt;= 30, "[21-30] far")</f>
        <v>[11-20] moderate</v>
      </c>
      <c r="J133" s="1">
        <v>3</v>
      </c>
      <c r="K133" s="3" t="s">
        <v>59</v>
      </c>
      <c r="L133" s="1">
        <v>1</v>
      </c>
      <c r="M133" s="1">
        <v>174</v>
      </c>
      <c r="N133" s="1">
        <v>3</v>
      </c>
      <c r="O133" s="3" t="s">
        <v>39</v>
      </c>
      <c r="P133" s="1">
        <v>77</v>
      </c>
      <c r="Q133" s="1">
        <v>3</v>
      </c>
      <c r="R133" s="1">
        <v>3</v>
      </c>
      <c r="S133" s="3" t="s">
        <v>40</v>
      </c>
      <c r="T133" s="1">
        <v>4</v>
      </c>
      <c r="U133" s="3" t="s">
        <v>41</v>
      </c>
      <c r="V133" s="4">
        <v>9208</v>
      </c>
      <c r="W133" s="1">
        <v>6645</v>
      </c>
      <c r="X133" s="1">
        <v>4</v>
      </c>
      <c r="Y133" s="3" t="s">
        <v>42</v>
      </c>
      <c r="Z133" s="3" t="s">
        <v>43</v>
      </c>
      <c r="AA133" s="5">
        <v>0.11</v>
      </c>
      <c r="AB133" s="10" t="str" cm="1">
        <f t="array" ref="AB133">_xlfn.IFS(AA133 &lt;= 15%, "Low Hike[11-15%]", AA133 &lt;= 20%, "Moderate Hike[16-20%]", AA133 &lt;= 25%,"High Hike[21-25%]")</f>
        <v>Low Hike[11-15%]</v>
      </c>
      <c r="AC133" s="1">
        <v>3</v>
      </c>
      <c r="AD133" s="1">
        <v>4</v>
      </c>
      <c r="AE133" s="1">
        <v>80</v>
      </c>
      <c r="AF133" s="1">
        <v>0</v>
      </c>
      <c r="AG133" s="1">
        <v>16</v>
      </c>
      <c r="AH133" s="9" t="str" cm="1">
        <f t="array" ref="AH133">_xlfn.IFS(AG133 &lt;= 5, "New[1-5]", AG133 &lt;= 10, "Early Career[6-10]", AG133 &lt;= 20, "Established[11-20]", AG133 &lt;= 30, "Veteran[21-30]", AG133 &lt;= 40, "Late Career[31-40]")</f>
        <v>Established[11-20]</v>
      </c>
      <c r="AI133" s="1">
        <v>3</v>
      </c>
      <c r="AJ133" s="1">
        <v>3</v>
      </c>
      <c r="AK133" s="1">
        <v>2</v>
      </c>
      <c r="AL133" s="9" t="str" cm="1">
        <f t="array" ref="AL133">_xlfn.IFS(AK133 &lt;= 5, "New[1-5]", AK133 &lt;= 10, "Early Career[6-10]", AK133 &lt;= 20, "Established[11-20]", AK133 &lt;= 30, "Veteran[21-30]", AK133 &lt;= 40, "Late Career[31-40]")</f>
        <v>New[1-5]</v>
      </c>
      <c r="AM133" s="1">
        <v>2</v>
      </c>
      <c r="AN133" s="9" t="str" cm="1">
        <f t="array" ref="AN133">_xlfn.IFS(AM133 &lt;= 3, "New to Role[1-3]", AM133 &lt;= 7, "Settled[4-7]", AM133 &lt;= 12, "Experienced[[8-12]", AM133 &lt;= 18, "Long Tenured[13-18]")</f>
        <v>New to Role[1-3]</v>
      </c>
      <c r="AO133" s="1">
        <v>2</v>
      </c>
      <c r="AP133" s="9" t="str" cm="1">
        <f t="array" ref="AP133">_xlfn.IFS(AO133 &lt;= 3, "Recently[1-3]", AO133 &lt;= 6, "Due Soon[4-6]", AO133 &lt;= 10, "Overdue[7-10]", AO133 &lt;= 15, "Long Overdue[11-15]")</f>
        <v>Recently[1-3]</v>
      </c>
      <c r="AQ133" s="9" t="str" cm="1">
        <f t="array" ref="AQ133">_xlfn.IFS(AR133 &lt;= 3, "New Relationship[1-3]", AR133 &lt;= 7, "Established Relationship[4-7]", AR133 &lt;= 12, "Long Term Relationship[8-12]", AR133 &lt;= 17, "Very Long Term Relationship[13-17]")</f>
        <v>New Relationship[1-3]</v>
      </c>
      <c r="AR133" s="1">
        <v>1</v>
      </c>
    </row>
    <row r="134" spans="1:44" x14ac:dyDescent="0.25">
      <c r="A134" s="1">
        <v>31</v>
      </c>
      <c r="B134" s="8" t="str" cm="1">
        <f t="array" ref="B134">_xlfn.IFS(A134 &lt;= 25, "[18-25]", A134 &lt;= 35, "[26-35]", A134 &lt;=45, "[36-45]", A134 &lt;= 60, "[46- 60]")</f>
        <v>[26-35]</v>
      </c>
      <c r="C134" s="3" t="s">
        <v>35</v>
      </c>
      <c r="D134">
        <f t="shared" si="2"/>
        <v>1</v>
      </c>
      <c r="E134" t="s">
        <v>36</v>
      </c>
      <c r="F134" s="1">
        <v>542</v>
      </c>
      <c r="G134" s="3" t="s">
        <v>37</v>
      </c>
      <c r="H134" s="1">
        <v>20</v>
      </c>
      <c r="I134" s="9" t="str" cm="1">
        <f t="array" ref="I134">_xlfn.IFS(H134 &lt;= 2, "[1-2] very close", H134 &lt;= 10, "[3-10] close", H134 &lt;= 20, "[11-20] moderate", H134 &lt;= 30, "[21-30] far")</f>
        <v>[11-20] moderate</v>
      </c>
      <c r="J134" s="1">
        <v>3</v>
      </c>
      <c r="K134" s="3" t="s">
        <v>38</v>
      </c>
      <c r="L134" s="1">
        <v>1</v>
      </c>
      <c r="M134" s="1">
        <v>175</v>
      </c>
      <c r="N134" s="1">
        <v>2</v>
      </c>
      <c r="O134" s="3" t="s">
        <v>39</v>
      </c>
      <c r="P134" s="1">
        <v>71</v>
      </c>
      <c r="Q134" s="1">
        <v>1</v>
      </c>
      <c r="R134" s="1">
        <v>2</v>
      </c>
      <c r="S134" s="3" t="s">
        <v>40</v>
      </c>
      <c r="T134" s="1">
        <v>3</v>
      </c>
      <c r="U134" s="3" t="s">
        <v>48</v>
      </c>
      <c r="V134" s="4">
        <v>4559</v>
      </c>
      <c r="W134" s="1">
        <v>24788</v>
      </c>
      <c r="X134" s="1">
        <v>3</v>
      </c>
      <c r="Y134" s="3" t="s">
        <v>42</v>
      </c>
      <c r="Z134" s="3" t="s">
        <v>35</v>
      </c>
      <c r="AA134" s="5">
        <v>0.11</v>
      </c>
      <c r="AB134" s="10" t="str" cm="1">
        <f t="array" ref="AB134">_xlfn.IFS(AA134 &lt;= 15%, "Low Hike[11-15%]", AA134 &lt;= 20%, "Moderate Hike[16-20%]", AA134 &lt;= 25%,"High Hike[21-25%]")</f>
        <v>Low Hike[11-15%]</v>
      </c>
      <c r="AC134" s="1">
        <v>3</v>
      </c>
      <c r="AD134" s="1">
        <v>3</v>
      </c>
      <c r="AE134" s="1">
        <v>80</v>
      </c>
      <c r="AF134" s="1">
        <v>1</v>
      </c>
      <c r="AG134" s="1">
        <v>4</v>
      </c>
      <c r="AH134" s="9" t="str" cm="1">
        <f t="array" ref="AH134">_xlfn.IFS(AG134 &lt;= 5, "New[1-5]", AG134 &lt;= 10, "Early Career[6-10]", AG134 &lt;= 20, "Established[11-20]", AG134 &lt;= 30, "Veteran[21-30]", AG134 &lt;= 40, "Late Career[31-40]")</f>
        <v>New[1-5]</v>
      </c>
      <c r="AI134" s="1">
        <v>2</v>
      </c>
      <c r="AJ134" s="1">
        <v>3</v>
      </c>
      <c r="AK134" s="1">
        <v>2</v>
      </c>
      <c r="AL134" s="9" t="str" cm="1">
        <f t="array" ref="AL134">_xlfn.IFS(AK134 &lt;= 5, "New[1-5]", AK134 &lt;= 10, "Early Career[6-10]", AK134 &lt;= 20, "Established[11-20]", AK134 &lt;= 30, "Veteran[21-30]", AK134 &lt;= 40, "Late Career[31-40]")</f>
        <v>New[1-5]</v>
      </c>
      <c r="AM134" s="1">
        <v>2</v>
      </c>
      <c r="AN134" s="9" t="str" cm="1">
        <f t="array" ref="AN134">_xlfn.IFS(AM134 &lt;= 3, "New to Role[1-3]", AM134 &lt;= 7, "Settled[4-7]", AM134 &lt;= 12, "Experienced[[8-12]", AM134 &lt;= 18, "Long Tenured[13-18]")</f>
        <v>New to Role[1-3]</v>
      </c>
      <c r="AO134" s="1">
        <v>2</v>
      </c>
      <c r="AP134" s="9" t="str" cm="1">
        <f t="array" ref="AP134">_xlfn.IFS(AO134 &lt;= 3, "Recently[1-3]", AO134 &lt;= 6, "Due Soon[4-6]", AO134 &lt;= 10, "Overdue[7-10]", AO134 &lt;= 15, "Long Overdue[11-15]")</f>
        <v>Recently[1-3]</v>
      </c>
      <c r="AQ134" s="9" t="str" cm="1">
        <f t="array" ref="AQ134">_xlfn.IFS(AR134 &lt;= 3, "New Relationship[1-3]", AR134 &lt;= 7, "Established Relationship[4-7]", AR134 &lt;= 12, "Long Term Relationship[8-12]", AR134 &lt;= 17, "Very Long Term Relationship[13-17]")</f>
        <v>New Relationship[1-3]</v>
      </c>
      <c r="AR134" s="1">
        <v>2</v>
      </c>
    </row>
    <row r="135" spans="1:44" x14ac:dyDescent="0.25">
      <c r="A135" s="1">
        <v>41</v>
      </c>
      <c r="B135" s="8" t="str" cm="1">
        <f t="array" ref="B135">_xlfn.IFS(A135 &lt;= 25, "[18-25]", A135 &lt;= 35, "[26-35]", A135 &lt;=45, "[36-45]", A135 &lt;= 60, "[46- 60]")</f>
        <v>[36-45]</v>
      </c>
      <c r="C135" s="3" t="s">
        <v>43</v>
      </c>
      <c r="D135">
        <f t="shared" si="2"/>
        <v>0</v>
      </c>
      <c r="E135" t="s">
        <v>36</v>
      </c>
      <c r="F135" s="1">
        <v>802</v>
      </c>
      <c r="G135" s="3" t="s">
        <v>37</v>
      </c>
      <c r="H135" s="1">
        <v>9</v>
      </c>
      <c r="I135" s="9" t="str" cm="1">
        <f t="array" ref="I135">_xlfn.IFS(H135 &lt;= 2, "[1-2] very close", H135 &lt;= 10, "[3-10] close", H135 &lt;= 20, "[11-20] moderate", H135 &lt;= 30, "[21-30] far")</f>
        <v>[3-10] close</v>
      </c>
      <c r="J135" s="1">
        <v>1</v>
      </c>
      <c r="K135" s="3" t="s">
        <v>38</v>
      </c>
      <c r="L135" s="1">
        <v>1</v>
      </c>
      <c r="M135" s="1">
        <v>176</v>
      </c>
      <c r="N135" s="1">
        <v>3</v>
      </c>
      <c r="O135" s="3" t="s">
        <v>46</v>
      </c>
      <c r="P135" s="1">
        <v>96</v>
      </c>
      <c r="Q135" s="1">
        <v>3</v>
      </c>
      <c r="R135" s="1">
        <v>3</v>
      </c>
      <c r="S135" s="3" t="s">
        <v>40</v>
      </c>
      <c r="T135" s="1">
        <v>3</v>
      </c>
      <c r="U135" s="3" t="s">
        <v>52</v>
      </c>
      <c r="V135" s="4">
        <v>8189</v>
      </c>
      <c r="W135" s="1">
        <v>21196</v>
      </c>
      <c r="X135" s="1">
        <v>3</v>
      </c>
      <c r="Y135" s="3" t="s">
        <v>42</v>
      </c>
      <c r="Z135" s="3" t="s">
        <v>35</v>
      </c>
      <c r="AA135" s="5">
        <v>0.13</v>
      </c>
      <c r="AB135" s="10" t="str" cm="1">
        <f t="array" ref="AB135">_xlfn.IFS(AA135 &lt;= 15%, "Low Hike[11-15%]", AA135 &lt;= 20%, "Moderate Hike[16-20%]", AA135 &lt;= 25%,"High Hike[21-25%]")</f>
        <v>Low Hike[11-15%]</v>
      </c>
      <c r="AC135" s="1">
        <v>3</v>
      </c>
      <c r="AD135" s="1">
        <v>3</v>
      </c>
      <c r="AE135" s="1">
        <v>80</v>
      </c>
      <c r="AF135" s="1">
        <v>1</v>
      </c>
      <c r="AG135" s="1">
        <v>12</v>
      </c>
      <c r="AH135" s="9" t="str" cm="1">
        <f t="array" ref="AH135">_xlfn.IFS(AG135 &lt;= 5, "New[1-5]", AG135 &lt;= 10, "Early Career[6-10]", AG135 &lt;= 20, "Established[11-20]", AG135 &lt;= 30, "Veteran[21-30]", AG135 &lt;= 40, "Late Career[31-40]")</f>
        <v>Established[11-20]</v>
      </c>
      <c r="AI135" s="1">
        <v>2</v>
      </c>
      <c r="AJ135" s="1">
        <v>3</v>
      </c>
      <c r="AK135" s="1">
        <v>9</v>
      </c>
      <c r="AL135" s="9" t="str" cm="1">
        <f t="array" ref="AL135">_xlfn.IFS(AK135 &lt;= 5, "New[1-5]", AK135 &lt;= 10, "Early Career[6-10]", AK135 &lt;= 20, "Established[11-20]", AK135 &lt;= 30, "Veteran[21-30]", AK135 &lt;= 40, "Late Career[31-40]")</f>
        <v>Early Career[6-10]</v>
      </c>
      <c r="AM135" s="1">
        <v>7</v>
      </c>
      <c r="AN135" s="9" t="str" cm="1">
        <f t="array" ref="AN135">_xlfn.IFS(AM135 &lt;= 3, "New to Role[1-3]", AM135 &lt;= 7, "Settled[4-7]", AM135 &lt;= 12, "Experienced[[8-12]", AM135 &lt;= 18, "Long Tenured[13-18]")</f>
        <v>Settled[4-7]</v>
      </c>
      <c r="AO135" s="1">
        <v>0</v>
      </c>
      <c r="AP135" s="9" t="str" cm="1">
        <f t="array" ref="AP135">_xlfn.IFS(AO135 &lt;= 3, "Recently[1-3]", AO135 &lt;= 6, "Due Soon[4-6]", AO135 &lt;= 10, "Overdue[7-10]", AO135 &lt;= 15, "Long Overdue[11-15]")</f>
        <v>Recently[1-3]</v>
      </c>
      <c r="AQ135" s="9" t="str" cm="1">
        <f t="array" ref="AQ135">_xlfn.IFS(AR135 &lt;= 3, "New Relationship[1-3]", AR135 &lt;= 7, "Established Relationship[4-7]", AR135 &lt;= 12, "Long Term Relationship[8-12]", AR135 &lt;= 17, "Very Long Term Relationship[13-17]")</f>
        <v>Established Relationship[4-7]</v>
      </c>
      <c r="AR135" s="1">
        <v>7</v>
      </c>
    </row>
    <row r="136" spans="1:44" x14ac:dyDescent="0.25">
      <c r="A136" s="1">
        <v>26</v>
      </c>
      <c r="B136" s="8" t="str" cm="1">
        <f t="array" ref="B136">_xlfn.IFS(A136 &lt;= 25, "[18-25]", A136 &lt;= 35, "[26-35]", A136 &lt;=45, "[36-45]", A136 &lt;= 60, "[46- 60]")</f>
        <v>[26-35]</v>
      </c>
      <c r="C136" s="3" t="s">
        <v>43</v>
      </c>
      <c r="D136">
        <f t="shared" si="2"/>
        <v>0</v>
      </c>
      <c r="E136" t="s">
        <v>36</v>
      </c>
      <c r="F136" s="1">
        <v>1355</v>
      </c>
      <c r="G136" s="3" t="s">
        <v>61</v>
      </c>
      <c r="H136" s="1">
        <v>25</v>
      </c>
      <c r="I136" s="9" t="str" cm="1">
        <f t="array" ref="I136">_xlfn.IFS(H136 &lt;= 2, "[1-2] very close", H136 &lt;= 10, "[3-10] close", H136 &lt;= 20, "[11-20] moderate", H136 &lt;= 30, "[21-30] far")</f>
        <v>[21-30] far</v>
      </c>
      <c r="J136" s="1">
        <v>1</v>
      </c>
      <c r="K136" s="3" t="s">
        <v>38</v>
      </c>
      <c r="L136" s="1">
        <v>1</v>
      </c>
      <c r="M136" s="1">
        <v>177</v>
      </c>
      <c r="N136" s="1">
        <v>3</v>
      </c>
      <c r="O136" s="3" t="s">
        <v>39</v>
      </c>
      <c r="P136" s="1">
        <v>61</v>
      </c>
      <c r="Q136" s="1">
        <v>3</v>
      </c>
      <c r="R136" s="1">
        <v>1</v>
      </c>
      <c r="S136" s="3" t="s">
        <v>61</v>
      </c>
      <c r="T136" s="1">
        <v>3</v>
      </c>
      <c r="U136" s="3" t="s">
        <v>48</v>
      </c>
      <c r="V136" s="4">
        <v>2942</v>
      </c>
      <c r="W136" s="1">
        <v>8916</v>
      </c>
      <c r="X136" s="1">
        <v>1</v>
      </c>
      <c r="Y136" s="3" t="s">
        <v>42</v>
      </c>
      <c r="Z136" s="3" t="s">
        <v>43</v>
      </c>
      <c r="AA136" s="5">
        <v>0.23</v>
      </c>
      <c r="AB136" s="10" t="str" cm="1">
        <f t="array" ref="AB136">_xlfn.IFS(AA136 &lt;= 15%, "Low Hike[11-15%]", AA136 &lt;= 20%, "Moderate Hike[16-20%]", AA136 &lt;= 25%,"High Hike[21-25%]")</f>
        <v>High Hike[21-25%]</v>
      </c>
      <c r="AC136" s="1">
        <v>4</v>
      </c>
      <c r="AD136" s="1">
        <v>4</v>
      </c>
      <c r="AE136" s="1">
        <v>80</v>
      </c>
      <c r="AF136" s="1">
        <v>1</v>
      </c>
      <c r="AG136" s="1">
        <v>8</v>
      </c>
      <c r="AH136" s="9" t="str" cm="1">
        <f t="array" ref="AH136">_xlfn.IFS(AG136 &lt;= 5, "New[1-5]", AG136 &lt;= 10, "Early Career[6-10]", AG136 &lt;= 20, "Established[11-20]", AG136 &lt;= 30, "Veteran[21-30]", AG136 &lt;= 40, "Late Career[31-40]")</f>
        <v>Early Career[6-10]</v>
      </c>
      <c r="AI136" s="1">
        <v>3</v>
      </c>
      <c r="AJ136" s="1">
        <v>3</v>
      </c>
      <c r="AK136" s="1">
        <v>8</v>
      </c>
      <c r="AL136" s="9" t="str" cm="1">
        <f t="array" ref="AL136">_xlfn.IFS(AK136 &lt;= 5, "New[1-5]", AK136 &lt;= 10, "Early Career[6-10]", AK136 &lt;= 20, "Established[11-20]", AK136 &lt;= 30, "Veteran[21-30]", AK136 &lt;= 40, "Late Career[31-40]")</f>
        <v>Early Career[6-10]</v>
      </c>
      <c r="AM136" s="1">
        <v>7</v>
      </c>
      <c r="AN136" s="9" t="str" cm="1">
        <f t="array" ref="AN136">_xlfn.IFS(AM136 &lt;= 3, "New to Role[1-3]", AM136 &lt;= 7, "Settled[4-7]", AM136 &lt;= 12, "Experienced[[8-12]", AM136 &lt;= 18, "Long Tenured[13-18]")</f>
        <v>Settled[4-7]</v>
      </c>
      <c r="AO136" s="1">
        <v>5</v>
      </c>
      <c r="AP136" s="9" t="str" cm="1">
        <f t="array" ref="AP136">_xlfn.IFS(AO136 &lt;= 3, "Recently[1-3]", AO136 &lt;= 6, "Due Soon[4-6]", AO136 &lt;= 10, "Overdue[7-10]", AO136 &lt;= 15, "Long Overdue[11-15]")</f>
        <v>Due Soon[4-6]</v>
      </c>
      <c r="AQ136" s="9" t="str" cm="1">
        <f t="array" ref="AQ136">_xlfn.IFS(AR136 &lt;= 3, "New Relationship[1-3]", AR136 &lt;= 7, "Established Relationship[4-7]", AR136 &lt;= 12, "Long Term Relationship[8-12]", AR136 &lt;= 17, "Very Long Term Relationship[13-17]")</f>
        <v>Established Relationship[4-7]</v>
      </c>
      <c r="AR136" s="1">
        <v>7</v>
      </c>
    </row>
    <row r="137" spans="1:44" x14ac:dyDescent="0.25">
      <c r="A137" s="1">
        <v>36</v>
      </c>
      <c r="B137" s="8" t="str" cm="1">
        <f t="array" ref="B137">_xlfn.IFS(A137 &lt;= 25, "[18-25]", A137 &lt;= 35, "[26-35]", A137 &lt;=45, "[36-45]", A137 &lt;= 60, "[46- 60]")</f>
        <v>[36-45]</v>
      </c>
      <c r="C137" s="3" t="s">
        <v>43</v>
      </c>
      <c r="D137">
        <f t="shared" si="2"/>
        <v>0</v>
      </c>
      <c r="E137" t="s">
        <v>36</v>
      </c>
      <c r="F137" s="1">
        <v>216</v>
      </c>
      <c r="G137" s="3" t="s">
        <v>45</v>
      </c>
      <c r="H137" s="1">
        <v>6</v>
      </c>
      <c r="I137" s="9" t="str" cm="1">
        <f t="array" ref="I137">_xlfn.IFS(H137 &lt;= 2, "[1-2] very close", H137 &lt;= 10, "[3-10] close", H137 &lt;= 20, "[11-20] moderate", H137 &lt;= 30, "[21-30] far")</f>
        <v>[3-10] close</v>
      </c>
      <c r="J137" s="1">
        <v>2</v>
      </c>
      <c r="K137" s="3" t="s">
        <v>51</v>
      </c>
      <c r="L137" s="1">
        <v>1</v>
      </c>
      <c r="M137" s="1">
        <v>178</v>
      </c>
      <c r="N137" s="1">
        <v>2</v>
      </c>
      <c r="O137" s="3" t="s">
        <v>46</v>
      </c>
      <c r="P137" s="1">
        <v>84</v>
      </c>
      <c r="Q137" s="1">
        <v>3</v>
      </c>
      <c r="R137" s="1">
        <v>2</v>
      </c>
      <c r="S137" s="3" t="s">
        <v>53</v>
      </c>
      <c r="T137" s="1">
        <v>2</v>
      </c>
      <c r="U137" s="3" t="s">
        <v>52</v>
      </c>
      <c r="V137" s="4">
        <v>4941</v>
      </c>
      <c r="W137" s="1">
        <v>2819</v>
      </c>
      <c r="X137" s="1">
        <v>6</v>
      </c>
      <c r="Y137" s="3" t="s">
        <v>42</v>
      </c>
      <c r="Z137" s="3" t="s">
        <v>43</v>
      </c>
      <c r="AA137" s="5">
        <v>0.2</v>
      </c>
      <c r="AB137" s="10" t="str" cm="1">
        <f t="array" ref="AB137">_xlfn.IFS(AA137 &lt;= 15%, "Low Hike[11-15%]", AA137 &lt;= 20%, "Moderate Hike[16-20%]", AA137 &lt;= 25%,"High Hike[21-25%]")</f>
        <v>Moderate Hike[16-20%]</v>
      </c>
      <c r="AC137" s="1">
        <v>4</v>
      </c>
      <c r="AD137" s="1">
        <v>4</v>
      </c>
      <c r="AE137" s="1">
        <v>80</v>
      </c>
      <c r="AF137" s="1">
        <v>2</v>
      </c>
      <c r="AG137" s="1">
        <v>7</v>
      </c>
      <c r="AH137" s="9" t="str" cm="1">
        <f t="array" ref="AH137">_xlfn.IFS(AG137 &lt;= 5, "New[1-5]", AG137 &lt;= 10, "Early Career[6-10]", AG137 &lt;= 20, "Established[11-20]", AG137 &lt;= 30, "Veteran[21-30]", AG137 &lt;= 40, "Late Career[31-40]")</f>
        <v>Early Career[6-10]</v>
      </c>
      <c r="AI137" s="1">
        <v>0</v>
      </c>
      <c r="AJ137" s="1">
        <v>3</v>
      </c>
      <c r="AK137" s="1">
        <v>3</v>
      </c>
      <c r="AL137" s="9" t="str" cm="1">
        <f t="array" ref="AL137">_xlfn.IFS(AK137 &lt;= 5, "New[1-5]", AK137 &lt;= 10, "Early Career[6-10]", AK137 &lt;= 20, "Established[11-20]", AK137 &lt;= 30, "Veteran[21-30]", AK137 &lt;= 40, "Late Career[31-40]")</f>
        <v>New[1-5]</v>
      </c>
      <c r="AM137" s="1">
        <v>2</v>
      </c>
      <c r="AN137" s="9" t="str" cm="1">
        <f t="array" ref="AN137">_xlfn.IFS(AM137 &lt;= 3, "New to Role[1-3]", AM137 &lt;= 7, "Settled[4-7]", AM137 &lt;= 12, "Experienced[[8-12]", AM137 &lt;= 18, "Long Tenured[13-18]")</f>
        <v>New to Role[1-3]</v>
      </c>
      <c r="AO137" s="1">
        <v>0</v>
      </c>
      <c r="AP137" s="9" t="str" cm="1">
        <f t="array" ref="AP137">_xlfn.IFS(AO137 &lt;= 3, "Recently[1-3]", AO137 &lt;= 6, "Due Soon[4-6]", AO137 &lt;= 10, "Overdue[7-10]", AO137 &lt;= 15, "Long Overdue[11-15]")</f>
        <v>Recently[1-3]</v>
      </c>
      <c r="AQ137" s="9" t="str" cm="1">
        <f t="array" ref="AQ137">_xlfn.IFS(AR137 &lt;= 3, "New Relationship[1-3]", AR137 &lt;= 7, "Established Relationship[4-7]", AR137 &lt;= 12, "Long Term Relationship[8-12]", AR137 &lt;= 17, "Very Long Term Relationship[13-17]")</f>
        <v>New Relationship[1-3]</v>
      </c>
      <c r="AR137" s="1">
        <v>1</v>
      </c>
    </row>
    <row r="138" spans="1:44" x14ac:dyDescent="0.25">
      <c r="A138" s="1">
        <v>51</v>
      </c>
      <c r="B138" s="8" t="str" cm="1">
        <f t="array" ref="B138">_xlfn.IFS(A138 &lt;= 25, "[18-25]", A138 &lt;= 35, "[26-35]", A138 &lt;=45, "[36-45]", A138 &lt;= 60, "[46- 60]")</f>
        <v>[46- 60]</v>
      </c>
      <c r="C138" s="3" t="s">
        <v>35</v>
      </c>
      <c r="D138">
        <f t="shared" si="2"/>
        <v>1</v>
      </c>
      <c r="E138" t="s">
        <v>44</v>
      </c>
      <c r="F138" s="1">
        <v>1150</v>
      </c>
      <c r="G138" s="3" t="s">
        <v>45</v>
      </c>
      <c r="H138" s="1">
        <v>8</v>
      </c>
      <c r="I138" s="9" t="str" cm="1">
        <f t="array" ref="I138">_xlfn.IFS(H138 &lt;= 2, "[1-2] very close", H138 &lt;= 10, "[3-10] close", H138 &lt;= 20, "[11-20] moderate", H138 &lt;= 30, "[21-30] far")</f>
        <v>[3-10] close</v>
      </c>
      <c r="J138" s="1">
        <v>4</v>
      </c>
      <c r="K138" s="3" t="s">
        <v>38</v>
      </c>
      <c r="L138" s="1">
        <v>1</v>
      </c>
      <c r="M138" s="1">
        <v>179</v>
      </c>
      <c r="N138" s="1">
        <v>1</v>
      </c>
      <c r="O138" s="3" t="s">
        <v>46</v>
      </c>
      <c r="P138" s="1">
        <v>53</v>
      </c>
      <c r="Q138" s="1">
        <v>1</v>
      </c>
      <c r="R138" s="1">
        <v>3</v>
      </c>
      <c r="S138" s="3" t="s">
        <v>53</v>
      </c>
      <c r="T138" s="1">
        <v>4</v>
      </c>
      <c r="U138" s="3" t="s">
        <v>41</v>
      </c>
      <c r="V138" s="4">
        <v>10650</v>
      </c>
      <c r="W138" s="1">
        <v>25150</v>
      </c>
      <c r="X138" s="1">
        <v>2</v>
      </c>
      <c r="Y138" s="3" t="s">
        <v>42</v>
      </c>
      <c r="Z138" s="3" t="s">
        <v>43</v>
      </c>
      <c r="AA138" s="5">
        <v>0.15</v>
      </c>
      <c r="AB138" s="10" t="str" cm="1">
        <f t="array" ref="AB138">_xlfn.IFS(AA138 &lt;= 15%, "Low Hike[11-15%]", AA138 &lt;= 20%, "Moderate Hike[16-20%]", AA138 &lt;= 25%,"High Hike[21-25%]")</f>
        <v>Low Hike[11-15%]</v>
      </c>
      <c r="AC138" s="1">
        <v>3</v>
      </c>
      <c r="AD138" s="1">
        <v>4</v>
      </c>
      <c r="AE138" s="1">
        <v>80</v>
      </c>
      <c r="AF138" s="1">
        <v>0</v>
      </c>
      <c r="AG138" s="1">
        <v>18</v>
      </c>
      <c r="AH138" s="9" t="str" cm="1">
        <f t="array" ref="AH138">_xlfn.IFS(AG138 &lt;= 5, "New[1-5]", AG138 &lt;= 10, "Early Career[6-10]", AG138 &lt;= 20, "Established[11-20]", AG138 &lt;= 30, "Veteran[21-30]", AG138 &lt;= 40, "Late Career[31-40]")</f>
        <v>Established[11-20]</v>
      </c>
      <c r="AI138" s="1">
        <v>2</v>
      </c>
      <c r="AJ138" s="1">
        <v>3</v>
      </c>
      <c r="AK138" s="1">
        <v>4</v>
      </c>
      <c r="AL138" s="9" t="str" cm="1">
        <f t="array" ref="AL138">_xlfn.IFS(AK138 &lt;= 5, "New[1-5]", AK138 &lt;= 10, "Early Career[6-10]", AK138 &lt;= 20, "Established[11-20]", AK138 &lt;= 30, "Veteran[21-30]", AK138 &lt;= 40, "Late Career[31-40]")</f>
        <v>New[1-5]</v>
      </c>
      <c r="AM138" s="1">
        <v>2</v>
      </c>
      <c r="AN138" s="9" t="str" cm="1">
        <f t="array" ref="AN138">_xlfn.IFS(AM138 &lt;= 3, "New to Role[1-3]", AM138 &lt;= 7, "Settled[4-7]", AM138 &lt;= 12, "Experienced[[8-12]", AM138 &lt;= 18, "Long Tenured[13-18]")</f>
        <v>New to Role[1-3]</v>
      </c>
      <c r="AO138" s="1">
        <v>0</v>
      </c>
      <c r="AP138" s="9" t="str" cm="1">
        <f t="array" ref="AP138">_xlfn.IFS(AO138 &lt;= 3, "Recently[1-3]", AO138 &lt;= 6, "Due Soon[4-6]", AO138 &lt;= 10, "Overdue[7-10]", AO138 &lt;= 15, "Long Overdue[11-15]")</f>
        <v>Recently[1-3]</v>
      </c>
      <c r="AQ138" s="9" t="str" cm="1">
        <f t="array" ref="AQ138">_xlfn.IFS(AR138 &lt;= 3, "New Relationship[1-3]", AR138 &lt;= 7, "Established Relationship[4-7]", AR138 &lt;= 12, "Long Term Relationship[8-12]", AR138 &lt;= 17, "Very Long Term Relationship[13-17]")</f>
        <v>New Relationship[1-3]</v>
      </c>
      <c r="AR138" s="1">
        <v>3</v>
      </c>
    </row>
    <row r="139" spans="1:44" x14ac:dyDescent="0.25">
      <c r="A139" s="1">
        <v>39</v>
      </c>
      <c r="B139" s="8" t="str" cm="1">
        <f t="array" ref="B139">_xlfn.IFS(A139 &lt;= 25, "[18-25]", A139 &lt;= 35, "[26-35]", A139 &lt;=45, "[36-45]", A139 &lt;= 60, "[46- 60]")</f>
        <v>[36-45]</v>
      </c>
      <c r="C139" s="3" t="s">
        <v>43</v>
      </c>
      <c r="D139">
        <f t="shared" si="2"/>
        <v>0</v>
      </c>
      <c r="E139" t="s">
        <v>36</v>
      </c>
      <c r="F139" s="1">
        <v>1329</v>
      </c>
      <c r="G139" s="3" t="s">
        <v>37</v>
      </c>
      <c r="H139" s="1">
        <v>4</v>
      </c>
      <c r="I139" s="9" t="str" cm="1">
        <f t="array" ref="I139">_xlfn.IFS(H139 &lt;= 2, "[1-2] very close", H139 &lt;= 10, "[3-10] close", H139 &lt;= 20, "[11-20] moderate", H139 &lt;= 30, "[21-30] far")</f>
        <v>[3-10] close</v>
      </c>
      <c r="J139" s="1">
        <v>4</v>
      </c>
      <c r="K139" s="3" t="s">
        <v>38</v>
      </c>
      <c r="L139" s="1">
        <v>1</v>
      </c>
      <c r="M139" s="1">
        <v>182</v>
      </c>
      <c r="N139" s="1">
        <v>4</v>
      </c>
      <c r="O139" s="3" t="s">
        <v>39</v>
      </c>
      <c r="P139" s="1">
        <v>47</v>
      </c>
      <c r="Q139" s="1">
        <v>2</v>
      </c>
      <c r="R139" s="1">
        <v>2</v>
      </c>
      <c r="S139" s="3" t="s">
        <v>40</v>
      </c>
      <c r="T139" s="1">
        <v>3</v>
      </c>
      <c r="U139" s="3" t="s">
        <v>48</v>
      </c>
      <c r="V139" s="4">
        <v>5902</v>
      </c>
      <c r="W139" s="1">
        <v>14590</v>
      </c>
      <c r="X139" s="1">
        <v>4</v>
      </c>
      <c r="Y139" s="3" t="s">
        <v>42</v>
      </c>
      <c r="Z139" s="3" t="s">
        <v>43</v>
      </c>
      <c r="AA139" s="5">
        <v>0.14000000000000001</v>
      </c>
      <c r="AB139" s="10" t="str" cm="1">
        <f t="array" ref="AB139">_xlfn.IFS(AA139 &lt;= 15%, "Low Hike[11-15%]", AA139 &lt;= 20%, "Moderate Hike[16-20%]", AA139 &lt;= 25%,"High Hike[21-25%]")</f>
        <v>Low Hike[11-15%]</v>
      </c>
      <c r="AC139" s="1">
        <v>3</v>
      </c>
      <c r="AD139" s="1">
        <v>3</v>
      </c>
      <c r="AE139" s="1">
        <v>80</v>
      </c>
      <c r="AF139" s="1">
        <v>1</v>
      </c>
      <c r="AG139" s="1">
        <v>17</v>
      </c>
      <c r="AH139" s="9" t="str" cm="1">
        <f t="array" ref="AH139">_xlfn.IFS(AG139 &lt;= 5, "New[1-5]", AG139 &lt;= 10, "Early Career[6-10]", AG139 &lt;= 20, "Established[11-20]", AG139 &lt;= 30, "Veteran[21-30]", AG139 &lt;= 40, "Late Career[31-40]")</f>
        <v>Established[11-20]</v>
      </c>
      <c r="AI139" s="1">
        <v>1</v>
      </c>
      <c r="AJ139" s="1">
        <v>4</v>
      </c>
      <c r="AK139" s="1">
        <v>15</v>
      </c>
      <c r="AL139" s="9" t="str" cm="1">
        <f t="array" ref="AL139">_xlfn.IFS(AK139 &lt;= 5, "New[1-5]", AK139 &lt;= 10, "Early Career[6-10]", AK139 &lt;= 20, "Established[11-20]", AK139 &lt;= 30, "Veteran[21-30]", AK139 &lt;= 40, "Late Career[31-40]")</f>
        <v>Established[11-20]</v>
      </c>
      <c r="AM139" s="1">
        <v>11</v>
      </c>
      <c r="AN139" s="9" t="str" cm="1">
        <f t="array" ref="AN139">_xlfn.IFS(AM139 &lt;= 3, "New to Role[1-3]", AM139 &lt;= 7, "Settled[4-7]", AM139 &lt;= 12, "Experienced[[8-12]", AM139 &lt;= 18, "Long Tenured[13-18]")</f>
        <v>Experienced[[8-12]</v>
      </c>
      <c r="AO139" s="1">
        <v>5</v>
      </c>
      <c r="AP139" s="9" t="str" cm="1">
        <f t="array" ref="AP139">_xlfn.IFS(AO139 &lt;= 3, "Recently[1-3]", AO139 &lt;= 6, "Due Soon[4-6]", AO139 &lt;= 10, "Overdue[7-10]", AO139 &lt;= 15, "Long Overdue[11-15]")</f>
        <v>Due Soon[4-6]</v>
      </c>
      <c r="AQ139" s="9" t="str" cm="1">
        <f t="array" ref="AQ139">_xlfn.IFS(AR139 &lt;= 3, "New Relationship[1-3]", AR139 &lt;= 7, "Established Relationship[4-7]", AR139 &lt;= 12, "Long Term Relationship[8-12]", AR139 &lt;= 17, "Very Long Term Relationship[13-17]")</f>
        <v>Long Term Relationship[8-12]</v>
      </c>
      <c r="AR139" s="1">
        <v>9</v>
      </c>
    </row>
    <row r="140" spans="1:44" x14ac:dyDescent="0.25">
      <c r="A140" s="1">
        <v>25</v>
      </c>
      <c r="B140" s="8" t="str" cm="1">
        <f t="array" ref="B140">_xlfn.IFS(A140 &lt;= 25, "[18-25]", A140 &lt;= 35, "[26-35]", A140 &lt;=45, "[36-45]", A140 &lt;= 60, "[46- 60]")</f>
        <v>[18-25]</v>
      </c>
      <c r="C140" s="3" t="s">
        <v>43</v>
      </c>
      <c r="D140">
        <f t="shared" si="2"/>
        <v>0</v>
      </c>
      <c r="E140" t="s">
        <v>36</v>
      </c>
      <c r="F140" s="1">
        <v>959</v>
      </c>
      <c r="G140" s="3" t="s">
        <v>37</v>
      </c>
      <c r="H140" s="1">
        <v>28</v>
      </c>
      <c r="I140" s="9" t="str" cm="1">
        <f t="array" ref="I140">_xlfn.IFS(H140 &lt;= 2, "[1-2] very close", H140 &lt;= 10, "[3-10] close", H140 &lt;= 20, "[11-20] moderate", H140 &lt;= 30, "[21-30] far")</f>
        <v>[21-30] far</v>
      </c>
      <c r="J140" s="1">
        <v>3</v>
      </c>
      <c r="K140" s="3" t="s">
        <v>38</v>
      </c>
      <c r="L140" s="1">
        <v>1</v>
      </c>
      <c r="M140" s="1">
        <v>183</v>
      </c>
      <c r="N140" s="1">
        <v>1</v>
      </c>
      <c r="O140" s="3" t="s">
        <v>46</v>
      </c>
      <c r="P140" s="1">
        <v>41</v>
      </c>
      <c r="Q140" s="1">
        <v>2</v>
      </c>
      <c r="R140" s="1">
        <v>2</v>
      </c>
      <c r="S140" s="3" t="s">
        <v>40</v>
      </c>
      <c r="T140" s="1">
        <v>3</v>
      </c>
      <c r="U140" s="3" t="s">
        <v>48</v>
      </c>
      <c r="V140" s="4">
        <v>8639</v>
      </c>
      <c r="W140" s="1">
        <v>24835</v>
      </c>
      <c r="X140" s="1">
        <v>2</v>
      </c>
      <c r="Y140" s="3" t="s">
        <v>42</v>
      </c>
      <c r="Z140" s="3" t="s">
        <v>43</v>
      </c>
      <c r="AA140" s="5">
        <v>0.18</v>
      </c>
      <c r="AB140" s="10" t="str" cm="1">
        <f t="array" ref="AB140">_xlfn.IFS(AA140 &lt;= 15%, "Low Hike[11-15%]", AA140 &lt;= 20%, "Moderate Hike[16-20%]", AA140 &lt;= 25%,"High Hike[21-25%]")</f>
        <v>Moderate Hike[16-20%]</v>
      </c>
      <c r="AC140" s="1">
        <v>3</v>
      </c>
      <c r="AD140" s="1">
        <v>4</v>
      </c>
      <c r="AE140" s="1">
        <v>80</v>
      </c>
      <c r="AF140" s="1">
        <v>0</v>
      </c>
      <c r="AG140" s="1">
        <v>6</v>
      </c>
      <c r="AH140" s="9" t="str" cm="1">
        <f t="array" ref="AH140">_xlfn.IFS(AG140 &lt;= 5, "New[1-5]", AG140 &lt;= 10, "Early Career[6-10]", AG140 &lt;= 20, "Established[11-20]", AG140 &lt;= 30, "Veteran[21-30]", AG140 &lt;= 40, "Late Career[31-40]")</f>
        <v>Early Career[6-10]</v>
      </c>
      <c r="AI140" s="1">
        <v>3</v>
      </c>
      <c r="AJ140" s="1">
        <v>3</v>
      </c>
      <c r="AK140" s="1">
        <v>2</v>
      </c>
      <c r="AL140" s="9" t="str" cm="1">
        <f t="array" ref="AL140">_xlfn.IFS(AK140 &lt;= 5, "New[1-5]", AK140 &lt;= 10, "Early Career[6-10]", AK140 &lt;= 20, "Established[11-20]", AK140 &lt;= 30, "Veteran[21-30]", AK140 &lt;= 40, "Late Career[31-40]")</f>
        <v>New[1-5]</v>
      </c>
      <c r="AM140" s="1">
        <v>2</v>
      </c>
      <c r="AN140" s="9" t="str" cm="1">
        <f t="array" ref="AN140">_xlfn.IFS(AM140 &lt;= 3, "New to Role[1-3]", AM140 &lt;= 7, "Settled[4-7]", AM140 &lt;= 12, "Experienced[[8-12]", AM140 &lt;= 18, "Long Tenured[13-18]")</f>
        <v>New to Role[1-3]</v>
      </c>
      <c r="AO140" s="1">
        <v>2</v>
      </c>
      <c r="AP140" s="9" t="str" cm="1">
        <f t="array" ref="AP140">_xlfn.IFS(AO140 &lt;= 3, "Recently[1-3]", AO140 &lt;= 6, "Due Soon[4-6]", AO140 &lt;= 10, "Overdue[7-10]", AO140 &lt;= 15, "Long Overdue[11-15]")</f>
        <v>Recently[1-3]</v>
      </c>
      <c r="AQ140" s="9" t="str" cm="1">
        <f t="array" ref="AQ140">_xlfn.IFS(AR140 &lt;= 3, "New Relationship[1-3]", AR140 &lt;= 7, "Established Relationship[4-7]", AR140 &lt;= 12, "Long Term Relationship[8-12]", AR140 &lt;= 17, "Very Long Term Relationship[13-17]")</f>
        <v>New Relationship[1-3]</v>
      </c>
      <c r="AR140" s="1">
        <v>2</v>
      </c>
    </row>
    <row r="141" spans="1:44" x14ac:dyDescent="0.25">
      <c r="A141" s="1">
        <v>30</v>
      </c>
      <c r="B141" s="8" t="str" cm="1">
        <f t="array" ref="B141">_xlfn.IFS(A141 &lt;= 25, "[18-25]", A141 &lt;= 35, "[26-35]", A141 &lt;=45, "[36-45]", A141 &lt;= 60, "[46- 60]")</f>
        <v>[26-35]</v>
      </c>
      <c r="C141" s="3" t="s">
        <v>43</v>
      </c>
      <c r="D141">
        <f t="shared" si="2"/>
        <v>0</v>
      </c>
      <c r="E141" t="s">
        <v>36</v>
      </c>
      <c r="F141" s="1">
        <v>1240</v>
      </c>
      <c r="G141" s="3" t="s">
        <v>61</v>
      </c>
      <c r="H141" s="1">
        <v>9</v>
      </c>
      <c r="I141" s="9" t="str" cm="1">
        <f t="array" ref="I141">_xlfn.IFS(H141 &lt;= 2, "[1-2] very close", H141 &lt;= 10, "[3-10] close", H141 &lt;= 20, "[11-20] moderate", H141 &lt;= 30, "[21-30] far")</f>
        <v>[3-10] close</v>
      </c>
      <c r="J141" s="1">
        <v>3</v>
      </c>
      <c r="K141" s="3" t="s">
        <v>61</v>
      </c>
      <c r="L141" s="1">
        <v>1</v>
      </c>
      <c r="M141" s="1">
        <v>184</v>
      </c>
      <c r="N141" s="1">
        <v>3</v>
      </c>
      <c r="O141" s="3" t="s">
        <v>46</v>
      </c>
      <c r="P141" s="1">
        <v>48</v>
      </c>
      <c r="Q141" s="1">
        <v>3</v>
      </c>
      <c r="R141" s="1">
        <v>2</v>
      </c>
      <c r="S141" s="3" t="s">
        <v>61</v>
      </c>
      <c r="T141" s="1">
        <v>4</v>
      </c>
      <c r="U141" s="3" t="s">
        <v>48</v>
      </c>
      <c r="V141" s="4">
        <v>6347</v>
      </c>
      <c r="W141" s="1">
        <v>13982</v>
      </c>
      <c r="X141" s="1">
        <v>0</v>
      </c>
      <c r="Y141" s="3" t="s">
        <v>42</v>
      </c>
      <c r="Z141" s="3" t="s">
        <v>35</v>
      </c>
      <c r="AA141" s="5">
        <v>0.19</v>
      </c>
      <c r="AB141" s="10" t="str" cm="1">
        <f t="array" ref="AB141">_xlfn.IFS(AA141 &lt;= 15%, "Low Hike[11-15%]", AA141 &lt;= 20%, "Moderate Hike[16-20%]", AA141 &lt;= 25%,"High Hike[21-25%]")</f>
        <v>Moderate Hike[16-20%]</v>
      </c>
      <c r="AC141" s="1">
        <v>3</v>
      </c>
      <c r="AD141" s="1">
        <v>4</v>
      </c>
      <c r="AE141" s="1">
        <v>80</v>
      </c>
      <c r="AF141" s="1">
        <v>0</v>
      </c>
      <c r="AG141" s="1">
        <v>12</v>
      </c>
      <c r="AH141" s="9" t="str" cm="1">
        <f t="array" ref="AH141">_xlfn.IFS(AG141 &lt;= 5, "New[1-5]", AG141 &lt;= 10, "Early Career[6-10]", AG141 &lt;= 20, "Established[11-20]", AG141 &lt;= 30, "Veteran[21-30]", AG141 &lt;= 40, "Late Career[31-40]")</f>
        <v>Established[11-20]</v>
      </c>
      <c r="AI141" s="1">
        <v>2</v>
      </c>
      <c r="AJ141" s="1">
        <v>1</v>
      </c>
      <c r="AK141" s="1">
        <v>11</v>
      </c>
      <c r="AL141" s="9" t="str" cm="1">
        <f t="array" ref="AL141">_xlfn.IFS(AK141 &lt;= 5, "New[1-5]", AK141 &lt;= 10, "Early Career[6-10]", AK141 &lt;= 20, "Established[11-20]", AK141 &lt;= 30, "Veteran[21-30]", AK141 &lt;= 40, "Late Career[31-40]")</f>
        <v>Established[11-20]</v>
      </c>
      <c r="AM141" s="1">
        <v>9</v>
      </c>
      <c r="AN141" s="9" t="str" cm="1">
        <f t="array" ref="AN141">_xlfn.IFS(AM141 &lt;= 3, "New to Role[1-3]", AM141 &lt;= 7, "Settled[4-7]", AM141 &lt;= 12, "Experienced[[8-12]", AM141 &lt;= 18, "Long Tenured[13-18]")</f>
        <v>Experienced[[8-12]</v>
      </c>
      <c r="AO141" s="1">
        <v>4</v>
      </c>
      <c r="AP141" s="9" t="str" cm="1">
        <f t="array" ref="AP141">_xlfn.IFS(AO141 &lt;= 3, "Recently[1-3]", AO141 &lt;= 6, "Due Soon[4-6]", AO141 &lt;= 10, "Overdue[7-10]", AO141 &lt;= 15, "Long Overdue[11-15]")</f>
        <v>Due Soon[4-6]</v>
      </c>
      <c r="AQ141" s="9" t="str" cm="1">
        <f t="array" ref="AQ141">_xlfn.IFS(AR141 &lt;= 3, "New Relationship[1-3]", AR141 &lt;= 7, "Established Relationship[4-7]", AR141 &lt;= 12, "Long Term Relationship[8-12]", AR141 &lt;= 17, "Very Long Term Relationship[13-17]")</f>
        <v>Established Relationship[4-7]</v>
      </c>
      <c r="AR141" s="1">
        <v>7</v>
      </c>
    </row>
    <row r="142" spans="1:44" x14ac:dyDescent="0.25">
      <c r="A142" s="1">
        <v>32</v>
      </c>
      <c r="B142" s="8" t="str" cm="1">
        <f t="array" ref="B142">_xlfn.IFS(A142 &lt;= 25, "[18-25]", A142 &lt;= 35, "[26-35]", A142 &lt;=45, "[36-45]", A142 &lt;= 60, "[46- 60]")</f>
        <v>[26-35]</v>
      </c>
      <c r="C142" s="3" t="s">
        <v>35</v>
      </c>
      <c r="D142">
        <f t="shared" si="2"/>
        <v>1</v>
      </c>
      <c r="E142" t="s">
        <v>36</v>
      </c>
      <c r="F142" s="1">
        <v>1033</v>
      </c>
      <c r="G142" s="3" t="s">
        <v>45</v>
      </c>
      <c r="H142" s="1">
        <v>9</v>
      </c>
      <c r="I142" s="9" t="str" cm="1">
        <f t="array" ref="I142">_xlfn.IFS(H142 &lt;= 2, "[1-2] very close", H142 &lt;= 10, "[3-10] close", H142 &lt;= 20, "[11-20] moderate", H142 &lt;= 30, "[21-30] far")</f>
        <v>[3-10] close</v>
      </c>
      <c r="J142" s="1">
        <v>3</v>
      </c>
      <c r="K142" s="3" t="s">
        <v>51</v>
      </c>
      <c r="L142" s="1">
        <v>1</v>
      </c>
      <c r="M142" s="1">
        <v>190</v>
      </c>
      <c r="N142" s="1">
        <v>1</v>
      </c>
      <c r="O142" s="3" t="s">
        <v>39</v>
      </c>
      <c r="P142" s="1">
        <v>41</v>
      </c>
      <c r="Q142" s="1">
        <v>3</v>
      </c>
      <c r="R142" s="1">
        <v>1</v>
      </c>
      <c r="S142" s="3" t="s">
        <v>50</v>
      </c>
      <c r="T142" s="1">
        <v>1</v>
      </c>
      <c r="U142" s="3" t="s">
        <v>41</v>
      </c>
      <c r="V142" s="4">
        <v>4200</v>
      </c>
      <c r="W142" s="1">
        <v>10224</v>
      </c>
      <c r="X142" s="1">
        <v>7</v>
      </c>
      <c r="Y142" s="3" t="s">
        <v>42</v>
      </c>
      <c r="Z142" s="3" t="s">
        <v>43</v>
      </c>
      <c r="AA142" s="5">
        <v>0.22</v>
      </c>
      <c r="AB142" s="10" t="str" cm="1">
        <f t="array" ref="AB142">_xlfn.IFS(AA142 &lt;= 15%, "Low Hike[11-15%]", AA142 &lt;= 20%, "Moderate Hike[16-20%]", AA142 &lt;= 25%,"High Hike[21-25%]")</f>
        <v>High Hike[21-25%]</v>
      </c>
      <c r="AC142" s="1">
        <v>4</v>
      </c>
      <c r="AD142" s="1">
        <v>1</v>
      </c>
      <c r="AE142" s="1">
        <v>80</v>
      </c>
      <c r="AF142" s="1">
        <v>0</v>
      </c>
      <c r="AG142" s="1">
        <v>10</v>
      </c>
      <c r="AH142" s="9" t="str" cm="1">
        <f t="array" ref="AH142">_xlfn.IFS(AG142 &lt;= 5, "New[1-5]", AG142 &lt;= 10, "Early Career[6-10]", AG142 &lt;= 20, "Established[11-20]", AG142 &lt;= 30, "Veteran[21-30]", AG142 &lt;= 40, "Late Career[31-40]")</f>
        <v>Early Career[6-10]</v>
      </c>
      <c r="AI142" s="1">
        <v>2</v>
      </c>
      <c r="AJ142" s="1">
        <v>4</v>
      </c>
      <c r="AK142" s="1">
        <v>5</v>
      </c>
      <c r="AL142" s="9" t="str" cm="1">
        <f t="array" ref="AL142">_xlfn.IFS(AK142 &lt;= 5, "New[1-5]", AK142 &lt;= 10, "Early Career[6-10]", AK142 &lt;= 20, "Established[11-20]", AK142 &lt;= 30, "Veteran[21-30]", AK142 &lt;= 40, "Late Career[31-40]")</f>
        <v>New[1-5]</v>
      </c>
      <c r="AM142" s="1">
        <v>4</v>
      </c>
      <c r="AN142" s="9" t="str" cm="1">
        <f t="array" ref="AN142">_xlfn.IFS(AM142 &lt;= 3, "New to Role[1-3]", AM142 &lt;= 7, "Settled[4-7]", AM142 &lt;= 12, "Experienced[[8-12]", AM142 &lt;= 18, "Long Tenured[13-18]")</f>
        <v>Settled[4-7]</v>
      </c>
      <c r="AO142" s="1">
        <v>0</v>
      </c>
      <c r="AP142" s="9" t="str" cm="1">
        <f t="array" ref="AP142">_xlfn.IFS(AO142 &lt;= 3, "Recently[1-3]", AO142 &lt;= 6, "Due Soon[4-6]", AO142 &lt;= 10, "Overdue[7-10]", AO142 &lt;= 15, "Long Overdue[11-15]")</f>
        <v>Recently[1-3]</v>
      </c>
      <c r="AQ142" s="9" t="str" cm="1">
        <f t="array" ref="AQ142">_xlfn.IFS(AR142 &lt;= 3, "New Relationship[1-3]", AR142 &lt;= 7, "Established Relationship[4-7]", AR142 &lt;= 12, "Long Term Relationship[8-12]", AR142 &lt;= 17, "Very Long Term Relationship[13-17]")</f>
        <v>Established Relationship[4-7]</v>
      </c>
      <c r="AR142" s="1">
        <v>4</v>
      </c>
    </row>
    <row r="143" spans="1:44" x14ac:dyDescent="0.25">
      <c r="A143" s="1">
        <v>45</v>
      </c>
      <c r="B143" s="8" t="str" cm="1">
        <f t="array" ref="B143">_xlfn.IFS(A143 &lt;= 25, "[18-25]", A143 &lt;= 35, "[26-35]", A143 &lt;=45, "[36-45]", A143 &lt;= 60, "[46- 60]")</f>
        <v>[36-45]</v>
      </c>
      <c r="C143" s="3" t="s">
        <v>43</v>
      </c>
      <c r="D143">
        <f t="shared" si="2"/>
        <v>0</v>
      </c>
      <c r="E143" t="s">
        <v>36</v>
      </c>
      <c r="F143" s="1">
        <v>1316</v>
      </c>
      <c r="G143" s="3" t="s">
        <v>45</v>
      </c>
      <c r="H143" s="1">
        <v>29</v>
      </c>
      <c r="I143" s="9" t="str" cm="1">
        <f t="array" ref="I143">_xlfn.IFS(H143 &lt;= 2, "[1-2] very close", H143 &lt;= 10, "[3-10] close", H143 &lt;= 20, "[11-20] moderate", H143 &lt;= 30, "[21-30] far")</f>
        <v>[21-30] far</v>
      </c>
      <c r="J143" s="1">
        <v>3</v>
      </c>
      <c r="K143" s="3" t="s">
        <v>51</v>
      </c>
      <c r="L143" s="1">
        <v>1</v>
      </c>
      <c r="M143" s="1">
        <v>192</v>
      </c>
      <c r="N143" s="1">
        <v>3</v>
      </c>
      <c r="O143" s="3" t="s">
        <v>46</v>
      </c>
      <c r="P143" s="1">
        <v>83</v>
      </c>
      <c r="Q143" s="1">
        <v>3</v>
      </c>
      <c r="R143" s="1">
        <v>1</v>
      </c>
      <c r="S143" s="3" t="s">
        <v>47</v>
      </c>
      <c r="T143" s="1">
        <v>4</v>
      </c>
      <c r="U143" s="3" t="s">
        <v>41</v>
      </c>
      <c r="V143" s="4">
        <v>3452</v>
      </c>
      <c r="W143" s="1">
        <v>9752</v>
      </c>
      <c r="X143" s="1">
        <v>5</v>
      </c>
      <c r="Y143" s="3" t="s">
        <v>42</v>
      </c>
      <c r="Z143" s="3" t="s">
        <v>43</v>
      </c>
      <c r="AA143" s="5">
        <v>0.13</v>
      </c>
      <c r="AB143" s="10" t="str" cm="1">
        <f t="array" ref="AB143">_xlfn.IFS(AA143 &lt;= 15%, "Low Hike[11-15%]", AA143 &lt;= 20%, "Moderate Hike[16-20%]", AA143 &lt;= 25%,"High Hike[21-25%]")</f>
        <v>Low Hike[11-15%]</v>
      </c>
      <c r="AC143" s="1">
        <v>3</v>
      </c>
      <c r="AD143" s="1">
        <v>2</v>
      </c>
      <c r="AE143" s="1">
        <v>80</v>
      </c>
      <c r="AF143" s="1">
        <v>0</v>
      </c>
      <c r="AG143" s="1">
        <v>9</v>
      </c>
      <c r="AH143" s="9" t="str" cm="1">
        <f t="array" ref="AH143">_xlfn.IFS(AG143 &lt;= 5, "New[1-5]", AG143 &lt;= 10, "Early Career[6-10]", AG143 &lt;= 20, "Established[11-20]", AG143 &lt;= 30, "Veteran[21-30]", AG143 &lt;= 40, "Late Career[31-40]")</f>
        <v>Early Career[6-10]</v>
      </c>
      <c r="AI143" s="1">
        <v>2</v>
      </c>
      <c r="AJ143" s="1">
        <v>2</v>
      </c>
      <c r="AK143" s="1">
        <v>6</v>
      </c>
      <c r="AL143" s="9" t="str" cm="1">
        <f t="array" ref="AL143">_xlfn.IFS(AK143 &lt;= 5, "New[1-5]", AK143 &lt;= 10, "Early Career[6-10]", AK143 &lt;= 20, "Established[11-20]", AK143 &lt;= 30, "Veteran[21-30]", AK143 &lt;= 40, "Late Career[31-40]")</f>
        <v>Early Career[6-10]</v>
      </c>
      <c r="AM143" s="1">
        <v>5</v>
      </c>
      <c r="AN143" s="9" t="str" cm="1">
        <f t="array" ref="AN143">_xlfn.IFS(AM143 &lt;= 3, "New to Role[1-3]", AM143 &lt;= 7, "Settled[4-7]", AM143 &lt;= 12, "Experienced[[8-12]", AM143 &lt;= 18, "Long Tenured[13-18]")</f>
        <v>Settled[4-7]</v>
      </c>
      <c r="AO143" s="1">
        <v>0</v>
      </c>
      <c r="AP143" s="9" t="str" cm="1">
        <f t="array" ref="AP143">_xlfn.IFS(AO143 &lt;= 3, "Recently[1-3]", AO143 &lt;= 6, "Due Soon[4-6]", AO143 &lt;= 10, "Overdue[7-10]", AO143 &lt;= 15, "Long Overdue[11-15]")</f>
        <v>Recently[1-3]</v>
      </c>
      <c r="AQ143" s="9" t="str" cm="1">
        <f t="array" ref="AQ143">_xlfn.IFS(AR143 &lt;= 3, "New Relationship[1-3]", AR143 &lt;= 7, "Established Relationship[4-7]", AR143 &lt;= 12, "Long Term Relationship[8-12]", AR143 &lt;= 17, "Very Long Term Relationship[13-17]")</f>
        <v>New Relationship[1-3]</v>
      </c>
      <c r="AR143" s="1">
        <v>3</v>
      </c>
    </row>
    <row r="144" spans="1:44" x14ac:dyDescent="0.25">
      <c r="A144" s="1">
        <v>38</v>
      </c>
      <c r="B144" s="8" t="str" cm="1">
        <f t="array" ref="B144">_xlfn.IFS(A144 &lt;= 25, "[18-25]", A144 &lt;= 35, "[26-35]", A144 &lt;=45, "[36-45]", A144 &lt;= 60, "[46- 60]")</f>
        <v>[36-45]</v>
      </c>
      <c r="C144" s="3" t="s">
        <v>43</v>
      </c>
      <c r="D144">
        <f t="shared" si="2"/>
        <v>0</v>
      </c>
      <c r="E144" t="s">
        <v>36</v>
      </c>
      <c r="F144" s="1">
        <v>364</v>
      </c>
      <c r="G144" s="3" t="s">
        <v>45</v>
      </c>
      <c r="H144" s="1">
        <v>3</v>
      </c>
      <c r="I144" s="9" t="str" cm="1">
        <f t="array" ref="I144">_xlfn.IFS(H144 &lt;= 2, "[1-2] very close", H144 &lt;= 10, "[3-10] close", H144 &lt;= 20, "[11-20] moderate", H144 &lt;= 30, "[21-30] far")</f>
        <v>[3-10] close</v>
      </c>
      <c r="J144" s="1">
        <v>5</v>
      </c>
      <c r="K144" s="3" t="s">
        <v>60</v>
      </c>
      <c r="L144" s="1">
        <v>1</v>
      </c>
      <c r="M144" s="1">
        <v>193</v>
      </c>
      <c r="N144" s="1">
        <v>4</v>
      </c>
      <c r="O144" s="3" t="s">
        <v>39</v>
      </c>
      <c r="P144" s="1">
        <v>32</v>
      </c>
      <c r="Q144" s="1">
        <v>3</v>
      </c>
      <c r="R144" s="1">
        <v>2</v>
      </c>
      <c r="S144" s="3" t="s">
        <v>47</v>
      </c>
      <c r="T144" s="1">
        <v>3</v>
      </c>
      <c r="U144" s="3" t="s">
        <v>41</v>
      </c>
      <c r="V144" s="4">
        <v>4317</v>
      </c>
      <c r="W144" s="1">
        <v>2302</v>
      </c>
      <c r="X144" s="1">
        <v>3</v>
      </c>
      <c r="Y144" s="3" t="s">
        <v>42</v>
      </c>
      <c r="Z144" s="3" t="s">
        <v>35</v>
      </c>
      <c r="AA144" s="5">
        <v>0.2</v>
      </c>
      <c r="AB144" s="10" t="str" cm="1">
        <f t="array" ref="AB144">_xlfn.IFS(AA144 &lt;= 15%, "Low Hike[11-15%]", AA144 &lt;= 20%, "Moderate Hike[16-20%]", AA144 &lt;= 25%,"High Hike[21-25%]")</f>
        <v>Moderate Hike[16-20%]</v>
      </c>
      <c r="AC144" s="1">
        <v>4</v>
      </c>
      <c r="AD144" s="1">
        <v>2</v>
      </c>
      <c r="AE144" s="1">
        <v>80</v>
      </c>
      <c r="AF144" s="1">
        <v>0</v>
      </c>
      <c r="AG144" s="1">
        <v>19</v>
      </c>
      <c r="AH144" s="9" t="str" cm="1">
        <f t="array" ref="AH144">_xlfn.IFS(AG144 &lt;= 5, "New[1-5]", AG144 &lt;= 10, "Early Career[6-10]", AG144 &lt;= 20, "Established[11-20]", AG144 &lt;= 30, "Veteran[21-30]", AG144 &lt;= 40, "Late Career[31-40]")</f>
        <v>Established[11-20]</v>
      </c>
      <c r="AI144" s="1">
        <v>2</v>
      </c>
      <c r="AJ144" s="1">
        <v>3</v>
      </c>
      <c r="AK144" s="1">
        <v>3</v>
      </c>
      <c r="AL144" s="9" t="str" cm="1">
        <f t="array" ref="AL144">_xlfn.IFS(AK144 &lt;= 5, "New[1-5]", AK144 &lt;= 10, "Early Career[6-10]", AK144 &lt;= 20, "Established[11-20]", AK144 &lt;= 30, "Veteran[21-30]", AK144 &lt;= 40, "Late Career[31-40]")</f>
        <v>New[1-5]</v>
      </c>
      <c r="AM144" s="1">
        <v>2</v>
      </c>
      <c r="AN144" s="9" t="str" cm="1">
        <f t="array" ref="AN144">_xlfn.IFS(AM144 &lt;= 3, "New to Role[1-3]", AM144 &lt;= 7, "Settled[4-7]", AM144 &lt;= 12, "Experienced[[8-12]", AM144 &lt;= 18, "Long Tenured[13-18]")</f>
        <v>New to Role[1-3]</v>
      </c>
      <c r="AO144" s="1">
        <v>2</v>
      </c>
      <c r="AP144" s="9" t="str" cm="1">
        <f t="array" ref="AP144">_xlfn.IFS(AO144 &lt;= 3, "Recently[1-3]", AO144 &lt;= 6, "Due Soon[4-6]", AO144 &lt;= 10, "Overdue[7-10]", AO144 &lt;= 15, "Long Overdue[11-15]")</f>
        <v>Recently[1-3]</v>
      </c>
      <c r="AQ144" s="9" t="str" cm="1">
        <f t="array" ref="AQ144">_xlfn.IFS(AR144 &lt;= 3, "New Relationship[1-3]", AR144 &lt;= 7, "Established Relationship[4-7]", AR144 &lt;= 12, "Long Term Relationship[8-12]", AR144 &lt;= 17, "Very Long Term Relationship[13-17]")</f>
        <v>New Relationship[1-3]</v>
      </c>
      <c r="AR144" s="1">
        <v>2</v>
      </c>
    </row>
    <row r="145" spans="1:44" x14ac:dyDescent="0.25">
      <c r="A145" s="1">
        <v>30</v>
      </c>
      <c r="B145" s="8" t="str" cm="1">
        <f t="array" ref="B145">_xlfn.IFS(A145 &lt;= 25, "[18-25]", A145 &lt;= 35, "[26-35]", A145 &lt;=45, "[36-45]", A145 &lt;= 60, "[46- 60]")</f>
        <v>[26-35]</v>
      </c>
      <c r="C145" s="3" t="s">
        <v>43</v>
      </c>
      <c r="D145">
        <f t="shared" si="2"/>
        <v>0</v>
      </c>
      <c r="E145" t="s">
        <v>36</v>
      </c>
      <c r="F145" s="1">
        <v>438</v>
      </c>
      <c r="G145" s="3" t="s">
        <v>45</v>
      </c>
      <c r="H145" s="1">
        <v>18</v>
      </c>
      <c r="I145" s="9" t="str" cm="1">
        <f t="array" ref="I145">_xlfn.IFS(H145 &lt;= 2, "[1-2] very close", H145 &lt;= 10, "[3-10] close", H145 &lt;= 20, "[11-20] moderate", H145 &lt;= 30, "[21-30] far")</f>
        <v>[11-20] moderate</v>
      </c>
      <c r="J145" s="1">
        <v>3</v>
      </c>
      <c r="K145" s="3" t="s">
        <v>38</v>
      </c>
      <c r="L145" s="1">
        <v>1</v>
      </c>
      <c r="M145" s="1">
        <v>194</v>
      </c>
      <c r="N145" s="1">
        <v>1</v>
      </c>
      <c r="O145" s="3" t="s">
        <v>39</v>
      </c>
      <c r="P145" s="1">
        <v>75</v>
      </c>
      <c r="Q145" s="1">
        <v>3</v>
      </c>
      <c r="R145" s="1">
        <v>1</v>
      </c>
      <c r="S145" s="3" t="s">
        <v>47</v>
      </c>
      <c r="T145" s="1">
        <v>3</v>
      </c>
      <c r="U145" s="3" t="s">
        <v>41</v>
      </c>
      <c r="V145" s="4">
        <v>2632</v>
      </c>
      <c r="W145" s="1">
        <v>23910</v>
      </c>
      <c r="X145" s="1">
        <v>1</v>
      </c>
      <c r="Y145" s="3" t="s">
        <v>42</v>
      </c>
      <c r="Z145" s="3" t="s">
        <v>43</v>
      </c>
      <c r="AA145" s="5">
        <v>0.14000000000000001</v>
      </c>
      <c r="AB145" s="10" t="str" cm="1">
        <f t="array" ref="AB145">_xlfn.IFS(AA145 &lt;= 15%, "Low Hike[11-15%]", AA145 &lt;= 20%, "Moderate Hike[16-20%]", AA145 &lt;= 25%,"High Hike[21-25%]")</f>
        <v>Low Hike[11-15%]</v>
      </c>
      <c r="AC145" s="1">
        <v>3</v>
      </c>
      <c r="AD145" s="1">
        <v>3</v>
      </c>
      <c r="AE145" s="1">
        <v>80</v>
      </c>
      <c r="AF145" s="1">
        <v>0</v>
      </c>
      <c r="AG145" s="1">
        <v>5</v>
      </c>
      <c r="AH145" s="9" t="str" cm="1">
        <f t="array" ref="AH145">_xlfn.IFS(AG145 &lt;= 5, "New[1-5]", AG145 &lt;= 10, "Early Career[6-10]", AG145 &lt;= 20, "Established[11-20]", AG145 &lt;= 30, "Veteran[21-30]", AG145 &lt;= 40, "Late Career[31-40]")</f>
        <v>New[1-5]</v>
      </c>
      <c r="AI145" s="1">
        <v>4</v>
      </c>
      <c r="AJ145" s="1">
        <v>2</v>
      </c>
      <c r="AK145" s="1">
        <v>5</v>
      </c>
      <c r="AL145" s="9" t="str" cm="1">
        <f t="array" ref="AL145">_xlfn.IFS(AK145 &lt;= 5, "New[1-5]", AK145 &lt;= 10, "Early Career[6-10]", AK145 &lt;= 20, "Established[11-20]", AK145 &lt;= 30, "Veteran[21-30]", AK145 &lt;= 40, "Late Career[31-40]")</f>
        <v>New[1-5]</v>
      </c>
      <c r="AM145" s="1">
        <v>4</v>
      </c>
      <c r="AN145" s="9" t="str" cm="1">
        <f t="array" ref="AN145">_xlfn.IFS(AM145 &lt;= 3, "New to Role[1-3]", AM145 &lt;= 7, "Settled[4-7]", AM145 &lt;= 12, "Experienced[[8-12]", AM145 &lt;= 18, "Long Tenured[13-18]")</f>
        <v>Settled[4-7]</v>
      </c>
      <c r="AO145" s="1">
        <v>0</v>
      </c>
      <c r="AP145" s="9" t="str" cm="1">
        <f t="array" ref="AP145">_xlfn.IFS(AO145 &lt;= 3, "Recently[1-3]", AO145 &lt;= 6, "Due Soon[4-6]", AO145 &lt;= 10, "Overdue[7-10]", AO145 &lt;= 15, "Long Overdue[11-15]")</f>
        <v>Recently[1-3]</v>
      </c>
      <c r="AQ145" s="9" t="str" cm="1">
        <f t="array" ref="AQ145">_xlfn.IFS(AR145 &lt;= 3, "New Relationship[1-3]", AR145 &lt;= 7, "Established Relationship[4-7]", AR145 &lt;= 12, "Long Term Relationship[8-12]", AR145 &lt;= 17, "Very Long Term Relationship[13-17]")</f>
        <v>Established Relationship[4-7]</v>
      </c>
      <c r="AR145" s="1">
        <v>4</v>
      </c>
    </row>
    <row r="146" spans="1:44" x14ac:dyDescent="0.25">
      <c r="A146" s="1">
        <v>32</v>
      </c>
      <c r="B146" s="8" t="str" cm="1">
        <f t="array" ref="B146">_xlfn.IFS(A146 &lt;= 25, "[18-25]", A146 &lt;= 35, "[26-35]", A146 &lt;=45, "[36-45]", A146 &lt;= 60, "[46- 60]")</f>
        <v>[26-35]</v>
      </c>
      <c r="C146" s="3" t="s">
        <v>43</v>
      </c>
      <c r="D146">
        <f t="shared" si="2"/>
        <v>0</v>
      </c>
      <c r="E146" t="s">
        <v>44</v>
      </c>
      <c r="F146" s="1">
        <v>689</v>
      </c>
      <c r="G146" s="3" t="s">
        <v>37</v>
      </c>
      <c r="H146" s="1">
        <v>9</v>
      </c>
      <c r="I146" s="9" t="str" cm="1">
        <f t="array" ref="I146">_xlfn.IFS(H146 &lt;= 2, "[1-2] very close", H146 &lt;= 10, "[3-10] close", H146 &lt;= 20, "[11-20] moderate", H146 &lt;= 30, "[21-30] far")</f>
        <v>[3-10] close</v>
      </c>
      <c r="J146" s="1">
        <v>2</v>
      </c>
      <c r="K146" s="3" t="s">
        <v>51</v>
      </c>
      <c r="L146" s="1">
        <v>1</v>
      </c>
      <c r="M146" s="1">
        <v>195</v>
      </c>
      <c r="N146" s="1">
        <v>4</v>
      </c>
      <c r="O146" s="3" t="s">
        <v>46</v>
      </c>
      <c r="P146" s="1">
        <v>35</v>
      </c>
      <c r="Q146" s="1">
        <v>1</v>
      </c>
      <c r="R146" s="1">
        <v>2</v>
      </c>
      <c r="S146" s="3" t="s">
        <v>40</v>
      </c>
      <c r="T146" s="1">
        <v>4</v>
      </c>
      <c r="U146" s="3" t="s">
        <v>52</v>
      </c>
      <c r="V146" s="4">
        <v>4668</v>
      </c>
      <c r="W146" s="1">
        <v>22812</v>
      </c>
      <c r="X146" s="1">
        <v>0</v>
      </c>
      <c r="Y146" s="3" t="s">
        <v>42</v>
      </c>
      <c r="Z146" s="3" t="s">
        <v>43</v>
      </c>
      <c r="AA146" s="5">
        <v>0.17</v>
      </c>
      <c r="AB146" s="10" t="str" cm="1">
        <f t="array" ref="AB146">_xlfn.IFS(AA146 &lt;= 15%, "Low Hike[11-15%]", AA146 &lt;= 20%, "Moderate Hike[16-20%]", AA146 &lt;= 25%,"High Hike[21-25%]")</f>
        <v>Moderate Hike[16-20%]</v>
      </c>
      <c r="AC146" s="1">
        <v>3</v>
      </c>
      <c r="AD146" s="1">
        <v>4</v>
      </c>
      <c r="AE146" s="1">
        <v>80</v>
      </c>
      <c r="AF146" s="1">
        <v>3</v>
      </c>
      <c r="AG146" s="1">
        <v>9</v>
      </c>
      <c r="AH146" s="9" t="str" cm="1">
        <f t="array" ref="AH146">_xlfn.IFS(AG146 &lt;= 5, "New[1-5]", AG146 &lt;= 10, "Early Career[6-10]", AG146 &lt;= 20, "Established[11-20]", AG146 &lt;= 30, "Veteran[21-30]", AG146 &lt;= 40, "Late Career[31-40]")</f>
        <v>Early Career[6-10]</v>
      </c>
      <c r="AI146" s="1">
        <v>2</v>
      </c>
      <c r="AJ146" s="1">
        <v>4</v>
      </c>
      <c r="AK146" s="1">
        <v>8</v>
      </c>
      <c r="AL146" s="9" t="str" cm="1">
        <f t="array" ref="AL146">_xlfn.IFS(AK146 &lt;= 5, "New[1-5]", AK146 &lt;= 10, "Early Career[6-10]", AK146 &lt;= 20, "Established[11-20]", AK146 &lt;= 30, "Veteran[21-30]", AK146 &lt;= 40, "Late Career[31-40]")</f>
        <v>Early Career[6-10]</v>
      </c>
      <c r="AM146" s="1">
        <v>7</v>
      </c>
      <c r="AN146" s="9" t="str" cm="1">
        <f t="array" ref="AN146">_xlfn.IFS(AM146 &lt;= 3, "New to Role[1-3]", AM146 &lt;= 7, "Settled[4-7]", AM146 &lt;= 12, "Experienced[[8-12]", AM146 &lt;= 18, "Long Tenured[13-18]")</f>
        <v>Settled[4-7]</v>
      </c>
      <c r="AO146" s="1">
        <v>0</v>
      </c>
      <c r="AP146" s="9" t="str" cm="1">
        <f t="array" ref="AP146">_xlfn.IFS(AO146 &lt;= 3, "Recently[1-3]", AO146 &lt;= 6, "Due Soon[4-6]", AO146 &lt;= 10, "Overdue[7-10]", AO146 &lt;= 15, "Long Overdue[11-15]")</f>
        <v>Recently[1-3]</v>
      </c>
      <c r="AQ146" s="9" t="str" cm="1">
        <f t="array" ref="AQ146">_xlfn.IFS(AR146 &lt;= 3, "New Relationship[1-3]", AR146 &lt;= 7, "Established Relationship[4-7]", AR146 &lt;= 12, "Long Term Relationship[8-12]", AR146 &lt;= 17, "Very Long Term Relationship[13-17]")</f>
        <v>Established Relationship[4-7]</v>
      </c>
      <c r="AR146" s="1">
        <v>7</v>
      </c>
    </row>
    <row r="147" spans="1:44" x14ac:dyDescent="0.25">
      <c r="A147" s="1">
        <v>30</v>
      </c>
      <c r="B147" s="8" t="str" cm="1">
        <f t="array" ref="B147">_xlfn.IFS(A147 &lt;= 25, "[18-25]", A147 &lt;= 35, "[26-35]", A147 &lt;=45, "[36-45]", A147 &lt;= 60, "[46- 60]")</f>
        <v>[26-35]</v>
      </c>
      <c r="C147" s="3" t="s">
        <v>43</v>
      </c>
      <c r="D147">
        <f t="shared" si="2"/>
        <v>0</v>
      </c>
      <c r="E147" t="s">
        <v>36</v>
      </c>
      <c r="F147" s="1">
        <v>201</v>
      </c>
      <c r="G147" s="3" t="s">
        <v>45</v>
      </c>
      <c r="H147" s="1">
        <v>5</v>
      </c>
      <c r="I147" s="9" t="str" cm="1">
        <f t="array" ref="I147">_xlfn.IFS(H147 &lt;= 2, "[1-2] very close", H147 &lt;= 10, "[3-10] close", H147 &lt;= 20, "[11-20] moderate", H147 &lt;= 30, "[21-30] far")</f>
        <v>[3-10] close</v>
      </c>
      <c r="J147" s="1">
        <v>3</v>
      </c>
      <c r="K147" s="3" t="s">
        <v>60</v>
      </c>
      <c r="L147" s="1">
        <v>1</v>
      </c>
      <c r="M147" s="1">
        <v>197</v>
      </c>
      <c r="N147" s="1">
        <v>4</v>
      </c>
      <c r="O147" s="3" t="s">
        <v>39</v>
      </c>
      <c r="P147" s="1">
        <v>84</v>
      </c>
      <c r="Q147" s="1">
        <v>3</v>
      </c>
      <c r="R147" s="1">
        <v>1</v>
      </c>
      <c r="S147" s="3" t="s">
        <v>47</v>
      </c>
      <c r="T147" s="1">
        <v>1</v>
      </c>
      <c r="U147" s="3" t="s">
        <v>52</v>
      </c>
      <c r="V147" s="4">
        <v>3204</v>
      </c>
      <c r="W147" s="1">
        <v>10415</v>
      </c>
      <c r="X147" s="1">
        <v>5</v>
      </c>
      <c r="Y147" s="3" t="s">
        <v>42</v>
      </c>
      <c r="Z147" s="3" t="s">
        <v>43</v>
      </c>
      <c r="AA147" s="5">
        <v>0.14000000000000001</v>
      </c>
      <c r="AB147" s="10" t="str" cm="1">
        <f t="array" ref="AB147">_xlfn.IFS(AA147 &lt;= 15%, "Low Hike[11-15%]", AA147 &lt;= 20%, "Moderate Hike[16-20%]", AA147 &lt;= 25%,"High Hike[21-25%]")</f>
        <v>Low Hike[11-15%]</v>
      </c>
      <c r="AC147" s="1">
        <v>3</v>
      </c>
      <c r="AD147" s="1">
        <v>4</v>
      </c>
      <c r="AE147" s="1">
        <v>80</v>
      </c>
      <c r="AF147" s="1">
        <v>1</v>
      </c>
      <c r="AG147" s="1">
        <v>8</v>
      </c>
      <c r="AH147" s="9" t="str" cm="1">
        <f t="array" ref="AH147">_xlfn.IFS(AG147 &lt;= 5, "New[1-5]", AG147 &lt;= 10, "Early Career[6-10]", AG147 &lt;= 20, "Established[11-20]", AG147 &lt;= 30, "Veteran[21-30]", AG147 &lt;= 40, "Late Career[31-40]")</f>
        <v>Early Career[6-10]</v>
      </c>
      <c r="AI147" s="1">
        <v>3</v>
      </c>
      <c r="AJ147" s="1">
        <v>3</v>
      </c>
      <c r="AK147" s="1">
        <v>3</v>
      </c>
      <c r="AL147" s="9" t="str" cm="1">
        <f t="array" ref="AL147">_xlfn.IFS(AK147 &lt;= 5, "New[1-5]", AK147 &lt;= 10, "Early Career[6-10]", AK147 &lt;= 20, "Established[11-20]", AK147 &lt;= 30, "Veteran[21-30]", AK147 &lt;= 40, "Late Career[31-40]")</f>
        <v>New[1-5]</v>
      </c>
      <c r="AM147" s="1">
        <v>2</v>
      </c>
      <c r="AN147" s="9" t="str" cm="1">
        <f t="array" ref="AN147">_xlfn.IFS(AM147 &lt;= 3, "New to Role[1-3]", AM147 &lt;= 7, "Settled[4-7]", AM147 &lt;= 12, "Experienced[[8-12]", AM147 &lt;= 18, "Long Tenured[13-18]")</f>
        <v>New to Role[1-3]</v>
      </c>
      <c r="AO147" s="1">
        <v>2</v>
      </c>
      <c r="AP147" s="9" t="str" cm="1">
        <f t="array" ref="AP147">_xlfn.IFS(AO147 &lt;= 3, "Recently[1-3]", AO147 &lt;= 6, "Due Soon[4-6]", AO147 &lt;= 10, "Overdue[7-10]", AO147 &lt;= 15, "Long Overdue[11-15]")</f>
        <v>Recently[1-3]</v>
      </c>
      <c r="AQ147" s="9" t="str" cm="1">
        <f t="array" ref="AQ147">_xlfn.IFS(AR147 &lt;= 3, "New Relationship[1-3]", AR147 &lt;= 7, "Established Relationship[4-7]", AR147 &lt;= 12, "Long Term Relationship[8-12]", AR147 &lt;= 17, "Very Long Term Relationship[13-17]")</f>
        <v>New Relationship[1-3]</v>
      </c>
      <c r="AR147" s="1">
        <v>2</v>
      </c>
    </row>
    <row r="148" spans="1:44" x14ac:dyDescent="0.25">
      <c r="A148" s="1">
        <v>30</v>
      </c>
      <c r="B148" s="8" t="str" cm="1">
        <f t="array" ref="B148">_xlfn.IFS(A148 &lt;= 25, "[18-25]", A148 &lt;= 35, "[26-35]", A148 &lt;=45, "[36-45]", A148 &lt;= 60, "[46- 60]")</f>
        <v>[26-35]</v>
      </c>
      <c r="C148" s="3" t="s">
        <v>43</v>
      </c>
      <c r="D148">
        <f t="shared" si="2"/>
        <v>0</v>
      </c>
      <c r="E148" t="s">
        <v>36</v>
      </c>
      <c r="F148" s="1">
        <v>1427</v>
      </c>
      <c r="G148" s="3" t="s">
        <v>45</v>
      </c>
      <c r="H148" s="1">
        <v>2</v>
      </c>
      <c r="I148" s="9" t="str" cm="1">
        <f t="array" ref="I148">_xlfn.IFS(H148 &lt;= 2, "[1-2] very close", H148 &lt;= 10, "[3-10] close", H148 &lt;= 20, "[11-20] moderate", H148 &lt;= 30, "[21-30] far")</f>
        <v>[1-2] very close</v>
      </c>
      <c r="J148" s="1">
        <v>1</v>
      </c>
      <c r="K148" s="3" t="s">
        <v>51</v>
      </c>
      <c r="L148" s="1">
        <v>1</v>
      </c>
      <c r="M148" s="1">
        <v>198</v>
      </c>
      <c r="N148" s="1">
        <v>2</v>
      </c>
      <c r="O148" s="3" t="s">
        <v>46</v>
      </c>
      <c r="P148" s="1">
        <v>35</v>
      </c>
      <c r="Q148" s="1">
        <v>2</v>
      </c>
      <c r="R148" s="1">
        <v>1</v>
      </c>
      <c r="S148" s="3" t="s">
        <v>50</v>
      </c>
      <c r="T148" s="1">
        <v>4</v>
      </c>
      <c r="U148" s="3" t="s">
        <v>41</v>
      </c>
      <c r="V148" s="4">
        <v>2720</v>
      </c>
      <c r="W148" s="1">
        <v>11162</v>
      </c>
      <c r="X148" s="1">
        <v>0</v>
      </c>
      <c r="Y148" s="3" t="s">
        <v>42</v>
      </c>
      <c r="Z148" s="3" t="s">
        <v>43</v>
      </c>
      <c r="AA148" s="5">
        <v>0.13</v>
      </c>
      <c r="AB148" s="10" t="str" cm="1">
        <f t="array" ref="AB148">_xlfn.IFS(AA148 &lt;= 15%, "Low Hike[11-15%]", AA148 &lt;= 20%, "Moderate Hike[16-20%]", AA148 &lt;= 25%,"High Hike[21-25%]")</f>
        <v>Low Hike[11-15%]</v>
      </c>
      <c r="AC148" s="1">
        <v>3</v>
      </c>
      <c r="AD148" s="1">
        <v>4</v>
      </c>
      <c r="AE148" s="1">
        <v>80</v>
      </c>
      <c r="AF148" s="1">
        <v>0</v>
      </c>
      <c r="AG148" s="1">
        <v>6</v>
      </c>
      <c r="AH148" s="9" t="str" cm="1">
        <f t="array" ref="AH148">_xlfn.IFS(AG148 &lt;= 5, "New[1-5]", AG148 &lt;= 10, "Early Career[6-10]", AG148 &lt;= 20, "Established[11-20]", AG148 &lt;= 30, "Veteran[21-30]", AG148 &lt;= 40, "Late Career[31-40]")</f>
        <v>Early Career[6-10]</v>
      </c>
      <c r="AI148" s="1">
        <v>3</v>
      </c>
      <c r="AJ148" s="1">
        <v>3</v>
      </c>
      <c r="AK148" s="1">
        <v>5</v>
      </c>
      <c r="AL148" s="9" t="str" cm="1">
        <f t="array" ref="AL148">_xlfn.IFS(AK148 &lt;= 5, "New[1-5]", AK148 &lt;= 10, "Early Career[6-10]", AK148 &lt;= 20, "Established[11-20]", AK148 &lt;= 30, "Veteran[21-30]", AK148 &lt;= 40, "Late Career[31-40]")</f>
        <v>New[1-5]</v>
      </c>
      <c r="AM148" s="1">
        <v>3</v>
      </c>
      <c r="AN148" s="9" t="str" cm="1">
        <f t="array" ref="AN148">_xlfn.IFS(AM148 &lt;= 3, "New to Role[1-3]", AM148 &lt;= 7, "Settled[4-7]", AM148 &lt;= 12, "Experienced[[8-12]", AM148 &lt;= 18, "Long Tenured[13-18]")</f>
        <v>New to Role[1-3]</v>
      </c>
      <c r="AO148" s="1">
        <v>1</v>
      </c>
      <c r="AP148" s="9" t="str" cm="1">
        <f t="array" ref="AP148">_xlfn.IFS(AO148 &lt;= 3, "Recently[1-3]", AO148 &lt;= 6, "Due Soon[4-6]", AO148 &lt;= 10, "Overdue[7-10]", AO148 &lt;= 15, "Long Overdue[11-15]")</f>
        <v>Recently[1-3]</v>
      </c>
      <c r="AQ148" s="9" t="str" cm="1">
        <f t="array" ref="AQ148">_xlfn.IFS(AR148 &lt;= 3, "New Relationship[1-3]", AR148 &lt;= 7, "Established Relationship[4-7]", AR148 &lt;= 12, "Long Term Relationship[8-12]", AR148 &lt;= 17, "Very Long Term Relationship[13-17]")</f>
        <v>New Relationship[1-3]</v>
      </c>
      <c r="AR148" s="1">
        <v>2</v>
      </c>
    </row>
    <row r="149" spans="1:44" x14ac:dyDescent="0.25">
      <c r="A149" s="1">
        <v>41</v>
      </c>
      <c r="B149" s="8" t="str" cm="1">
        <f t="array" ref="B149">_xlfn.IFS(A149 &lt;= 25, "[18-25]", A149 &lt;= 35, "[26-35]", A149 &lt;=45, "[36-45]", A149 &lt;= 60, "[46- 60]")</f>
        <v>[36-45]</v>
      </c>
      <c r="C149" s="3" t="s">
        <v>43</v>
      </c>
      <c r="D149">
        <f t="shared" si="2"/>
        <v>0</v>
      </c>
      <c r="E149" t="s">
        <v>44</v>
      </c>
      <c r="F149" s="1">
        <v>857</v>
      </c>
      <c r="G149" s="3" t="s">
        <v>45</v>
      </c>
      <c r="H149" s="1">
        <v>10</v>
      </c>
      <c r="I149" s="9" t="str" cm="1">
        <f t="array" ref="I149">_xlfn.IFS(H149 &lt;= 2, "[1-2] very close", H149 &lt;= 10, "[3-10] close", H149 &lt;= 20, "[11-20] moderate", H149 &lt;= 30, "[21-30] far")</f>
        <v>[3-10] close</v>
      </c>
      <c r="J149" s="1">
        <v>3</v>
      </c>
      <c r="K149" s="3" t="s">
        <v>38</v>
      </c>
      <c r="L149" s="1">
        <v>1</v>
      </c>
      <c r="M149" s="1">
        <v>199</v>
      </c>
      <c r="N149" s="1">
        <v>4</v>
      </c>
      <c r="O149" s="3" t="s">
        <v>46</v>
      </c>
      <c r="P149" s="1">
        <v>91</v>
      </c>
      <c r="Q149" s="1">
        <v>2</v>
      </c>
      <c r="R149" s="1">
        <v>4</v>
      </c>
      <c r="S149" s="3" t="s">
        <v>56</v>
      </c>
      <c r="T149" s="1">
        <v>1</v>
      </c>
      <c r="U149" s="3" t="s">
        <v>52</v>
      </c>
      <c r="V149" s="4">
        <v>17181</v>
      </c>
      <c r="W149" s="1">
        <v>12888</v>
      </c>
      <c r="X149" s="1">
        <v>4</v>
      </c>
      <c r="Y149" s="3" t="s">
        <v>42</v>
      </c>
      <c r="Z149" s="3" t="s">
        <v>43</v>
      </c>
      <c r="AA149" s="5">
        <v>0.13</v>
      </c>
      <c r="AB149" s="10" t="str" cm="1">
        <f t="array" ref="AB149">_xlfn.IFS(AA149 &lt;= 15%, "Low Hike[11-15%]", AA149 &lt;= 20%, "Moderate Hike[16-20%]", AA149 &lt;= 25%,"High Hike[21-25%]")</f>
        <v>Low Hike[11-15%]</v>
      </c>
      <c r="AC149" s="1">
        <v>3</v>
      </c>
      <c r="AD149" s="1">
        <v>2</v>
      </c>
      <c r="AE149" s="1">
        <v>80</v>
      </c>
      <c r="AF149" s="1">
        <v>1</v>
      </c>
      <c r="AG149" s="1">
        <v>21</v>
      </c>
      <c r="AH149" s="9" t="str" cm="1">
        <f t="array" ref="AH149">_xlfn.IFS(AG149 &lt;= 5, "New[1-5]", AG149 &lt;= 10, "Early Career[6-10]", AG149 &lt;= 20, "Established[11-20]", AG149 &lt;= 30, "Veteran[21-30]", AG149 &lt;= 40, "Late Career[31-40]")</f>
        <v>Veteran[21-30]</v>
      </c>
      <c r="AI149" s="1">
        <v>2</v>
      </c>
      <c r="AJ149" s="1">
        <v>2</v>
      </c>
      <c r="AK149" s="1">
        <v>7</v>
      </c>
      <c r="AL149" s="9" t="str" cm="1">
        <f t="array" ref="AL149">_xlfn.IFS(AK149 &lt;= 5, "New[1-5]", AK149 &lt;= 10, "Early Career[6-10]", AK149 &lt;= 20, "Established[11-20]", AK149 &lt;= 30, "Veteran[21-30]", AK149 &lt;= 40, "Late Career[31-40]")</f>
        <v>Early Career[6-10]</v>
      </c>
      <c r="AM149" s="1">
        <v>6</v>
      </c>
      <c r="AN149" s="9" t="str" cm="1">
        <f t="array" ref="AN149">_xlfn.IFS(AM149 &lt;= 3, "New to Role[1-3]", AM149 &lt;= 7, "Settled[4-7]", AM149 &lt;= 12, "Experienced[[8-12]", AM149 &lt;= 18, "Long Tenured[13-18]")</f>
        <v>Settled[4-7]</v>
      </c>
      <c r="AO149" s="1">
        <v>7</v>
      </c>
      <c r="AP149" s="9" t="str" cm="1">
        <f t="array" ref="AP149">_xlfn.IFS(AO149 &lt;= 3, "Recently[1-3]", AO149 &lt;= 6, "Due Soon[4-6]", AO149 &lt;= 10, "Overdue[7-10]", AO149 &lt;= 15, "Long Overdue[11-15]")</f>
        <v>Overdue[7-10]</v>
      </c>
      <c r="AQ149" s="9" t="str" cm="1">
        <f t="array" ref="AQ149">_xlfn.IFS(AR149 &lt;= 3, "New Relationship[1-3]", AR149 &lt;= 7, "Established Relationship[4-7]", AR149 &lt;= 12, "Long Term Relationship[8-12]", AR149 &lt;= 17, "Very Long Term Relationship[13-17]")</f>
        <v>Established Relationship[4-7]</v>
      </c>
      <c r="AR149" s="1">
        <v>7</v>
      </c>
    </row>
    <row r="150" spans="1:44" x14ac:dyDescent="0.25">
      <c r="A150" s="1">
        <v>41</v>
      </c>
      <c r="B150" s="8" t="str" cm="1">
        <f t="array" ref="B150">_xlfn.IFS(A150 &lt;= 25, "[18-25]", A150 &lt;= 35, "[26-35]", A150 &lt;=45, "[36-45]", A150 &lt;= 60, "[46- 60]")</f>
        <v>[36-45]</v>
      </c>
      <c r="C150" s="3" t="s">
        <v>43</v>
      </c>
      <c r="D150">
        <f t="shared" si="2"/>
        <v>0</v>
      </c>
      <c r="E150" t="s">
        <v>36</v>
      </c>
      <c r="F150" s="1">
        <v>933</v>
      </c>
      <c r="G150" s="3" t="s">
        <v>45</v>
      </c>
      <c r="H150" s="1">
        <v>9</v>
      </c>
      <c r="I150" s="9" t="str" cm="1">
        <f t="array" ref="I150">_xlfn.IFS(H150 &lt;= 2, "[1-2] very close", H150 &lt;= 10, "[3-10] close", H150 &lt;= 20, "[11-20] moderate", H150 &lt;= 30, "[21-30] far")</f>
        <v>[3-10] close</v>
      </c>
      <c r="J150" s="1">
        <v>4</v>
      </c>
      <c r="K150" s="3" t="s">
        <v>38</v>
      </c>
      <c r="L150" s="1">
        <v>1</v>
      </c>
      <c r="M150" s="1">
        <v>200</v>
      </c>
      <c r="N150" s="1">
        <v>3</v>
      </c>
      <c r="O150" s="3" t="s">
        <v>46</v>
      </c>
      <c r="P150" s="1">
        <v>94</v>
      </c>
      <c r="Q150" s="1">
        <v>3</v>
      </c>
      <c r="R150" s="1">
        <v>1</v>
      </c>
      <c r="S150" s="3" t="s">
        <v>50</v>
      </c>
      <c r="T150" s="1">
        <v>1</v>
      </c>
      <c r="U150" s="3" t="s">
        <v>48</v>
      </c>
      <c r="V150" s="4">
        <v>2238</v>
      </c>
      <c r="W150" s="1">
        <v>6961</v>
      </c>
      <c r="X150" s="1">
        <v>2</v>
      </c>
      <c r="Y150" s="3" t="s">
        <v>42</v>
      </c>
      <c r="Z150" s="3" t="s">
        <v>43</v>
      </c>
      <c r="AA150" s="5">
        <v>0.21</v>
      </c>
      <c r="AB150" s="10" t="str" cm="1">
        <f t="array" ref="AB150">_xlfn.IFS(AA150 &lt;= 15%, "Low Hike[11-15%]", AA150 &lt;= 20%, "Moderate Hike[16-20%]", AA150 &lt;= 25%,"High Hike[21-25%]")</f>
        <v>High Hike[21-25%]</v>
      </c>
      <c r="AC150" s="1">
        <v>4</v>
      </c>
      <c r="AD150" s="1">
        <v>4</v>
      </c>
      <c r="AE150" s="1">
        <v>80</v>
      </c>
      <c r="AF150" s="1">
        <v>1</v>
      </c>
      <c r="AG150" s="1">
        <v>7</v>
      </c>
      <c r="AH150" s="9" t="str" cm="1">
        <f t="array" ref="AH150">_xlfn.IFS(AG150 &lt;= 5, "New[1-5]", AG150 &lt;= 10, "Early Career[6-10]", AG150 &lt;= 20, "Established[11-20]", AG150 &lt;= 30, "Veteran[21-30]", AG150 &lt;= 40, "Late Career[31-40]")</f>
        <v>Early Career[6-10]</v>
      </c>
      <c r="AI150" s="1">
        <v>2</v>
      </c>
      <c r="AJ150" s="1">
        <v>3</v>
      </c>
      <c r="AK150" s="1">
        <v>5</v>
      </c>
      <c r="AL150" s="9" t="str" cm="1">
        <f t="array" ref="AL150">_xlfn.IFS(AK150 &lt;= 5, "New[1-5]", AK150 &lt;= 10, "Early Career[6-10]", AK150 &lt;= 20, "Established[11-20]", AK150 &lt;= 30, "Veteran[21-30]", AK150 &lt;= 40, "Late Career[31-40]")</f>
        <v>New[1-5]</v>
      </c>
      <c r="AM150" s="1">
        <v>0</v>
      </c>
      <c r="AN150" s="9" t="str" cm="1">
        <f t="array" ref="AN150">_xlfn.IFS(AM150 &lt;= 3, "New to Role[1-3]", AM150 &lt;= 7, "Settled[4-7]", AM150 &lt;= 12, "Experienced[[8-12]", AM150 &lt;= 18, "Long Tenured[13-18]")</f>
        <v>New to Role[1-3]</v>
      </c>
      <c r="AO150" s="1">
        <v>1</v>
      </c>
      <c r="AP150" s="9" t="str" cm="1">
        <f t="array" ref="AP150">_xlfn.IFS(AO150 &lt;= 3, "Recently[1-3]", AO150 &lt;= 6, "Due Soon[4-6]", AO150 &lt;= 10, "Overdue[7-10]", AO150 &lt;= 15, "Long Overdue[11-15]")</f>
        <v>Recently[1-3]</v>
      </c>
      <c r="AQ150" s="9" t="str" cm="1">
        <f t="array" ref="AQ150">_xlfn.IFS(AR150 &lt;= 3, "New Relationship[1-3]", AR150 &lt;= 7, "Established Relationship[4-7]", AR150 &lt;= 12, "Long Term Relationship[8-12]", AR150 &lt;= 17, "Very Long Term Relationship[13-17]")</f>
        <v>Established Relationship[4-7]</v>
      </c>
      <c r="AR150" s="1">
        <v>4</v>
      </c>
    </row>
    <row r="151" spans="1:44" x14ac:dyDescent="0.25">
      <c r="A151" s="1">
        <v>19</v>
      </c>
      <c r="B151" s="8" t="str" cm="1">
        <f t="array" ref="B151">_xlfn.IFS(A151 &lt;= 25, "[18-25]", A151 &lt;= 35, "[26-35]", A151 &lt;=45, "[36-45]", A151 &lt;= 60, "[46- 60]")</f>
        <v>[18-25]</v>
      </c>
      <c r="C151" s="3" t="s">
        <v>43</v>
      </c>
      <c r="D151">
        <f t="shared" si="2"/>
        <v>0</v>
      </c>
      <c r="E151" t="s">
        <v>36</v>
      </c>
      <c r="F151" s="1">
        <v>1181</v>
      </c>
      <c r="G151" s="3" t="s">
        <v>45</v>
      </c>
      <c r="H151" s="1">
        <v>3</v>
      </c>
      <c r="I151" s="9" t="str" cm="1">
        <f t="array" ref="I151">_xlfn.IFS(H151 &lt;= 2, "[1-2] very close", H151 &lt;= 10, "[3-10] close", H151 &lt;= 20, "[11-20] moderate", H151 &lt;= 30, "[21-30] far")</f>
        <v>[3-10] close</v>
      </c>
      <c r="J151" s="1">
        <v>1</v>
      </c>
      <c r="K151" s="3" t="s">
        <v>51</v>
      </c>
      <c r="L151" s="1">
        <v>1</v>
      </c>
      <c r="M151" s="1">
        <v>201</v>
      </c>
      <c r="N151" s="1">
        <v>2</v>
      </c>
      <c r="O151" s="3" t="s">
        <v>39</v>
      </c>
      <c r="P151" s="1">
        <v>79</v>
      </c>
      <c r="Q151" s="1">
        <v>3</v>
      </c>
      <c r="R151" s="1">
        <v>1</v>
      </c>
      <c r="S151" s="3" t="s">
        <v>50</v>
      </c>
      <c r="T151" s="1">
        <v>2</v>
      </c>
      <c r="U151" s="3" t="s">
        <v>41</v>
      </c>
      <c r="V151" s="4">
        <v>1483</v>
      </c>
      <c r="W151" s="1">
        <v>16102</v>
      </c>
      <c r="X151" s="1">
        <v>1</v>
      </c>
      <c r="Y151" s="3" t="s">
        <v>42</v>
      </c>
      <c r="Z151" s="3" t="s">
        <v>43</v>
      </c>
      <c r="AA151" s="5">
        <v>0.14000000000000001</v>
      </c>
      <c r="AB151" s="10" t="str" cm="1">
        <f t="array" ref="AB151">_xlfn.IFS(AA151 &lt;= 15%, "Low Hike[11-15%]", AA151 &lt;= 20%, "Moderate Hike[16-20%]", AA151 &lt;= 25%,"High Hike[21-25%]")</f>
        <v>Low Hike[11-15%]</v>
      </c>
      <c r="AC151" s="1">
        <v>3</v>
      </c>
      <c r="AD151" s="1">
        <v>4</v>
      </c>
      <c r="AE151" s="1">
        <v>80</v>
      </c>
      <c r="AF151" s="1">
        <v>0</v>
      </c>
      <c r="AG151" s="1">
        <v>1</v>
      </c>
      <c r="AH151" s="9" t="str" cm="1">
        <f t="array" ref="AH151">_xlfn.IFS(AG151 &lt;= 5, "New[1-5]", AG151 &lt;= 10, "Early Career[6-10]", AG151 &lt;= 20, "Established[11-20]", AG151 &lt;= 30, "Veteran[21-30]", AG151 &lt;= 40, "Late Career[31-40]")</f>
        <v>New[1-5]</v>
      </c>
      <c r="AI151" s="1">
        <v>3</v>
      </c>
      <c r="AJ151" s="1">
        <v>3</v>
      </c>
      <c r="AK151" s="1">
        <v>1</v>
      </c>
      <c r="AL151" s="9" t="str" cm="1">
        <f t="array" ref="AL151">_xlfn.IFS(AK151 &lt;= 5, "New[1-5]", AK151 &lt;= 10, "Early Career[6-10]", AK151 &lt;= 20, "Established[11-20]", AK151 &lt;= 30, "Veteran[21-30]", AK151 &lt;= 40, "Late Career[31-40]")</f>
        <v>New[1-5]</v>
      </c>
      <c r="AM151" s="1">
        <v>0</v>
      </c>
      <c r="AN151" s="9" t="str" cm="1">
        <f t="array" ref="AN151">_xlfn.IFS(AM151 &lt;= 3, "New to Role[1-3]", AM151 &lt;= 7, "Settled[4-7]", AM151 &lt;= 12, "Experienced[[8-12]", AM151 &lt;= 18, "Long Tenured[13-18]")</f>
        <v>New to Role[1-3]</v>
      </c>
      <c r="AO151" s="1">
        <v>0</v>
      </c>
      <c r="AP151" s="9" t="str" cm="1">
        <f t="array" ref="AP151">_xlfn.IFS(AO151 &lt;= 3, "Recently[1-3]", AO151 &lt;= 6, "Due Soon[4-6]", AO151 &lt;= 10, "Overdue[7-10]", AO151 &lt;= 15, "Long Overdue[11-15]")</f>
        <v>Recently[1-3]</v>
      </c>
      <c r="AQ151" s="9" t="str" cm="1">
        <f t="array" ref="AQ151">_xlfn.IFS(AR151 &lt;= 3, "New Relationship[1-3]", AR151 &lt;= 7, "Established Relationship[4-7]", AR151 &lt;= 12, "Long Term Relationship[8-12]", AR151 &lt;= 17, "Very Long Term Relationship[13-17]")</f>
        <v>New Relationship[1-3]</v>
      </c>
      <c r="AR151" s="1">
        <v>0</v>
      </c>
    </row>
    <row r="152" spans="1:44" x14ac:dyDescent="0.25">
      <c r="A152" s="1">
        <v>40</v>
      </c>
      <c r="B152" s="8" t="str" cm="1">
        <f t="array" ref="B152">_xlfn.IFS(A152 &lt;= 25, "[18-25]", A152 &lt;= 35, "[26-35]", A152 &lt;=45, "[36-45]", A152 &lt;= 60, "[46- 60]")</f>
        <v>[36-45]</v>
      </c>
      <c r="C152" s="3" t="s">
        <v>43</v>
      </c>
      <c r="D152">
        <f t="shared" si="2"/>
        <v>0</v>
      </c>
      <c r="E152" t="s">
        <v>44</v>
      </c>
      <c r="F152" s="1">
        <v>1395</v>
      </c>
      <c r="G152" s="3" t="s">
        <v>45</v>
      </c>
      <c r="H152" s="1">
        <v>26</v>
      </c>
      <c r="I152" s="9" t="str" cm="1">
        <f t="array" ref="I152">_xlfn.IFS(H152 &lt;= 2, "[1-2] very close", H152 &lt;= 10, "[3-10] close", H152 &lt;= 20, "[11-20] moderate", H152 &lt;= 30, "[21-30] far")</f>
        <v>[21-30] far</v>
      </c>
      <c r="J152" s="1">
        <v>3</v>
      </c>
      <c r="K152" s="3" t="s">
        <v>51</v>
      </c>
      <c r="L152" s="1">
        <v>1</v>
      </c>
      <c r="M152" s="1">
        <v>202</v>
      </c>
      <c r="N152" s="1">
        <v>2</v>
      </c>
      <c r="O152" s="3" t="s">
        <v>39</v>
      </c>
      <c r="P152" s="1">
        <v>54</v>
      </c>
      <c r="Q152" s="1">
        <v>3</v>
      </c>
      <c r="R152" s="1">
        <v>2</v>
      </c>
      <c r="S152" s="3" t="s">
        <v>47</v>
      </c>
      <c r="T152" s="1">
        <v>2</v>
      </c>
      <c r="U152" s="3" t="s">
        <v>52</v>
      </c>
      <c r="V152" s="4">
        <v>5605</v>
      </c>
      <c r="W152" s="1">
        <v>8504</v>
      </c>
      <c r="X152" s="1">
        <v>1</v>
      </c>
      <c r="Y152" s="3" t="s">
        <v>42</v>
      </c>
      <c r="Z152" s="3" t="s">
        <v>43</v>
      </c>
      <c r="AA152" s="5">
        <v>0.11</v>
      </c>
      <c r="AB152" s="10" t="str" cm="1">
        <f t="array" ref="AB152">_xlfn.IFS(AA152 &lt;= 15%, "Low Hike[11-15%]", AA152 &lt;= 20%, "Moderate Hike[16-20%]", AA152 &lt;= 25%,"High Hike[21-25%]")</f>
        <v>Low Hike[11-15%]</v>
      </c>
      <c r="AC152" s="1">
        <v>3</v>
      </c>
      <c r="AD152" s="1">
        <v>1</v>
      </c>
      <c r="AE152" s="1">
        <v>80</v>
      </c>
      <c r="AF152" s="1">
        <v>1</v>
      </c>
      <c r="AG152" s="1">
        <v>20</v>
      </c>
      <c r="AH152" s="9" t="str" cm="1">
        <f t="array" ref="AH152">_xlfn.IFS(AG152 &lt;= 5, "New[1-5]", AG152 &lt;= 10, "Early Career[6-10]", AG152 &lt;= 20, "Established[11-20]", AG152 &lt;= 30, "Veteran[21-30]", AG152 &lt;= 40, "Late Career[31-40]")</f>
        <v>Established[11-20]</v>
      </c>
      <c r="AI152" s="1">
        <v>2</v>
      </c>
      <c r="AJ152" s="1">
        <v>3</v>
      </c>
      <c r="AK152" s="1">
        <v>20</v>
      </c>
      <c r="AL152" s="9" t="str" cm="1">
        <f t="array" ref="AL152">_xlfn.IFS(AK152 &lt;= 5, "New[1-5]", AK152 &lt;= 10, "Early Career[6-10]", AK152 &lt;= 20, "Established[11-20]", AK152 &lt;= 30, "Veteran[21-30]", AK152 &lt;= 40, "Late Career[31-40]")</f>
        <v>Established[11-20]</v>
      </c>
      <c r="AM152" s="1">
        <v>7</v>
      </c>
      <c r="AN152" s="9" t="str" cm="1">
        <f t="array" ref="AN152">_xlfn.IFS(AM152 &lt;= 3, "New to Role[1-3]", AM152 &lt;= 7, "Settled[4-7]", AM152 &lt;= 12, "Experienced[[8-12]", AM152 &lt;= 18, "Long Tenured[13-18]")</f>
        <v>Settled[4-7]</v>
      </c>
      <c r="AO152" s="1">
        <v>2</v>
      </c>
      <c r="AP152" s="9" t="str" cm="1">
        <f t="array" ref="AP152">_xlfn.IFS(AO152 &lt;= 3, "Recently[1-3]", AO152 &lt;= 6, "Due Soon[4-6]", AO152 &lt;= 10, "Overdue[7-10]", AO152 &lt;= 15, "Long Overdue[11-15]")</f>
        <v>Recently[1-3]</v>
      </c>
      <c r="AQ152" s="9" t="str" cm="1">
        <f t="array" ref="AQ152">_xlfn.IFS(AR152 &lt;= 3, "New Relationship[1-3]", AR152 &lt;= 7, "Established Relationship[4-7]", AR152 &lt;= 12, "Long Term Relationship[8-12]", AR152 &lt;= 17, "Very Long Term Relationship[13-17]")</f>
        <v>Very Long Term Relationship[13-17]</v>
      </c>
      <c r="AR152" s="1">
        <v>13</v>
      </c>
    </row>
    <row r="153" spans="1:44" x14ac:dyDescent="0.25">
      <c r="A153" s="1">
        <v>35</v>
      </c>
      <c r="B153" s="8" t="str" cm="1">
        <f t="array" ref="B153">_xlfn.IFS(A153 &lt;= 25, "[18-25]", A153 &lt;= 35, "[26-35]", A153 &lt;=45, "[36-45]", A153 &lt;= 60, "[46- 60]")</f>
        <v>[26-35]</v>
      </c>
      <c r="C153" s="3" t="s">
        <v>43</v>
      </c>
      <c r="D153">
        <f t="shared" si="2"/>
        <v>0</v>
      </c>
      <c r="E153" t="s">
        <v>36</v>
      </c>
      <c r="F153" s="1">
        <v>662</v>
      </c>
      <c r="G153" s="3" t="s">
        <v>37</v>
      </c>
      <c r="H153" s="1">
        <v>1</v>
      </c>
      <c r="I153" s="9" t="str" cm="1">
        <f t="array" ref="I153">_xlfn.IFS(H153 &lt;= 2, "[1-2] very close", H153 &lt;= 10, "[3-10] close", H153 &lt;= 20, "[11-20] moderate", H153 &lt;= 30, "[21-30] far")</f>
        <v>[1-2] very close</v>
      </c>
      <c r="J153" s="1">
        <v>5</v>
      </c>
      <c r="K153" s="3" t="s">
        <v>59</v>
      </c>
      <c r="L153" s="1">
        <v>1</v>
      </c>
      <c r="M153" s="1">
        <v>204</v>
      </c>
      <c r="N153" s="1">
        <v>3</v>
      </c>
      <c r="O153" s="3" t="s">
        <v>46</v>
      </c>
      <c r="P153" s="1">
        <v>94</v>
      </c>
      <c r="Q153" s="1">
        <v>3</v>
      </c>
      <c r="R153" s="1">
        <v>3</v>
      </c>
      <c r="S153" s="3" t="s">
        <v>40</v>
      </c>
      <c r="T153" s="1">
        <v>2</v>
      </c>
      <c r="U153" s="3" t="s">
        <v>48</v>
      </c>
      <c r="V153" s="4">
        <v>7295</v>
      </c>
      <c r="W153" s="1">
        <v>11439</v>
      </c>
      <c r="X153" s="1">
        <v>1</v>
      </c>
      <c r="Y153" s="3" t="s">
        <v>42</v>
      </c>
      <c r="Z153" s="3" t="s">
        <v>43</v>
      </c>
      <c r="AA153" s="5">
        <v>0.13</v>
      </c>
      <c r="AB153" s="10" t="str" cm="1">
        <f t="array" ref="AB153">_xlfn.IFS(AA153 &lt;= 15%, "Low Hike[11-15%]", AA153 &lt;= 20%, "Moderate Hike[16-20%]", AA153 &lt;= 25%,"High Hike[21-25%]")</f>
        <v>Low Hike[11-15%]</v>
      </c>
      <c r="AC153" s="1">
        <v>3</v>
      </c>
      <c r="AD153" s="1">
        <v>1</v>
      </c>
      <c r="AE153" s="1">
        <v>80</v>
      </c>
      <c r="AF153" s="1">
        <v>2</v>
      </c>
      <c r="AG153" s="1">
        <v>10</v>
      </c>
      <c r="AH153" s="9" t="str" cm="1">
        <f t="array" ref="AH153">_xlfn.IFS(AG153 &lt;= 5, "New[1-5]", AG153 &lt;= 10, "Early Career[6-10]", AG153 &lt;= 20, "Established[11-20]", AG153 &lt;= 30, "Veteran[21-30]", AG153 &lt;= 40, "Late Career[31-40]")</f>
        <v>Early Career[6-10]</v>
      </c>
      <c r="AI153" s="1">
        <v>3</v>
      </c>
      <c r="AJ153" s="1">
        <v>3</v>
      </c>
      <c r="AK153" s="1">
        <v>10</v>
      </c>
      <c r="AL153" s="9" t="str" cm="1">
        <f t="array" ref="AL153">_xlfn.IFS(AK153 &lt;= 5, "New[1-5]", AK153 &lt;= 10, "Early Career[6-10]", AK153 &lt;= 20, "Established[11-20]", AK153 &lt;= 30, "Veteran[21-30]", AK153 &lt;= 40, "Late Career[31-40]")</f>
        <v>Early Career[6-10]</v>
      </c>
      <c r="AM153" s="1">
        <v>8</v>
      </c>
      <c r="AN153" s="9" t="str" cm="1">
        <f t="array" ref="AN153">_xlfn.IFS(AM153 &lt;= 3, "New to Role[1-3]", AM153 &lt;= 7, "Settled[4-7]", AM153 &lt;= 12, "Experienced[[8-12]", AM153 &lt;= 18, "Long Tenured[13-18]")</f>
        <v>Experienced[[8-12]</v>
      </c>
      <c r="AO153" s="1">
        <v>0</v>
      </c>
      <c r="AP153" s="9" t="str" cm="1">
        <f t="array" ref="AP153">_xlfn.IFS(AO153 &lt;= 3, "Recently[1-3]", AO153 &lt;= 6, "Due Soon[4-6]", AO153 &lt;= 10, "Overdue[7-10]", AO153 &lt;= 15, "Long Overdue[11-15]")</f>
        <v>Recently[1-3]</v>
      </c>
      <c r="AQ153" s="9" t="str" cm="1">
        <f t="array" ref="AQ153">_xlfn.IFS(AR153 &lt;= 3, "New Relationship[1-3]", AR153 &lt;= 7, "Established Relationship[4-7]", AR153 &lt;= 12, "Long Term Relationship[8-12]", AR153 &lt;= 17, "Very Long Term Relationship[13-17]")</f>
        <v>Established Relationship[4-7]</v>
      </c>
      <c r="AR153" s="1">
        <v>6</v>
      </c>
    </row>
    <row r="154" spans="1:44" x14ac:dyDescent="0.25">
      <c r="A154" s="1">
        <v>53</v>
      </c>
      <c r="B154" s="8" t="str" cm="1">
        <f t="array" ref="B154">_xlfn.IFS(A154 &lt;= 25, "[18-25]", A154 &lt;= 35, "[26-35]", A154 &lt;=45, "[36-45]", A154 &lt;= 60, "[46- 60]")</f>
        <v>[46- 60]</v>
      </c>
      <c r="C154" s="3" t="s">
        <v>43</v>
      </c>
      <c r="D154">
        <f t="shared" si="2"/>
        <v>0</v>
      </c>
      <c r="E154" t="s">
        <v>36</v>
      </c>
      <c r="F154" s="1">
        <v>1436</v>
      </c>
      <c r="G154" s="3" t="s">
        <v>37</v>
      </c>
      <c r="H154" s="1">
        <v>6</v>
      </c>
      <c r="I154" s="9" t="str" cm="1">
        <f t="array" ref="I154">_xlfn.IFS(H154 &lt;= 2, "[1-2] very close", H154 &lt;= 10, "[3-10] close", H154 &lt;= 20, "[11-20] moderate", H154 &lt;= 30, "[21-30] far")</f>
        <v>[3-10] close</v>
      </c>
      <c r="J154" s="1">
        <v>2</v>
      </c>
      <c r="K154" s="3" t="s">
        <v>59</v>
      </c>
      <c r="L154" s="1">
        <v>1</v>
      </c>
      <c r="M154" s="1">
        <v>205</v>
      </c>
      <c r="N154" s="1">
        <v>2</v>
      </c>
      <c r="O154" s="3" t="s">
        <v>46</v>
      </c>
      <c r="P154" s="1">
        <v>34</v>
      </c>
      <c r="Q154" s="1">
        <v>3</v>
      </c>
      <c r="R154" s="1">
        <v>2</v>
      </c>
      <c r="S154" s="3" t="s">
        <v>57</v>
      </c>
      <c r="T154" s="1">
        <v>3</v>
      </c>
      <c r="U154" s="3" t="s">
        <v>48</v>
      </c>
      <c r="V154" s="4">
        <v>2306</v>
      </c>
      <c r="W154" s="1">
        <v>16047</v>
      </c>
      <c r="X154" s="1">
        <v>2</v>
      </c>
      <c r="Y154" s="3" t="s">
        <v>42</v>
      </c>
      <c r="Z154" s="3" t="s">
        <v>35</v>
      </c>
      <c r="AA154" s="5">
        <v>0.2</v>
      </c>
      <c r="AB154" s="10" t="str" cm="1">
        <f t="array" ref="AB154">_xlfn.IFS(AA154 &lt;= 15%, "Low Hike[11-15%]", AA154 &lt;= 20%, "Moderate Hike[16-20%]", AA154 &lt;= 25%,"High Hike[21-25%]")</f>
        <v>Moderate Hike[16-20%]</v>
      </c>
      <c r="AC154" s="1">
        <v>4</v>
      </c>
      <c r="AD154" s="1">
        <v>4</v>
      </c>
      <c r="AE154" s="1">
        <v>80</v>
      </c>
      <c r="AF154" s="1">
        <v>1</v>
      </c>
      <c r="AG154" s="1">
        <v>13</v>
      </c>
      <c r="AH154" s="9" t="str" cm="1">
        <f t="array" ref="AH154">_xlfn.IFS(AG154 &lt;= 5, "New[1-5]", AG154 &lt;= 10, "Early Career[6-10]", AG154 &lt;= 20, "Established[11-20]", AG154 &lt;= 30, "Veteran[21-30]", AG154 &lt;= 40, "Late Career[31-40]")</f>
        <v>Established[11-20]</v>
      </c>
      <c r="AI154" s="1">
        <v>3</v>
      </c>
      <c r="AJ154" s="1">
        <v>1</v>
      </c>
      <c r="AK154" s="1">
        <v>7</v>
      </c>
      <c r="AL154" s="9" t="str" cm="1">
        <f t="array" ref="AL154">_xlfn.IFS(AK154 &lt;= 5, "New[1-5]", AK154 &lt;= 10, "Early Career[6-10]", AK154 &lt;= 20, "Established[11-20]", AK154 &lt;= 30, "Veteran[21-30]", AK154 &lt;= 40, "Late Career[31-40]")</f>
        <v>Early Career[6-10]</v>
      </c>
      <c r="AM154" s="1">
        <v>7</v>
      </c>
      <c r="AN154" s="9" t="str" cm="1">
        <f t="array" ref="AN154">_xlfn.IFS(AM154 &lt;= 3, "New to Role[1-3]", AM154 &lt;= 7, "Settled[4-7]", AM154 &lt;= 12, "Experienced[[8-12]", AM154 &lt;= 18, "Long Tenured[13-18]")</f>
        <v>Settled[4-7]</v>
      </c>
      <c r="AO154" s="1">
        <v>4</v>
      </c>
      <c r="AP154" s="9" t="str" cm="1">
        <f t="array" ref="AP154">_xlfn.IFS(AO154 &lt;= 3, "Recently[1-3]", AO154 &lt;= 6, "Due Soon[4-6]", AO154 &lt;= 10, "Overdue[7-10]", AO154 &lt;= 15, "Long Overdue[11-15]")</f>
        <v>Due Soon[4-6]</v>
      </c>
      <c r="AQ154" s="9" t="str" cm="1">
        <f t="array" ref="AQ154">_xlfn.IFS(AR154 &lt;= 3, "New Relationship[1-3]", AR154 &lt;= 7, "Established Relationship[4-7]", AR154 &lt;= 12, "Long Term Relationship[8-12]", AR154 &lt;= 17, "Very Long Term Relationship[13-17]")</f>
        <v>Established Relationship[4-7]</v>
      </c>
      <c r="AR154" s="1">
        <v>5</v>
      </c>
    </row>
    <row r="155" spans="1:44" x14ac:dyDescent="0.25">
      <c r="A155" s="1">
        <v>45</v>
      </c>
      <c r="B155" s="8" t="str" cm="1">
        <f t="array" ref="B155">_xlfn.IFS(A155 &lt;= 25, "[18-25]", A155 &lt;= 35, "[26-35]", A155 &lt;=45, "[36-45]", A155 &lt;= 60, "[46- 60]")</f>
        <v>[36-45]</v>
      </c>
      <c r="C155" s="3" t="s">
        <v>43</v>
      </c>
      <c r="D155">
        <f t="shared" si="2"/>
        <v>0</v>
      </c>
      <c r="E155" t="s">
        <v>36</v>
      </c>
      <c r="F155" s="1">
        <v>194</v>
      </c>
      <c r="G155" s="3" t="s">
        <v>45</v>
      </c>
      <c r="H155" s="1">
        <v>9</v>
      </c>
      <c r="I155" s="9" t="str" cm="1">
        <f t="array" ref="I155">_xlfn.IFS(H155 &lt;= 2, "[1-2] very close", H155 &lt;= 10, "[3-10] close", H155 &lt;= 20, "[11-20] moderate", H155 &lt;= 30, "[21-30] far")</f>
        <v>[3-10] close</v>
      </c>
      <c r="J155" s="1">
        <v>3</v>
      </c>
      <c r="K155" s="3" t="s">
        <v>38</v>
      </c>
      <c r="L155" s="1">
        <v>1</v>
      </c>
      <c r="M155" s="1">
        <v>206</v>
      </c>
      <c r="N155" s="1">
        <v>2</v>
      </c>
      <c r="O155" s="3" t="s">
        <v>46</v>
      </c>
      <c r="P155" s="1">
        <v>60</v>
      </c>
      <c r="Q155" s="1">
        <v>3</v>
      </c>
      <c r="R155" s="1">
        <v>2</v>
      </c>
      <c r="S155" s="3" t="s">
        <v>50</v>
      </c>
      <c r="T155" s="1">
        <v>2</v>
      </c>
      <c r="U155" s="3" t="s">
        <v>52</v>
      </c>
      <c r="V155" s="4">
        <v>2348</v>
      </c>
      <c r="W155" s="1">
        <v>10901</v>
      </c>
      <c r="X155" s="1">
        <v>8</v>
      </c>
      <c r="Y155" s="3" t="s">
        <v>42</v>
      </c>
      <c r="Z155" s="3" t="s">
        <v>43</v>
      </c>
      <c r="AA155" s="5">
        <v>0.18</v>
      </c>
      <c r="AB155" s="10" t="str" cm="1">
        <f t="array" ref="AB155">_xlfn.IFS(AA155 &lt;= 15%, "Low Hike[11-15%]", AA155 &lt;= 20%, "Moderate Hike[16-20%]", AA155 &lt;= 25%,"High Hike[21-25%]")</f>
        <v>Moderate Hike[16-20%]</v>
      </c>
      <c r="AC155" s="1">
        <v>3</v>
      </c>
      <c r="AD155" s="1">
        <v>3</v>
      </c>
      <c r="AE155" s="1">
        <v>80</v>
      </c>
      <c r="AF155" s="1">
        <v>1</v>
      </c>
      <c r="AG155" s="1">
        <v>20</v>
      </c>
      <c r="AH155" s="9" t="str" cm="1">
        <f t="array" ref="AH155">_xlfn.IFS(AG155 &lt;= 5, "New[1-5]", AG155 &lt;= 10, "Early Career[6-10]", AG155 &lt;= 20, "Established[11-20]", AG155 &lt;= 30, "Veteran[21-30]", AG155 &lt;= 40, "Late Career[31-40]")</f>
        <v>Established[11-20]</v>
      </c>
      <c r="AI155" s="1">
        <v>2</v>
      </c>
      <c r="AJ155" s="1">
        <v>1</v>
      </c>
      <c r="AK155" s="1">
        <v>17</v>
      </c>
      <c r="AL155" s="9" t="str" cm="1">
        <f t="array" ref="AL155">_xlfn.IFS(AK155 &lt;= 5, "New[1-5]", AK155 &lt;= 10, "Early Career[6-10]", AK155 &lt;= 20, "Established[11-20]", AK155 &lt;= 30, "Veteran[21-30]", AK155 &lt;= 40, "Late Career[31-40]")</f>
        <v>Established[11-20]</v>
      </c>
      <c r="AM155" s="1">
        <v>9</v>
      </c>
      <c r="AN155" s="9" t="str" cm="1">
        <f t="array" ref="AN155">_xlfn.IFS(AM155 &lt;= 3, "New to Role[1-3]", AM155 &lt;= 7, "Settled[4-7]", AM155 &lt;= 12, "Experienced[[8-12]", AM155 &lt;= 18, "Long Tenured[13-18]")</f>
        <v>Experienced[[8-12]</v>
      </c>
      <c r="AO155" s="1">
        <v>0</v>
      </c>
      <c r="AP155" s="9" t="str" cm="1">
        <f t="array" ref="AP155">_xlfn.IFS(AO155 &lt;= 3, "Recently[1-3]", AO155 &lt;= 6, "Due Soon[4-6]", AO155 &lt;= 10, "Overdue[7-10]", AO155 &lt;= 15, "Long Overdue[11-15]")</f>
        <v>Recently[1-3]</v>
      </c>
      <c r="AQ155" s="9" t="str" cm="1">
        <f t="array" ref="AQ155">_xlfn.IFS(AR155 &lt;= 3, "New Relationship[1-3]", AR155 &lt;= 7, "Established Relationship[4-7]", AR155 &lt;= 12, "Long Term Relationship[8-12]", AR155 &lt;= 17, "Very Long Term Relationship[13-17]")</f>
        <v>Very Long Term Relationship[13-17]</v>
      </c>
      <c r="AR155" s="1">
        <v>15</v>
      </c>
    </row>
    <row r="156" spans="1:44" x14ac:dyDescent="0.25">
      <c r="A156" s="1">
        <v>32</v>
      </c>
      <c r="B156" s="8" t="str" cm="1">
        <f t="array" ref="B156">_xlfn.IFS(A156 &lt;= 25, "[18-25]", A156 &lt;= 35, "[26-35]", A156 &lt;=45, "[36-45]", A156 &lt;= 60, "[46- 60]")</f>
        <v>[26-35]</v>
      </c>
      <c r="C156" s="3" t="s">
        <v>43</v>
      </c>
      <c r="D156">
        <f t="shared" si="2"/>
        <v>0</v>
      </c>
      <c r="E156" t="s">
        <v>44</v>
      </c>
      <c r="F156" s="1">
        <v>967</v>
      </c>
      <c r="G156" s="3" t="s">
        <v>37</v>
      </c>
      <c r="H156" s="1">
        <v>8</v>
      </c>
      <c r="I156" s="9" t="str" cm="1">
        <f t="array" ref="I156">_xlfn.IFS(H156 &lt;= 2, "[1-2] very close", H156 &lt;= 10, "[3-10] close", H156 &lt;= 20, "[11-20] moderate", H156 &lt;= 30, "[21-30] far")</f>
        <v>[3-10] close</v>
      </c>
      <c r="J156" s="1">
        <v>3</v>
      </c>
      <c r="K156" s="3" t="s">
        <v>59</v>
      </c>
      <c r="L156" s="1">
        <v>1</v>
      </c>
      <c r="M156" s="1">
        <v>207</v>
      </c>
      <c r="N156" s="1">
        <v>2</v>
      </c>
      <c r="O156" s="3" t="s">
        <v>39</v>
      </c>
      <c r="P156" s="1">
        <v>43</v>
      </c>
      <c r="Q156" s="1">
        <v>3</v>
      </c>
      <c r="R156" s="1">
        <v>3</v>
      </c>
      <c r="S156" s="3" t="s">
        <v>40</v>
      </c>
      <c r="T156" s="1">
        <v>4</v>
      </c>
      <c r="U156" s="3" t="s">
        <v>41</v>
      </c>
      <c r="V156" s="4">
        <v>8998</v>
      </c>
      <c r="W156" s="1">
        <v>15589</v>
      </c>
      <c r="X156" s="1">
        <v>1</v>
      </c>
      <c r="Y156" s="3" t="s">
        <v>42</v>
      </c>
      <c r="Z156" s="3" t="s">
        <v>43</v>
      </c>
      <c r="AA156" s="5">
        <v>0.14000000000000001</v>
      </c>
      <c r="AB156" s="10" t="str" cm="1">
        <f t="array" ref="AB156">_xlfn.IFS(AA156 &lt;= 15%, "Low Hike[11-15%]", AA156 &lt;= 20%, "Moderate Hike[16-20%]", AA156 &lt;= 25%,"High Hike[21-25%]")</f>
        <v>Low Hike[11-15%]</v>
      </c>
      <c r="AC156" s="1">
        <v>3</v>
      </c>
      <c r="AD156" s="1">
        <v>4</v>
      </c>
      <c r="AE156" s="1">
        <v>80</v>
      </c>
      <c r="AF156" s="1">
        <v>0</v>
      </c>
      <c r="AG156" s="1">
        <v>9</v>
      </c>
      <c r="AH156" s="9" t="str" cm="1">
        <f t="array" ref="AH156">_xlfn.IFS(AG156 &lt;= 5, "New[1-5]", AG156 &lt;= 10, "Early Career[6-10]", AG156 &lt;= 20, "Established[11-20]", AG156 &lt;= 30, "Veteran[21-30]", AG156 &lt;= 40, "Late Career[31-40]")</f>
        <v>Early Career[6-10]</v>
      </c>
      <c r="AI156" s="1">
        <v>2</v>
      </c>
      <c r="AJ156" s="1">
        <v>3</v>
      </c>
      <c r="AK156" s="1">
        <v>9</v>
      </c>
      <c r="AL156" s="9" t="str" cm="1">
        <f t="array" ref="AL156">_xlfn.IFS(AK156 &lt;= 5, "New[1-5]", AK156 &lt;= 10, "Early Career[6-10]", AK156 &lt;= 20, "Established[11-20]", AK156 &lt;= 30, "Veteran[21-30]", AK156 &lt;= 40, "Late Career[31-40]")</f>
        <v>Early Career[6-10]</v>
      </c>
      <c r="AM156" s="1">
        <v>8</v>
      </c>
      <c r="AN156" s="9" t="str" cm="1">
        <f t="array" ref="AN156">_xlfn.IFS(AM156 &lt;= 3, "New to Role[1-3]", AM156 &lt;= 7, "Settled[4-7]", AM156 &lt;= 12, "Experienced[[8-12]", AM156 &lt;= 18, "Long Tenured[13-18]")</f>
        <v>Experienced[[8-12]</v>
      </c>
      <c r="AO156" s="1">
        <v>3</v>
      </c>
      <c r="AP156" s="9" t="str" cm="1">
        <f t="array" ref="AP156">_xlfn.IFS(AO156 &lt;= 3, "Recently[1-3]", AO156 &lt;= 6, "Due Soon[4-6]", AO156 &lt;= 10, "Overdue[7-10]", AO156 &lt;= 15, "Long Overdue[11-15]")</f>
        <v>Recently[1-3]</v>
      </c>
      <c r="AQ156" s="9" t="str" cm="1">
        <f t="array" ref="AQ156">_xlfn.IFS(AR156 &lt;= 3, "New Relationship[1-3]", AR156 &lt;= 7, "Established Relationship[4-7]", AR156 &lt;= 12, "Long Term Relationship[8-12]", AR156 &lt;= 17, "Very Long Term Relationship[13-17]")</f>
        <v>Established Relationship[4-7]</v>
      </c>
      <c r="AR156" s="1">
        <v>7</v>
      </c>
    </row>
    <row r="157" spans="1:44" x14ac:dyDescent="0.25">
      <c r="A157" s="1">
        <v>29</v>
      </c>
      <c r="B157" s="8" t="str" cm="1">
        <f t="array" ref="B157">_xlfn.IFS(A157 &lt;= 25, "[18-25]", A157 &lt;= 35, "[26-35]", A157 &lt;=45, "[36-45]", A157 &lt;= 60, "[46- 60]")</f>
        <v>[26-35]</v>
      </c>
      <c r="C157" s="3" t="s">
        <v>43</v>
      </c>
      <c r="D157">
        <f t="shared" si="2"/>
        <v>0</v>
      </c>
      <c r="E157" t="s">
        <v>62</v>
      </c>
      <c r="F157" s="1">
        <v>1496</v>
      </c>
      <c r="G157" s="3" t="s">
        <v>45</v>
      </c>
      <c r="H157" s="1">
        <v>1</v>
      </c>
      <c r="I157" s="9" t="str" cm="1">
        <f t="array" ref="I157">_xlfn.IFS(H157 &lt;= 2, "[1-2] very close", H157 &lt;= 10, "[3-10] close", H157 &lt;= 20, "[11-20] moderate", H157 &lt;= 30, "[21-30] far")</f>
        <v>[1-2] very close</v>
      </c>
      <c r="J157" s="1">
        <v>1</v>
      </c>
      <c r="K157" s="3" t="s">
        <v>60</v>
      </c>
      <c r="L157" s="1">
        <v>1</v>
      </c>
      <c r="M157" s="1">
        <v>208</v>
      </c>
      <c r="N157" s="1">
        <v>4</v>
      </c>
      <c r="O157" s="3" t="s">
        <v>46</v>
      </c>
      <c r="P157" s="1">
        <v>41</v>
      </c>
      <c r="Q157" s="1">
        <v>3</v>
      </c>
      <c r="R157" s="1">
        <v>2</v>
      </c>
      <c r="S157" s="3" t="s">
        <v>53</v>
      </c>
      <c r="T157" s="1">
        <v>3</v>
      </c>
      <c r="U157" s="3" t="s">
        <v>48</v>
      </c>
      <c r="V157" s="4">
        <v>4319</v>
      </c>
      <c r="W157" s="1">
        <v>26283</v>
      </c>
      <c r="X157" s="1">
        <v>1</v>
      </c>
      <c r="Y157" s="3" t="s">
        <v>42</v>
      </c>
      <c r="Z157" s="3" t="s">
        <v>43</v>
      </c>
      <c r="AA157" s="5">
        <v>0.13</v>
      </c>
      <c r="AB157" s="10" t="str" cm="1">
        <f t="array" ref="AB157">_xlfn.IFS(AA157 &lt;= 15%, "Low Hike[11-15%]", AA157 &lt;= 20%, "Moderate Hike[16-20%]", AA157 &lt;= 25%,"High Hike[21-25%]")</f>
        <v>Low Hike[11-15%]</v>
      </c>
      <c r="AC157" s="1">
        <v>3</v>
      </c>
      <c r="AD157" s="1">
        <v>1</v>
      </c>
      <c r="AE157" s="1">
        <v>80</v>
      </c>
      <c r="AF157" s="1">
        <v>1</v>
      </c>
      <c r="AG157" s="1">
        <v>10</v>
      </c>
      <c r="AH157" s="9" t="str" cm="1">
        <f t="array" ref="AH157">_xlfn.IFS(AG157 &lt;= 5, "New[1-5]", AG157 &lt;= 10, "Early Career[6-10]", AG157 &lt;= 20, "Established[11-20]", AG157 &lt;= 30, "Veteran[21-30]", AG157 &lt;= 40, "Late Career[31-40]")</f>
        <v>Early Career[6-10]</v>
      </c>
      <c r="AI157" s="1">
        <v>1</v>
      </c>
      <c r="AJ157" s="1">
        <v>3</v>
      </c>
      <c r="AK157" s="1">
        <v>10</v>
      </c>
      <c r="AL157" s="9" t="str" cm="1">
        <f t="array" ref="AL157">_xlfn.IFS(AK157 &lt;= 5, "New[1-5]", AK157 &lt;= 10, "Early Career[6-10]", AK157 &lt;= 20, "Established[11-20]", AK157 &lt;= 30, "Veteran[21-30]", AK157 &lt;= 40, "Late Career[31-40]")</f>
        <v>Early Career[6-10]</v>
      </c>
      <c r="AM157" s="1">
        <v>7</v>
      </c>
      <c r="AN157" s="9" t="str" cm="1">
        <f t="array" ref="AN157">_xlfn.IFS(AM157 &lt;= 3, "New to Role[1-3]", AM157 &lt;= 7, "Settled[4-7]", AM157 &lt;= 12, "Experienced[[8-12]", AM157 &lt;= 18, "Long Tenured[13-18]")</f>
        <v>Settled[4-7]</v>
      </c>
      <c r="AO157" s="1">
        <v>0</v>
      </c>
      <c r="AP157" s="9" t="str" cm="1">
        <f t="array" ref="AP157">_xlfn.IFS(AO157 &lt;= 3, "Recently[1-3]", AO157 &lt;= 6, "Due Soon[4-6]", AO157 &lt;= 10, "Overdue[7-10]", AO157 &lt;= 15, "Long Overdue[11-15]")</f>
        <v>Recently[1-3]</v>
      </c>
      <c r="AQ157" s="9" t="str" cm="1">
        <f t="array" ref="AQ157">_xlfn.IFS(AR157 &lt;= 3, "New Relationship[1-3]", AR157 &lt;= 7, "Established Relationship[4-7]", AR157 &lt;= 12, "Long Term Relationship[8-12]", AR157 &lt;= 17, "Very Long Term Relationship[13-17]")</f>
        <v>Long Term Relationship[8-12]</v>
      </c>
      <c r="AR157" s="1">
        <v>9</v>
      </c>
    </row>
    <row r="158" spans="1:44" x14ac:dyDescent="0.25">
      <c r="A158" s="1">
        <v>51</v>
      </c>
      <c r="B158" s="8" t="str" cm="1">
        <f t="array" ref="B158">_xlfn.IFS(A158 &lt;= 25, "[18-25]", A158 &lt;= 35, "[26-35]", A158 &lt;=45, "[36-45]", A158 &lt;= 60, "[46- 60]")</f>
        <v>[46- 60]</v>
      </c>
      <c r="C158" s="3" t="s">
        <v>43</v>
      </c>
      <c r="D158">
        <f t="shared" si="2"/>
        <v>0</v>
      </c>
      <c r="E158" t="s">
        <v>36</v>
      </c>
      <c r="F158" s="1">
        <v>1169</v>
      </c>
      <c r="G158" s="3" t="s">
        <v>45</v>
      </c>
      <c r="H158" s="1">
        <v>7</v>
      </c>
      <c r="I158" s="9" t="str" cm="1">
        <f t="array" ref="I158">_xlfn.IFS(H158 &lt;= 2, "[1-2] very close", H158 &lt;= 10, "[3-10] close", H158 &lt;= 20, "[11-20] moderate", H158 &lt;= 30, "[21-30] far")</f>
        <v>[3-10] close</v>
      </c>
      <c r="J158" s="1">
        <v>4</v>
      </c>
      <c r="K158" s="3" t="s">
        <v>51</v>
      </c>
      <c r="L158" s="1">
        <v>1</v>
      </c>
      <c r="M158" s="1">
        <v>211</v>
      </c>
      <c r="N158" s="1">
        <v>2</v>
      </c>
      <c r="O158" s="3" t="s">
        <v>46</v>
      </c>
      <c r="P158" s="1">
        <v>34</v>
      </c>
      <c r="Q158" s="1">
        <v>2</v>
      </c>
      <c r="R158" s="1">
        <v>2</v>
      </c>
      <c r="S158" s="3" t="s">
        <v>53</v>
      </c>
      <c r="T158" s="1">
        <v>3</v>
      </c>
      <c r="U158" s="3" t="s">
        <v>48</v>
      </c>
      <c r="V158" s="4">
        <v>6132</v>
      </c>
      <c r="W158" s="1">
        <v>13983</v>
      </c>
      <c r="X158" s="1">
        <v>2</v>
      </c>
      <c r="Y158" s="3" t="s">
        <v>42</v>
      </c>
      <c r="Z158" s="3" t="s">
        <v>43</v>
      </c>
      <c r="AA158" s="5">
        <v>0.17</v>
      </c>
      <c r="AB158" s="10" t="str" cm="1">
        <f t="array" ref="AB158">_xlfn.IFS(AA158 &lt;= 15%, "Low Hike[11-15%]", AA158 &lt;= 20%, "Moderate Hike[16-20%]", AA158 &lt;= 25%,"High Hike[21-25%]")</f>
        <v>Moderate Hike[16-20%]</v>
      </c>
      <c r="AC158" s="1">
        <v>3</v>
      </c>
      <c r="AD158" s="1">
        <v>3</v>
      </c>
      <c r="AE158" s="1">
        <v>80</v>
      </c>
      <c r="AF158" s="1">
        <v>0</v>
      </c>
      <c r="AG158" s="1">
        <v>10</v>
      </c>
      <c r="AH158" s="9" t="str" cm="1">
        <f t="array" ref="AH158">_xlfn.IFS(AG158 &lt;= 5, "New[1-5]", AG158 &lt;= 10, "Early Career[6-10]", AG158 &lt;= 20, "Established[11-20]", AG158 &lt;= 30, "Veteran[21-30]", AG158 &lt;= 40, "Late Career[31-40]")</f>
        <v>Early Career[6-10]</v>
      </c>
      <c r="AI158" s="1">
        <v>2</v>
      </c>
      <c r="AJ158" s="1">
        <v>3</v>
      </c>
      <c r="AK158" s="1">
        <v>1</v>
      </c>
      <c r="AL158" s="9" t="str" cm="1">
        <f t="array" ref="AL158">_xlfn.IFS(AK158 &lt;= 5, "New[1-5]", AK158 &lt;= 10, "Early Career[6-10]", AK158 &lt;= 20, "Established[11-20]", AK158 &lt;= 30, "Veteran[21-30]", AK158 &lt;= 40, "Late Career[31-40]")</f>
        <v>New[1-5]</v>
      </c>
      <c r="AM158" s="1">
        <v>0</v>
      </c>
      <c r="AN158" s="9" t="str" cm="1">
        <f t="array" ref="AN158">_xlfn.IFS(AM158 &lt;= 3, "New to Role[1-3]", AM158 &lt;= 7, "Settled[4-7]", AM158 &lt;= 12, "Experienced[[8-12]", AM158 &lt;= 18, "Long Tenured[13-18]")</f>
        <v>New to Role[1-3]</v>
      </c>
      <c r="AO158" s="1">
        <v>0</v>
      </c>
      <c r="AP158" s="9" t="str" cm="1">
        <f t="array" ref="AP158">_xlfn.IFS(AO158 &lt;= 3, "Recently[1-3]", AO158 &lt;= 6, "Due Soon[4-6]", AO158 &lt;= 10, "Overdue[7-10]", AO158 &lt;= 15, "Long Overdue[11-15]")</f>
        <v>Recently[1-3]</v>
      </c>
      <c r="AQ158" s="9" t="str" cm="1">
        <f t="array" ref="AQ158">_xlfn.IFS(AR158 &lt;= 3, "New Relationship[1-3]", AR158 &lt;= 7, "Established Relationship[4-7]", AR158 &lt;= 12, "Long Term Relationship[8-12]", AR158 &lt;= 17, "Very Long Term Relationship[13-17]")</f>
        <v>New Relationship[1-3]</v>
      </c>
      <c r="AR158" s="1">
        <v>0</v>
      </c>
    </row>
    <row r="159" spans="1:44" x14ac:dyDescent="0.25">
      <c r="A159" s="1">
        <v>58</v>
      </c>
      <c r="B159" s="8" t="str" cm="1">
        <f t="array" ref="B159">_xlfn.IFS(A159 &lt;= 25, "[18-25]", A159 &lt;= 35, "[26-35]", A159 &lt;=45, "[36-45]", A159 &lt;= 60, "[46- 60]")</f>
        <v>[46- 60]</v>
      </c>
      <c r="C159" s="3" t="s">
        <v>43</v>
      </c>
      <c r="D159">
        <f t="shared" si="2"/>
        <v>0</v>
      </c>
      <c r="E159" t="s">
        <v>36</v>
      </c>
      <c r="F159" s="1">
        <v>1145</v>
      </c>
      <c r="G159" s="3" t="s">
        <v>45</v>
      </c>
      <c r="H159" s="1">
        <v>9</v>
      </c>
      <c r="I159" s="9" t="str" cm="1">
        <f t="array" ref="I159">_xlfn.IFS(H159 &lt;= 2, "[1-2] very close", H159 &lt;= 10, "[3-10] close", H159 &lt;= 20, "[11-20] moderate", H159 &lt;= 30, "[21-30] far")</f>
        <v>[3-10] close</v>
      </c>
      <c r="J159" s="1">
        <v>3</v>
      </c>
      <c r="K159" s="3" t="s">
        <v>51</v>
      </c>
      <c r="L159" s="1">
        <v>1</v>
      </c>
      <c r="M159" s="1">
        <v>214</v>
      </c>
      <c r="N159" s="1">
        <v>2</v>
      </c>
      <c r="O159" s="3" t="s">
        <v>39</v>
      </c>
      <c r="P159" s="1">
        <v>75</v>
      </c>
      <c r="Q159" s="1">
        <v>2</v>
      </c>
      <c r="R159" s="1">
        <v>1</v>
      </c>
      <c r="S159" s="3" t="s">
        <v>47</v>
      </c>
      <c r="T159" s="1">
        <v>2</v>
      </c>
      <c r="U159" s="3" t="s">
        <v>48</v>
      </c>
      <c r="V159" s="4">
        <v>3346</v>
      </c>
      <c r="W159" s="1">
        <v>11873</v>
      </c>
      <c r="X159" s="1">
        <v>4</v>
      </c>
      <c r="Y159" s="3" t="s">
        <v>42</v>
      </c>
      <c r="Z159" s="3" t="s">
        <v>35</v>
      </c>
      <c r="AA159" s="5">
        <v>0.2</v>
      </c>
      <c r="AB159" s="10" t="str" cm="1">
        <f t="array" ref="AB159">_xlfn.IFS(AA159 &lt;= 15%, "Low Hike[11-15%]", AA159 &lt;= 20%, "Moderate Hike[16-20%]", AA159 &lt;= 25%,"High Hike[21-25%]")</f>
        <v>Moderate Hike[16-20%]</v>
      </c>
      <c r="AC159" s="1">
        <v>4</v>
      </c>
      <c r="AD159" s="1">
        <v>2</v>
      </c>
      <c r="AE159" s="1">
        <v>80</v>
      </c>
      <c r="AF159" s="1">
        <v>1</v>
      </c>
      <c r="AG159" s="1">
        <v>9</v>
      </c>
      <c r="AH159" s="9" t="str" cm="1">
        <f t="array" ref="AH159">_xlfn.IFS(AG159 &lt;= 5, "New[1-5]", AG159 &lt;= 10, "Early Career[6-10]", AG159 &lt;= 20, "Established[11-20]", AG159 &lt;= 30, "Veteran[21-30]", AG159 &lt;= 40, "Late Career[31-40]")</f>
        <v>Early Career[6-10]</v>
      </c>
      <c r="AI159" s="1">
        <v>3</v>
      </c>
      <c r="AJ159" s="1">
        <v>2</v>
      </c>
      <c r="AK159" s="1">
        <v>1</v>
      </c>
      <c r="AL159" s="9" t="str" cm="1">
        <f t="array" ref="AL159">_xlfn.IFS(AK159 &lt;= 5, "New[1-5]", AK159 &lt;= 10, "Early Career[6-10]", AK159 &lt;= 20, "Established[11-20]", AK159 &lt;= 30, "Veteran[21-30]", AK159 &lt;= 40, "Late Career[31-40]")</f>
        <v>New[1-5]</v>
      </c>
      <c r="AM159" s="1">
        <v>0</v>
      </c>
      <c r="AN159" s="9" t="str" cm="1">
        <f t="array" ref="AN159">_xlfn.IFS(AM159 &lt;= 3, "New to Role[1-3]", AM159 &lt;= 7, "Settled[4-7]", AM159 &lt;= 12, "Experienced[[8-12]", AM159 &lt;= 18, "Long Tenured[13-18]")</f>
        <v>New to Role[1-3]</v>
      </c>
      <c r="AO159" s="1">
        <v>0</v>
      </c>
      <c r="AP159" s="9" t="str" cm="1">
        <f t="array" ref="AP159">_xlfn.IFS(AO159 &lt;= 3, "Recently[1-3]", AO159 &lt;= 6, "Due Soon[4-6]", AO159 &lt;= 10, "Overdue[7-10]", AO159 &lt;= 15, "Long Overdue[11-15]")</f>
        <v>Recently[1-3]</v>
      </c>
      <c r="AQ159" s="9" t="str" cm="1">
        <f t="array" ref="AQ159">_xlfn.IFS(AR159 &lt;= 3, "New Relationship[1-3]", AR159 &lt;= 7, "Established Relationship[4-7]", AR159 &lt;= 12, "Long Term Relationship[8-12]", AR159 &lt;= 17, "Very Long Term Relationship[13-17]")</f>
        <v>New Relationship[1-3]</v>
      </c>
      <c r="AR159" s="1">
        <v>0</v>
      </c>
    </row>
    <row r="160" spans="1:44" x14ac:dyDescent="0.25">
      <c r="A160" s="1">
        <v>40</v>
      </c>
      <c r="B160" s="8" t="str" cm="1">
        <f t="array" ref="B160">_xlfn.IFS(A160 &lt;= 25, "[18-25]", A160 &lt;= 35, "[26-35]", A160 &lt;=45, "[36-45]", A160 &lt;= 60, "[46- 60]")</f>
        <v>[36-45]</v>
      </c>
      <c r="C160" s="3" t="s">
        <v>43</v>
      </c>
      <c r="D160">
        <f t="shared" si="2"/>
        <v>0</v>
      </c>
      <c r="E160" t="s">
        <v>36</v>
      </c>
      <c r="F160" s="1">
        <v>630</v>
      </c>
      <c r="G160" s="3" t="s">
        <v>37</v>
      </c>
      <c r="H160" s="1">
        <v>4</v>
      </c>
      <c r="I160" s="9" t="str" cm="1">
        <f t="array" ref="I160">_xlfn.IFS(H160 &lt;= 2, "[1-2] very close", H160 &lt;= 10, "[3-10] close", H160 &lt;= 20, "[11-20] moderate", H160 &lt;= 30, "[21-30] far")</f>
        <v>[3-10] close</v>
      </c>
      <c r="J160" s="1">
        <v>4</v>
      </c>
      <c r="K160" s="3" t="s">
        <v>59</v>
      </c>
      <c r="L160" s="1">
        <v>1</v>
      </c>
      <c r="M160" s="1">
        <v>215</v>
      </c>
      <c r="N160" s="1">
        <v>3</v>
      </c>
      <c r="O160" s="3" t="s">
        <v>46</v>
      </c>
      <c r="P160" s="1">
        <v>67</v>
      </c>
      <c r="Q160" s="1">
        <v>2</v>
      </c>
      <c r="R160" s="1">
        <v>3</v>
      </c>
      <c r="S160" s="3" t="s">
        <v>40</v>
      </c>
      <c r="T160" s="1">
        <v>4</v>
      </c>
      <c r="U160" s="3" t="s">
        <v>48</v>
      </c>
      <c r="V160" s="4">
        <v>10855</v>
      </c>
      <c r="W160" s="1">
        <v>8552</v>
      </c>
      <c r="X160" s="1">
        <v>7</v>
      </c>
      <c r="Y160" s="3" t="s">
        <v>42</v>
      </c>
      <c r="Z160" s="3" t="s">
        <v>43</v>
      </c>
      <c r="AA160" s="5">
        <v>0.11</v>
      </c>
      <c r="AB160" s="10" t="str" cm="1">
        <f t="array" ref="AB160">_xlfn.IFS(AA160 &lt;= 15%, "Low Hike[11-15%]", AA160 &lt;= 20%, "Moderate Hike[16-20%]", AA160 &lt;= 25%,"High Hike[21-25%]")</f>
        <v>Low Hike[11-15%]</v>
      </c>
      <c r="AC160" s="1">
        <v>3</v>
      </c>
      <c r="AD160" s="1">
        <v>1</v>
      </c>
      <c r="AE160" s="1">
        <v>80</v>
      </c>
      <c r="AF160" s="1">
        <v>1</v>
      </c>
      <c r="AG160" s="1">
        <v>15</v>
      </c>
      <c r="AH160" s="9" t="str" cm="1">
        <f t="array" ref="AH160">_xlfn.IFS(AG160 &lt;= 5, "New[1-5]", AG160 &lt;= 10, "Early Career[6-10]", AG160 &lt;= 20, "Established[11-20]", AG160 &lt;= 30, "Veteran[21-30]", AG160 &lt;= 40, "Late Career[31-40]")</f>
        <v>Established[11-20]</v>
      </c>
      <c r="AI160" s="1">
        <v>2</v>
      </c>
      <c r="AJ160" s="1">
        <v>2</v>
      </c>
      <c r="AK160" s="1">
        <v>12</v>
      </c>
      <c r="AL160" s="9" t="str" cm="1">
        <f t="array" ref="AL160">_xlfn.IFS(AK160 &lt;= 5, "New[1-5]", AK160 &lt;= 10, "Early Career[6-10]", AK160 &lt;= 20, "Established[11-20]", AK160 &lt;= 30, "Veteran[21-30]", AK160 &lt;= 40, "Late Career[31-40]")</f>
        <v>Established[11-20]</v>
      </c>
      <c r="AM160" s="1">
        <v>11</v>
      </c>
      <c r="AN160" s="9" t="str" cm="1">
        <f t="array" ref="AN160">_xlfn.IFS(AM160 &lt;= 3, "New to Role[1-3]", AM160 &lt;= 7, "Settled[4-7]", AM160 &lt;= 12, "Experienced[[8-12]", AM160 &lt;= 18, "Long Tenured[13-18]")</f>
        <v>Experienced[[8-12]</v>
      </c>
      <c r="AO160" s="1">
        <v>2</v>
      </c>
      <c r="AP160" s="9" t="str" cm="1">
        <f t="array" ref="AP160">_xlfn.IFS(AO160 &lt;= 3, "Recently[1-3]", AO160 &lt;= 6, "Due Soon[4-6]", AO160 &lt;= 10, "Overdue[7-10]", AO160 &lt;= 15, "Long Overdue[11-15]")</f>
        <v>Recently[1-3]</v>
      </c>
      <c r="AQ160" s="9" t="str" cm="1">
        <f t="array" ref="AQ160">_xlfn.IFS(AR160 &lt;= 3, "New Relationship[1-3]", AR160 &lt;= 7, "Established Relationship[4-7]", AR160 &lt;= 12, "Long Term Relationship[8-12]", AR160 &lt;= 17, "Very Long Term Relationship[13-17]")</f>
        <v>Long Term Relationship[8-12]</v>
      </c>
      <c r="AR160" s="1">
        <v>11</v>
      </c>
    </row>
    <row r="161" spans="1:44" x14ac:dyDescent="0.25">
      <c r="A161" s="1">
        <v>34</v>
      </c>
      <c r="B161" s="8" t="str" cm="1">
        <f t="array" ref="B161">_xlfn.IFS(A161 &lt;= 25, "[18-25]", A161 &lt;= 35, "[26-35]", A161 &lt;=45, "[36-45]", A161 &lt;= 60, "[46- 60]")</f>
        <v>[26-35]</v>
      </c>
      <c r="C161" s="3" t="s">
        <v>43</v>
      </c>
      <c r="D161">
        <f t="shared" si="2"/>
        <v>0</v>
      </c>
      <c r="E161" t="s">
        <v>44</v>
      </c>
      <c r="F161" s="1">
        <v>303</v>
      </c>
      <c r="G161" s="3" t="s">
        <v>37</v>
      </c>
      <c r="H161" s="1">
        <v>2</v>
      </c>
      <c r="I161" s="9" t="str" cm="1">
        <f t="array" ref="I161">_xlfn.IFS(H161 &lt;= 2, "[1-2] very close", H161 &lt;= 10, "[3-10] close", H161 &lt;= 20, "[11-20] moderate", H161 &lt;= 30, "[21-30] far")</f>
        <v>[1-2] very close</v>
      </c>
      <c r="J161" s="1">
        <v>4</v>
      </c>
      <c r="K161" s="3" t="s">
        <v>59</v>
      </c>
      <c r="L161" s="1">
        <v>1</v>
      </c>
      <c r="M161" s="1">
        <v>216</v>
      </c>
      <c r="N161" s="1">
        <v>3</v>
      </c>
      <c r="O161" s="3" t="s">
        <v>39</v>
      </c>
      <c r="P161" s="1">
        <v>75</v>
      </c>
      <c r="Q161" s="1">
        <v>3</v>
      </c>
      <c r="R161" s="1">
        <v>1</v>
      </c>
      <c r="S161" s="3" t="s">
        <v>57</v>
      </c>
      <c r="T161" s="1">
        <v>3</v>
      </c>
      <c r="U161" s="3" t="s">
        <v>48</v>
      </c>
      <c r="V161" s="4">
        <v>2231</v>
      </c>
      <c r="W161" s="1">
        <v>11314</v>
      </c>
      <c r="X161" s="1">
        <v>6</v>
      </c>
      <c r="Y161" s="3" t="s">
        <v>42</v>
      </c>
      <c r="Z161" s="3" t="s">
        <v>43</v>
      </c>
      <c r="AA161" s="5">
        <v>0.18</v>
      </c>
      <c r="AB161" s="10" t="str" cm="1">
        <f t="array" ref="AB161">_xlfn.IFS(AA161 &lt;= 15%, "Low Hike[11-15%]", AA161 &lt;= 20%, "Moderate Hike[16-20%]", AA161 &lt;= 25%,"High Hike[21-25%]")</f>
        <v>Moderate Hike[16-20%]</v>
      </c>
      <c r="AC161" s="1">
        <v>3</v>
      </c>
      <c r="AD161" s="1">
        <v>4</v>
      </c>
      <c r="AE161" s="1">
        <v>80</v>
      </c>
      <c r="AF161" s="1">
        <v>1</v>
      </c>
      <c r="AG161" s="1">
        <v>6</v>
      </c>
      <c r="AH161" s="9" t="str" cm="1">
        <f t="array" ref="AH161">_xlfn.IFS(AG161 &lt;= 5, "New[1-5]", AG161 &lt;= 10, "Early Career[6-10]", AG161 &lt;= 20, "Established[11-20]", AG161 &lt;= 30, "Veteran[21-30]", AG161 &lt;= 40, "Late Career[31-40]")</f>
        <v>Early Career[6-10]</v>
      </c>
      <c r="AI161" s="1">
        <v>3</v>
      </c>
      <c r="AJ161" s="1">
        <v>3</v>
      </c>
      <c r="AK161" s="1">
        <v>4</v>
      </c>
      <c r="AL161" s="9" t="str" cm="1">
        <f t="array" ref="AL161">_xlfn.IFS(AK161 &lt;= 5, "New[1-5]", AK161 &lt;= 10, "Early Career[6-10]", AK161 &lt;= 20, "Established[11-20]", AK161 &lt;= 30, "Veteran[21-30]", AK161 &lt;= 40, "Late Career[31-40]")</f>
        <v>New[1-5]</v>
      </c>
      <c r="AM161" s="1">
        <v>3</v>
      </c>
      <c r="AN161" s="9" t="str" cm="1">
        <f t="array" ref="AN161">_xlfn.IFS(AM161 &lt;= 3, "New to Role[1-3]", AM161 &lt;= 7, "Settled[4-7]", AM161 &lt;= 12, "Experienced[[8-12]", AM161 &lt;= 18, "Long Tenured[13-18]")</f>
        <v>New to Role[1-3]</v>
      </c>
      <c r="AO161" s="1">
        <v>1</v>
      </c>
      <c r="AP161" s="9" t="str" cm="1">
        <f t="array" ref="AP161">_xlfn.IFS(AO161 &lt;= 3, "Recently[1-3]", AO161 &lt;= 6, "Due Soon[4-6]", AO161 &lt;= 10, "Overdue[7-10]", AO161 &lt;= 15, "Long Overdue[11-15]")</f>
        <v>Recently[1-3]</v>
      </c>
      <c r="AQ161" s="9" t="str" cm="1">
        <f t="array" ref="AQ161">_xlfn.IFS(AR161 &lt;= 3, "New Relationship[1-3]", AR161 &lt;= 7, "Established Relationship[4-7]", AR161 &lt;= 12, "Long Term Relationship[8-12]", AR161 &lt;= 17, "Very Long Term Relationship[13-17]")</f>
        <v>New Relationship[1-3]</v>
      </c>
      <c r="AR161" s="1">
        <v>2</v>
      </c>
    </row>
    <row r="162" spans="1:44" x14ac:dyDescent="0.25">
      <c r="A162" s="1">
        <v>22</v>
      </c>
      <c r="B162" s="8" t="str" cm="1">
        <f t="array" ref="B162">_xlfn.IFS(A162 &lt;= 25, "[18-25]", A162 &lt;= 35, "[26-35]", A162 &lt;=45, "[36-45]", A162 &lt;= 60, "[46- 60]")</f>
        <v>[18-25]</v>
      </c>
      <c r="C162" s="3" t="s">
        <v>43</v>
      </c>
      <c r="D162">
        <f t="shared" si="2"/>
        <v>0</v>
      </c>
      <c r="E162" t="s">
        <v>36</v>
      </c>
      <c r="F162" s="1">
        <v>1256</v>
      </c>
      <c r="G162" s="3" t="s">
        <v>45</v>
      </c>
      <c r="H162" s="1">
        <v>19</v>
      </c>
      <c r="I162" s="9" t="str" cm="1">
        <f t="array" ref="I162">_xlfn.IFS(H162 &lt;= 2, "[1-2] very close", H162 &lt;= 10, "[3-10] close", H162 &lt;= 20, "[11-20] moderate", H162 &lt;= 30, "[21-30] far")</f>
        <v>[11-20] moderate</v>
      </c>
      <c r="J162" s="1">
        <v>1</v>
      </c>
      <c r="K162" s="3" t="s">
        <v>51</v>
      </c>
      <c r="L162" s="1">
        <v>1</v>
      </c>
      <c r="M162" s="1">
        <v>217</v>
      </c>
      <c r="N162" s="1">
        <v>3</v>
      </c>
      <c r="O162" s="3" t="s">
        <v>46</v>
      </c>
      <c r="P162" s="1">
        <v>80</v>
      </c>
      <c r="Q162" s="1">
        <v>3</v>
      </c>
      <c r="R162" s="1">
        <v>1</v>
      </c>
      <c r="S162" s="3" t="s">
        <v>47</v>
      </c>
      <c r="T162" s="1">
        <v>4</v>
      </c>
      <c r="U162" s="3" t="s">
        <v>48</v>
      </c>
      <c r="V162" s="4">
        <v>2323</v>
      </c>
      <c r="W162" s="1">
        <v>11992</v>
      </c>
      <c r="X162" s="1">
        <v>1</v>
      </c>
      <c r="Y162" s="3" t="s">
        <v>42</v>
      </c>
      <c r="Z162" s="3" t="s">
        <v>43</v>
      </c>
      <c r="AA162" s="5">
        <v>0.24</v>
      </c>
      <c r="AB162" s="10" t="str" cm="1">
        <f t="array" ref="AB162">_xlfn.IFS(AA162 &lt;= 15%, "Low Hike[11-15%]", AA162 &lt;= 20%, "Moderate Hike[16-20%]", AA162 &lt;= 25%,"High Hike[21-25%]")</f>
        <v>High Hike[21-25%]</v>
      </c>
      <c r="AC162" s="1">
        <v>4</v>
      </c>
      <c r="AD162" s="1">
        <v>1</v>
      </c>
      <c r="AE162" s="1">
        <v>80</v>
      </c>
      <c r="AF162" s="1">
        <v>2</v>
      </c>
      <c r="AG162" s="1">
        <v>2</v>
      </c>
      <c r="AH162" s="9" t="str" cm="1">
        <f t="array" ref="AH162">_xlfn.IFS(AG162 &lt;= 5, "New[1-5]", AG162 &lt;= 10, "Early Career[6-10]", AG162 &lt;= 20, "Established[11-20]", AG162 &lt;= 30, "Veteran[21-30]", AG162 &lt;= 40, "Late Career[31-40]")</f>
        <v>New[1-5]</v>
      </c>
      <c r="AI162" s="1">
        <v>6</v>
      </c>
      <c r="AJ162" s="1">
        <v>3</v>
      </c>
      <c r="AK162" s="1">
        <v>2</v>
      </c>
      <c r="AL162" s="9" t="str" cm="1">
        <f t="array" ref="AL162">_xlfn.IFS(AK162 &lt;= 5, "New[1-5]", AK162 &lt;= 10, "Early Career[6-10]", AK162 &lt;= 20, "Established[11-20]", AK162 &lt;= 30, "Veteran[21-30]", AK162 &lt;= 40, "Late Career[31-40]")</f>
        <v>New[1-5]</v>
      </c>
      <c r="AM162" s="1">
        <v>2</v>
      </c>
      <c r="AN162" s="9" t="str" cm="1">
        <f t="array" ref="AN162">_xlfn.IFS(AM162 &lt;= 3, "New to Role[1-3]", AM162 &lt;= 7, "Settled[4-7]", AM162 &lt;= 12, "Experienced[[8-12]", AM162 &lt;= 18, "Long Tenured[13-18]")</f>
        <v>New to Role[1-3]</v>
      </c>
      <c r="AO162" s="1">
        <v>2</v>
      </c>
      <c r="AP162" s="9" t="str" cm="1">
        <f t="array" ref="AP162">_xlfn.IFS(AO162 &lt;= 3, "Recently[1-3]", AO162 &lt;= 6, "Due Soon[4-6]", AO162 &lt;= 10, "Overdue[7-10]", AO162 &lt;= 15, "Long Overdue[11-15]")</f>
        <v>Recently[1-3]</v>
      </c>
      <c r="AQ162" s="9" t="str" cm="1">
        <f t="array" ref="AQ162">_xlfn.IFS(AR162 &lt;= 3, "New Relationship[1-3]", AR162 &lt;= 7, "Established Relationship[4-7]", AR162 &lt;= 12, "Long Term Relationship[8-12]", AR162 &lt;= 17, "Very Long Term Relationship[13-17]")</f>
        <v>New Relationship[1-3]</v>
      </c>
      <c r="AR162" s="1">
        <v>2</v>
      </c>
    </row>
    <row r="163" spans="1:44" x14ac:dyDescent="0.25">
      <c r="A163" s="1">
        <v>27</v>
      </c>
      <c r="B163" s="8" t="str" cm="1">
        <f t="array" ref="B163">_xlfn.IFS(A163 &lt;= 25, "[18-25]", A163 &lt;= 35, "[26-35]", A163 &lt;=45, "[36-45]", A163 &lt;= 60, "[46- 60]")</f>
        <v>[26-35]</v>
      </c>
      <c r="C163" s="3" t="s">
        <v>43</v>
      </c>
      <c r="D163">
        <f t="shared" si="2"/>
        <v>0</v>
      </c>
      <c r="E163" t="s">
        <v>62</v>
      </c>
      <c r="F163" s="1">
        <v>691</v>
      </c>
      <c r="G163" s="3" t="s">
        <v>45</v>
      </c>
      <c r="H163" s="1">
        <v>9</v>
      </c>
      <c r="I163" s="9" t="str" cm="1">
        <f t="array" ref="I163">_xlfn.IFS(H163 &lt;= 2, "[1-2] very close", H163 &lt;= 10, "[3-10] close", H163 &lt;= 20, "[11-20] moderate", H163 &lt;= 30, "[21-30] far")</f>
        <v>[3-10] close</v>
      </c>
      <c r="J163" s="1">
        <v>3</v>
      </c>
      <c r="K163" s="3" t="s">
        <v>51</v>
      </c>
      <c r="L163" s="1">
        <v>1</v>
      </c>
      <c r="M163" s="1">
        <v>218</v>
      </c>
      <c r="N163" s="1">
        <v>4</v>
      </c>
      <c r="O163" s="3" t="s">
        <v>46</v>
      </c>
      <c r="P163" s="1">
        <v>57</v>
      </c>
      <c r="Q163" s="1">
        <v>3</v>
      </c>
      <c r="R163" s="1">
        <v>1</v>
      </c>
      <c r="S163" s="3" t="s">
        <v>47</v>
      </c>
      <c r="T163" s="1">
        <v>2</v>
      </c>
      <c r="U163" s="3" t="s">
        <v>52</v>
      </c>
      <c r="V163" s="4">
        <v>2024</v>
      </c>
      <c r="W163" s="1">
        <v>5970</v>
      </c>
      <c r="X163" s="1">
        <v>6</v>
      </c>
      <c r="Y163" s="3" t="s">
        <v>42</v>
      </c>
      <c r="Z163" s="3" t="s">
        <v>43</v>
      </c>
      <c r="AA163" s="5">
        <v>0.18</v>
      </c>
      <c r="AB163" s="10" t="str" cm="1">
        <f t="array" ref="AB163">_xlfn.IFS(AA163 &lt;= 15%, "Low Hike[11-15%]", AA163 &lt;= 20%, "Moderate Hike[16-20%]", AA163 &lt;= 25%,"High Hike[21-25%]")</f>
        <v>Moderate Hike[16-20%]</v>
      </c>
      <c r="AC163" s="1">
        <v>3</v>
      </c>
      <c r="AD163" s="1">
        <v>4</v>
      </c>
      <c r="AE163" s="1">
        <v>80</v>
      </c>
      <c r="AF163" s="1">
        <v>1</v>
      </c>
      <c r="AG163" s="1">
        <v>6</v>
      </c>
      <c r="AH163" s="9" t="str" cm="1">
        <f t="array" ref="AH163">_xlfn.IFS(AG163 &lt;= 5, "New[1-5]", AG163 &lt;= 10, "Early Career[6-10]", AG163 &lt;= 20, "Established[11-20]", AG163 &lt;= 30, "Veteran[21-30]", AG163 &lt;= 40, "Late Career[31-40]")</f>
        <v>Early Career[6-10]</v>
      </c>
      <c r="AI163" s="1">
        <v>1</v>
      </c>
      <c r="AJ163" s="1">
        <v>1</v>
      </c>
      <c r="AK163" s="1">
        <v>2</v>
      </c>
      <c r="AL163" s="9" t="str" cm="1">
        <f t="array" ref="AL163">_xlfn.IFS(AK163 &lt;= 5, "New[1-5]", AK163 &lt;= 10, "Early Career[6-10]", AK163 &lt;= 20, "Established[11-20]", AK163 &lt;= 30, "Veteran[21-30]", AK163 &lt;= 40, "Late Career[31-40]")</f>
        <v>New[1-5]</v>
      </c>
      <c r="AM163" s="1">
        <v>2</v>
      </c>
      <c r="AN163" s="9" t="str" cm="1">
        <f t="array" ref="AN163">_xlfn.IFS(AM163 &lt;= 3, "New to Role[1-3]", AM163 &lt;= 7, "Settled[4-7]", AM163 &lt;= 12, "Experienced[[8-12]", AM163 &lt;= 18, "Long Tenured[13-18]")</f>
        <v>New to Role[1-3]</v>
      </c>
      <c r="AO163" s="1">
        <v>2</v>
      </c>
      <c r="AP163" s="9" t="str" cm="1">
        <f t="array" ref="AP163">_xlfn.IFS(AO163 &lt;= 3, "Recently[1-3]", AO163 &lt;= 6, "Due Soon[4-6]", AO163 &lt;= 10, "Overdue[7-10]", AO163 &lt;= 15, "Long Overdue[11-15]")</f>
        <v>Recently[1-3]</v>
      </c>
      <c r="AQ163" s="9" t="str" cm="1">
        <f t="array" ref="AQ163">_xlfn.IFS(AR163 &lt;= 3, "New Relationship[1-3]", AR163 &lt;= 7, "Established Relationship[4-7]", AR163 &lt;= 12, "Long Term Relationship[8-12]", AR163 &lt;= 17, "Very Long Term Relationship[13-17]")</f>
        <v>New Relationship[1-3]</v>
      </c>
      <c r="AR163" s="1">
        <v>2</v>
      </c>
    </row>
    <row r="164" spans="1:44" x14ac:dyDescent="0.25">
      <c r="A164" s="1">
        <v>28</v>
      </c>
      <c r="B164" s="8" t="str" cm="1">
        <f t="array" ref="B164">_xlfn.IFS(A164 &lt;= 25, "[18-25]", A164 &lt;= 35, "[26-35]", A164 &lt;=45, "[36-45]", A164 &lt;= 60, "[46- 60]")</f>
        <v>[26-35]</v>
      </c>
      <c r="C164" s="3" t="s">
        <v>43</v>
      </c>
      <c r="D164">
        <f t="shared" si="2"/>
        <v>0</v>
      </c>
      <c r="E164" t="s">
        <v>36</v>
      </c>
      <c r="F164" s="1">
        <v>440</v>
      </c>
      <c r="G164" s="3" t="s">
        <v>45</v>
      </c>
      <c r="H164" s="1">
        <v>21</v>
      </c>
      <c r="I164" s="9" t="str" cm="1">
        <f t="array" ref="I164">_xlfn.IFS(H164 &lt;= 2, "[1-2] very close", H164 &lt;= 10, "[3-10] close", H164 &lt;= 20, "[11-20] moderate", H164 &lt;= 30, "[21-30] far")</f>
        <v>[21-30] far</v>
      </c>
      <c r="J164" s="1">
        <v>3</v>
      </c>
      <c r="K164" s="3" t="s">
        <v>51</v>
      </c>
      <c r="L164" s="1">
        <v>1</v>
      </c>
      <c r="M164" s="1">
        <v>221</v>
      </c>
      <c r="N164" s="1">
        <v>3</v>
      </c>
      <c r="O164" s="3" t="s">
        <v>46</v>
      </c>
      <c r="P164" s="1">
        <v>42</v>
      </c>
      <c r="Q164" s="1">
        <v>3</v>
      </c>
      <c r="R164" s="1">
        <v>1</v>
      </c>
      <c r="S164" s="3" t="s">
        <v>47</v>
      </c>
      <c r="T164" s="1">
        <v>4</v>
      </c>
      <c r="U164" s="3" t="s">
        <v>48</v>
      </c>
      <c r="V164" s="4">
        <v>2713</v>
      </c>
      <c r="W164" s="1">
        <v>6672</v>
      </c>
      <c r="X164" s="1">
        <v>1</v>
      </c>
      <c r="Y164" s="3" t="s">
        <v>42</v>
      </c>
      <c r="Z164" s="3" t="s">
        <v>43</v>
      </c>
      <c r="AA164" s="5">
        <v>0.11</v>
      </c>
      <c r="AB164" s="10" t="str" cm="1">
        <f t="array" ref="AB164">_xlfn.IFS(AA164 &lt;= 15%, "Low Hike[11-15%]", AA164 &lt;= 20%, "Moderate Hike[16-20%]", AA164 &lt;= 25%,"High Hike[21-25%]")</f>
        <v>Low Hike[11-15%]</v>
      </c>
      <c r="AC164" s="1">
        <v>3</v>
      </c>
      <c r="AD164" s="1">
        <v>3</v>
      </c>
      <c r="AE164" s="1">
        <v>80</v>
      </c>
      <c r="AF164" s="1">
        <v>1</v>
      </c>
      <c r="AG164" s="1">
        <v>5</v>
      </c>
      <c r="AH164" s="9" t="str" cm="1">
        <f t="array" ref="AH164">_xlfn.IFS(AG164 &lt;= 5, "New[1-5]", AG164 &lt;= 10, "Early Career[6-10]", AG164 &lt;= 20, "Established[11-20]", AG164 &lt;= 30, "Veteran[21-30]", AG164 &lt;= 40, "Late Career[31-40]")</f>
        <v>New[1-5]</v>
      </c>
      <c r="AI164" s="1">
        <v>2</v>
      </c>
      <c r="AJ164" s="1">
        <v>1</v>
      </c>
      <c r="AK164" s="1">
        <v>5</v>
      </c>
      <c r="AL164" s="9" t="str" cm="1">
        <f t="array" ref="AL164">_xlfn.IFS(AK164 &lt;= 5, "New[1-5]", AK164 &lt;= 10, "Early Career[6-10]", AK164 &lt;= 20, "Established[11-20]", AK164 &lt;= 30, "Veteran[21-30]", AK164 &lt;= 40, "Late Career[31-40]")</f>
        <v>New[1-5]</v>
      </c>
      <c r="AM164" s="1">
        <v>2</v>
      </c>
      <c r="AN164" s="9" t="str" cm="1">
        <f t="array" ref="AN164">_xlfn.IFS(AM164 &lt;= 3, "New to Role[1-3]", AM164 &lt;= 7, "Settled[4-7]", AM164 &lt;= 12, "Experienced[[8-12]", AM164 &lt;= 18, "Long Tenured[13-18]")</f>
        <v>New to Role[1-3]</v>
      </c>
      <c r="AO164" s="1">
        <v>0</v>
      </c>
      <c r="AP164" s="9" t="str" cm="1">
        <f t="array" ref="AP164">_xlfn.IFS(AO164 &lt;= 3, "Recently[1-3]", AO164 &lt;= 6, "Due Soon[4-6]", AO164 &lt;= 10, "Overdue[7-10]", AO164 &lt;= 15, "Long Overdue[11-15]")</f>
        <v>Recently[1-3]</v>
      </c>
      <c r="AQ164" s="9" t="str" cm="1">
        <f t="array" ref="AQ164">_xlfn.IFS(AR164 &lt;= 3, "New Relationship[1-3]", AR164 &lt;= 7, "Established Relationship[4-7]", AR164 &lt;= 12, "Long Term Relationship[8-12]", AR164 &lt;= 17, "Very Long Term Relationship[13-17]")</f>
        <v>New Relationship[1-3]</v>
      </c>
      <c r="AR164" s="1">
        <v>2</v>
      </c>
    </row>
    <row r="165" spans="1:44" x14ac:dyDescent="0.25">
      <c r="A165" s="1">
        <v>57</v>
      </c>
      <c r="B165" s="8" t="str" cm="1">
        <f t="array" ref="B165">_xlfn.IFS(A165 &lt;= 25, "[18-25]", A165 &lt;= 35, "[26-35]", A165 &lt;=45, "[36-45]", A165 &lt;= 60, "[46- 60]")</f>
        <v>[46- 60]</v>
      </c>
      <c r="C165" s="3" t="s">
        <v>43</v>
      </c>
      <c r="D165">
        <f t="shared" si="2"/>
        <v>0</v>
      </c>
      <c r="E165" t="s">
        <v>36</v>
      </c>
      <c r="F165" s="1">
        <v>334</v>
      </c>
      <c r="G165" s="3" t="s">
        <v>45</v>
      </c>
      <c r="H165" s="1">
        <v>24</v>
      </c>
      <c r="I165" s="9" t="str" cm="1">
        <f t="array" ref="I165">_xlfn.IFS(H165 &lt;= 2, "[1-2] very close", H165 &lt;= 10, "[3-10] close", H165 &lt;= 20, "[11-20] moderate", H165 &lt;= 30, "[21-30] far")</f>
        <v>[21-30] far</v>
      </c>
      <c r="J165" s="1">
        <v>2</v>
      </c>
      <c r="K165" s="3" t="s">
        <v>38</v>
      </c>
      <c r="L165" s="1">
        <v>1</v>
      </c>
      <c r="M165" s="1">
        <v>223</v>
      </c>
      <c r="N165" s="1">
        <v>3</v>
      </c>
      <c r="O165" s="3" t="s">
        <v>46</v>
      </c>
      <c r="P165" s="1">
        <v>83</v>
      </c>
      <c r="Q165" s="1">
        <v>4</v>
      </c>
      <c r="R165" s="1">
        <v>3</v>
      </c>
      <c r="S165" s="3" t="s">
        <v>54</v>
      </c>
      <c r="T165" s="1">
        <v>4</v>
      </c>
      <c r="U165" s="3" t="s">
        <v>52</v>
      </c>
      <c r="V165" s="4">
        <v>9439</v>
      </c>
      <c r="W165" s="1">
        <v>23402</v>
      </c>
      <c r="X165" s="1">
        <v>3</v>
      </c>
      <c r="Y165" s="3" t="s">
        <v>42</v>
      </c>
      <c r="Z165" s="3" t="s">
        <v>35</v>
      </c>
      <c r="AA165" s="5">
        <v>0.16</v>
      </c>
      <c r="AB165" s="10" t="str" cm="1">
        <f t="array" ref="AB165">_xlfn.IFS(AA165 &lt;= 15%, "Low Hike[11-15%]", AA165 &lt;= 20%, "Moderate Hike[16-20%]", AA165 &lt;= 25%,"High Hike[21-25%]")</f>
        <v>Moderate Hike[16-20%]</v>
      </c>
      <c r="AC165" s="1">
        <v>3</v>
      </c>
      <c r="AD165" s="1">
        <v>2</v>
      </c>
      <c r="AE165" s="1">
        <v>80</v>
      </c>
      <c r="AF165" s="1">
        <v>1</v>
      </c>
      <c r="AG165" s="1">
        <v>12</v>
      </c>
      <c r="AH165" s="9" t="str" cm="1">
        <f t="array" ref="AH165">_xlfn.IFS(AG165 &lt;= 5, "New[1-5]", AG165 &lt;= 10, "Early Career[6-10]", AG165 &lt;= 20, "Established[11-20]", AG165 &lt;= 30, "Veteran[21-30]", AG165 &lt;= 40, "Late Career[31-40]")</f>
        <v>Established[11-20]</v>
      </c>
      <c r="AI165" s="1">
        <v>2</v>
      </c>
      <c r="AJ165" s="1">
        <v>1</v>
      </c>
      <c r="AK165" s="1">
        <v>5</v>
      </c>
      <c r="AL165" s="9" t="str" cm="1">
        <f t="array" ref="AL165">_xlfn.IFS(AK165 &lt;= 5, "New[1-5]", AK165 &lt;= 10, "Early Career[6-10]", AK165 &lt;= 20, "Established[11-20]", AK165 &lt;= 30, "Veteran[21-30]", AK165 &lt;= 40, "Late Career[31-40]")</f>
        <v>New[1-5]</v>
      </c>
      <c r="AM165" s="1">
        <v>3</v>
      </c>
      <c r="AN165" s="9" t="str" cm="1">
        <f t="array" ref="AN165">_xlfn.IFS(AM165 &lt;= 3, "New to Role[1-3]", AM165 &lt;= 7, "Settled[4-7]", AM165 &lt;= 12, "Experienced[[8-12]", AM165 &lt;= 18, "Long Tenured[13-18]")</f>
        <v>New to Role[1-3]</v>
      </c>
      <c r="AO165" s="1">
        <v>1</v>
      </c>
      <c r="AP165" s="9" t="str" cm="1">
        <f t="array" ref="AP165">_xlfn.IFS(AO165 &lt;= 3, "Recently[1-3]", AO165 &lt;= 6, "Due Soon[4-6]", AO165 &lt;= 10, "Overdue[7-10]", AO165 &lt;= 15, "Long Overdue[11-15]")</f>
        <v>Recently[1-3]</v>
      </c>
      <c r="AQ165" s="9" t="str" cm="1">
        <f t="array" ref="AQ165">_xlfn.IFS(AR165 &lt;= 3, "New Relationship[1-3]", AR165 &lt;= 7, "Established Relationship[4-7]", AR165 &lt;= 12, "Long Term Relationship[8-12]", AR165 &lt;= 17, "Very Long Term Relationship[13-17]")</f>
        <v>Established Relationship[4-7]</v>
      </c>
      <c r="AR165" s="1">
        <v>4</v>
      </c>
    </row>
    <row r="166" spans="1:44" x14ac:dyDescent="0.25">
      <c r="A166" s="1">
        <v>27</v>
      </c>
      <c r="B166" s="8" t="str" cm="1">
        <f t="array" ref="B166">_xlfn.IFS(A166 &lt;= 25, "[18-25]", A166 &lt;= 35, "[26-35]", A166 &lt;=45, "[36-45]", A166 &lt;= 60, "[46- 60]")</f>
        <v>[26-35]</v>
      </c>
      <c r="C166" s="3" t="s">
        <v>43</v>
      </c>
      <c r="D166">
        <f t="shared" si="2"/>
        <v>0</v>
      </c>
      <c r="E166" t="s">
        <v>62</v>
      </c>
      <c r="F166" s="1">
        <v>1450</v>
      </c>
      <c r="G166" s="3" t="s">
        <v>45</v>
      </c>
      <c r="H166" s="1">
        <v>3</v>
      </c>
      <c r="I166" s="9" t="str" cm="1">
        <f t="array" ref="I166">_xlfn.IFS(H166 &lt;= 2, "[1-2] very close", H166 &lt;= 10, "[3-10] close", H166 &lt;= 20, "[11-20] moderate", H166 &lt;= 30, "[21-30] far")</f>
        <v>[3-10] close</v>
      </c>
      <c r="J166" s="1">
        <v>3</v>
      </c>
      <c r="K166" s="3" t="s">
        <v>51</v>
      </c>
      <c r="L166" s="1">
        <v>1</v>
      </c>
      <c r="M166" s="1">
        <v>224</v>
      </c>
      <c r="N166" s="1">
        <v>3</v>
      </c>
      <c r="O166" s="3" t="s">
        <v>46</v>
      </c>
      <c r="P166" s="1">
        <v>79</v>
      </c>
      <c r="Q166" s="1">
        <v>2</v>
      </c>
      <c r="R166" s="1">
        <v>1</v>
      </c>
      <c r="S166" s="3" t="s">
        <v>47</v>
      </c>
      <c r="T166" s="1">
        <v>3</v>
      </c>
      <c r="U166" s="3" t="s">
        <v>52</v>
      </c>
      <c r="V166" s="4">
        <v>2566</v>
      </c>
      <c r="W166" s="1">
        <v>25326</v>
      </c>
      <c r="X166" s="1">
        <v>1</v>
      </c>
      <c r="Y166" s="3" t="s">
        <v>42</v>
      </c>
      <c r="Z166" s="3" t="s">
        <v>35</v>
      </c>
      <c r="AA166" s="5">
        <v>0.15</v>
      </c>
      <c r="AB166" s="10" t="str" cm="1">
        <f t="array" ref="AB166">_xlfn.IFS(AA166 &lt;= 15%, "Low Hike[11-15%]", AA166 &lt;= 20%, "Moderate Hike[16-20%]", AA166 &lt;= 25%,"High Hike[21-25%]")</f>
        <v>Low Hike[11-15%]</v>
      </c>
      <c r="AC166" s="1">
        <v>3</v>
      </c>
      <c r="AD166" s="1">
        <v>4</v>
      </c>
      <c r="AE166" s="1">
        <v>80</v>
      </c>
      <c r="AF166" s="1">
        <v>1</v>
      </c>
      <c r="AG166" s="1">
        <v>1</v>
      </c>
      <c r="AH166" s="9" t="str" cm="1">
        <f t="array" ref="AH166">_xlfn.IFS(AG166 &lt;= 5, "New[1-5]", AG166 &lt;= 10, "Early Career[6-10]", AG166 &lt;= 20, "Established[11-20]", AG166 &lt;= 30, "Veteran[21-30]", AG166 &lt;= 40, "Late Career[31-40]")</f>
        <v>New[1-5]</v>
      </c>
      <c r="AI166" s="1">
        <v>2</v>
      </c>
      <c r="AJ166" s="1">
        <v>2</v>
      </c>
      <c r="AK166" s="1">
        <v>1</v>
      </c>
      <c r="AL166" s="9" t="str" cm="1">
        <f t="array" ref="AL166">_xlfn.IFS(AK166 &lt;= 5, "New[1-5]", AK166 &lt;= 10, "Early Career[6-10]", AK166 &lt;= 20, "Established[11-20]", AK166 &lt;= 30, "Veteran[21-30]", AK166 &lt;= 40, "Late Career[31-40]")</f>
        <v>New[1-5]</v>
      </c>
      <c r="AM166" s="1">
        <v>1</v>
      </c>
      <c r="AN166" s="9" t="str" cm="1">
        <f t="array" ref="AN166">_xlfn.IFS(AM166 &lt;= 3, "New to Role[1-3]", AM166 &lt;= 7, "Settled[4-7]", AM166 &lt;= 12, "Experienced[[8-12]", AM166 &lt;= 18, "Long Tenured[13-18]")</f>
        <v>New to Role[1-3]</v>
      </c>
      <c r="AO166" s="1">
        <v>0</v>
      </c>
      <c r="AP166" s="9" t="str" cm="1">
        <f t="array" ref="AP166">_xlfn.IFS(AO166 &lt;= 3, "Recently[1-3]", AO166 &lt;= 6, "Due Soon[4-6]", AO166 &lt;= 10, "Overdue[7-10]", AO166 &lt;= 15, "Long Overdue[11-15]")</f>
        <v>Recently[1-3]</v>
      </c>
      <c r="AQ166" s="9" t="str" cm="1">
        <f t="array" ref="AQ166">_xlfn.IFS(AR166 &lt;= 3, "New Relationship[1-3]", AR166 &lt;= 7, "Established Relationship[4-7]", AR166 &lt;= 12, "Long Term Relationship[8-12]", AR166 &lt;= 17, "Very Long Term Relationship[13-17]")</f>
        <v>New Relationship[1-3]</v>
      </c>
      <c r="AR166" s="1">
        <v>1</v>
      </c>
    </row>
    <row r="167" spans="1:44" x14ac:dyDescent="0.25">
      <c r="A167" s="1">
        <v>50</v>
      </c>
      <c r="B167" s="8" t="str" cm="1">
        <f t="array" ref="B167">_xlfn.IFS(A167 &lt;= 25, "[18-25]", A167 &lt;= 35, "[26-35]", A167 &lt;=45, "[36-45]", A167 &lt;= 60, "[46- 60]")</f>
        <v>[46- 60]</v>
      </c>
      <c r="C167" s="3" t="s">
        <v>43</v>
      </c>
      <c r="D167">
        <f t="shared" si="2"/>
        <v>0</v>
      </c>
      <c r="E167" t="s">
        <v>36</v>
      </c>
      <c r="F167" s="1">
        <v>1452</v>
      </c>
      <c r="G167" s="3" t="s">
        <v>45</v>
      </c>
      <c r="H167" s="1">
        <v>11</v>
      </c>
      <c r="I167" s="9" t="str" cm="1">
        <f t="array" ref="I167">_xlfn.IFS(H167 &lt;= 2, "[1-2] very close", H167 &lt;= 10, "[3-10] close", H167 &lt;= 20, "[11-20] moderate", H167 &lt;= 30, "[21-30] far")</f>
        <v>[11-20] moderate</v>
      </c>
      <c r="J167" s="1">
        <v>3</v>
      </c>
      <c r="K167" s="3" t="s">
        <v>38</v>
      </c>
      <c r="L167" s="1">
        <v>1</v>
      </c>
      <c r="M167" s="1">
        <v>226</v>
      </c>
      <c r="N167" s="1">
        <v>3</v>
      </c>
      <c r="O167" s="3" t="s">
        <v>39</v>
      </c>
      <c r="P167" s="1">
        <v>53</v>
      </c>
      <c r="Q167" s="1">
        <v>3</v>
      </c>
      <c r="R167" s="1">
        <v>5</v>
      </c>
      <c r="S167" s="3" t="s">
        <v>56</v>
      </c>
      <c r="T167" s="1">
        <v>2</v>
      </c>
      <c r="U167" s="3" t="s">
        <v>41</v>
      </c>
      <c r="V167" s="4">
        <v>19926</v>
      </c>
      <c r="W167" s="1">
        <v>17053</v>
      </c>
      <c r="X167" s="1">
        <v>3</v>
      </c>
      <c r="Y167" s="3" t="s">
        <v>42</v>
      </c>
      <c r="Z167" s="3" t="s">
        <v>43</v>
      </c>
      <c r="AA167" s="5">
        <v>0.15</v>
      </c>
      <c r="AB167" s="10" t="str" cm="1">
        <f t="array" ref="AB167">_xlfn.IFS(AA167 &lt;= 15%, "Low Hike[11-15%]", AA167 &lt;= 20%, "Moderate Hike[16-20%]", AA167 &lt;= 25%,"High Hike[21-25%]")</f>
        <v>Low Hike[11-15%]</v>
      </c>
      <c r="AC167" s="1">
        <v>3</v>
      </c>
      <c r="AD167" s="1">
        <v>2</v>
      </c>
      <c r="AE167" s="1">
        <v>80</v>
      </c>
      <c r="AF167" s="1">
        <v>0</v>
      </c>
      <c r="AG167" s="1">
        <v>21</v>
      </c>
      <c r="AH167" s="9" t="str" cm="1">
        <f t="array" ref="AH167">_xlfn.IFS(AG167 &lt;= 5, "New[1-5]", AG167 &lt;= 10, "Early Career[6-10]", AG167 &lt;= 20, "Established[11-20]", AG167 &lt;= 30, "Veteran[21-30]", AG167 &lt;= 40, "Late Career[31-40]")</f>
        <v>Veteran[21-30]</v>
      </c>
      <c r="AI167" s="1">
        <v>5</v>
      </c>
      <c r="AJ167" s="1">
        <v>3</v>
      </c>
      <c r="AK167" s="1">
        <v>5</v>
      </c>
      <c r="AL167" s="9" t="str" cm="1">
        <f t="array" ref="AL167">_xlfn.IFS(AK167 &lt;= 5, "New[1-5]", AK167 &lt;= 10, "Early Career[6-10]", AK167 &lt;= 20, "Established[11-20]", AK167 &lt;= 30, "Veteran[21-30]", AK167 &lt;= 40, "Late Career[31-40]")</f>
        <v>New[1-5]</v>
      </c>
      <c r="AM167" s="1">
        <v>4</v>
      </c>
      <c r="AN167" s="9" t="str" cm="1">
        <f t="array" ref="AN167">_xlfn.IFS(AM167 &lt;= 3, "New to Role[1-3]", AM167 &lt;= 7, "Settled[4-7]", AM167 &lt;= 12, "Experienced[[8-12]", AM167 &lt;= 18, "Long Tenured[13-18]")</f>
        <v>Settled[4-7]</v>
      </c>
      <c r="AO167" s="1">
        <v>4</v>
      </c>
      <c r="AP167" s="9" t="str" cm="1">
        <f t="array" ref="AP167">_xlfn.IFS(AO167 &lt;= 3, "Recently[1-3]", AO167 &lt;= 6, "Due Soon[4-6]", AO167 &lt;= 10, "Overdue[7-10]", AO167 &lt;= 15, "Long Overdue[11-15]")</f>
        <v>Due Soon[4-6]</v>
      </c>
      <c r="AQ167" s="9" t="str" cm="1">
        <f t="array" ref="AQ167">_xlfn.IFS(AR167 &lt;= 3, "New Relationship[1-3]", AR167 &lt;= 7, "Established Relationship[4-7]", AR167 &lt;= 12, "Long Term Relationship[8-12]", AR167 &lt;= 17, "Very Long Term Relationship[13-17]")</f>
        <v>Established Relationship[4-7]</v>
      </c>
      <c r="AR167" s="1">
        <v>4</v>
      </c>
    </row>
    <row r="168" spans="1:44" x14ac:dyDescent="0.25">
      <c r="A168" s="1">
        <v>41</v>
      </c>
      <c r="B168" s="8" t="str" cm="1">
        <f t="array" ref="B168">_xlfn.IFS(A168 &lt;= 25, "[18-25]", A168 &lt;= 35, "[26-35]", A168 &lt;=45, "[36-45]", A168 &lt;= 60, "[46- 60]")</f>
        <v>[36-45]</v>
      </c>
      <c r="C168" s="3" t="s">
        <v>43</v>
      </c>
      <c r="D168">
        <f t="shared" si="2"/>
        <v>0</v>
      </c>
      <c r="E168" t="s">
        <v>36</v>
      </c>
      <c r="F168" s="1">
        <v>465</v>
      </c>
      <c r="G168" s="3" t="s">
        <v>45</v>
      </c>
      <c r="H168" s="1">
        <v>14</v>
      </c>
      <c r="I168" s="9" t="str" cm="1">
        <f t="array" ref="I168">_xlfn.IFS(H168 &lt;= 2, "[1-2] very close", H168 &lt;= 10, "[3-10] close", H168 &lt;= 20, "[11-20] moderate", H168 &lt;= 30, "[21-30] far")</f>
        <v>[11-20] moderate</v>
      </c>
      <c r="J168" s="1">
        <v>3</v>
      </c>
      <c r="K168" s="3" t="s">
        <v>38</v>
      </c>
      <c r="L168" s="1">
        <v>1</v>
      </c>
      <c r="M168" s="1">
        <v>227</v>
      </c>
      <c r="N168" s="1">
        <v>1</v>
      </c>
      <c r="O168" s="3" t="s">
        <v>46</v>
      </c>
      <c r="P168" s="1">
        <v>56</v>
      </c>
      <c r="Q168" s="1">
        <v>3</v>
      </c>
      <c r="R168" s="1">
        <v>1</v>
      </c>
      <c r="S168" s="3" t="s">
        <v>47</v>
      </c>
      <c r="T168" s="1">
        <v>3</v>
      </c>
      <c r="U168" s="3" t="s">
        <v>52</v>
      </c>
      <c r="V168" s="4">
        <v>2451</v>
      </c>
      <c r="W168" s="1">
        <v>4609</v>
      </c>
      <c r="X168" s="1">
        <v>4</v>
      </c>
      <c r="Y168" s="3" t="s">
        <v>42</v>
      </c>
      <c r="Z168" s="3" t="s">
        <v>43</v>
      </c>
      <c r="AA168" s="5">
        <v>0.12</v>
      </c>
      <c r="AB168" s="10" t="str" cm="1">
        <f t="array" ref="AB168">_xlfn.IFS(AA168 &lt;= 15%, "Low Hike[11-15%]", AA168 &lt;= 20%, "Moderate Hike[16-20%]", AA168 &lt;= 25%,"High Hike[21-25%]")</f>
        <v>Low Hike[11-15%]</v>
      </c>
      <c r="AC168" s="1">
        <v>3</v>
      </c>
      <c r="AD168" s="1">
        <v>1</v>
      </c>
      <c r="AE168" s="1">
        <v>80</v>
      </c>
      <c r="AF168" s="1">
        <v>1</v>
      </c>
      <c r="AG168" s="1">
        <v>13</v>
      </c>
      <c r="AH168" s="9" t="str" cm="1">
        <f t="array" ref="AH168">_xlfn.IFS(AG168 &lt;= 5, "New[1-5]", AG168 &lt;= 10, "Early Career[6-10]", AG168 &lt;= 20, "Established[11-20]", AG168 &lt;= 30, "Veteran[21-30]", AG168 &lt;= 40, "Late Career[31-40]")</f>
        <v>Established[11-20]</v>
      </c>
      <c r="AI168" s="1">
        <v>2</v>
      </c>
      <c r="AJ168" s="1">
        <v>3</v>
      </c>
      <c r="AK168" s="1">
        <v>9</v>
      </c>
      <c r="AL168" s="9" t="str" cm="1">
        <f t="array" ref="AL168">_xlfn.IFS(AK168 &lt;= 5, "New[1-5]", AK168 &lt;= 10, "Early Career[6-10]", AK168 &lt;= 20, "Established[11-20]", AK168 &lt;= 30, "Veteran[21-30]", AK168 &lt;= 40, "Late Career[31-40]")</f>
        <v>Early Career[6-10]</v>
      </c>
      <c r="AM168" s="1">
        <v>8</v>
      </c>
      <c r="AN168" s="9" t="str" cm="1">
        <f t="array" ref="AN168">_xlfn.IFS(AM168 &lt;= 3, "New to Role[1-3]", AM168 &lt;= 7, "Settled[4-7]", AM168 &lt;= 12, "Experienced[[8-12]", AM168 &lt;= 18, "Long Tenured[13-18]")</f>
        <v>Experienced[[8-12]</v>
      </c>
      <c r="AO168" s="1">
        <v>1</v>
      </c>
      <c r="AP168" s="9" t="str" cm="1">
        <f t="array" ref="AP168">_xlfn.IFS(AO168 &lt;= 3, "Recently[1-3]", AO168 &lt;= 6, "Due Soon[4-6]", AO168 &lt;= 10, "Overdue[7-10]", AO168 &lt;= 15, "Long Overdue[11-15]")</f>
        <v>Recently[1-3]</v>
      </c>
      <c r="AQ168" s="9" t="str" cm="1">
        <f t="array" ref="AQ168">_xlfn.IFS(AR168 &lt;= 3, "New Relationship[1-3]", AR168 &lt;= 7, "Established Relationship[4-7]", AR168 &lt;= 12, "Long Term Relationship[8-12]", AR168 &lt;= 17, "Very Long Term Relationship[13-17]")</f>
        <v>Long Term Relationship[8-12]</v>
      </c>
      <c r="AR168" s="1">
        <v>8</v>
      </c>
    </row>
    <row r="169" spans="1:44" x14ac:dyDescent="0.25">
      <c r="A169" s="1">
        <v>30</v>
      </c>
      <c r="B169" s="8" t="str" cm="1">
        <f t="array" ref="B169">_xlfn.IFS(A169 &lt;= 25, "[18-25]", A169 &lt;= 35, "[26-35]", A169 &lt;=45, "[36-45]", A169 &lt;= 60, "[46- 60]")</f>
        <v>[26-35]</v>
      </c>
      <c r="C169" s="3" t="s">
        <v>43</v>
      </c>
      <c r="D169">
        <f t="shared" si="2"/>
        <v>0</v>
      </c>
      <c r="E169" t="s">
        <v>36</v>
      </c>
      <c r="F169" s="1">
        <v>1339</v>
      </c>
      <c r="G169" s="3" t="s">
        <v>37</v>
      </c>
      <c r="H169" s="1">
        <v>5</v>
      </c>
      <c r="I169" s="9" t="str" cm="1">
        <f t="array" ref="I169">_xlfn.IFS(H169 &lt;= 2, "[1-2] very close", H169 &lt;= 10, "[3-10] close", H169 &lt;= 20, "[11-20] moderate", H169 &lt;= 30, "[21-30] far")</f>
        <v>[3-10] close</v>
      </c>
      <c r="J169" s="1">
        <v>3</v>
      </c>
      <c r="K169" s="3" t="s">
        <v>38</v>
      </c>
      <c r="L169" s="1">
        <v>1</v>
      </c>
      <c r="M169" s="1">
        <v>228</v>
      </c>
      <c r="N169" s="1">
        <v>2</v>
      </c>
      <c r="O169" s="3" t="s">
        <v>39</v>
      </c>
      <c r="P169" s="1">
        <v>41</v>
      </c>
      <c r="Q169" s="1">
        <v>3</v>
      </c>
      <c r="R169" s="1">
        <v>3</v>
      </c>
      <c r="S169" s="3" t="s">
        <v>40</v>
      </c>
      <c r="T169" s="1">
        <v>4</v>
      </c>
      <c r="U169" s="3" t="s">
        <v>48</v>
      </c>
      <c r="V169" s="4">
        <v>9419</v>
      </c>
      <c r="W169" s="1">
        <v>8053</v>
      </c>
      <c r="X169" s="1">
        <v>2</v>
      </c>
      <c r="Y169" s="3" t="s">
        <v>42</v>
      </c>
      <c r="Z169" s="3" t="s">
        <v>43</v>
      </c>
      <c r="AA169" s="5">
        <v>0.12</v>
      </c>
      <c r="AB169" s="10" t="str" cm="1">
        <f t="array" ref="AB169">_xlfn.IFS(AA169 &lt;= 15%, "Low Hike[11-15%]", AA169 &lt;= 20%, "Moderate Hike[16-20%]", AA169 &lt;= 25%,"High Hike[21-25%]")</f>
        <v>Low Hike[11-15%]</v>
      </c>
      <c r="AC169" s="1">
        <v>3</v>
      </c>
      <c r="AD169" s="1">
        <v>3</v>
      </c>
      <c r="AE169" s="1">
        <v>80</v>
      </c>
      <c r="AF169" s="1">
        <v>1</v>
      </c>
      <c r="AG169" s="1">
        <v>12</v>
      </c>
      <c r="AH169" s="9" t="str" cm="1">
        <f t="array" ref="AH169">_xlfn.IFS(AG169 &lt;= 5, "New[1-5]", AG169 &lt;= 10, "Early Career[6-10]", AG169 &lt;= 20, "Established[11-20]", AG169 &lt;= 30, "Veteran[21-30]", AG169 &lt;= 40, "Late Career[31-40]")</f>
        <v>Established[11-20]</v>
      </c>
      <c r="AI169" s="1">
        <v>2</v>
      </c>
      <c r="AJ169" s="1">
        <v>3</v>
      </c>
      <c r="AK169" s="1">
        <v>10</v>
      </c>
      <c r="AL169" s="9" t="str" cm="1">
        <f t="array" ref="AL169">_xlfn.IFS(AK169 &lt;= 5, "New[1-5]", AK169 &lt;= 10, "Early Career[6-10]", AK169 &lt;= 20, "Established[11-20]", AK169 &lt;= 30, "Veteran[21-30]", AK169 &lt;= 40, "Late Career[31-40]")</f>
        <v>Early Career[6-10]</v>
      </c>
      <c r="AM169" s="1">
        <v>9</v>
      </c>
      <c r="AN169" s="9" t="str" cm="1">
        <f t="array" ref="AN169">_xlfn.IFS(AM169 &lt;= 3, "New to Role[1-3]", AM169 &lt;= 7, "Settled[4-7]", AM169 &lt;= 12, "Experienced[[8-12]", AM169 &lt;= 18, "Long Tenured[13-18]")</f>
        <v>Experienced[[8-12]</v>
      </c>
      <c r="AO169" s="1">
        <v>7</v>
      </c>
      <c r="AP169" s="9" t="str" cm="1">
        <f t="array" ref="AP169">_xlfn.IFS(AO169 &lt;= 3, "Recently[1-3]", AO169 &lt;= 6, "Due Soon[4-6]", AO169 &lt;= 10, "Overdue[7-10]", AO169 &lt;= 15, "Long Overdue[11-15]")</f>
        <v>Overdue[7-10]</v>
      </c>
      <c r="AQ169" s="9" t="str" cm="1">
        <f t="array" ref="AQ169">_xlfn.IFS(AR169 &lt;= 3, "New Relationship[1-3]", AR169 &lt;= 7, "Established Relationship[4-7]", AR169 &lt;= 12, "Long Term Relationship[8-12]", AR169 &lt;= 17, "Very Long Term Relationship[13-17]")</f>
        <v>Established Relationship[4-7]</v>
      </c>
      <c r="AR169" s="1">
        <v>4</v>
      </c>
    </row>
    <row r="170" spans="1:44" x14ac:dyDescent="0.25">
      <c r="A170" s="1">
        <v>38</v>
      </c>
      <c r="B170" s="8" t="str" cm="1">
        <f t="array" ref="B170">_xlfn.IFS(A170 &lt;= 25, "[18-25]", A170 &lt;= 35, "[26-35]", A170 &lt;=45, "[36-45]", A170 &lt;= 60, "[46- 60]")</f>
        <v>[36-45]</v>
      </c>
      <c r="C170" s="3" t="s">
        <v>43</v>
      </c>
      <c r="D170">
        <f t="shared" si="2"/>
        <v>0</v>
      </c>
      <c r="E170" t="s">
        <v>36</v>
      </c>
      <c r="F170" s="1">
        <v>702</v>
      </c>
      <c r="G170" s="3" t="s">
        <v>37</v>
      </c>
      <c r="H170" s="1">
        <v>1</v>
      </c>
      <c r="I170" s="9" t="str" cm="1">
        <f t="array" ref="I170">_xlfn.IFS(H170 &lt;= 2, "[1-2] very close", H170 &lt;= 10, "[3-10] close", H170 &lt;= 20, "[11-20] moderate", H170 &lt;= 30, "[21-30] far")</f>
        <v>[1-2] very close</v>
      </c>
      <c r="J170" s="1">
        <v>4</v>
      </c>
      <c r="K170" s="3" t="s">
        <v>38</v>
      </c>
      <c r="L170" s="1">
        <v>1</v>
      </c>
      <c r="M170" s="1">
        <v>230</v>
      </c>
      <c r="N170" s="1">
        <v>1</v>
      </c>
      <c r="O170" s="3" t="s">
        <v>39</v>
      </c>
      <c r="P170" s="1">
        <v>59</v>
      </c>
      <c r="Q170" s="1">
        <v>2</v>
      </c>
      <c r="R170" s="1">
        <v>2</v>
      </c>
      <c r="S170" s="3" t="s">
        <v>40</v>
      </c>
      <c r="T170" s="1">
        <v>4</v>
      </c>
      <c r="U170" s="3" t="s">
        <v>41</v>
      </c>
      <c r="V170" s="4">
        <v>8686</v>
      </c>
      <c r="W170" s="1">
        <v>12930</v>
      </c>
      <c r="X170" s="1">
        <v>4</v>
      </c>
      <c r="Y170" s="3" t="s">
        <v>42</v>
      </c>
      <c r="Z170" s="3" t="s">
        <v>43</v>
      </c>
      <c r="AA170" s="5">
        <v>0.22</v>
      </c>
      <c r="AB170" s="10" t="str" cm="1">
        <f t="array" ref="AB170">_xlfn.IFS(AA170 &lt;= 15%, "Low Hike[11-15%]", AA170 &lt;= 20%, "Moderate Hike[16-20%]", AA170 &lt;= 25%,"High Hike[21-25%]")</f>
        <v>High Hike[21-25%]</v>
      </c>
      <c r="AC170" s="1">
        <v>4</v>
      </c>
      <c r="AD170" s="1">
        <v>3</v>
      </c>
      <c r="AE170" s="1">
        <v>80</v>
      </c>
      <c r="AF170" s="1">
        <v>0</v>
      </c>
      <c r="AG170" s="1">
        <v>12</v>
      </c>
      <c r="AH170" s="9" t="str" cm="1">
        <f t="array" ref="AH170">_xlfn.IFS(AG170 &lt;= 5, "New[1-5]", AG170 &lt;= 10, "Early Career[6-10]", AG170 &lt;= 20, "Established[11-20]", AG170 &lt;= 30, "Veteran[21-30]", AG170 &lt;= 40, "Late Career[31-40]")</f>
        <v>Established[11-20]</v>
      </c>
      <c r="AI170" s="1">
        <v>2</v>
      </c>
      <c r="AJ170" s="1">
        <v>4</v>
      </c>
      <c r="AK170" s="1">
        <v>8</v>
      </c>
      <c r="AL170" s="9" t="str" cm="1">
        <f t="array" ref="AL170">_xlfn.IFS(AK170 &lt;= 5, "New[1-5]", AK170 &lt;= 10, "Early Career[6-10]", AK170 &lt;= 20, "Established[11-20]", AK170 &lt;= 30, "Veteran[21-30]", AK170 &lt;= 40, "Late Career[31-40]")</f>
        <v>Early Career[6-10]</v>
      </c>
      <c r="AM170" s="1">
        <v>3</v>
      </c>
      <c r="AN170" s="9" t="str" cm="1">
        <f t="array" ref="AN170">_xlfn.IFS(AM170 &lt;= 3, "New to Role[1-3]", AM170 &lt;= 7, "Settled[4-7]", AM170 &lt;= 12, "Experienced[[8-12]", AM170 &lt;= 18, "Long Tenured[13-18]")</f>
        <v>New to Role[1-3]</v>
      </c>
      <c r="AO170" s="1">
        <v>0</v>
      </c>
      <c r="AP170" s="9" t="str" cm="1">
        <f t="array" ref="AP170">_xlfn.IFS(AO170 &lt;= 3, "Recently[1-3]", AO170 &lt;= 6, "Due Soon[4-6]", AO170 &lt;= 10, "Overdue[7-10]", AO170 &lt;= 15, "Long Overdue[11-15]")</f>
        <v>Recently[1-3]</v>
      </c>
      <c r="AQ170" s="9" t="str" cm="1">
        <f t="array" ref="AQ170">_xlfn.IFS(AR170 &lt;= 3, "New Relationship[1-3]", AR170 &lt;= 7, "Established Relationship[4-7]", AR170 &lt;= 12, "Long Term Relationship[8-12]", AR170 &lt;= 17, "Very Long Term Relationship[13-17]")</f>
        <v>Established Relationship[4-7]</v>
      </c>
      <c r="AR170" s="1">
        <v>7</v>
      </c>
    </row>
    <row r="171" spans="1:44" x14ac:dyDescent="0.25">
      <c r="A171" s="1">
        <v>32</v>
      </c>
      <c r="B171" s="8" t="str" cm="1">
        <f t="array" ref="B171">_xlfn.IFS(A171 &lt;= 25, "[18-25]", A171 &lt;= 35, "[26-35]", A171 &lt;=45, "[36-45]", A171 &lt;= 60, "[46- 60]")</f>
        <v>[26-35]</v>
      </c>
      <c r="C171" s="3" t="s">
        <v>43</v>
      </c>
      <c r="D171">
        <f t="shared" si="2"/>
        <v>0</v>
      </c>
      <c r="E171" t="s">
        <v>36</v>
      </c>
      <c r="F171" s="1">
        <v>120</v>
      </c>
      <c r="G171" s="3" t="s">
        <v>45</v>
      </c>
      <c r="H171" s="1">
        <v>6</v>
      </c>
      <c r="I171" s="9" t="str" cm="1">
        <f t="array" ref="I171">_xlfn.IFS(H171 &lt;= 2, "[1-2] very close", H171 &lt;= 10, "[3-10] close", H171 &lt;= 20, "[11-20] moderate", H171 &lt;= 30, "[21-30] far")</f>
        <v>[3-10] close</v>
      </c>
      <c r="J171" s="1">
        <v>5</v>
      </c>
      <c r="K171" s="3" t="s">
        <v>38</v>
      </c>
      <c r="L171" s="1">
        <v>1</v>
      </c>
      <c r="M171" s="1">
        <v>231</v>
      </c>
      <c r="N171" s="1">
        <v>3</v>
      </c>
      <c r="O171" s="3" t="s">
        <v>46</v>
      </c>
      <c r="P171" s="1">
        <v>43</v>
      </c>
      <c r="Q171" s="1">
        <v>3</v>
      </c>
      <c r="R171" s="1">
        <v>1</v>
      </c>
      <c r="S171" s="3" t="s">
        <v>47</v>
      </c>
      <c r="T171" s="1">
        <v>3</v>
      </c>
      <c r="U171" s="3" t="s">
        <v>41</v>
      </c>
      <c r="V171" s="4">
        <v>3038</v>
      </c>
      <c r="W171" s="1">
        <v>12430</v>
      </c>
      <c r="X171" s="1">
        <v>3</v>
      </c>
      <c r="Y171" s="3" t="s">
        <v>42</v>
      </c>
      <c r="Z171" s="3" t="s">
        <v>43</v>
      </c>
      <c r="AA171" s="5">
        <v>0.2</v>
      </c>
      <c r="AB171" s="10" t="str" cm="1">
        <f t="array" ref="AB171">_xlfn.IFS(AA171 &lt;= 15%, "Low Hike[11-15%]", AA171 &lt;= 20%, "Moderate Hike[16-20%]", AA171 &lt;= 25%,"High Hike[21-25%]")</f>
        <v>Moderate Hike[16-20%]</v>
      </c>
      <c r="AC171" s="1">
        <v>4</v>
      </c>
      <c r="AD171" s="1">
        <v>1</v>
      </c>
      <c r="AE171" s="1">
        <v>80</v>
      </c>
      <c r="AF171" s="1">
        <v>0</v>
      </c>
      <c r="AG171" s="1">
        <v>8</v>
      </c>
      <c r="AH171" s="9" t="str" cm="1">
        <f t="array" ref="AH171">_xlfn.IFS(AG171 &lt;= 5, "New[1-5]", AG171 &lt;= 10, "Early Career[6-10]", AG171 &lt;= 20, "Established[11-20]", AG171 &lt;= 30, "Veteran[21-30]", AG171 &lt;= 40, "Late Career[31-40]")</f>
        <v>Early Career[6-10]</v>
      </c>
      <c r="AI171" s="1">
        <v>2</v>
      </c>
      <c r="AJ171" s="1">
        <v>3</v>
      </c>
      <c r="AK171" s="1">
        <v>5</v>
      </c>
      <c r="AL171" s="9" t="str" cm="1">
        <f t="array" ref="AL171">_xlfn.IFS(AK171 &lt;= 5, "New[1-5]", AK171 &lt;= 10, "Early Career[6-10]", AK171 &lt;= 20, "Established[11-20]", AK171 &lt;= 30, "Veteran[21-30]", AK171 &lt;= 40, "Late Career[31-40]")</f>
        <v>New[1-5]</v>
      </c>
      <c r="AM171" s="1">
        <v>4</v>
      </c>
      <c r="AN171" s="9" t="str" cm="1">
        <f t="array" ref="AN171">_xlfn.IFS(AM171 &lt;= 3, "New to Role[1-3]", AM171 &lt;= 7, "Settled[4-7]", AM171 &lt;= 12, "Experienced[[8-12]", AM171 &lt;= 18, "Long Tenured[13-18]")</f>
        <v>Settled[4-7]</v>
      </c>
      <c r="AO171" s="1">
        <v>1</v>
      </c>
      <c r="AP171" s="9" t="str" cm="1">
        <f t="array" ref="AP171">_xlfn.IFS(AO171 &lt;= 3, "Recently[1-3]", AO171 &lt;= 6, "Due Soon[4-6]", AO171 &lt;= 10, "Overdue[7-10]", AO171 &lt;= 15, "Long Overdue[11-15]")</f>
        <v>Recently[1-3]</v>
      </c>
      <c r="AQ171" s="9" t="str" cm="1">
        <f t="array" ref="AQ171">_xlfn.IFS(AR171 &lt;= 3, "New Relationship[1-3]", AR171 &lt;= 7, "Established Relationship[4-7]", AR171 &lt;= 12, "Long Term Relationship[8-12]", AR171 &lt;= 17, "Very Long Term Relationship[13-17]")</f>
        <v>Established Relationship[4-7]</v>
      </c>
      <c r="AR171" s="1">
        <v>4</v>
      </c>
    </row>
    <row r="172" spans="1:44" x14ac:dyDescent="0.25">
      <c r="A172" s="1">
        <v>27</v>
      </c>
      <c r="B172" s="8" t="str" cm="1">
        <f t="array" ref="B172">_xlfn.IFS(A172 &lt;= 25, "[18-25]", A172 &lt;= 35, "[26-35]", A172 &lt;=45, "[36-45]", A172 &lt;= 60, "[46- 60]")</f>
        <v>[26-35]</v>
      </c>
      <c r="C172" s="3" t="s">
        <v>43</v>
      </c>
      <c r="D172">
        <f t="shared" si="2"/>
        <v>0</v>
      </c>
      <c r="E172" t="s">
        <v>36</v>
      </c>
      <c r="F172" s="1">
        <v>1157</v>
      </c>
      <c r="G172" s="3" t="s">
        <v>45</v>
      </c>
      <c r="H172" s="1">
        <v>17</v>
      </c>
      <c r="I172" s="9" t="str" cm="1">
        <f t="array" ref="I172">_xlfn.IFS(H172 &lt;= 2, "[1-2] very close", H172 &lt;= 10, "[3-10] close", H172 &lt;= 20, "[11-20] moderate", H172 &lt;= 30, "[21-30] far")</f>
        <v>[11-20] moderate</v>
      </c>
      <c r="J172" s="1">
        <v>3</v>
      </c>
      <c r="K172" s="3" t="s">
        <v>60</v>
      </c>
      <c r="L172" s="1">
        <v>1</v>
      </c>
      <c r="M172" s="1">
        <v>233</v>
      </c>
      <c r="N172" s="1">
        <v>3</v>
      </c>
      <c r="O172" s="3" t="s">
        <v>46</v>
      </c>
      <c r="P172" s="1">
        <v>51</v>
      </c>
      <c r="Q172" s="1">
        <v>3</v>
      </c>
      <c r="R172" s="1">
        <v>1</v>
      </c>
      <c r="S172" s="3" t="s">
        <v>47</v>
      </c>
      <c r="T172" s="1">
        <v>2</v>
      </c>
      <c r="U172" s="3" t="s">
        <v>48</v>
      </c>
      <c r="V172" s="4">
        <v>3058</v>
      </c>
      <c r="W172" s="1">
        <v>13364</v>
      </c>
      <c r="X172" s="1">
        <v>0</v>
      </c>
      <c r="Y172" s="3" t="s">
        <v>42</v>
      </c>
      <c r="Z172" s="3" t="s">
        <v>35</v>
      </c>
      <c r="AA172" s="5">
        <v>0.16</v>
      </c>
      <c r="AB172" s="10" t="str" cm="1">
        <f t="array" ref="AB172">_xlfn.IFS(AA172 &lt;= 15%, "Low Hike[11-15%]", AA172 &lt;= 20%, "Moderate Hike[16-20%]", AA172 &lt;= 25%,"High Hike[21-25%]")</f>
        <v>Moderate Hike[16-20%]</v>
      </c>
      <c r="AC172" s="1">
        <v>3</v>
      </c>
      <c r="AD172" s="1">
        <v>4</v>
      </c>
      <c r="AE172" s="1">
        <v>80</v>
      </c>
      <c r="AF172" s="1">
        <v>1</v>
      </c>
      <c r="AG172" s="1">
        <v>6</v>
      </c>
      <c r="AH172" s="9" t="str" cm="1">
        <f t="array" ref="AH172">_xlfn.IFS(AG172 &lt;= 5, "New[1-5]", AG172 &lt;= 10, "Early Career[6-10]", AG172 &lt;= 20, "Established[11-20]", AG172 &lt;= 30, "Veteran[21-30]", AG172 &lt;= 40, "Late Career[31-40]")</f>
        <v>Early Career[6-10]</v>
      </c>
      <c r="AI172" s="1">
        <v>3</v>
      </c>
      <c r="AJ172" s="1">
        <v>2</v>
      </c>
      <c r="AK172" s="1">
        <v>5</v>
      </c>
      <c r="AL172" s="9" t="str" cm="1">
        <f t="array" ref="AL172">_xlfn.IFS(AK172 &lt;= 5, "New[1-5]", AK172 &lt;= 10, "Early Career[6-10]", AK172 &lt;= 20, "Established[11-20]", AK172 &lt;= 30, "Veteran[21-30]", AK172 &lt;= 40, "Late Career[31-40]")</f>
        <v>New[1-5]</v>
      </c>
      <c r="AM172" s="1">
        <v>2</v>
      </c>
      <c r="AN172" s="9" t="str" cm="1">
        <f t="array" ref="AN172">_xlfn.IFS(AM172 &lt;= 3, "New to Role[1-3]", AM172 &lt;= 7, "Settled[4-7]", AM172 &lt;= 12, "Experienced[[8-12]", AM172 &lt;= 18, "Long Tenured[13-18]")</f>
        <v>New to Role[1-3]</v>
      </c>
      <c r="AO172" s="1">
        <v>1</v>
      </c>
      <c r="AP172" s="9" t="str" cm="1">
        <f t="array" ref="AP172">_xlfn.IFS(AO172 &lt;= 3, "Recently[1-3]", AO172 &lt;= 6, "Due Soon[4-6]", AO172 &lt;= 10, "Overdue[7-10]", AO172 &lt;= 15, "Long Overdue[11-15]")</f>
        <v>Recently[1-3]</v>
      </c>
      <c r="AQ172" s="9" t="str" cm="1">
        <f t="array" ref="AQ172">_xlfn.IFS(AR172 &lt;= 3, "New Relationship[1-3]", AR172 &lt;= 7, "Established Relationship[4-7]", AR172 &lt;= 12, "Long Term Relationship[8-12]", AR172 &lt;= 17, "Very Long Term Relationship[13-17]")</f>
        <v>New Relationship[1-3]</v>
      </c>
      <c r="AR172" s="1">
        <v>1</v>
      </c>
    </row>
    <row r="173" spans="1:44" x14ac:dyDescent="0.25">
      <c r="A173" s="1">
        <v>19</v>
      </c>
      <c r="B173" s="8" t="str" cm="1">
        <f t="array" ref="B173">_xlfn.IFS(A173 &lt;= 25, "[18-25]", A173 &lt;= 35, "[26-35]", A173 &lt;=45, "[36-45]", A173 &lt;= 60, "[46- 60]")</f>
        <v>[18-25]</v>
      </c>
      <c r="C173" s="3" t="s">
        <v>35</v>
      </c>
      <c r="D173">
        <f t="shared" si="2"/>
        <v>1</v>
      </c>
      <c r="E173" t="s">
        <v>44</v>
      </c>
      <c r="F173" s="1">
        <v>602</v>
      </c>
      <c r="G173" s="3" t="s">
        <v>37</v>
      </c>
      <c r="H173" s="1">
        <v>1</v>
      </c>
      <c r="I173" s="9" t="str" cm="1">
        <f t="array" ref="I173">_xlfn.IFS(H173 &lt;= 2, "[1-2] very close", H173 &lt;= 10, "[3-10] close", H173 &lt;= 20, "[11-20] moderate", H173 &lt;= 30, "[21-30] far")</f>
        <v>[1-2] very close</v>
      </c>
      <c r="J173" s="1">
        <v>1</v>
      </c>
      <c r="K173" s="3" t="s">
        <v>60</v>
      </c>
      <c r="L173" s="1">
        <v>1</v>
      </c>
      <c r="M173" s="1">
        <v>235</v>
      </c>
      <c r="N173" s="1">
        <v>3</v>
      </c>
      <c r="O173" s="3" t="s">
        <v>39</v>
      </c>
      <c r="P173" s="1">
        <v>100</v>
      </c>
      <c r="Q173" s="1">
        <v>1</v>
      </c>
      <c r="R173" s="1">
        <v>1</v>
      </c>
      <c r="S173" s="3" t="s">
        <v>57</v>
      </c>
      <c r="T173" s="1">
        <v>1</v>
      </c>
      <c r="U173" s="3" t="s">
        <v>41</v>
      </c>
      <c r="V173" s="4">
        <v>2325</v>
      </c>
      <c r="W173" s="1">
        <v>20989</v>
      </c>
      <c r="X173" s="1">
        <v>0</v>
      </c>
      <c r="Y173" s="3" t="s">
        <v>42</v>
      </c>
      <c r="Z173" s="3" t="s">
        <v>43</v>
      </c>
      <c r="AA173" s="5">
        <v>0.21</v>
      </c>
      <c r="AB173" s="10" t="str" cm="1">
        <f t="array" ref="AB173">_xlfn.IFS(AA173 &lt;= 15%, "Low Hike[11-15%]", AA173 &lt;= 20%, "Moderate Hike[16-20%]", AA173 &lt;= 25%,"High Hike[21-25%]")</f>
        <v>High Hike[21-25%]</v>
      </c>
      <c r="AC173" s="1">
        <v>4</v>
      </c>
      <c r="AD173" s="1">
        <v>1</v>
      </c>
      <c r="AE173" s="1">
        <v>80</v>
      </c>
      <c r="AF173" s="1">
        <v>0</v>
      </c>
      <c r="AG173" s="1">
        <v>1</v>
      </c>
      <c r="AH173" s="9" t="str" cm="1">
        <f t="array" ref="AH173">_xlfn.IFS(AG173 &lt;= 5, "New[1-5]", AG173 &lt;= 10, "Early Career[6-10]", AG173 &lt;= 20, "Established[11-20]", AG173 &lt;= 30, "Veteran[21-30]", AG173 &lt;= 40, "Late Career[31-40]")</f>
        <v>New[1-5]</v>
      </c>
      <c r="AI173" s="1">
        <v>5</v>
      </c>
      <c r="AJ173" s="1">
        <v>4</v>
      </c>
      <c r="AK173" s="1">
        <v>0</v>
      </c>
      <c r="AL173" s="9" t="str" cm="1">
        <f t="array" ref="AL173">_xlfn.IFS(AK173 &lt;= 5, "New[1-5]", AK173 &lt;= 10, "Early Career[6-10]", AK173 &lt;= 20, "Established[11-20]", AK173 &lt;= 30, "Veteran[21-30]", AK173 &lt;= 40, "Late Career[31-40]")</f>
        <v>New[1-5]</v>
      </c>
      <c r="AM173" s="1">
        <v>0</v>
      </c>
      <c r="AN173" s="9" t="str" cm="1">
        <f t="array" ref="AN173">_xlfn.IFS(AM173 &lt;= 3, "New to Role[1-3]", AM173 &lt;= 7, "Settled[4-7]", AM173 &lt;= 12, "Experienced[[8-12]", AM173 &lt;= 18, "Long Tenured[13-18]")</f>
        <v>New to Role[1-3]</v>
      </c>
      <c r="AO173" s="1">
        <v>0</v>
      </c>
      <c r="AP173" s="9" t="str" cm="1">
        <f t="array" ref="AP173">_xlfn.IFS(AO173 &lt;= 3, "Recently[1-3]", AO173 &lt;= 6, "Due Soon[4-6]", AO173 &lt;= 10, "Overdue[7-10]", AO173 &lt;= 15, "Long Overdue[11-15]")</f>
        <v>Recently[1-3]</v>
      </c>
      <c r="AQ173" s="9" t="str" cm="1">
        <f t="array" ref="AQ173">_xlfn.IFS(AR173 &lt;= 3, "New Relationship[1-3]", AR173 &lt;= 7, "Established Relationship[4-7]", AR173 &lt;= 12, "Long Term Relationship[8-12]", AR173 &lt;= 17, "Very Long Term Relationship[13-17]")</f>
        <v>New Relationship[1-3]</v>
      </c>
      <c r="AR173" s="1">
        <v>0</v>
      </c>
    </row>
    <row r="174" spans="1:44" x14ac:dyDescent="0.25">
      <c r="A174" s="1">
        <v>36</v>
      </c>
      <c r="B174" s="8" t="str" cm="1">
        <f t="array" ref="B174">_xlfn.IFS(A174 &lt;= 25, "[18-25]", A174 &lt;= 35, "[26-35]", A174 &lt;=45, "[36-45]", A174 &lt;= 60, "[46- 60]")</f>
        <v>[36-45]</v>
      </c>
      <c r="C174" s="3" t="s">
        <v>43</v>
      </c>
      <c r="D174">
        <f t="shared" si="2"/>
        <v>0</v>
      </c>
      <c r="E174" t="s">
        <v>44</v>
      </c>
      <c r="F174" s="1">
        <v>1480</v>
      </c>
      <c r="G174" s="3" t="s">
        <v>45</v>
      </c>
      <c r="H174" s="1">
        <v>3</v>
      </c>
      <c r="I174" s="9" t="str" cm="1">
        <f t="array" ref="I174">_xlfn.IFS(H174 &lt;= 2, "[1-2] very close", H174 &lt;= 10, "[3-10] close", H174 &lt;= 20, "[11-20] moderate", H174 &lt;= 30, "[21-30] far")</f>
        <v>[3-10] close</v>
      </c>
      <c r="J174" s="1">
        <v>2</v>
      </c>
      <c r="K174" s="3" t="s">
        <v>51</v>
      </c>
      <c r="L174" s="1">
        <v>1</v>
      </c>
      <c r="M174" s="1">
        <v>238</v>
      </c>
      <c r="N174" s="1">
        <v>4</v>
      </c>
      <c r="O174" s="3" t="s">
        <v>46</v>
      </c>
      <c r="P174" s="1">
        <v>30</v>
      </c>
      <c r="Q174" s="1">
        <v>3</v>
      </c>
      <c r="R174" s="1">
        <v>1</v>
      </c>
      <c r="S174" s="3" t="s">
        <v>50</v>
      </c>
      <c r="T174" s="1">
        <v>2</v>
      </c>
      <c r="U174" s="3" t="s">
        <v>41</v>
      </c>
      <c r="V174" s="4">
        <v>2088</v>
      </c>
      <c r="W174" s="1">
        <v>15062</v>
      </c>
      <c r="X174" s="1">
        <v>4</v>
      </c>
      <c r="Y174" s="3" t="s">
        <v>42</v>
      </c>
      <c r="Z174" s="3" t="s">
        <v>43</v>
      </c>
      <c r="AA174" s="5">
        <v>0.12</v>
      </c>
      <c r="AB174" s="10" t="str" cm="1">
        <f t="array" ref="AB174">_xlfn.IFS(AA174 &lt;= 15%, "Low Hike[11-15%]", AA174 &lt;= 20%, "Moderate Hike[16-20%]", AA174 &lt;= 25%,"High Hike[21-25%]")</f>
        <v>Low Hike[11-15%]</v>
      </c>
      <c r="AC174" s="1">
        <v>3</v>
      </c>
      <c r="AD174" s="1">
        <v>3</v>
      </c>
      <c r="AE174" s="1">
        <v>80</v>
      </c>
      <c r="AF174" s="1">
        <v>0</v>
      </c>
      <c r="AG174" s="1">
        <v>13</v>
      </c>
      <c r="AH174" s="9" t="str" cm="1">
        <f t="array" ref="AH174">_xlfn.IFS(AG174 &lt;= 5, "New[1-5]", AG174 &lt;= 10, "Early Career[6-10]", AG174 &lt;= 20, "Established[11-20]", AG174 &lt;= 30, "Veteran[21-30]", AG174 &lt;= 40, "Late Career[31-40]")</f>
        <v>Established[11-20]</v>
      </c>
      <c r="AI174" s="1">
        <v>3</v>
      </c>
      <c r="AJ174" s="1">
        <v>2</v>
      </c>
      <c r="AK174" s="1">
        <v>8</v>
      </c>
      <c r="AL174" s="9" t="str" cm="1">
        <f t="array" ref="AL174">_xlfn.IFS(AK174 &lt;= 5, "New[1-5]", AK174 &lt;= 10, "Early Career[6-10]", AK174 &lt;= 20, "Established[11-20]", AK174 &lt;= 30, "Veteran[21-30]", AK174 &lt;= 40, "Late Career[31-40]")</f>
        <v>Early Career[6-10]</v>
      </c>
      <c r="AM174" s="1">
        <v>7</v>
      </c>
      <c r="AN174" s="9" t="str" cm="1">
        <f t="array" ref="AN174">_xlfn.IFS(AM174 &lt;= 3, "New to Role[1-3]", AM174 &lt;= 7, "Settled[4-7]", AM174 &lt;= 12, "Experienced[[8-12]", AM174 &lt;= 18, "Long Tenured[13-18]")</f>
        <v>Settled[4-7]</v>
      </c>
      <c r="AO174" s="1">
        <v>7</v>
      </c>
      <c r="AP174" s="9" t="str" cm="1">
        <f t="array" ref="AP174">_xlfn.IFS(AO174 &lt;= 3, "Recently[1-3]", AO174 &lt;= 6, "Due Soon[4-6]", AO174 &lt;= 10, "Overdue[7-10]", AO174 &lt;= 15, "Long Overdue[11-15]")</f>
        <v>Overdue[7-10]</v>
      </c>
      <c r="AQ174" s="9" t="str" cm="1">
        <f t="array" ref="AQ174">_xlfn.IFS(AR174 &lt;= 3, "New Relationship[1-3]", AR174 &lt;= 7, "Established Relationship[4-7]", AR174 &lt;= 12, "Long Term Relationship[8-12]", AR174 &lt;= 17, "Very Long Term Relationship[13-17]")</f>
        <v>New Relationship[1-3]</v>
      </c>
      <c r="AR174" s="1">
        <v>2</v>
      </c>
    </row>
    <row r="175" spans="1:44" x14ac:dyDescent="0.25">
      <c r="A175" s="1">
        <v>30</v>
      </c>
      <c r="B175" s="8" t="str" cm="1">
        <f t="array" ref="B175">_xlfn.IFS(A175 &lt;= 25, "[18-25]", A175 &lt;= 35, "[26-35]", A175 &lt;=45, "[36-45]", A175 &lt;= 60, "[46- 60]")</f>
        <v>[26-35]</v>
      </c>
      <c r="C175" s="3" t="s">
        <v>43</v>
      </c>
      <c r="D175">
        <f t="shared" si="2"/>
        <v>0</v>
      </c>
      <c r="E175" t="s">
        <v>62</v>
      </c>
      <c r="F175" s="1">
        <v>111</v>
      </c>
      <c r="G175" s="3" t="s">
        <v>45</v>
      </c>
      <c r="H175" s="1">
        <v>9</v>
      </c>
      <c r="I175" s="9" t="str" cm="1">
        <f t="array" ref="I175">_xlfn.IFS(H175 &lt;= 2, "[1-2] very close", H175 &lt;= 10, "[3-10] close", H175 &lt;= 20, "[11-20] moderate", H175 &lt;= 30, "[21-30] far")</f>
        <v>[3-10] close</v>
      </c>
      <c r="J175" s="1">
        <v>3</v>
      </c>
      <c r="K175" s="3" t="s">
        <v>51</v>
      </c>
      <c r="L175" s="1">
        <v>1</v>
      </c>
      <c r="M175" s="1">
        <v>239</v>
      </c>
      <c r="N175" s="1">
        <v>3</v>
      </c>
      <c r="O175" s="3" t="s">
        <v>46</v>
      </c>
      <c r="P175" s="1">
        <v>66</v>
      </c>
      <c r="Q175" s="1">
        <v>3</v>
      </c>
      <c r="R175" s="1">
        <v>2</v>
      </c>
      <c r="S175" s="3" t="s">
        <v>50</v>
      </c>
      <c r="T175" s="1">
        <v>1</v>
      </c>
      <c r="U175" s="3" t="s">
        <v>52</v>
      </c>
      <c r="V175" s="4">
        <v>3072</v>
      </c>
      <c r="W175" s="1">
        <v>11012</v>
      </c>
      <c r="X175" s="1">
        <v>1</v>
      </c>
      <c r="Y175" s="3" t="s">
        <v>42</v>
      </c>
      <c r="Z175" s="3" t="s">
        <v>43</v>
      </c>
      <c r="AA175" s="5">
        <v>0.11</v>
      </c>
      <c r="AB175" s="10" t="str" cm="1">
        <f t="array" ref="AB175">_xlfn.IFS(AA175 &lt;= 15%, "Low Hike[11-15%]", AA175 &lt;= 20%, "Moderate Hike[16-20%]", AA175 &lt;= 25%,"High Hike[21-25%]")</f>
        <v>Low Hike[11-15%]</v>
      </c>
      <c r="AC175" s="1">
        <v>3</v>
      </c>
      <c r="AD175" s="1">
        <v>3</v>
      </c>
      <c r="AE175" s="1">
        <v>80</v>
      </c>
      <c r="AF175" s="1">
        <v>2</v>
      </c>
      <c r="AG175" s="1">
        <v>12</v>
      </c>
      <c r="AH175" s="9" t="str" cm="1">
        <f t="array" ref="AH175">_xlfn.IFS(AG175 &lt;= 5, "New[1-5]", AG175 &lt;= 10, "Early Career[6-10]", AG175 &lt;= 20, "Established[11-20]", AG175 &lt;= 30, "Veteran[21-30]", AG175 &lt;= 40, "Late Career[31-40]")</f>
        <v>Established[11-20]</v>
      </c>
      <c r="AI175" s="1">
        <v>4</v>
      </c>
      <c r="AJ175" s="1">
        <v>3</v>
      </c>
      <c r="AK175" s="1">
        <v>12</v>
      </c>
      <c r="AL175" s="9" t="str" cm="1">
        <f t="array" ref="AL175">_xlfn.IFS(AK175 &lt;= 5, "New[1-5]", AK175 &lt;= 10, "Early Career[6-10]", AK175 &lt;= 20, "Established[11-20]", AK175 &lt;= 30, "Veteran[21-30]", AK175 &lt;= 40, "Late Career[31-40]")</f>
        <v>Established[11-20]</v>
      </c>
      <c r="AM175" s="1">
        <v>9</v>
      </c>
      <c r="AN175" s="9" t="str" cm="1">
        <f t="array" ref="AN175">_xlfn.IFS(AM175 &lt;= 3, "New to Role[1-3]", AM175 &lt;= 7, "Settled[4-7]", AM175 &lt;= 12, "Experienced[[8-12]", AM175 &lt;= 18, "Long Tenured[13-18]")</f>
        <v>Experienced[[8-12]</v>
      </c>
      <c r="AO175" s="1">
        <v>6</v>
      </c>
      <c r="AP175" s="9" t="str" cm="1">
        <f t="array" ref="AP175">_xlfn.IFS(AO175 &lt;= 3, "Recently[1-3]", AO175 &lt;= 6, "Due Soon[4-6]", AO175 &lt;= 10, "Overdue[7-10]", AO175 &lt;= 15, "Long Overdue[11-15]")</f>
        <v>Due Soon[4-6]</v>
      </c>
      <c r="AQ175" s="9" t="str" cm="1">
        <f t="array" ref="AQ175">_xlfn.IFS(AR175 &lt;= 3, "New Relationship[1-3]", AR175 &lt;= 7, "Established Relationship[4-7]", AR175 &lt;= 12, "Long Term Relationship[8-12]", AR175 &lt;= 17, "Very Long Term Relationship[13-17]")</f>
        <v>Long Term Relationship[8-12]</v>
      </c>
      <c r="AR175" s="1">
        <v>10</v>
      </c>
    </row>
    <row r="176" spans="1:44" x14ac:dyDescent="0.25">
      <c r="A176" s="1">
        <v>45</v>
      </c>
      <c r="B176" s="8" t="str" cm="1">
        <f t="array" ref="B176">_xlfn.IFS(A176 &lt;= 25, "[18-25]", A176 &lt;= 35, "[26-35]", A176 &lt;=45, "[36-45]", A176 &lt;= 60, "[46- 60]")</f>
        <v>[36-45]</v>
      </c>
      <c r="C176" s="3" t="s">
        <v>43</v>
      </c>
      <c r="D176">
        <f t="shared" si="2"/>
        <v>0</v>
      </c>
      <c r="E176" t="s">
        <v>36</v>
      </c>
      <c r="F176" s="1">
        <v>1268</v>
      </c>
      <c r="G176" s="3" t="s">
        <v>37</v>
      </c>
      <c r="H176" s="1">
        <v>4</v>
      </c>
      <c r="I176" s="9" t="str" cm="1">
        <f t="array" ref="I176">_xlfn.IFS(H176 &lt;= 2, "[1-2] very close", H176 &lt;= 10, "[3-10] close", H176 &lt;= 20, "[11-20] moderate", H176 &lt;= 30, "[21-30] far")</f>
        <v>[3-10] close</v>
      </c>
      <c r="J176" s="1">
        <v>2</v>
      </c>
      <c r="K176" s="3" t="s">
        <v>38</v>
      </c>
      <c r="L176" s="1">
        <v>1</v>
      </c>
      <c r="M176" s="1">
        <v>240</v>
      </c>
      <c r="N176" s="1">
        <v>3</v>
      </c>
      <c r="O176" s="3" t="s">
        <v>39</v>
      </c>
      <c r="P176" s="1">
        <v>30</v>
      </c>
      <c r="Q176" s="1">
        <v>3</v>
      </c>
      <c r="R176" s="1">
        <v>2</v>
      </c>
      <c r="S176" s="3" t="s">
        <v>40</v>
      </c>
      <c r="T176" s="1">
        <v>1</v>
      </c>
      <c r="U176" s="3" t="s">
        <v>52</v>
      </c>
      <c r="V176" s="4">
        <v>5006</v>
      </c>
      <c r="W176" s="1">
        <v>6319</v>
      </c>
      <c r="X176" s="1">
        <v>4</v>
      </c>
      <c r="Y176" s="3" t="s">
        <v>42</v>
      </c>
      <c r="Z176" s="3" t="s">
        <v>35</v>
      </c>
      <c r="AA176" s="5">
        <v>0.11</v>
      </c>
      <c r="AB176" s="10" t="str" cm="1">
        <f t="array" ref="AB176">_xlfn.IFS(AA176 &lt;= 15%, "Low Hike[11-15%]", AA176 &lt;= 20%, "Moderate Hike[16-20%]", AA176 &lt;= 25%,"High Hike[21-25%]")</f>
        <v>Low Hike[11-15%]</v>
      </c>
      <c r="AC176" s="1">
        <v>3</v>
      </c>
      <c r="AD176" s="1">
        <v>1</v>
      </c>
      <c r="AE176" s="1">
        <v>80</v>
      </c>
      <c r="AF176" s="1">
        <v>1</v>
      </c>
      <c r="AG176" s="1">
        <v>9</v>
      </c>
      <c r="AH176" s="9" t="str" cm="1">
        <f t="array" ref="AH176">_xlfn.IFS(AG176 &lt;= 5, "New[1-5]", AG176 &lt;= 10, "Early Career[6-10]", AG176 &lt;= 20, "Established[11-20]", AG176 &lt;= 30, "Veteran[21-30]", AG176 &lt;= 40, "Late Career[31-40]")</f>
        <v>Early Career[6-10]</v>
      </c>
      <c r="AI176" s="1">
        <v>3</v>
      </c>
      <c r="AJ176" s="1">
        <v>4</v>
      </c>
      <c r="AK176" s="1">
        <v>5</v>
      </c>
      <c r="AL176" s="9" t="str" cm="1">
        <f t="array" ref="AL176">_xlfn.IFS(AK176 &lt;= 5, "New[1-5]", AK176 &lt;= 10, "Early Career[6-10]", AK176 &lt;= 20, "Established[11-20]", AK176 &lt;= 30, "Veteran[21-30]", AK176 &lt;= 40, "Late Career[31-40]")</f>
        <v>New[1-5]</v>
      </c>
      <c r="AM176" s="1">
        <v>4</v>
      </c>
      <c r="AN176" s="9" t="str" cm="1">
        <f t="array" ref="AN176">_xlfn.IFS(AM176 &lt;= 3, "New to Role[1-3]", AM176 &lt;= 7, "Settled[4-7]", AM176 &lt;= 12, "Experienced[[8-12]", AM176 &lt;= 18, "Long Tenured[13-18]")</f>
        <v>Settled[4-7]</v>
      </c>
      <c r="AO176" s="1">
        <v>0</v>
      </c>
      <c r="AP176" s="9" t="str" cm="1">
        <f t="array" ref="AP176">_xlfn.IFS(AO176 &lt;= 3, "Recently[1-3]", AO176 &lt;= 6, "Due Soon[4-6]", AO176 &lt;= 10, "Overdue[7-10]", AO176 &lt;= 15, "Long Overdue[11-15]")</f>
        <v>Recently[1-3]</v>
      </c>
      <c r="AQ176" s="9" t="str" cm="1">
        <f t="array" ref="AQ176">_xlfn.IFS(AR176 &lt;= 3, "New Relationship[1-3]", AR176 &lt;= 7, "Established Relationship[4-7]", AR176 &lt;= 12, "Long Term Relationship[8-12]", AR176 &lt;= 17, "Very Long Term Relationship[13-17]")</f>
        <v>New Relationship[1-3]</v>
      </c>
      <c r="AR176" s="1">
        <v>3</v>
      </c>
    </row>
    <row r="177" spans="1:44" x14ac:dyDescent="0.25">
      <c r="A177" s="1">
        <v>56</v>
      </c>
      <c r="B177" s="8" t="str" cm="1">
        <f t="array" ref="B177">_xlfn.IFS(A177 &lt;= 25, "[18-25]", A177 &lt;= 35, "[26-35]", A177 &lt;=45, "[36-45]", A177 &lt;= 60, "[46- 60]")</f>
        <v>[46- 60]</v>
      </c>
      <c r="C177" s="3" t="s">
        <v>43</v>
      </c>
      <c r="D177">
        <f t="shared" si="2"/>
        <v>0</v>
      </c>
      <c r="E177" t="s">
        <v>36</v>
      </c>
      <c r="F177" s="1">
        <v>713</v>
      </c>
      <c r="G177" s="3" t="s">
        <v>45</v>
      </c>
      <c r="H177" s="1">
        <v>8</v>
      </c>
      <c r="I177" s="9" t="str" cm="1">
        <f t="array" ref="I177">_xlfn.IFS(H177 &lt;= 2, "[1-2] very close", H177 &lt;= 10, "[3-10] close", H177 &lt;= 20, "[11-20] moderate", H177 &lt;= 30, "[21-30] far")</f>
        <v>[3-10] close</v>
      </c>
      <c r="J177" s="1">
        <v>3</v>
      </c>
      <c r="K177" s="3" t="s">
        <v>38</v>
      </c>
      <c r="L177" s="1">
        <v>1</v>
      </c>
      <c r="M177" s="1">
        <v>241</v>
      </c>
      <c r="N177" s="1">
        <v>3</v>
      </c>
      <c r="O177" s="3" t="s">
        <v>39</v>
      </c>
      <c r="P177" s="1">
        <v>67</v>
      </c>
      <c r="Q177" s="1">
        <v>3</v>
      </c>
      <c r="R177" s="1">
        <v>1</v>
      </c>
      <c r="S177" s="3" t="s">
        <v>47</v>
      </c>
      <c r="T177" s="1">
        <v>1</v>
      </c>
      <c r="U177" s="3" t="s">
        <v>52</v>
      </c>
      <c r="V177" s="4">
        <v>4257</v>
      </c>
      <c r="W177" s="1">
        <v>13939</v>
      </c>
      <c r="X177" s="1">
        <v>4</v>
      </c>
      <c r="Y177" s="3" t="s">
        <v>42</v>
      </c>
      <c r="Z177" s="3" t="s">
        <v>35</v>
      </c>
      <c r="AA177" s="5">
        <v>0.18</v>
      </c>
      <c r="AB177" s="10" t="str" cm="1">
        <f t="array" ref="AB177">_xlfn.IFS(AA177 &lt;= 15%, "Low Hike[11-15%]", AA177 &lt;= 20%, "Moderate Hike[16-20%]", AA177 &lt;= 25%,"High Hike[21-25%]")</f>
        <v>Moderate Hike[16-20%]</v>
      </c>
      <c r="AC177" s="1">
        <v>3</v>
      </c>
      <c r="AD177" s="1">
        <v>3</v>
      </c>
      <c r="AE177" s="1">
        <v>80</v>
      </c>
      <c r="AF177" s="1">
        <v>1</v>
      </c>
      <c r="AG177" s="1">
        <v>19</v>
      </c>
      <c r="AH177" s="9" t="str" cm="1">
        <f t="array" ref="AH177">_xlfn.IFS(AG177 &lt;= 5, "New[1-5]", AG177 &lt;= 10, "Early Career[6-10]", AG177 &lt;= 20, "Established[11-20]", AG177 &lt;= 30, "Veteran[21-30]", AG177 &lt;= 40, "Late Career[31-40]")</f>
        <v>Established[11-20]</v>
      </c>
      <c r="AI177" s="1">
        <v>3</v>
      </c>
      <c r="AJ177" s="1">
        <v>3</v>
      </c>
      <c r="AK177" s="1">
        <v>2</v>
      </c>
      <c r="AL177" s="9" t="str" cm="1">
        <f t="array" ref="AL177">_xlfn.IFS(AK177 &lt;= 5, "New[1-5]", AK177 &lt;= 10, "Early Career[6-10]", AK177 &lt;= 20, "Established[11-20]", AK177 &lt;= 30, "Veteran[21-30]", AK177 &lt;= 40, "Late Career[31-40]")</f>
        <v>New[1-5]</v>
      </c>
      <c r="AM177" s="1">
        <v>2</v>
      </c>
      <c r="AN177" s="9" t="str" cm="1">
        <f t="array" ref="AN177">_xlfn.IFS(AM177 &lt;= 3, "New to Role[1-3]", AM177 &lt;= 7, "Settled[4-7]", AM177 &lt;= 12, "Experienced[[8-12]", AM177 &lt;= 18, "Long Tenured[13-18]")</f>
        <v>New to Role[1-3]</v>
      </c>
      <c r="AO177" s="1">
        <v>2</v>
      </c>
      <c r="AP177" s="9" t="str" cm="1">
        <f t="array" ref="AP177">_xlfn.IFS(AO177 &lt;= 3, "Recently[1-3]", AO177 &lt;= 6, "Due Soon[4-6]", AO177 &lt;= 10, "Overdue[7-10]", AO177 &lt;= 15, "Long Overdue[11-15]")</f>
        <v>Recently[1-3]</v>
      </c>
      <c r="AQ177" s="9" t="str" cm="1">
        <f t="array" ref="AQ177">_xlfn.IFS(AR177 &lt;= 3, "New Relationship[1-3]", AR177 &lt;= 7, "Established Relationship[4-7]", AR177 &lt;= 12, "Long Term Relationship[8-12]", AR177 &lt;= 17, "Very Long Term Relationship[13-17]")</f>
        <v>New Relationship[1-3]</v>
      </c>
      <c r="AR177" s="1">
        <v>2</v>
      </c>
    </row>
    <row r="178" spans="1:44" x14ac:dyDescent="0.25">
      <c r="A178" s="1">
        <v>33</v>
      </c>
      <c r="B178" s="8" t="str" cm="1">
        <f t="array" ref="B178">_xlfn.IFS(A178 &lt;= 25, "[18-25]", A178 &lt;= 35, "[26-35]", A178 &lt;=45, "[36-45]", A178 &lt;= 60, "[46- 60]")</f>
        <v>[26-35]</v>
      </c>
      <c r="C178" s="3" t="s">
        <v>43</v>
      </c>
      <c r="D178">
        <f t="shared" si="2"/>
        <v>0</v>
      </c>
      <c r="E178" t="s">
        <v>36</v>
      </c>
      <c r="F178" s="1">
        <v>134</v>
      </c>
      <c r="G178" s="3" t="s">
        <v>45</v>
      </c>
      <c r="H178" s="1">
        <v>2</v>
      </c>
      <c r="I178" s="9" t="str" cm="1">
        <f t="array" ref="I178">_xlfn.IFS(H178 &lt;= 2, "[1-2] very close", H178 &lt;= 10, "[3-10] close", H178 &lt;= 20, "[11-20] moderate", H178 &lt;= 30, "[21-30] far")</f>
        <v>[1-2] very close</v>
      </c>
      <c r="J178" s="1">
        <v>3</v>
      </c>
      <c r="K178" s="3" t="s">
        <v>38</v>
      </c>
      <c r="L178" s="1">
        <v>1</v>
      </c>
      <c r="M178" s="1">
        <v>242</v>
      </c>
      <c r="N178" s="1">
        <v>3</v>
      </c>
      <c r="O178" s="3" t="s">
        <v>46</v>
      </c>
      <c r="P178" s="1">
        <v>90</v>
      </c>
      <c r="Q178" s="1">
        <v>3</v>
      </c>
      <c r="R178" s="1">
        <v>1</v>
      </c>
      <c r="S178" s="3" t="s">
        <v>47</v>
      </c>
      <c r="T178" s="1">
        <v>4</v>
      </c>
      <c r="U178" s="3" t="s">
        <v>41</v>
      </c>
      <c r="V178" s="4">
        <v>2500</v>
      </c>
      <c r="W178" s="1">
        <v>10515</v>
      </c>
      <c r="X178" s="1">
        <v>0</v>
      </c>
      <c r="Y178" s="3" t="s">
        <v>42</v>
      </c>
      <c r="Z178" s="3" t="s">
        <v>43</v>
      </c>
      <c r="AA178" s="5">
        <v>0.14000000000000001</v>
      </c>
      <c r="AB178" s="10" t="str" cm="1">
        <f t="array" ref="AB178">_xlfn.IFS(AA178 &lt;= 15%, "Low Hike[11-15%]", AA178 &lt;= 20%, "Moderate Hike[16-20%]", AA178 &lt;= 25%,"High Hike[21-25%]")</f>
        <v>Low Hike[11-15%]</v>
      </c>
      <c r="AC178" s="1">
        <v>3</v>
      </c>
      <c r="AD178" s="1">
        <v>1</v>
      </c>
      <c r="AE178" s="1">
        <v>80</v>
      </c>
      <c r="AF178" s="1">
        <v>0</v>
      </c>
      <c r="AG178" s="1">
        <v>4</v>
      </c>
      <c r="AH178" s="9" t="str" cm="1">
        <f t="array" ref="AH178">_xlfn.IFS(AG178 &lt;= 5, "New[1-5]", AG178 &lt;= 10, "Early Career[6-10]", AG178 &lt;= 20, "Established[11-20]", AG178 &lt;= 30, "Veteran[21-30]", AG178 &lt;= 40, "Late Career[31-40]")</f>
        <v>New[1-5]</v>
      </c>
      <c r="AI178" s="1">
        <v>2</v>
      </c>
      <c r="AJ178" s="1">
        <v>4</v>
      </c>
      <c r="AK178" s="1">
        <v>3</v>
      </c>
      <c r="AL178" s="9" t="str" cm="1">
        <f t="array" ref="AL178">_xlfn.IFS(AK178 &lt;= 5, "New[1-5]", AK178 &lt;= 10, "Early Career[6-10]", AK178 &lt;= 20, "Established[11-20]", AK178 &lt;= 30, "Veteran[21-30]", AK178 &lt;= 40, "Late Career[31-40]")</f>
        <v>New[1-5]</v>
      </c>
      <c r="AM178" s="1">
        <v>1</v>
      </c>
      <c r="AN178" s="9" t="str" cm="1">
        <f t="array" ref="AN178">_xlfn.IFS(AM178 &lt;= 3, "New to Role[1-3]", AM178 &lt;= 7, "Settled[4-7]", AM178 &lt;= 12, "Experienced[[8-12]", AM178 &lt;= 18, "Long Tenured[13-18]")</f>
        <v>New to Role[1-3]</v>
      </c>
      <c r="AO178" s="1">
        <v>0</v>
      </c>
      <c r="AP178" s="9" t="str" cm="1">
        <f t="array" ref="AP178">_xlfn.IFS(AO178 &lt;= 3, "Recently[1-3]", AO178 &lt;= 6, "Due Soon[4-6]", AO178 &lt;= 10, "Overdue[7-10]", AO178 &lt;= 15, "Long Overdue[11-15]")</f>
        <v>Recently[1-3]</v>
      </c>
      <c r="AQ178" s="9" t="str" cm="1">
        <f t="array" ref="AQ178">_xlfn.IFS(AR178 &lt;= 3, "New Relationship[1-3]", AR178 &lt;= 7, "Established Relationship[4-7]", AR178 &lt;= 12, "Long Term Relationship[8-12]", AR178 &lt;= 17, "Very Long Term Relationship[13-17]")</f>
        <v>New Relationship[1-3]</v>
      </c>
      <c r="AR178" s="1">
        <v>2</v>
      </c>
    </row>
    <row r="179" spans="1:44" x14ac:dyDescent="0.25">
      <c r="A179" s="1">
        <v>19</v>
      </c>
      <c r="B179" s="8" t="str" cm="1">
        <f t="array" ref="B179">_xlfn.IFS(A179 &lt;= 25, "[18-25]", A179 &lt;= 35, "[26-35]", A179 &lt;=45, "[36-45]", A179 &lt;= 60, "[46- 60]")</f>
        <v>[18-25]</v>
      </c>
      <c r="C179" s="3" t="s">
        <v>35</v>
      </c>
      <c r="D179">
        <f t="shared" si="2"/>
        <v>1</v>
      </c>
      <c r="E179" t="s">
        <v>36</v>
      </c>
      <c r="F179" s="1">
        <v>303</v>
      </c>
      <c r="G179" s="3" t="s">
        <v>45</v>
      </c>
      <c r="H179" s="1">
        <v>2</v>
      </c>
      <c r="I179" s="9" t="str" cm="1">
        <f t="array" ref="I179">_xlfn.IFS(H179 &lt;= 2, "[1-2] very close", H179 &lt;= 10, "[3-10] close", H179 &lt;= 20, "[11-20] moderate", H179 &lt;= 30, "[21-30] far")</f>
        <v>[1-2] very close</v>
      </c>
      <c r="J179" s="1">
        <v>3</v>
      </c>
      <c r="K179" s="3" t="s">
        <v>38</v>
      </c>
      <c r="L179" s="1">
        <v>1</v>
      </c>
      <c r="M179" s="1">
        <v>243</v>
      </c>
      <c r="N179" s="1">
        <v>2</v>
      </c>
      <c r="O179" s="3" t="s">
        <v>46</v>
      </c>
      <c r="P179" s="1">
        <v>47</v>
      </c>
      <c r="Q179" s="1">
        <v>2</v>
      </c>
      <c r="R179" s="1">
        <v>1</v>
      </c>
      <c r="S179" s="3" t="s">
        <v>50</v>
      </c>
      <c r="T179" s="1">
        <v>4</v>
      </c>
      <c r="U179" s="3" t="s">
        <v>41</v>
      </c>
      <c r="V179" s="4">
        <v>1102</v>
      </c>
      <c r="W179" s="1">
        <v>9241</v>
      </c>
      <c r="X179" s="1">
        <v>1</v>
      </c>
      <c r="Y179" s="3" t="s">
        <v>42</v>
      </c>
      <c r="Z179" s="3" t="s">
        <v>43</v>
      </c>
      <c r="AA179" s="5">
        <v>0.22</v>
      </c>
      <c r="AB179" s="10" t="str" cm="1">
        <f t="array" ref="AB179">_xlfn.IFS(AA179 &lt;= 15%, "Low Hike[11-15%]", AA179 &lt;= 20%, "Moderate Hike[16-20%]", AA179 &lt;= 25%,"High Hike[21-25%]")</f>
        <v>High Hike[21-25%]</v>
      </c>
      <c r="AC179" s="1">
        <v>4</v>
      </c>
      <c r="AD179" s="1">
        <v>3</v>
      </c>
      <c r="AE179" s="1">
        <v>80</v>
      </c>
      <c r="AF179" s="1">
        <v>0</v>
      </c>
      <c r="AG179" s="1">
        <v>1</v>
      </c>
      <c r="AH179" s="9" t="str" cm="1">
        <f t="array" ref="AH179">_xlfn.IFS(AG179 &lt;= 5, "New[1-5]", AG179 &lt;= 10, "Early Career[6-10]", AG179 &lt;= 20, "Established[11-20]", AG179 &lt;= 30, "Veteran[21-30]", AG179 &lt;= 40, "Late Career[31-40]")</f>
        <v>New[1-5]</v>
      </c>
      <c r="AI179" s="1">
        <v>3</v>
      </c>
      <c r="AJ179" s="1">
        <v>2</v>
      </c>
      <c r="AK179" s="1">
        <v>1</v>
      </c>
      <c r="AL179" s="9" t="str" cm="1">
        <f t="array" ref="AL179">_xlfn.IFS(AK179 &lt;= 5, "New[1-5]", AK179 &lt;= 10, "Early Career[6-10]", AK179 &lt;= 20, "Established[11-20]", AK179 &lt;= 30, "Veteran[21-30]", AK179 &lt;= 40, "Late Career[31-40]")</f>
        <v>New[1-5]</v>
      </c>
      <c r="AM179" s="1">
        <v>0</v>
      </c>
      <c r="AN179" s="9" t="str" cm="1">
        <f t="array" ref="AN179">_xlfn.IFS(AM179 &lt;= 3, "New to Role[1-3]", AM179 &lt;= 7, "Settled[4-7]", AM179 &lt;= 12, "Experienced[[8-12]", AM179 &lt;= 18, "Long Tenured[13-18]")</f>
        <v>New to Role[1-3]</v>
      </c>
      <c r="AO179" s="1">
        <v>1</v>
      </c>
      <c r="AP179" s="9" t="str" cm="1">
        <f t="array" ref="AP179">_xlfn.IFS(AO179 &lt;= 3, "Recently[1-3]", AO179 &lt;= 6, "Due Soon[4-6]", AO179 &lt;= 10, "Overdue[7-10]", AO179 &lt;= 15, "Long Overdue[11-15]")</f>
        <v>Recently[1-3]</v>
      </c>
      <c r="AQ179" s="9" t="str" cm="1">
        <f t="array" ref="AQ179">_xlfn.IFS(AR179 &lt;= 3, "New Relationship[1-3]", AR179 &lt;= 7, "Established Relationship[4-7]", AR179 &lt;= 12, "Long Term Relationship[8-12]", AR179 &lt;= 17, "Very Long Term Relationship[13-17]")</f>
        <v>New Relationship[1-3]</v>
      </c>
      <c r="AR179" s="1">
        <v>0</v>
      </c>
    </row>
    <row r="180" spans="1:44" x14ac:dyDescent="0.25">
      <c r="A180" s="1">
        <v>46</v>
      </c>
      <c r="B180" s="8" t="str" cm="1">
        <f t="array" ref="B180">_xlfn.IFS(A180 &lt;= 25, "[18-25]", A180 &lt;= 35, "[26-35]", A180 &lt;=45, "[36-45]", A180 &lt;= 60, "[46- 60]")</f>
        <v>[46- 60]</v>
      </c>
      <c r="C180" s="3" t="s">
        <v>43</v>
      </c>
      <c r="D180">
        <f t="shared" si="2"/>
        <v>0</v>
      </c>
      <c r="E180" t="s">
        <v>36</v>
      </c>
      <c r="F180" s="1">
        <v>526</v>
      </c>
      <c r="G180" s="3" t="s">
        <v>37</v>
      </c>
      <c r="H180" s="1">
        <v>1</v>
      </c>
      <c r="I180" s="9" t="str" cm="1">
        <f t="array" ref="I180">_xlfn.IFS(H180 &lt;= 2, "[1-2] very close", H180 &lt;= 10, "[3-10] close", H180 &lt;= 20, "[11-20] moderate", H180 &lt;= 30, "[21-30] far")</f>
        <v>[1-2] very close</v>
      </c>
      <c r="J180" s="1">
        <v>2</v>
      </c>
      <c r="K180" s="3" t="s">
        <v>59</v>
      </c>
      <c r="L180" s="1">
        <v>1</v>
      </c>
      <c r="M180" s="1">
        <v>244</v>
      </c>
      <c r="N180" s="1">
        <v>2</v>
      </c>
      <c r="O180" s="3" t="s">
        <v>39</v>
      </c>
      <c r="P180" s="1">
        <v>92</v>
      </c>
      <c r="Q180" s="1">
        <v>3</v>
      </c>
      <c r="R180" s="1">
        <v>3</v>
      </c>
      <c r="S180" s="3" t="s">
        <v>40</v>
      </c>
      <c r="T180" s="1">
        <v>1</v>
      </c>
      <c r="U180" s="3" t="s">
        <v>52</v>
      </c>
      <c r="V180" s="4">
        <v>10453</v>
      </c>
      <c r="W180" s="1">
        <v>2137</v>
      </c>
      <c r="X180" s="1">
        <v>1</v>
      </c>
      <c r="Y180" s="3" t="s">
        <v>42</v>
      </c>
      <c r="Z180" s="3" t="s">
        <v>43</v>
      </c>
      <c r="AA180" s="5">
        <v>0.25</v>
      </c>
      <c r="AB180" s="10" t="str" cm="1">
        <f t="array" ref="AB180">_xlfn.IFS(AA180 &lt;= 15%, "Low Hike[11-15%]", AA180 &lt;= 20%, "Moderate Hike[16-20%]", AA180 &lt;= 25%,"High Hike[21-25%]")</f>
        <v>High Hike[21-25%]</v>
      </c>
      <c r="AC180" s="1">
        <v>4</v>
      </c>
      <c r="AD180" s="1">
        <v>3</v>
      </c>
      <c r="AE180" s="1">
        <v>80</v>
      </c>
      <c r="AF180" s="1">
        <v>3</v>
      </c>
      <c r="AG180" s="1">
        <v>24</v>
      </c>
      <c r="AH180" s="9" t="str" cm="1">
        <f t="array" ref="AH180">_xlfn.IFS(AG180 &lt;= 5, "New[1-5]", AG180 &lt;= 10, "Early Career[6-10]", AG180 &lt;= 20, "Established[11-20]", AG180 &lt;= 30, "Veteran[21-30]", AG180 &lt;= 40, "Late Career[31-40]")</f>
        <v>Veteran[21-30]</v>
      </c>
      <c r="AI180" s="1">
        <v>2</v>
      </c>
      <c r="AJ180" s="1">
        <v>3</v>
      </c>
      <c r="AK180" s="1">
        <v>24</v>
      </c>
      <c r="AL180" s="9" t="str" cm="1">
        <f t="array" ref="AL180">_xlfn.IFS(AK180 &lt;= 5, "New[1-5]", AK180 &lt;= 10, "Early Career[6-10]", AK180 &lt;= 20, "Established[11-20]", AK180 &lt;= 30, "Veteran[21-30]", AK180 &lt;= 40, "Late Career[31-40]")</f>
        <v>Veteran[21-30]</v>
      </c>
      <c r="AM180" s="1">
        <v>13</v>
      </c>
      <c r="AN180" s="9" t="str" cm="1">
        <f t="array" ref="AN180">_xlfn.IFS(AM180 &lt;= 3, "New to Role[1-3]", AM180 &lt;= 7, "Settled[4-7]", AM180 &lt;= 12, "Experienced[[8-12]", AM180 &lt;= 18, "Long Tenured[13-18]")</f>
        <v>Long Tenured[13-18]</v>
      </c>
      <c r="AO180" s="1">
        <v>15</v>
      </c>
      <c r="AP180" s="9" t="str" cm="1">
        <f t="array" ref="AP180">_xlfn.IFS(AO180 &lt;= 3, "Recently[1-3]", AO180 &lt;= 6, "Due Soon[4-6]", AO180 &lt;= 10, "Overdue[7-10]", AO180 &lt;= 15, "Long Overdue[11-15]")</f>
        <v>Long Overdue[11-15]</v>
      </c>
      <c r="AQ180" s="9" t="str" cm="1">
        <f t="array" ref="AQ180">_xlfn.IFS(AR180 &lt;= 3, "New Relationship[1-3]", AR180 &lt;= 7, "Established Relationship[4-7]", AR180 &lt;= 12, "Long Term Relationship[8-12]", AR180 &lt;= 17, "Very Long Term Relationship[13-17]")</f>
        <v>Established Relationship[4-7]</v>
      </c>
      <c r="AR180" s="1">
        <v>7</v>
      </c>
    </row>
    <row r="181" spans="1:44" x14ac:dyDescent="0.25">
      <c r="A181" s="1">
        <v>38</v>
      </c>
      <c r="B181" s="8" t="str" cm="1">
        <f t="array" ref="B181">_xlfn.IFS(A181 &lt;= 25, "[18-25]", A181 &lt;= 35, "[26-35]", A181 &lt;=45, "[36-45]", A181 &lt;= 60, "[46- 60]")</f>
        <v>[36-45]</v>
      </c>
      <c r="C181" s="3" t="s">
        <v>43</v>
      </c>
      <c r="D181">
        <f t="shared" si="2"/>
        <v>0</v>
      </c>
      <c r="E181" t="s">
        <v>36</v>
      </c>
      <c r="F181" s="1">
        <v>1380</v>
      </c>
      <c r="G181" s="3" t="s">
        <v>45</v>
      </c>
      <c r="H181" s="1">
        <v>9</v>
      </c>
      <c r="I181" s="9" t="str" cm="1">
        <f t="array" ref="I181">_xlfn.IFS(H181 &lt;= 2, "[1-2] very close", H181 &lt;= 10, "[3-10] close", H181 &lt;= 20, "[11-20] moderate", H181 &lt;= 30, "[21-30] far")</f>
        <v>[3-10] close</v>
      </c>
      <c r="J181" s="1">
        <v>2</v>
      </c>
      <c r="K181" s="3" t="s">
        <v>38</v>
      </c>
      <c r="L181" s="1">
        <v>1</v>
      </c>
      <c r="M181" s="1">
        <v>245</v>
      </c>
      <c r="N181" s="1">
        <v>3</v>
      </c>
      <c r="O181" s="3" t="s">
        <v>39</v>
      </c>
      <c r="P181" s="1">
        <v>75</v>
      </c>
      <c r="Q181" s="1">
        <v>3</v>
      </c>
      <c r="R181" s="1">
        <v>1</v>
      </c>
      <c r="S181" s="3" t="s">
        <v>50</v>
      </c>
      <c r="T181" s="1">
        <v>4</v>
      </c>
      <c r="U181" s="3" t="s">
        <v>41</v>
      </c>
      <c r="V181" s="4">
        <v>2288</v>
      </c>
      <c r="W181" s="1">
        <v>6319</v>
      </c>
      <c r="X181" s="1">
        <v>1</v>
      </c>
      <c r="Y181" s="3" t="s">
        <v>42</v>
      </c>
      <c r="Z181" s="3" t="s">
        <v>43</v>
      </c>
      <c r="AA181" s="5">
        <v>0.12</v>
      </c>
      <c r="AB181" s="10" t="str" cm="1">
        <f t="array" ref="AB181">_xlfn.IFS(AA181 &lt;= 15%, "Low Hike[11-15%]", AA181 &lt;= 20%, "Moderate Hike[16-20%]", AA181 &lt;= 25%,"High Hike[21-25%]")</f>
        <v>Low Hike[11-15%]</v>
      </c>
      <c r="AC181" s="1">
        <v>3</v>
      </c>
      <c r="AD181" s="1">
        <v>3</v>
      </c>
      <c r="AE181" s="1">
        <v>80</v>
      </c>
      <c r="AF181" s="1">
        <v>0</v>
      </c>
      <c r="AG181" s="1">
        <v>2</v>
      </c>
      <c r="AH181" s="9" t="str" cm="1">
        <f t="array" ref="AH181">_xlfn.IFS(AG181 &lt;= 5, "New[1-5]", AG181 &lt;= 10, "Early Career[6-10]", AG181 &lt;= 20, "Established[11-20]", AG181 &lt;= 30, "Veteran[21-30]", AG181 &lt;= 40, "Late Career[31-40]")</f>
        <v>New[1-5]</v>
      </c>
      <c r="AI181" s="1">
        <v>3</v>
      </c>
      <c r="AJ181" s="1">
        <v>3</v>
      </c>
      <c r="AK181" s="1">
        <v>2</v>
      </c>
      <c r="AL181" s="9" t="str" cm="1">
        <f t="array" ref="AL181">_xlfn.IFS(AK181 &lt;= 5, "New[1-5]", AK181 &lt;= 10, "Early Career[6-10]", AK181 &lt;= 20, "Established[11-20]", AK181 &lt;= 30, "Veteran[21-30]", AK181 &lt;= 40, "Late Career[31-40]")</f>
        <v>New[1-5]</v>
      </c>
      <c r="AM181" s="1">
        <v>2</v>
      </c>
      <c r="AN181" s="9" t="str" cm="1">
        <f t="array" ref="AN181">_xlfn.IFS(AM181 &lt;= 3, "New to Role[1-3]", AM181 &lt;= 7, "Settled[4-7]", AM181 &lt;= 12, "Experienced[[8-12]", AM181 &lt;= 18, "Long Tenured[13-18]")</f>
        <v>New to Role[1-3]</v>
      </c>
      <c r="AO181" s="1">
        <v>2</v>
      </c>
      <c r="AP181" s="9" t="str" cm="1">
        <f t="array" ref="AP181">_xlfn.IFS(AO181 &lt;= 3, "Recently[1-3]", AO181 &lt;= 6, "Due Soon[4-6]", AO181 &lt;= 10, "Overdue[7-10]", AO181 &lt;= 15, "Long Overdue[11-15]")</f>
        <v>Recently[1-3]</v>
      </c>
      <c r="AQ181" s="9" t="str" cm="1">
        <f t="array" ref="AQ181">_xlfn.IFS(AR181 &lt;= 3, "New Relationship[1-3]", AR181 &lt;= 7, "Established Relationship[4-7]", AR181 &lt;= 12, "Long Term Relationship[8-12]", AR181 &lt;= 17, "Very Long Term Relationship[13-17]")</f>
        <v>New Relationship[1-3]</v>
      </c>
      <c r="AR181" s="1">
        <v>1</v>
      </c>
    </row>
    <row r="182" spans="1:44" x14ac:dyDescent="0.25">
      <c r="A182" s="1">
        <v>31</v>
      </c>
      <c r="B182" s="8" t="str" cm="1">
        <f t="array" ref="B182">_xlfn.IFS(A182 &lt;= 25, "[18-25]", A182 &lt;= 35, "[26-35]", A182 &lt;=45, "[36-45]", A182 &lt;= 60, "[46- 60]")</f>
        <v>[26-35]</v>
      </c>
      <c r="C182" s="3" t="s">
        <v>43</v>
      </c>
      <c r="D182">
        <f t="shared" si="2"/>
        <v>0</v>
      </c>
      <c r="E182" t="s">
        <v>36</v>
      </c>
      <c r="F182" s="1">
        <v>140</v>
      </c>
      <c r="G182" s="3" t="s">
        <v>45</v>
      </c>
      <c r="H182" s="1">
        <v>12</v>
      </c>
      <c r="I182" s="9" t="str" cm="1">
        <f t="array" ref="I182">_xlfn.IFS(H182 &lt;= 2, "[1-2] very close", H182 &lt;= 10, "[3-10] close", H182 &lt;= 20, "[11-20] moderate", H182 &lt;= 30, "[21-30] far")</f>
        <v>[11-20] moderate</v>
      </c>
      <c r="J182" s="1">
        <v>1</v>
      </c>
      <c r="K182" s="3" t="s">
        <v>51</v>
      </c>
      <c r="L182" s="1">
        <v>1</v>
      </c>
      <c r="M182" s="1">
        <v>246</v>
      </c>
      <c r="N182" s="1">
        <v>3</v>
      </c>
      <c r="O182" s="3" t="s">
        <v>39</v>
      </c>
      <c r="P182" s="1">
        <v>95</v>
      </c>
      <c r="Q182" s="1">
        <v>3</v>
      </c>
      <c r="R182" s="1">
        <v>1</v>
      </c>
      <c r="S182" s="3" t="s">
        <v>47</v>
      </c>
      <c r="T182" s="1">
        <v>4</v>
      </c>
      <c r="U182" s="3" t="s">
        <v>48</v>
      </c>
      <c r="V182" s="4">
        <v>3929</v>
      </c>
      <c r="W182" s="1">
        <v>6984</v>
      </c>
      <c r="X182" s="1">
        <v>8</v>
      </c>
      <c r="Y182" s="3" t="s">
        <v>42</v>
      </c>
      <c r="Z182" s="3" t="s">
        <v>35</v>
      </c>
      <c r="AA182" s="5">
        <v>0.23</v>
      </c>
      <c r="AB182" s="10" t="str" cm="1">
        <f t="array" ref="AB182">_xlfn.IFS(AA182 &lt;= 15%, "Low Hike[11-15%]", AA182 &lt;= 20%, "Moderate Hike[16-20%]", AA182 &lt;= 25%,"High Hike[21-25%]")</f>
        <v>High Hike[21-25%]</v>
      </c>
      <c r="AC182" s="1">
        <v>4</v>
      </c>
      <c r="AD182" s="1">
        <v>3</v>
      </c>
      <c r="AE182" s="1">
        <v>80</v>
      </c>
      <c r="AF182" s="1">
        <v>1</v>
      </c>
      <c r="AG182" s="1">
        <v>7</v>
      </c>
      <c r="AH182" s="9" t="str" cm="1">
        <f t="array" ref="AH182">_xlfn.IFS(AG182 &lt;= 5, "New[1-5]", AG182 &lt;= 10, "Early Career[6-10]", AG182 &lt;= 20, "Established[11-20]", AG182 &lt;= 30, "Veteran[21-30]", AG182 &lt;= 40, "Late Career[31-40]")</f>
        <v>Early Career[6-10]</v>
      </c>
      <c r="AI182" s="1">
        <v>0</v>
      </c>
      <c r="AJ182" s="1">
        <v>3</v>
      </c>
      <c r="AK182" s="1">
        <v>4</v>
      </c>
      <c r="AL182" s="9" t="str" cm="1">
        <f t="array" ref="AL182">_xlfn.IFS(AK182 &lt;= 5, "New[1-5]", AK182 &lt;= 10, "Early Career[6-10]", AK182 &lt;= 20, "Established[11-20]", AK182 &lt;= 30, "Veteran[21-30]", AK182 &lt;= 40, "Late Career[31-40]")</f>
        <v>New[1-5]</v>
      </c>
      <c r="AM182" s="1">
        <v>2</v>
      </c>
      <c r="AN182" s="9" t="str" cm="1">
        <f t="array" ref="AN182">_xlfn.IFS(AM182 &lt;= 3, "New to Role[1-3]", AM182 &lt;= 7, "Settled[4-7]", AM182 &lt;= 12, "Experienced[[8-12]", AM182 &lt;= 18, "Long Tenured[13-18]")</f>
        <v>New to Role[1-3]</v>
      </c>
      <c r="AO182" s="1">
        <v>0</v>
      </c>
      <c r="AP182" s="9" t="str" cm="1">
        <f t="array" ref="AP182">_xlfn.IFS(AO182 &lt;= 3, "Recently[1-3]", AO182 &lt;= 6, "Due Soon[4-6]", AO182 &lt;= 10, "Overdue[7-10]", AO182 &lt;= 15, "Long Overdue[11-15]")</f>
        <v>Recently[1-3]</v>
      </c>
      <c r="AQ182" s="9" t="str" cm="1">
        <f t="array" ref="AQ182">_xlfn.IFS(AR182 &lt;= 3, "New Relationship[1-3]", AR182 &lt;= 7, "Established Relationship[4-7]", AR182 &lt;= 12, "Long Term Relationship[8-12]", AR182 &lt;= 17, "Very Long Term Relationship[13-17]")</f>
        <v>New Relationship[1-3]</v>
      </c>
      <c r="AR182" s="1">
        <v>2</v>
      </c>
    </row>
    <row r="183" spans="1:44" x14ac:dyDescent="0.25">
      <c r="A183" s="1">
        <v>34</v>
      </c>
      <c r="B183" s="8" t="str" cm="1">
        <f t="array" ref="B183">_xlfn.IFS(A183 &lt;= 25, "[18-25]", A183 &lt;= 35, "[26-35]", A183 &lt;=45, "[36-45]", A183 &lt;= 60, "[46- 60]")</f>
        <v>[26-35]</v>
      </c>
      <c r="C183" s="3" t="s">
        <v>43</v>
      </c>
      <c r="D183">
        <f t="shared" si="2"/>
        <v>0</v>
      </c>
      <c r="E183" t="s">
        <v>36</v>
      </c>
      <c r="F183" s="1">
        <v>629</v>
      </c>
      <c r="G183" s="3" t="s">
        <v>45</v>
      </c>
      <c r="H183" s="1">
        <v>27</v>
      </c>
      <c r="I183" s="9" t="str" cm="1">
        <f t="array" ref="I183">_xlfn.IFS(H183 &lt;= 2, "[1-2] very close", H183 &lt;= 10, "[3-10] close", H183 &lt;= 20, "[11-20] moderate", H183 &lt;= 30, "[21-30] far")</f>
        <v>[21-30] far</v>
      </c>
      <c r="J183" s="1">
        <v>2</v>
      </c>
      <c r="K183" s="3" t="s">
        <v>51</v>
      </c>
      <c r="L183" s="1">
        <v>1</v>
      </c>
      <c r="M183" s="1">
        <v>247</v>
      </c>
      <c r="N183" s="1">
        <v>4</v>
      </c>
      <c r="O183" s="3" t="s">
        <v>39</v>
      </c>
      <c r="P183" s="1">
        <v>95</v>
      </c>
      <c r="Q183" s="1">
        <v>3</v>
      </c>
      <c r="R183" s="1">
        <v>1</v>
      </c>
      <c r="S183" s="3" t="s">
        <v>47</v>
      </c>
      <c r="T183" s="1">
        <v>2</v>
      </c>
      <c r="U183" s="3" t="s">
        <v>41</v>
      </c>
      <c r="V183" s="4">
        <v>2311</v>
      </c>
      <c r="W183" s="1">
        <v>5711</v>
      </c>
      <c r="X183" s="1">
        <v>2</v>
      </c>
      <c r="Y183" s="3" t="s">
        <v>42</v>
      </c>
      <c r="Z183" s="3" t="s">
        <v>43</v>
      </c>
      <c r="AA183" s="5">
        <v>0.15</v>
      </c>
      <c r="AB183" s="10" t="str" cm="1">
        <f t="array" ref="AB183">_xlfn.IFS(AA183 &lt;= 15%, "Low Hike[11-15%]", AA183 &lt;= 20%, "Moderate Hike[16-20%]", AA183 &lt;= 25%,"High Hike[21-25%]")</f>
        <v>Low Hike[11-15%]</v>
      </c>
      <c r="AC183" s="1">
        <v>3</v>
      </c>
      <c r="AD183" s="1">
        <v>4</v>
      </c>
      <c r="AE183" s="1">
        <v>80</v>
      </c>
      <c r="AF183" s="1">
        <v>0</v>
      </c>
      <c r="AG183" s="1">
        <v>9</v>
      </c>
      <c r="AH183" s="9" t="str" cm="1">
        <f t="array" ref="AH183">_xlfn.IFS(AG183 &lt;= 5, "New[1-5]", AG183 &lt;= 10, "Early Career[6-10]", AG183 &lt;= 20, "Established[11-20]", AG183 &lt;= 30, "Veteran[21-30]", AG183 &lt;= 40, "Late Career[31-40]")</f>
        <v>Early Career[6-10]</v>
      </c>
      <c r="AI183" s="1">
        <v>3</v>
      </c>
      <c r="AJ183" s="1">
        <v>3</v>
      </c>
      <c r="AK183" s="1">
        <v>3</v>
      </c>
      <c r="AL183" s="9" t="str" cm="1">
        <f t="array" ref="AL183">_xlfn.IFS(AK183 &lt;= 5, "New[1-5]", AK183 &lt;= 10, "Early Career[6-10]", AK183 &lt;= 20, "Established[11-20]", AK183 &lt;= 30, "Veteran[21-30]", AK183 &lt;= 40, "Late Career[31-40]")</f>
        <v>New[1-5]</v>
      </c>
      <c r="AM183" s="1">
        <v>2</v>
      </c>
      <c r="AN183" s="9" t="str" cm="1">
        <f t="array" ref="AN183">_xlfn.IFS(AM183 &lt;= 3, "New to Role[1-3]", AM183 &lt;= 7, "Settled[4-7]", AM183 &lt;= 12, "Experienced[[8-12]", AM183 &lt;= 18, "Long Tenured[13-18]")</f>
        <v>New to Role[1-3]</v>
      </c>
      <c r="AO183" s="1">
        <v>1</v>
      </c>
      <c r="AP183" s="9" t="str" cm="1">
        <f t="array" ref="AP183">_xlfn.IFS(AO183 &lt;= 3, "Recently[1-3]", AO183 &lt;= 6, "Due Soon[4-6]", AO183 &lt;= 10, "Overdue[7-10]", AO183 &lt;= 15, "Long Overdue[11-15]")</f>
        <v>Recently[1-3]</v>
      </c>
      <c r="AQ183" s="9" t="str" cm="1">
        <f t="array" ref="AQ183">_xlfn.IFS(AR183 &lt;= 3, "New Relationship[1-3]", AR183 &lt;= 7, "Established Relationship[4-7]", AR183 &lt;= 12, "Long Term Relationship[8-12]", AR183 &lt;= 17, "Very Long Term Relationship[13-17]")</f>
        <v>New Relationship[1-3]</v>
      </c>
      <c r="AR183" s="1">
        <v>2</v>
      </c>
    </row>
    <row r="184" spans="1:44" x14ac:dyDescent="0.25">
      <c r="A184" s="1">
        <v>41</v>
      </c>
      <c r="B184" s="8" t="str" cm="1">
        <f t="array" ref="B184">_xlfn.IFS(A184 &lt;= 25, "[18-25]", A184 &lt;= 35, "[26-35]", A184 &lt;=45, "[36-45]", A184 &lt;= 60, "[46- 60]")</f>
        <v>[36-45]</v>
      </c>
      <c r="C184" s="3" t="s">
        <v>35</v>
      </c>
      <c r="D184">
        <f t="shared" si="2"/>
        <v>1</v>
      </c>
      <c r="E184" t="s">
        <v>36</v>
      </c>
      <c r="F184" s="1">
        <v>1356</v>
      </c>
      <c r="G184" s="3" t="s">
        <v>37</v>
      </c>
      <c r="H184" s="1">
        <v>20</v>
      </c>
      <c r="I184" s="9" t="str" cm="1">
        <f t="array" ref="I184">_xlfn.IFS(H184 &lt;= 2, "[1-2] very close", H184 &lt;= 10, "[3-10] close", H184 &lt;= 20, "[11-20] moderate", H184 &lt;= 30, "[21-30] far")</f>
        <v>[11-20] moderate</v>
      </c>
      <c r="J184" s="1">
        <v>2</v>
      </c>
      <c r="K184" s="3" t="s">
        <v>59</v>
      </c>
      <c r="L184" s="1">
        <v>1</v>
      </c>
      <c r="M184" s="1">
        <v>248</v>
      </c>
      <c r="N184" s="1">
        <v>2</v>
      </c>
      <c r="O184" s="3" t="s">
        <v>39</v>
      </c>
      <c r="P184" s="1">
        <v>70</v>
      </c>
      <c r="Q184" s="1">
        <v>3</v>
      </c>
      <c r="R184" s="1">
        <v>1</v>
      </c>
      <c r="S184" s="3" t="s">
        <v>57</v>
      </c>
      <c r="T184" s="1">
        <v>2</v>
      </c>
      <c r="U184" s="3" t="s">
        <v>41</v>
      </c>
      <c r="V184" s="4">
        <v>3140</v>
      </c>
      <c r="W184" s="1">
        <v>21728</v>
      </c>
      <c r="X184" s="1">
        <v>1</v>
      </c>
      <c r="Y184" s="3" t="s">
        <v>42</v>
      </c>
      <c r="Z184" s="3" t="s">
        <v>35</v>
      </c>
      <c r="AA184" s="5">
        <v>0.22</v>
      </c>
      <c r="AB184" s="10" t="str" cm="1">
        <f t="array" ref="AB184">_xlfn.IFS(AA184 &lt;= 15%, "Low Hike[11-15%]", AA184 &lt;= 20%, "Moderate Hike[16-20%]", AA184 &lt;= 25%,"High Hike[21-25%]")</f>
        <v>High Hike[21-25%]</v>
      </c>
      <c r="AC184" s="1">
        <v>4</v>
      </c>
      <c r="AD184" s="1">
        <v>4</v>
      </c>
      <c r="AE184" s="1">
        <v>80</v>
      </c>
      <c r="AF184" s="1">
        <v>0</v>
      </c>
      <c r="AG184" s="1">
        <v>4</v>
      </c>
      <c r="AH184" s="9" t="str" cm="1">
        <f t="array" ref="AH184">_xlfn.IFS(AG184 &lt;= 5, "New[1-5]", AG184 &lt;= 10, "Early Career[6-10]", AG184 &lt;= 20, "Established[11-20]", AG184 &lt;= 30, "Veteran[21-30]", AG184 &lt;= 40, "Late Career[31-40]")</f>
        <v>New[1-5]</v>
      </c>
      <c r="AI184" s="1">
        <v>5</v>
      </c>
      <c r="AJ184" s="1">
        <v>2</v>
      </c>
      <c r="AK184" s="1">
        <v>4</v>
      </c>
      <c r="AL184" s="9" t="str" cm="1">
        <f t="array" ref="AL184">_xlfn.IFS(AK184 &lt;= 5, "New[1-5]", AK184 &lt;= 10, "Early Career[6-10]", AK184 &lt;= 20, "Established[11-20]", AK184 &lt;= 30, "Veteran[21-30]", AK184 &lt;= 40, "Late Career[31-40]")</f>
        <v>New[1-5]</v>
      </c>
      <c r="AM184" s="1">
        <v>3</v>
      </c>
      <c r="AN184" s="9" t="str" cm="1">
        <f t="array" ref="AN184">_xlfn.IFS(AM184 &lt;= 3, "New to Role[1-3]", AM184 &lt;= 7, "Settled[4-7]", AM184 &lt;= 12, "Experienced[[8-12]", AM184 &lt;= 18, "Long Tenured[13-18]")</f>
        <v>New to Role[1-3]</v>
      </c>
      <c r="AO184" s="1">
        <v>0</v>
      </c>
      <c r="AP184" s="9" t="str" cm="1">
        <f t="array" ref="AP184">_xlfn.IFS(AO184 &lt;= 3, "Recently[1-3]", AO184 &lt;= 6, "Due Soon[4-6]", AO184 &lt;= 10, "Overdue[7-10]", AO184 &lt;= 15, "Long Overdue[11-15]")</f>
        <v>Recently[1-3]</v>
      </c>
      <c r="AQ184" s="9" t="str" cm="1">
        <f t="array" ref="AQ184">_xlfn.IFS(AR184 &lt;= 3, "New Relationship[1-3]", AR184 &lt;= 7, "Established Relationship[4-7]", AR184 &lt;= 12, "Long Term Relationship[8-12]", AR184 &lt;= 17, "Very Long Term Relationship[13-17]")</f>
        <v>New Relationship[1-3]</v>
      </c>
      <c r="AR184" s="1">
        <v>2</v>
      </c>
    </row>
    <row r="185" spans="1:44" x14ac:dyDescent="0.25">
      <c r="A185" s="1">
        <v>50</v>
      </c>
      <c r="B185" s="8" t="str" cm="1">
        <f t="array" ref="B185">_xlfn.IFS(A185 &lt;= 25, "[18-25]", A185 &lt;= 35, "[26-35]", A185 &lt;=45, "[36-45]", A185 &lt;= 60, "[46- 60]")</f>
        <v>[46- 60]</v>
      </c>
      <c r="C185" s="3" t="s">
        <v>43</v>
      </c>
      <c r="D185">
        <f t="shared" si="2"/>
        <v>0</v>
      </c>
      <c r="E185" t="s">
        <v>36</v>
      </c>
      <c r="F185" s="1">
        <v>328</v>
      </c>
      <c r="G185" s="3" t="s">
        <v>45</v>
      </c>
      <c r="H185" s="1">
        <v>1</v>
      </c>
      <c r="I185" s="9" t="str" cm="1">
        <f t="array" ref="I185">_xlfn.IFS(H185 &lt;= 2, "[1-2] very close", H185 &lt;= 10, "[3-10] close", H185 &lt;= 20, "[11-20] moderate", H185 &lt;= 30, "[21-30] far")</f>
        <v>[1-2] very close</v>
      </c>
      <c r="J185" s="1">
        <v>3</v>
      </c>
      <c r="K185" s="3" t="s">
        <v>51</v>
      </c>
      <c r="L185" s="1">
        <v>1</v>
      </c>
      <c r="M185" s="1">
        <v>249</v>
      </c>
      <c r="N185" s="1">
        <v>3</v>
      </c>
      <c r="O185" s="3" t="s">
        <v>46</v>
      </c>
      <c r="P185" s="1">
        <v>86</v>
      </c>
      <c r="Q185" s="1">
        <v>2</v>
      </c>
      <c r="R185" s="1">
        <v>1</v>
      </c>
      <c r="S185" s="3" t="s">
        <v>50</v>
      </c>
      <c r="T185" s="1">
        <v>3</v>
      </c>
      <c r="U185" s="3" t="s">
        <v>48</v>
      </c>
      <c r="V185" s="4">
        <v>3690</v>
      </c>
      <c r="W185" s="1">
        <v>3425</v>
      </c>
      <c r="X185" s="1">
        <v>2</v>
      </c>
      <c r="Y185" s="3" t="s">
        <v>42</v>
      </c>
      <c r="Z185" s="3" t="s">
        <v>43</v>
      </c>
      <c r="AA185" s="5">
        <v>0.15</v>
      </c>
      <c r="AB185" s="10" t="str" cm="1">
        <f t="array" ref="AB185">_xlfn.IFS(AA185 &lt;= 15%, "Low Hike[11-15%]", AA185 &lt;= 20%, "Moderate Hike[16-20%]", AA185 &lt;= 25%,"High Hike[21-25%]")</f>
        <v>Low Hike[11-15%]</v>
      </c>
      <c r="AC185" s="1">
        <v>3</v>
      </c>
      <c r="AD185" s="1">
        <v>4</v>
      </c>
      <c r="AE185" s="1">
        <v>80</v>
      </c>
      <c r="AF185" s="1">
        <v>1</v>
      </c>
      <c r="AG185" s="1">
        <v>5</v>
      </c>
      <c r="AH185" s="9" t="str" cm="1">
        <f t="array" ref="AH185">_xlfn.IFS(AG185 &lt;= 5, "New[1-5]", AG185 &lt;= 10, "Early Career[6-10]", AG185 &lt;= 20, "Established[11-20]", AG185 &lt;= 30, "Veteran[21-30]", AG185 &lt;= 40, "Late Career[31-40]")</f>
        <v>New[1-5]</v>
      </c>
      <c r="AI185" s="1">
        <v>2</v>
      </c>
      <c r="AJ185" s="1">
        <v>2</v>
      </c>
      <c r="AK185" s="1">
        <v>3</v>
      </c>
      <c r="AL185" s="9" t="str" cm="1">
        <f t="array" ref="AL185">_xlfn.IFS(AK185 &lt;= 5, "New[1-5]", AK185 &lt;= 10, "Early Career[6-10]", AK185 &lt;= 20, "Established[11-20]", AK185 &lt;= 30, "Veteran[21-30]", AK185 &lt;= 40, "Late Career[31-40]")</f>
        <v>New[1-5]</v>
      </c>
      <c r="AM185" s="1">
        <v>2</v>
      </c>
      <c r="AN185" s="9" t="str" cm="1">
        <f t="array" ref="AN185">_xlfn.IFS(AM185 &lt;= 3, "New to Role[1-3]", AM185 &lt;= 7, "Settled[4-7]", AM185 &lt;= 12, "Experienced[[8-12]", AM185 &lt;= 18, "Long Tenured[13-18]")</f>
        <v>New to Role[1-3]</v>
      </c>
      <c r="AO185" s="1">
        <v>0</v>
      </c>
      <c r="AP185" s="9" t="str" cm="1">
        <f t="array" ref="AP185">_xlfn.IFS(AO185 &lt;= 3, "Recently[1-3]", AO185 &lt;= 6, "Due Soon[4-6]", AO185 &lt;= 10, "Overdue[7-10]", AO185 &lt;= 15, "Long Overdue[11-15]")</f>
        <v>Recently[1-3]</v>
      </c>
      <c r="AQ185" s="9" t="str" cm="1">
        <f t="array" ref="AQ185">_xlfn.IFS(AR185 &lt;= 3, "New Relationship[1-3]", AR185 &lt;= 7, "Established Relationship[4-7]", AR185 &lt;= 12, "Long Term Relationship[8-12]", AR185 &lt;= 17, "Very Long Term Relationship[13-17]")</f>
        <v>New Relationship[1-3]</v>
      </c>
      <c r="AR185" s="1">
        <v>2</v>
      </c>
    </row>
    <row r="186" spans="1:44" x14ac:dyDescent="0.25">
      <c r="A186" s="1">
        <v>53</v>
      </c>
      <c r="B186" s="8" t="str" cm="1">
        <f t="array" ref="B186">_xlfn.IFS(A186 &lt;= 25, "[18-25]", A186 &lt;= 35, "[26-35]", A186 &lt;=45, "[36-45]", A186 &lt;= 60, "[46- 60]")</f>
        <v>[46- 60]</v>
      </c>
      <c r="C186" s="3" t="s">
        <v>43</v>
      </c>
      <c r="D186">
        <f t="shared" si="2"/>
        <v>0</v>
      </c>
      <c r="E186" t="s">
        <v>36</v>
      </c>
      <c r="F186" s="1">
        <v>1084</v>
      </c>
      <c r="G186" s="3" t="s">
        <v>45</v>
      </c>
      <c r="H186" s="1">
        <v>13</v>
      </c>
      <c r="I186" s="9" t="str" cm="1">
        <f t="array" ref="I186">_xlfn.IFS(H186 &lt;= 2, "[1-2] very close", H186 &lt;= 10, "[3-10] close", H186 &lt;= 20, "[11-20] moderate", H186 &lt;= 30, "[21-30] far")</f>
        <v>[11-20] moderate</v>
      </c>
      <c r="J186" s="1">
        <v>2</v>
      </c>
      <c r="K186" s="3" t="s">
        <v>51</v>
      </c>
      <c r="L186" s="1">
        <v>1</v>
      </c>
      <c r="M186" s="1">
        <v>250</v>
      </c>
      <c r="N186" s="1">
        <v>4</v>
      </c>
      <c r="O186" s="3" t="s">
        <v>39</v>
      </c>
      <c r="P186" s="1">
        <v>57</v>
      </c>
      <c r="Q186" s="1">
        <v>4</v>
      </c>
      <c r="R186" s="1">
        <v>2</v>
      </c>
      <c r="S186" s="3" t="s">
        <v>53</v>
      </c>
      <c r="T186" s="1">
        <v>1</v>
      </c>
      <c r="U186" s="3" t="s">
        <v>52</v>
      </c>
      <c r="V186" s="4">
        <v>4450</v>
      </c>
      <c r="W186" s="1">
        <v>26250</v>
      </c>
      <c r="X186" s="1">
        <v>1</v>
      </c>
      <c r="Y186" s="3" t="s">
        <v>42</v>
      </c>
      <c r="Z186" s="3" t="s">
        <v>43</v>
      </c>
      <c r="AA186" s="5">
        <v>0.11</v>
      </c>
      <c r="AB186" s="10" t="str" cm="1">
        <f t="array" ref="AB186">_xlfn.IFS(AA186 &lt;= 15%, "Low Hike[11-15%]", AA186 &lt;= 20%, "Moderate Hike[16-20%]", AA186 &lt;= 25%,"High Hike[21-25%]")</f>
        <v>Low Hike[11-15%]</v>
      </c>
      <c r="AC186" s="1">
        <v>3</v>
      </c>
      <c r="AD186" s="1">
        <v>3</v>
      </c>
      <c r="AE186" s="1">
        <v>80</v>
      </c>
      <c r="AF186" s="1">
        <v>2</v>
      </c>
      <c r="AG186" s="1">
        <v>5</v>
      </c>
      <c r="AH186" s="9" t="str" cm="1">
        <f t="array" ref="AH186">_xlfn.IFS(AG186 &lt;= 5, "New[1-5]", AG186 &lt;= 10, "Early Career[6-10]", AG186 &lt;= 20, "Established[11-20]", AG186 &lt;= 30, "Veteran[21-30]", AG186 &lt;= 40, "Late Career[31-40]")</f>
        <v>New[1-5]</v>
      </c>
      <c r="AI186" s="1">
        <v>3</v>
      </c>
      <c r="AJ186" s="1">
        <v>3</v>
      </c>
      <c r="AK186" s="1">
        <v>4</v>
      </c>
      <c r="AL186" s="9" t="str" cm="1">
        <f t="array" ref="AL186">_xlfn.IFS(AK186 &lt;= 5, "New[1-5]", AK186 &lt;= 10, "Early Career[6-10]", AK186 &lt;= 20, "Established[11-20]", AK186 &lt;= 30, "Veteran[21-30]", AK186 &lt;= 40, "Late Career[31-40]")</f>
        <v>New[1-5]</v>
      </c>
      <c r="AM186" s="1">
        <v>2</v>
      </c>
      <c r="AN186" s="9" t="str" cm="1">
        <f t="array" ref="AN186">_xlfn.IFS(AM186 &lt;= 3, "New to Role[1-3]", AM186 &lt;= 7, "Settled[4-7]", AM186 &lt;= 12, "Experienced[[8-12]", AM186 &lt;= 18, "Long Tenured[13-18]")</f>
        <v>New to Role[1-3]</v>
      </c>
      <c r="AO186" s="1">
        <v>1</v>
      </c>
      <c r="AP186" s="9" t="str" cm="1">
        <f t="array" ref="AP186">_xlfn.IFS(AO186 &lt;= 3, "Recently[1-3]", AO186 &lt;= 6, "Due Soon[4-6]", AO186 &lt;= 10, "Overdue[7-10]", AO186 &lt;= 15, "Long Overdue[11-15]")</f>
        <v>Recently[1-3]</v>
      </c>
      <c r="AQ186" s="9" t="str" cm="1">
        <f t="array" ref="AQ186">_xlfn.IFS(AR186 &lt;= 3, "New Relationship[1-3]", AR186 &lt;= 7, "Established Relationship[4-7]", AR186 &lt;= 12, "Long Term Relationship[8-12]", AR186 &lt;= 17, "Very Long Term Relationship[13-17]")</f>
        <v>New Relationship[1-3]</v>
      </c>
      <c r="AR186" s="1">
        <v>3</v>
      </c>
    </row>
    <row r="187" spans="1:44" x14ac:dyDescent="0.25">
      <c r="A187" s="1">
        <v>33</v>
      </c>
      <c r="B187" s="8" t="str" cm="1">
        <f t="array" ref="B187">_xlfn.IFS(A187 &lt;= 25, "[18-25]", A187 &lt;= 35, "[26-35]", A187 &lt;=45, "[36-45]", A187 &lt;= 60, "[46- 60]")</f>
        <v>[26-35]</v>
      </c>
      <c r="C187" s="3" t="s">
        <v>43</v>
      </c>
      <c r="D187">
        <f t="shared" si="2"/>
        <v>0</v>
      </c>
      <c r="E187" t="s">
        <v>36</v>
      </c>
      <c r="F187" s="1">
        <v>931</v>
      </c>
      <c r="G187" s="3" t="s">
        <v>45</v>
      </c>
      <c r="H187" s="1">
        <v>14</v>
      </c>
      <c r="I187" s="9" t="str" cm="1">
        <f t="array" ref="I187">_xlfn.IFS(H187 &lt;= 2, "[1-2] very close", H187 &lt;= 10, "[3-10] close", H187 &lt;= 20, "[11-20] moderate", H187 &lt;= 30, "[21-30] far")</f>
        <v>[11-20] moderate</v>
      </c>
      <c r="J187" s="1">
        <v>3</v>
      </c>
      <c r="K187" s="3" t="s">
        <v>51</v>
      </c>
      <c r="L187" s="1">
        <v>1</v>
      </c>
      <c r="M187" s="1">
        <v>252</v>
      </c>
      <c r="N187" s="1">
        <v>4</v>
      </c>
      <c r="O187" s="3" t="s">
        <v>39</v>
      </c>
      <c r="P187" s="1">
        <v>72</v>
      </c>
      <c r="Q187" s="1">
        <v>3</v>
      </c>
      <c r="R187" s="1">
        <v>1</v>
      </c>
      <c r="S187" s="3" t="s">
        <v>47</v>
      </c>
      <c r="T187" s="1">
        <v>2</v>
      </c>
      <c r="U187" s="3" t="s">
        <v>48</v>
      </c>
      <c r="V187" s="4">
        <v>2756</v>
      </c>
      <c r="W187" s="1">
        <v>4673</v>
      </c>
      <c r="X187" s="1">
        <v>1</v>
      </c>
      <c r="Y187" s="3" t="s">
        <v>42</v>
      </c>
      <c r="Z187" s="3" t="s">
        <v>43</v>
      </c>
      <c r="AA187" s="5">
        <v>0.13</v>
      </c>
      <c r="AB187" s="10" t="str" cm="1">
        <f t="array" ref="AB187">_xlfn.IFS(AA187 &lt;= 15%, "Low Hike[11-15%]", AA187 &lt;= 20%, "Moderate Hike[16-20%]", AA187 &lt;= 25%,"High Hike[21-25%]")</f>
        <v>Low Hike[11-15%]</v>
      </c>
      <c r="AC187" s="1">
        <v>3</v>
      </c>
      <c r="AD187" s="1">
        <v>4</v>
      </c>
      <c r="AE187" s="1">
        <v>80</v>
      </c>
      <c r="AF187" s="1">
        <v>1</v>
      </c>
      <c r="AG187" s="1">
        <v>8</v>
      </c>
      <c r="AH187" s="9" t="str" cm="1">
        <f t="array" ref="AH187">_xlfn.IFS(AG187 &lt;= 5, "New[1-5]", AG187 &lt;= 10, "Early Career[6-10]", AG187 &lt;= 20, "Established[11-20]", AG187 &lt;= 30, "Veteran[21-30]", AG187 &lt;= 40, "Late Career[31-40]")</f>
        <v>Early Career[6-10]</v>
      </c>
      <c r="AI187" s="1">
        <v>5</v>
      </c>
      <c r="AJ187" s="1">
        <v>3</v>
      </c>
      <c r="AK187" s="1">
        <v>8</v>
      </c>
      <c r="AL187" s="9" t="str" cm="1">
        <f t="array" ref="AL187">_xlfn.IFS(AK187 &lt;= 5, "New[1-5]", AK187 &lt;= 10, "Early Career[6-10]", AK187 &lt;= 20, "Established[11-20]", AK187 &lt;= 30, "Veteran[21-30]", AK187 &lt;= 40, "Late Career[31-40]")</f>
        <v>Early Career[6-10]</v>
      </c>
      <c r="AM187" s="1">
        <v>7</v>
      </c>
      <c r="AN187" s="9" t="str" cm="1">
        <f t="array" ref="AN187">_xlfn.IFS(AM187 &lt;= 3, "New to Role[1-3]", AM187 &lt;= 7, "Settled[4-7]", AM187 &lt;= 12, "Experienced[[8-12]", AM187 &lt;= 18, "Long Tenured[13-18]")</f>
        <v>Settled[4-7]</v>
      </c>
      <c r="AO187" s="1">
        <v>1</v>
      </c>
      <c r="AP187" s="9" t="str" cm="1">
        <f t="array" ref="AP187">_xlfn.IFS(AO187 &lt;= 3, "Recently[1-3]", AO187 &lt;= 6, "Due Soon[4-6]", AO187 &lt;= 10, "Overdue[7-10]", AO187 &lt;= 15, "Long Overdue[11-15]")</f>
        <v>Recently[1-3]</v>
      </c>
      <c r="AQ187" s="9" t="str" cm="1">
        <f t="array" ref="AQ187">_xlfn.IFS(AR187 &lt;= 3, "New Relationship[1-3]", AR187 &lt;= 7, "Established Relationship[4-7]", AR187 &lt;= 12, "Long Term Relationship[8-12]", AR187 &lt;= 17, "Very Long Term Relationship[13-17]")</f>
        <v>Established Relationship[4-7]</v>
      </c>
      <c r="AR187" s="1">
        <v>6</v>
      </c>
    </row>
    <row r="188" spans="1:44" x14ac:dyDescent="0.25">
      <c r="A188" s="1">
        <v>40</v>
      </c>
      <c r="B188" s="8" t="str" cm="1">
        <f t="array" ref="B188">_xlfn.IFS(A188 &lt;= 25, "[18-25]", A188 &lt;= 35, "[26-35]", A188 &lt;=45, "[36-45]", A188 &lt;= 60, "[46- 60]")</f>
        <v>[36-45]</v>
      </c>
      <c r="C188" s="3" t="s">
        <v>43</v>
      </c>
      <c r="D188">
        <f t="shared" si="2"/>
        <v>0</v>
      </c>
      <c r="E188" t="s">
        <v>36</v>
      </c>
      <c r="F188" s="1">
        <v>989</v>
      </c>
      <c r="G188" s="3" t="s">
        <v>45</v>
      </c>
      <c r="H188" s="1">
        <v>4</v>
      </c>
      <c r="I188" s="9" t="str" cm="1">
        <f t="array" ref="I188">_xlfn.IFS(H188 &lt;= 2, "[1-2] very close", H188 &lt;= 10, "[3-10] close", H188 &lt;= 20, "[11-20] moderate", H188 &lt;= 30, "[21-30] far")</f>
        <v>[3-10] close</v>
      </c>
      <c r="J188" s="1">
        <v>1</v>
      </c>
      <c r="K188" s="3" t="s">
        <v>51</v>
      </c>
      <c r="L188" s="1">
        <v>1</v>
      </c>
      <c r="M188" s="1">
        <v>253</v>
      </c>
      <c r="N188" s="1">
        <v>4</v>
      </c>
      <c r="O188" s="3" t="s">
        <v>39</v>
      </c>
      <c r="P188" s="1">
        <v>46</v>
      </c>
      <c r="Q188" s="1">
        <v>3</v>
      </c>
      <c r="R188" s="1">
        <v>5</v>
      </c>
      <c r="S188" s="3" t="s">
        <v>56</v>
      </c>
      <c r="T188" s="1">
        <v>3</v>
      </c>
      <c r="U188" s="3" t="s">
        <v>48</v>
      </c>
      <c r="V188" s="4">
        <v>19033</v>
      </c>
      <c r="W188" s="1">
        <v>6499</v>
      </c>
      <c r="X188" s="1">
        <v>1</v>
      </c>
      <c r="Y188" s="3" t="s">
        <v>42</v>
      </c>
      <c r="Z188" s="3" t="s">
        <v>43</v>
      </c>
      <c r="AA188" s="5">
        <v>0.14000000000000001</v>
      </c>
      <c r="AB188" s="10" t="str" cm="1">
        <f t="array" ref="AB188">_xlfn.IFS(AA188 &lt;= 15%, "Low Hike[11-15%]", AA188 &lt;= 20%, "Moderate Hike[16-20%]", AA188 &lt;= 25%,"High Hike[21-25%]")</f>
        <v>Low Hike[11-15%]</v>
      </c>
      <c r="AC188" s="1">
        <v>3</v>
      </c>
      <c r="AD188" s="1">
        <v>2</v>
      </c>
      <c r="AE188" s="1">
        <v>80</v>
      </c>
      <c r="AF188" s="1">
        <v>1</v>
      </c>
      <c r="AG188" s="1">
        <v>21</v>
      </c>
      <c r="AH188" s="9" t="str" cm="1">
        <f t="array" ref="AH188">_xlfn.IFS(AG188 &lt;= 5, "New[1-5]", AG188 &lt;= 10, "Early Career[6-10]", AG188 &lt;= 20, "Established[11-20]", AG188 &lt;= 30, "Veteran[21-30]", AG188 &lt;= 40, "Late Career[31-40]")</f>
        <v>Veteran[21-30]</v>
      </c>
      <c r="AI188" s="1">
        <v>2</v>
      </c>
      <c r="AJ188" s="1">
        <v>3</v>
      </c>
      <c r="AK188" s="1">
        <v>20</v>
      </c>
      <c r="AL188" s="9" t="str" cm="1">
        <f t="array" ref="AL188">_xlfn.IFS(AK188 &lt;= 5, "New[1-5]", AK188 &lt;= 10, "Early Career[6-10]", AK188 &lt;= 20, "Established[11-20]", AK188 &lt;= 30, "Veteran[21-30]", AK188 &lt;= 40, "Late Career[31-40]")</f>
        <v>Established[11-20]</v>
      </c>
      <c r="AM188" s="1">
        <v>8</v>
      </c>
      <c r="AN188" s="9" t="str" cm="1">
        <f t="array" ref="AN188">_xlfn.IFS(AM188 &lt;= 3, "New to Role[1-3]", AM188 &lt;= 7, "Settled[4-7]", AM188 &lt;= 12, "Experienced[[8-12]", AM188 &lt;= 18, "Long Tenured[13-18]")</f>
        <v>Experienced[[8-12]</v>
      </c>
      <c r="AO188" s="1">
        <v>9</v>
      </c>
      <c r="AP188" s="9" t="str" cm="1">
        <f t="array" ref="AP188">_xlfn.IFS(AO188 &lt;= 3, "Recently[1-3]", AO188 &lt;= 6, "Due Soon[4-6]", AO188 &lt;= 10, "Overdue[7-10]", AO188 &lt;= 15, "Long Overdue[11-15]")</f>
        <v>Overdue[7-10]</v>
      </c>
      <c r="AQ188" s="9" t="str" cm="1">
        <f t="array" ref="AQ188">_xlfn.IFS(AR188 &lt;= 3, "New Relationship[1-3]", AR188 &lt;= 7, "Established Relationship[4-7]", AR188 &lt;= 12, "Long Term Relationship[8-12]", AR188 &lt;= 17, "Very Long Term Relationship[13-17]")</f>
        <v>Long Term Relationship[8-12]</v>
      </c>
      <c r="AR188" s="1">
        <v>9</v>
      </c>
    </row>
    <row r="189" spans="1:44" x14ac:dyDescent="0.25">
      <c r="A189" s="1">
        <v>55</v>
      </c>
      <c r="B189" s="8" t="str" cm="1">
        <f t="array" ref="B189">_xlfn.IFS(A189 &lt;= 25, "[18-25]", A189 &lt;= 35, "[26-35]", A189 &lt;=45, "[36-45]", A189 &lt;= 60, "[46- 60]")</f>
        <v>[46- 60]</v>
      </c>
      <c r="C189" s="3" t="s">
        <v>43</v>
      </c>
      <c r="D189">
        <f t="shared" si="2"/>
        <v>0</v>
      </c>
      <c r="E189" t="s">
        <v>36</v>
      </c>
      <c r="F189" s="1">
        <v>692</v>
      </c>
      <c r="G189" s="3" t="s">
        <v>45</v>
      </c>
      <c r="H189" s="1">
        <v>14</v>
      </c>
      <c r="I189" s="9" t="str" cm="1">
        <f t="array" ref="I189">_xlfn.IFS(H189 &lt;= 2, "[1-2] very close", H189 &lt;= 10, "[3-10] close", H189 &lt;= 20, "[11-20] moderate", H189 &lt;= 30, "[21-30] far")</f>
        <v>[11-20] moderate</v>
      </c>
      <c r="J189" s="1">
        <v>4</v>
      </c>
      <c r="K189" s="3" t="s">
        <v>51</v>
      </c>
      <c r="L189" s="1">
        <v>1</v>
      </c>
      <c r="M189" s="1">
        <v>254</v>
      </c>
      <c r="N189" s="1">
        <v>3</v>
      </c>
      <c r="O189" s="3" t="s">
        <v>46</v>
      </c>
      <c r="P189" s="1">
        <v>61</v>
      </c>
      <c r="Q189" s="1">
        <v>4</v>
      </c>
      <c r="R189" s="1">
        <v>5</v>
      </c>
      <c r="S189" s="3" t="s">
        <v>58</v>
      </c>
      <c r="T189" s="1">
        <v>2</v>
      </c>
      <c r="U189" s="3" t="s">
        <v>41</v>
      </c>
      <c r="V189" s="4">
        <v>18722</v>
      </c>
      <c r="W189" s="1">
        <v>13339</v>
      </c>
      <c r="X189" s="1">
        <v>8</v>
      </c>
      <c r="Y189" s="3" t="s">
        <v>42</v>
      </c>
      <c r="Z189" s="3" t="s">
        <v>43</v>
      </c>
      <c r="AA189" s="5">
        <v>0.11</v>
      </c>
      <c r="AB189" s="10" t="str" cm="1">
        <f t="array" ref="AB189">_xlfn.IFS(AA189 &lt;= 15%, "Low Hike[11-15%]", AA189 &lt;= 20%, "Moderate Hike[16-20%]", AA189 &lt;= 25%,"High Hike[21-25%]")</f>
        <v>Low Hike[11-15%]</v>
      </c>
      <c r="AC189" s="1">
        <v>3</v>
      </c>
      <c r="AD189" s="1">
        <v>4</v>
      </c>
      <c r="AE189" s="1">
        <v>80</v>
      </c>
      <c r="AF189" s="1">
        <v>0</v>
      </c>
      <c r="AG189" s="1">
        <v>36</v>
      </c>
      <c r="AH189" s="9" t="str" cm="1">
        <f t="array" ref="AH189">_xlfn.IFS(AG189 &lt;= 5, "New[1-5]", AG189 &lt;= 10, "Early Career[6-10]", AG189 &lt;= 20, "Established[11-20]", AG189 &lt;= 30, "Veteran[21-30]", AG189 &lt;= 40, "Late Career[31-40]")</f>
        <v>Late Career[31-40]</v>
      </c>
      <c r="AI189" s="1">
        <v>3</v>
      </c>
      <c r="AJ189" s="1">
        <v>3</v>
      </c>
      <c r="AK189" s="1">
        <v>24</v>
      </c>
      <c r="AL189" s="9" t="str" cm="1">
        <f t="array" ref="AL189">_xlfn.IFS(AK189 &lt;= 5, "New[1-5]", AK189 &lt;= 10, "Early Career[6-10]", AK189 &lt;= 20, "Established[11-20]", AK189 &lt;= 30, "Veteran[21-30]", AK189 &lt;= 40, "Late Career[31-40]")</f>
        <v>Veteran[21-30]</v>
      </c>
      <c r="AM189" s="1">
        <v>15</v>
      </c>
      <c r="AN189" s="9" t="str" cm="1">
        <f t="array" ref="AN189">_xlfn.IFS(AM189 &lt;= 3, "New to Role[1-3]", AM189 &lt;= 7, "Settled[4-7]", AM189 &lt;= 12, "Experienced[[8-12]", AM189 &lt;= 18, "Long Tenured[13-18]")</f>
        <v>Long Tenured[13-18]</v>
      </c>
      <c r="AO189" s="1">
        <v>2</v>
      </c>
      <c r="AP189" s="9" t="str" cm="1">
        <f t="array" ref="AP189">_xlfn.IFS(AO189 &lt;= 3, "Recently[1-3]", AO189 &lt;= 6, "Due Soon[4-6]", AO189 &lt;= 10, "Overdue[7-10]", AO189 &lt;= 15, "Long Overdue[11-15]")</f>
        <v>Recently[1-3]</v>
      </c>
      <c r="AQ189" s="9" t="str" cm="1">
        <f t="array" ref="AQ189">_xlfn.IFS(AR189 &lt;= 3, "New Relationship[1-3]", AR189 &lt;= 7, "Established Relationship[4-7]", AR189 &lt;= 12, "Long Term Relationship[8-12]", AR189 &lt;= 17, "Very Long Term Relationship[13-17]")</f>
        <v>Very Long Term Relationship[13-17]</v>
      </c>
      <c r="AR189" s="1">
        <v>15</v>
      </c>
    </row>
    <row r="190" spans="1:44" x14ac:dyDescent="0.25">
      <c r="A190" s="1">
        <v>34</v>
      </c>
      <c r="B190" s="8" t="str" cm="1">
        <f t="array" ref="B190">_xlfn.IFS(A190 &lt;= 25, "[18-25]", A190 &lt;= 35, "[26-35]", A190 &lt;=45, "[36-45]", A190 &lt;= 60, "[46- 60]")</f>
        <v>[26-35]</v>
      </c>
      <c r="C190" s="3" t="s">
        <v>43</v>
      </c>
      <c r="D190">
        <f t="shared" si="2"/>
        <v>0</v>
      </c>
      <c r="E190" t="s">
        <v>44</v>
      </c>
      <c r="F190" s="1">
        <v>1069</v>
      </c>
      <c r="G190" s="3" t="s">
        <v>45</v>
      </c>
      <c r="H190" s="1">
        <v>2</v>
      </c>
      <c r="I190" s="9" t="str" cm="1">
        <f t="array" ref="I190">_xlfn.IFS(H190 &lt;= 2, "[1-2] very close", H190 &lt;= 10, "[3-10] close", H190 &lt;= 20, "[11-20] moderate", H190 &lt;= 30, "[21-30] far")</f>
        <v>[1-2] very close</v>
      </c>
      <c r="J190" s="1">
        <v>1</v>
      </c>
      <c r="K190" s="3" t="s">
        <v>38</v>
      </c>
      <c r="L190" s="1">
        <v>1</v>
      </c>
      <c r="M190" s="1">
        <v>256</v>
      </c>
      <c r="N190" s="1">
        <v>4</v>
      </c>
      <c r="O190" s="3" t="s">
        <v>46</v>
      </c>
      <c r="P190" s="1">
        <v>45</v>
      </c>
      <c r="Q190" s="1">
        <v>2</v>
      </c>
      <c r="R190" s="1">
        <v>2</v>
      </c>
      <c r="S190" s="3" t="s">
        <v>53</v>
      </c>
      <c r="T190" s="1">
        <v>3</v>
      </c>
      <c r="U190" s="3" t="s">
        <v>48</v>
      </c>
      <c r="V190" s="4">
        <v>9547</v>
      </c>
      <c r="W190" s="1">
        <v>14074</v>
      </c>
      <c r="X190" s="1">
        <v>1</v>
      </c>
      <c r="Y190" s="3" t="s">
        <v>42</v>
      </c>
      <c r="Z190" s="3" t="s">
        <v>43</v>
      </c>
      <c r="AA190" s="5">
        <v>0.17</v>
      </c>
      <c r="AB190" s="10" t="str" cm="1">
        <f t="array" ref="AB190">_xlfn.IFS(AA190 &lt;= 15%, "Low Hike[11-15%]", AA190 &lt;= 20%, "Moderate Hike[16-20%]", AA190 &lt;= 25%,"High Hike[21-25%]")</f>
        <v>Moderate Hike[16-20%]</v>
      </c>
      <c r="AC190" s="1">
        <v>3</v>
      </c>
      <c r="AD190" s="1">
        <v>3</v>
      </c>
      <c r="AE190" s="1">
        <v>80</v>
      </c>
      <c r="AF190" s="1">
        <v>0</v>
      </c>
      <c r="AG190" s="1">
        <v>10</v>
      </c>
      <c r="AH190" s="9" t="str" cm="1">
        <f t="array" ref="AH190">_xlfn.IFS(AG190 &lt;= 5, "New[1-5]", AG190 &lt;= 10, "Early Career[6-10]", AG190 &lt;= 20, "Established[11-20]", AG190 &lt;= 30, "Veteran[21-30]", AG190 &lt;= 40, "Late Career[31-40]")</f>
        <v>Early Career[6-10]</v>
      </c>
      <c r="AI190" s="1">
        <v>2</v>
      </c>
      <c r="AJ190" s="1">
        <v>2</v>
      </c>
      <c r="AK190" s="1">
        <v>10</v>
      </c>
      <c r="AL190" s="9" t="str" cm="1">
        <f t="array" ref="AL190">_xlfn.IFS(AK190 &lt;= 5, "New[1-5]", AK190 &lt;= 10, "Early Career[6-10]", AK190 &lt;= 20, "Established[11-20]", AK190 &lt;= 30, "Veteran[21-30]", AK190 &lt;= 40, "Late Career[31-40]")</f>
        <v>Early Career[6-10]</v>
      </c>
      <c r="AM190" s="1">
        <v>9</v>
      </c>
      <c r="AN190" s="9" t="str" cm="1">
        <f t="array" ref="AN190">_xlfn.IFS(AM190 &lt;= 3, "New to Role[1-3]", AM190 &lt;= 7, "Settled[4-7]", AM190 &lt;= 12, "Experienced[[8-12]", AM190 &lt;= 18, "Long Tenured[13-18]")</f>
        <v>Experienced[[8-12]</v>
      </c>
      <c r="AO190" s="1">
        <v>1</v>
      </c>
      <c r="AP190" s="9" t="str" cm="1">
        <f t="array" ref="AP190">_xlfn.IFS(AO190 &lt;= 3, "Recently[1-3]", AO190 &lt;= 6, "Due Soon[4-6]", AO190 &lt;= 10, "Overdue[7-10]", AO190 &lt;= 15, "Long Overdue[11-15]")</f>
        <v>Recently[1-3]</v>
      </c>
      <c r="AQ190" s="9" t="str" cm="1">
        <f t="array" ref="AQ190">_xlfn.IFS(AR190 &lt;= 3, "New Relationship[1-3]", AR190 &lt;= 7, "Established Relationship[4-7]", AR190 &lt;= 12, "Long Term Relationship[8-12]", AR190 &lt;= 17, "Very Long Term Relationship[13-17]")</f>
        <v>Long Term Relationship[8-12]</v>
      </c>
      <c r="AR190" s="1">
        <v>9</v>
      </c>
    </row>
    <row r="191" spans="1:44" x14ac:dyDescent="0.25">
      <c r="A191" s="1">
        <v>51</v>
      </c>
      <c r="B191" s="8" t="str" cm="1">
        <f t="array" ref="B191">_xlfn.IFS(A191 &lt;= 25, "[18-25]", A191 &lt;= 35, "[26-35]", A191 &lt;=45, "[36-45]", A191 &lt;= 60, "[46- 60]")</f>
        <v>[46- 60]</v>
      </c>
      <c r="C191" s="3" t="s">
        <v>43</v>
      </c>
      <c r="D191">
        <f t="shared" si="2"/>
        <v>0</v>
      </c>
      <c r="E191" t="s">
        <v>36</v>
      </c>
      <c r="F191" s="1">
        <v>313</v>
      </c>
      <c r="G191" s="3" t="s">
        <v>45</v>
      </c>
      <c r="H191" s="1">
        <v>3</v>
      </c>
      <c r="I191" s="9" t="str" cm="1">
        <f t="array" ref="I191">_xlfn.IFS(H191 &lt;= 2, "[1-2] very close", H191 &lt;= 10, "[3-10] close", H191 &lt;= 20, "[11-20] moderate", H191 &lt;= 30, "[21-30] far")</f>
        <v>[3-10] close</v>
      </c>
      <c r="J191" s="1">
        <v>3</v>
      </c>
      <c r="K191" s="3" t="s">
        <v>51</v>
      </c>
      <c r="L191" s="1">
        <v>1</v>
      </c>
      <c r="M191" s="1">
        <v>258</v>
      </c>
      <c r="N191" s="1">
        <v>4</v>
      </c>
      <c r="O191" s="3" t="s">
        <v>39</v>
      </c>
      <c r="P191" s="1">
        <v>98</v>
      </c>
      <c r="Q191" s="1">
        <v>3</v>
      </c>
      <c r="R191" s="1">
        <v>4</v>
      </c>
      <c r="S191" s="3" t="s">
        <v>54</v>
      </c>
      <c r="T191" s="1">
        <v>2</v>
      </c>
      <c r="U191" s="3" t="s">
        <v>41</v>
      </c>
      <c r="V191" s="4">
        <v>13734</v>
      </c>
      <c r="W191" s="1">
        <v>7192</v>
      </c>
      <c r="X191" s="1">
        <v>3</v>
      </c>
      <c r="Y191" s="3" t="s">
        <v>42</v>
      </c>
      <c r="Z191" s="3" t="s">
        <v>43</v>
      </c>
      <c r="AA191" s="5">
        <v>0.18</v>
      </c>
      <c r="AB191" s="10" t="str" cm="1">
        <f t="array" ref="AB191">_xlfn.IFS(AA191 &lt;= 15%, "Low Hike[11-15%]", AA191 &lt;= 20%, "Moderate Hike[16-20%]", AA191 &lt;= 25%,"High Hike[21-25%]")</f>
        <v>Moderate Hike[16-20%]</v>
      </c>
      <c r="AC191" s="1">
        <v>3</v>
      </c>
      <c r="AD191" s="1">
        <v>3</v>
      </c>
      <c r="AE191" s="1">
        <v>80</v>
      </c>
      <c r="AF191" s="1">
        <v>0</v>
      </c>
      <c r="AG191" s="1">
        <v>21</v>
      </c>
      <c r="AH191" s="9" t="str" cm="1">
        <f t="array" ref="AH191">_xlfn.IFS(AG191 &lt;= 5, "New[1-5]", AG191 &lt;= 10, "Early Career[6-10]", AG191 &lt;= 20, "Established[11-20]", AG191 &lt;= 30, "Veteran[21-30]", AG191 &lt;= 40, "Late Career[31-40]")</f>
        <v>Veteran[21-30]</v>
      </c>
      <c r="AI191" s="1">
        <v>6</v>
      </c>
      <c r="AJ191" s="1">
        <v>3</v>
      </c>
      <c r="AK191" s="1">
        <v>7</v>
      </c>
      <c r="AL191" s="9" t="str" cm="1">
        <f t="array" ref="AL191">_xlfn.IFS(AK191 &lt;= 5, "New[1-5]", AK191 &lt;= 10, "Early Career[6-10]", AK191 &lt;= 20, "Established[11-20]", AK191 &lt;= 30, "Veteran[21-30]", AK191 &lt;= 40, "Late Career[31-40]")</f>
        <v>Early Career[6-10]</v>
      </c>
      <c r="AM191" s="1">
        <v>7</v>
      </c>
      <c r="AN191" s="9" t="str" cm="1">
        <f t="array" ref="AN191">_xlfn.IFS(AM191 &lt;= 3, "New to Role[1-3]", AM191 &lt;= 7, "Settled[4-7]", AM191 &lt;= 12, "Experienced[[8-12]", AM191 &lt;= 18, "Long Tenured[13-18]")</f>
        <v>Settled[4-7]</v>
      </c>
      <c r="AO191" s="1">
        <v>1</v>
      </c>
      <c r="AP191" s="9" t="str" cm="1">
        <f t="array" ref="AP191">_xlfn.IFS(AO191 &lt;= 3, "Recently[1-3]", AO191 &lt;= 6, "Due Soon[4-6]", AO191 &lt;= 10, "Overdue[7-10]", AO191 &lt;= 15, "Long Overdue[11-15]")</f>
        <v>Recently[1-3]</v>
      </c>
      <c r="AQ191" s="9" t="str" cm="1">
        <f t="array" ref="AQ191">_xlfn.IFS(AR191 &lt;= 3, "New Relationship[1-3]", AR191 &lt;= 7, "Established Relationship[4-7]", AR191 &lt;= 12, "Long Term Relationship[8-12]", AR191 &lt;= 17, "Very Long Term Relationship[13-17]")</f>
        <v>New Relationship[1-3]</v>
      </c>
      <c r="AR191" s="1">
        <v>0</v>
      </c>
    </row>
    <row r="192" spans="1:44" x14ac:dyDescent="0.25">
      <c r="A192" s="1">
        <v>52</v>
      </c>
      <c r="B192" s="8" t="str" cm="1">
        <f t="array" ref="B192">_xlfn.IFS(A192 &lt;= 25, "[18-25]", A192 &lt;= 35, "[26-35]", A192 &lt;=45, "[36-45]", A192 &lt;= 60, "[46- 60]")</f>
        <v>[46- 60]</v>
      </c>
      <c r="C192" s="3" t="s">
        <v>43</v>
      </c>
      <c r="D192">
        <f t="shared" si="2"/>
        <v>0</v>
      </c>
      <c r="E192" t="s">
        <v>36</v>
      </c>
      <c r="F192" s="1">
        <v>699</v>
      </c>
      <c r="G192" s="3" t="s">
        <v>45</v>
      </c>
      <c r="H192" s="1">
        <v>1</v>
      </c>
      <c r="I192" s="9" t="str" cm="1">
        <f t="array" ref="I192">_xlfn.IFS(H192 &lt;= 2, "[1-2] very close", H192 &lt;= 10, "[3-10] close", H192 &lt;= 20, "[11-20] moderate", H192 &lt;= 30, "[21-30] far")</f>
        <v>[1-2] very close</v>
      </c>
      <c r="J192" s="1">
        <v>4</v>
      </c>
      <c r="K192" s="3" t="s">
        <v>38</v>
      </c>
      <c r="L192" s="1">
        <v>1</v>
      </c>
      <c r="M192" s="1">
        <v>259</v>
      </c>
      <c r="N192" s="1">
        <v>3</v>
      </c>
      <c r="O192" s="3" t="s">
        <v>46</v>
      </c>
      <c r="P192" s="1">
        <v>65</v>
      </c>
      <c r="Q192" s="1">
        <v>2</v>
      </c>
      <c r="R192" s="1">
        <v>5</v>
      </c>
      <c r="S192" s="3" t="s">
        <v>56</v>
      </c>
      <c r="T192" s="1">
        <v>3</v>
      </c>
      <c r="U192" s="3" t="s">
        <v>48</v>
      </c>
      <c r="V192" s="4">
        <v>19999</v>
      </c>
      <c r="W192" s="1">
        <v>5678</v>
      </c>
      <c r="X192" s="1">
        <v>0</v>
      </c>
      <c r="Y192" s="3" t="s">
        <v>42</v>
      </c>
      <c r="Z192" s="3" t="s">
        <v>43</v>
      </c>
      <c r="AA192" s="5">
        <v>0.14000000000000001</v>
      </c>
      <c r="AB192" s="10" t="str" cm="1">
        <f t="array" ref="AB192">_xlfn.IFS(AA192 &lt;= 15%, "Low Hike[11-15%]", AA192 &lt;= 20%, "Moderate Hike[16-20%]", AA192 &lt;= 25%,"High Hike[21-25%]")</f>
        <v>Low Hike[11-15%]</v>
      </c>
      <c r="AC192" s="1">
        <v>3</v>
      </c>
      <c r="AD192" s="1">
        <v>1</v>
      </c>
      <c r="AE192" s="1">
        <v>80</v>
      </c>
      <c r="AF192" s="1">
        <v>1</v>
      </c>
      <c r="AG192" s="1">
        <v>34</v>
      </c>
      <c r="AH192" s="9" t="str" cm="1">
        <f t="array" ref="AH192">_xlfn.IFS(AG192 &lt;= 5, "New[1-5]", AG192 &lt;= 10, "Early Career[6-10]", AG192 &lt;= 20, "Established[11-20]", AG192 &lt;= 30, "Veteran[21-30]", AG192 &lt;= 40, "Late Career[31-40]")</f>
        <v>Late Career[31-40]</v>
      </c>
      <c r="AI192" s="1">
        <v>5</v>
      </c>
      <c r="AJ192" s="1">
        <v>3</v>
      </c>
      <c r="AK192" s="1">
        <v>33</v>
      </c>
      <c r="AL192" s="9" t="str" cm="1">
        <f t="array" ref="AL192">_xlfn.IFS(AK192 &lt;= 5, "New[1-5]", AK192 &lt;= 10, "Early Career[6-10]", AK192 &lt;= 20, "Established[11-20]", AK192 &lt;= 30, "Veteran[21-30]", AK192 &lt;= 40, "Late Career[31-40]")</f>
        <v>Late Career[31-40]</v>
      </c>
      <c r="AM192" s="1">
        <v>18</v>
      </c>
      <c r="AN192" s="9" t="str" cm="1">
        <f t="array" ref="AN192">_xlfn.IFS(AM192 &lt;= 3, "New to Role[1-3]", AM192 &lt;= 7, "Settled[4-7]", AM192 &lt;= 12, "Experienced[[8-12]", AM192 &lt;= 18, "Long Tenured[13-18]")</f>
        <v>Long Tenured[13-18]</v>
      </c>
      <c r="AO192" s="1">
        <v>11</v>
      </c>
      <c r="AP192" s="9" t="str" cm="1">
        <f t="array" ref="AP192">_xlfn.IFS(AO192 &lt;= 3, "Recently[1-3]", AO192 &lt;= 6, "Due Soon[4-6]", AO192 &lt;= 10, "Overdue[7-10]", AO192 &lt;= 15, "Long Overdue[11-15]")</f>
        <v>Long Overdue[11-15]</v>
      </c>
      <c r="AQ192" s="9" t="str" cm="1">
        <f t="array" ref="AQ192">_xlfn.IFS(AR192 &lt;= 3, "New Relationship[1-3]", AR192 &lt;= 7, "Established Relationship[4-7]", AR192 &lt;= 12, "Long Term Relationship[8-12]", AR192 &lt;= 17, "Very Long Term Relationship[13-17]")</f>
        <v>Long Term Relationship[8-12]</v>
      </c>
      <c r="AR192" s="1">
        <v>9</v>
      </c>
    </row>
    <row r="193" spans="1:44" x14ac:dyDescent="0.25">
      <c r="A193" s="1">
        <v>27</v>
      </c>
      <c r="B193" s="8" t="str" cm="1">
        <f t="array" ref="B193">_xlfn.IFS(A193 &lt;= 25, "[18-25]", A193 &lt;= 35, "[26-35]", A193 &lt;=45, "[36-45]", A193 &lt;= 60, "[46- 60]")</f>
        <v>[26-35]</v>
      </c>
      <c r="C193" s="3" t="s">
        <v>43</v>
      </c>
      <c r="D193">
        <f t="shared" si="2"/>
        <v>0</v>
      </c>
      <c r="E193" t="s">
        <v>36</v>
      </c>
      <c r="F193" s="1">
        <v>894</v>
      </c>
      <c r="G193" s="3" t="s">
        <v>45</v>
      </c>
      <c r="H193" s="1">
        <v>9</v>
      </c>
      <c r="I193" s="9" t="str" cm="1">
        <f t="array" ref="I193">_xlfn.IFS(H193 &lt;= 2, "[1-2] very close", H193 &lt;= 10, "[3-10] close", H193 &lt;= 20, "[11-20] moderate", H193 &lt;= 30, "[21-30] far")</f>
        <v>[3-10] close</v>
      </c>
      <c r="J193" s="1">
        <v>3</v>
      </c>
      <c r="K193" s="3" t="s">
        <v>51</v>
      </c>
      <c r="L193" s="1">
        <v>1</v>
      </c>
      <c r="M193" s="1">
        <v>260</v>
      </c>
      <c r="N193" s="1">
        <v>4</v>
      </c>
      <c r="O193" s="3" t="s">
        <v>39</v>
      </c>
      <c r="P193" s="1">
        <v>99</v>
      </c>
      <c r="Q193" s="1">
        <v>3</v>
      </c>
      <c r="R193" s="1">
        <v>1</v>
      </c>
      <c r="S193" s="3" t="s">
        <v>47</v>
      </c>
      <c r="T193" s="1">
        <v>2</v>
      </c>
      <c r="U193" s="3" t="s">
        <v>41</v>
      </c>
      <c r="V193" s="4">
        <v>2279</v>
      </c>
      <c r="W193" s="1">
        <v>11781</v>
      </c>
      <c r="X193" s="1">
        <v>1</v>
      </c>
      <c r="Y193" s="3" t="s">
        <v>42</v>
      </c>
      <c r="Z193" s="3" t="s">
        <v>43</v>
      </c>
      <c r="AA193" s="5">
        <v>0.16</v>
      </c>
      <c r="AB193" s="10" t="str" cm="1">
        <f t="array" ref="AB193">_xlfn.IFS(AA193 &lt;= 15%, "Low Hike[11-15%]", AA193 &lt;= 20%, "Moderate Hike[16-20%]", AA193 &lt;= 25%,"High Hike[21-25%]")</f>
        <v>Moderate Hike[16-20%]</v>
      </c>
      <c r="AC193" s="1">
        <v>3</v>
      </c>
      <c r="AD193" s="1">
        <v>4</v>
      </c>
      <c r="AE193" s="1">
        <v>80</v>
      </c>
      <c r="AF193" s="1">
        <v>0</v>
      </c>
      <c r="AG193" s="1">
        <v>7</v>
      </c>
      <c r="AH193" s="9" t="str" cm="1">
        <f t="array" ref="AH193">_xlfn.IFS(AG193 &lt;= 5, "New[1-5]", AG193 &lt;= 10, "Early Career[6-10]", AG193 &lt;= 20, "Established[11-20]", AG193 &lt;= 30, "Veteran[21-30]", AG193 &lt;= 40, "Late Career[31-40]")</f>
        <v>Early Career[6-10]</v>
      </c>
      <c r="AI193" s="1">
        <v>2</v>
      </c>
      <c r="AJ193" s="1">
        <v>2</v>
      </c>
      <c r="AK193" s="1">
        <v>7</v>
      </c>
      <c r="AL193" s="9" t="str" cm="1">
        <f t="array" ref="AL193">_xlfn.IFS(AK193 &lt;= 5, "New[1-5]", AK193 &lt;= 10, "Early Career[6-10]", AK193 &lt;= 20, "Established[11-20]", AK193 &lt;= 30, "Veteran[21-30]", AK193 &lt;= 40, "Late Career[31-40]")</f>
        <v>Early Career[6-10]</v>
      </c>
      <c r="AM193" s="1">
        <v>7</v>
      </c>
      <c r="AN193" s="9" t="str" cm="1">
        <f t="array" ref="AN193">_xlfn.IFS(AM193 &lt;= 3, "New to Role[1-3]", AM193 &lt;= 7, "Settled[4-7]", AM193 &lt;= 12, "Experienced[[8-12]", AM193 &lt;= 18, "Long Tenured[13-18]")</f>
        <v>Settled[4-7]</v>
      </c>
      <c r="AO193" s="1">
        <v>0</v>
      </c>
      <c r="AP193" s="9" t="str" cm="1">
        <f t="array" ref="AP193">_xlfn.IFS(AO193 &lt;= 3, "Recently[1-3]", AO193 &lt;= 6, "Due Soon[4-6]", AO193 &lt;= 10, "Overdue[7-10]", AO193 &lt;= 15, "Long Overdue[11-15]")</f>
        <v>Recently[1-3]</v>
      </c>
      <c r="AQ193" s="9" t="str" cm="1">
        <f t="array" ref="AQ193">_xlfn.IFS(AR193 &lt;= 3, "New Relationship[1-3]", AR193 &lt;= 7, "Established Relationship[4-7]", AR193 &lt;= 12, "Long Term Relationship[8-12]", AR193 &lt;= 17, "Very Long Term Relationship[13-17]")</f>
        <v>New Relationship[1-3]</v>
      </c>
      <c r="AR193" s="1">
        <v>3</v>
      </c>
    </row>
    <row r="194" spans="1:44" x14ac:dyDescent="0.25">
      <c r="A194" s="1">
        <v>35</v>
      </c>
      <c r="B194" s="8" t="str" cm="1">
        <f t="array" ref="B194">_xlfn.IFS(A194 &lt;= 25, "[18-25]", A194 &lt;= 35, "[26-35]", A194 &lt;=45, "[36-45]", A194 &lt;= 60, "[46- 60]")</f>
        <v>[26-35]</v>
      </c>
      <c r="C194" s="3" t="s">
        <v>35</v>
      </c>
      <c r="D194">
        <f t="shared" ref="D194:D257" si="3">IF(C194 = "Yes",1, 0)</f>
        <v>1</v>
      </c>
      <c r="E194" t="s">
        <v>36</v>
      </c>
      <c r="F194" s="1">
        <v>556</v>
      </c>
      <c r="G194" s="3" t="s">
        <v>45</v>
      </c>
      <c r="H194" s="1">
        <v>23</v>
      </c>
      <c r="I194" s="9" t="str" cm="1">
        <f t="array" ref="I194">_xlfn.IFS(H194 &lt;= 2, "[1-2] very close", H194 &lt;= 10, "[3-10] close", H194 &lt;= 20, "[11-20] moderate", H194 &lt;= 30, "[21-30] far")</f>
        <v>[21-30] far</v>
      </c>
      <c r="J194" s="1">
        <v>2</v>
      </c>
      <c r="K194" s="3" t="s">
        <v>38</v>
      </c>
      <c r="L194" s="1">
        <v>1</v>
      </c>
      <c r="M194" s="1">
        <v>261</v>
      </c>
      <c r="N194" s="1">
        <v>2</v>
      </c>
      <c r="O194" s="3" t="s">
        <v>46</v>
      </c>
      <c r="P194" s="1">
        <v>50</v>
      </c>
      <c r="Q194" s="1">
        <v>2</v>
      </c>
      <c r="R194" s="1">
        <v>2</v>
      </c>
      <c r="S194" s="3" t="s">
        <v>53</v>
      </c>
      <c r="T194" s="1">
        <v>3</v>
      </c>
      <c r="U194" s="3" t="s">
        <v>48</v>
      </c>
      <c r="V194" s="4">
        <v>5916</v>
      </c>
      <c r="W194" s="1">
        <v>15497</v>
      </c>
      <c r="X194" s="1">
        <v>3</v>
      </c>
      <c r="Y194" s="3" t="s">
        <v>42</v>
      </c>
      <c r="Z194" s="3" t="s">
        <v>35</v>
      </c>
      <c r="AA194" s="5">
        <v>0.13</v>
      </c>
      <c r="AB194" s="10" t="str" cm="1">
        <f t="array" ref="AB194">_xlfn.IFS(AA194 &lt;= 15%, "Low Hike[11-15%]", AA194 &lt;= 20%, "Moderate Hike[16-20%]", AA194 &lt;= 25%,"High Hike[21-25%]")</f>
        <v>Low Hike[11-15%]</v>
      </c>
      <c r="AC194" s="1">
        <v>3</v>
      </c>
      <c r="AD194" s="1">
        <v>1</v>
      </c>
      <c r="AE194" s="1">
        <v>80</v>
      </c>
      <c r="AF194" s="1">
        <v>0</v>
      </c>
      <c r="AG194" s="1">
        <v>8</v>
      </c>
      <c r="AH194" s="9" t="str" cm="1">
        <f t="array" ref="AH194">_xlfn.IFS(AG194 &lt;= 5, "New[1-5]", AG194 &lt;= 10, "Early Career[6-10]", AG194 &lt;= 20, "Established[11-20]", AG194 &lt;= 30, "Veteran[21-30]", AG194 &lt;= 40, "Late Career[31-40]")</f>
        <v>Early Career[6-10]</v>
      </c>
      <c r="AI194" s="1">
        <v>1</v>
      </c>
      <c r="AJ194" s="1">
        <v>3</v>
      </c>
      <c r="AK194" s="1">
        <v>1</v>
      </c>
      <c r="AL194" s="9" t="str" cm="1">
        <f t="array" ref="AL194">_xlfn.IFS(AK194 &lt;= 5, "New[1-5]", AK194 &lt;= 10, "Early Career[6-10]", AK194 &lt;= 20, "Established[11-20]", AK194 &lt;= 30, "Veteran[21-30]", AK194 &lt;= 40, "Late Career[31-40]")</f>
        <v>New[1-5]</v>
      </c>
      <c r="AM194" s="1">
        <v>0</v>
      </c>
      <c r="AN194" s="9" t="str" cm="1">
        <f t="array" ref="AN194">_xlfn.IFS(AM194 &lt;= 3, "New to Role[1-3]", AM194 &lt;= 7, "Settled[4-7]", AM194 &lt;= 12, "Experienced[[8-12]", AM194 &lt;= 18, "Long Tenured[13-18]")</f>
        <v>New to Role[1-3]</v>
      </c>
      <c r="AO194" s="1">
        <v>0</v>
      </c>
      <c r="AP194" s="9" t="str" cm="1">
        <f t="array" ref="AP194">_xlfn.IFS(AO194 &lt;= 3, "Recently[1-3]", AO194 &lt;= 6, "Due Soon[4-6]", AO194 &lt;= 10, "Overdue[7-10]", AO194 &lt;= 15, "Long Overdue[11-15]")</f>
        <v>Recently[1-3]</v>
      </c>
      <c r="AQ194" s="9" t="str" cm="1">
        <f t="array" ref="AQ194">_xlfn.IFS(AR194 &lt;= 3, "New Relationship[1-3]", AR194 &lt;= 7, "Established Relationship[4-7]", AR194 &lt;= 12, "Long Term Relationship[8-12]", AR194 &lt;= 17, "Very Long Term Relationship[13-17]")</f>
        <v>New Relationship[1-3]</v>
      </c>
      <c r="AR194" s="1">
        <v>1</v>
      </c>
    </row>
    <row r="195" spans="1:44" x14ac:dyDescent="0.25">
      <c r="A195" s="1">
        <v>43</v>
      </c>
      <c r="B195" s="8" t="str" cm="1">
        <f t="array" ref="B195">_xlfn.IFS(A195 &lt;= 25, "[18-25]", A195 &lt;= 35, "[26-35]", A195 &lt;=45, "[36-45]", A195 &lt;= 60, "[46- 60]")</f>
        <v>[36-45]</v>
      </c>
      <c r="C195" s="3" t="s">
        <v>43</v>
      </c>
      <c r="D195">
        <f t="shared" si="3"/>
        <v>0</v>
      </c>
      <c r="E195" t="s">
        <v>62</v>
      </c>
      <c r="F195" s="1">
        <v>1344</v>
      </c>
      <c r="G195" s="3" t="s">
        <v>45</v>
      </c>
      <c r="H195" s="1">
        <v>7</v>
      </c>
      <c r="I195" s="9" t="str" cm="1">
        <f t="array" ref="I195">_xlfn.IFS(H195 &lt;= 2, "[1-2] very close", H195 &lt;= 10, "[3-10] close", H195 &lt;= 20, "[11-20] moderate", H195 &lt;= 30, "[21-30] far")</f>
        <v>[3-10] close</v>
      </c>
      <c r="J195" s="1">
        <v>3</v>
      </c>
      <c r="K195" s="3" t="s">
        <v>51</v>
      </c>
      <c r="L195" s="1">
        <v>1</v>
      </c>
      <c r="M195" s="1">
        <v>262</v>
      </c>
      <c r="N195" s="1">
        <v>4</v>
      </c>
      <c r="O195" s="3" t="s">
        <v>46</v>
      </c>
      <c r="P195" s="1">
        <v>37</v>
      </c>
      <c r="Q195" s="1">
        <v>4</v>
      </c>
      <c r="R195" s="1">
        <v>1</v>
      </c>
      <c r="S195" s="3" t="s">
        <v>47</v>
      </c>
      <c r="T195" s="1">
        <v>4</v>
      </c>
      <c r="U195" s="3" t="s">
        <v>52</v>
      </c>
      <c r="V195" s="4">
        <v>2089</v>
      </c>
      <c r="W195" s="1">
        <v>5228</v>
      </c>
      <c r="X195" s="1">
        <v>4</v>
      </c>
      <c r="Y195" s="3" t="s">
        <v>42</v>
      </c>
      <c r="Z195" s="3" t="s">
        <v>43</v>
      </c>
      <c r="AA195" s="5">
        <v>0.14000000000000001</v>
      </c>
      <c r="AB195" s="10" t="str" cm="1">
        <f t="array" ref="AB195">_xlfn.IFS(AA195 &lt;= 15%, "Low Hike[11-15%]", AA195 &lt;= 20%, "Moderate Hike[16-20%]", AA195 &lt;= 25%,"High Hike[21-25%]")</f>
        <v>Low Hike[11-15%]</v>
      </c>
      <c r="AC195" s="1">
        <v>3</v>
      </c>
      <c r="AD195" s="1">
        <v>4</v>
      </c>
      <c r="AE195" s="1">
        <v>80</v>
      </c>
      <c r="AF195" s="1">
        <v>3</v>
      </c>
      <c r="AG195" s="1">
        <v>7</v>
      </c>
      <c r="AH195" s="9" t="str" cm="1">
        <f t="array" ref="AH195">_xlfn.IFS(AG195 &lt;= 5, "New[1-5]", AG195 &lt;= 10, "Early Career[6-10]", AG195 &lt;= 20, "Established[11-20]", AG195 &lt;= 30, "Veteran[21-30]", AG195 &lt;= 40, "Late Career[31-40]")</f>
        <v>Early Career[6-10]</v>
      </c>
      <c r="AI195" s="1">
        <v>3</v>
      </c>
      <c r="AJ195" s="1">
        <v>4</v>
      </c>
      <c r="AK195" s="1">
        <v>5</v>
      </c>
      <c r="AL195" s="9" t="str" cm="1">
        <f t="array" ref="AL195">_xlfn.IFS(AK195 &lt;= 5, "New[1-5]", AK195 &lt;= 10, "Early Career[6-10]", AK195 &lt;= 20, "Established[11-20]", AK195 &lt;= 30, "Veteran[21-30]", AK195 &lt;= 40, "Late Career[31-40]")</f>
        <v>New[1-5]</v>
      </c>
      <c r="AM195" s="1">
        <v>4</v>
      </c>
      <c r="AN195" s="9" t="str" cm="1">
        <f t="array" ref="AN195">_xlfn.IFS(AM195 &lt;= 3, "New to Role[1-3]", AM195 &lt;= 7, "Settled[4-7]", AM195 &lt;= 12, "Experienced[[8-12]", AM195 &lt;= 18, "Long Tenured[13-18]")</f>
        <v>Settled[4-7]</v>
      </c>
      <c r="AO195" s="1">
        <v>2</v>
      </c>
      <c r="AP195" s="9" t="str" cm="1">
        <f t="array" ref="AP195">_xlfn.IFS(AO195 &lt;= 3, "Recently[1-3]", AO195 &lt;= 6, "Due Soon[4-6]", AO195 &lt;= 10, "Overdue[7-10]", AO195 &lt;= 15, "Long Overdue[11-15]")</f>
        <v>Recently[1-3]</v>
      </c>
      <c r="AQ195" s="9" t="str" cm="1">
        <f t="array" ref="AQ195">_xlfn.IFS(AR195 &lt;= 3, "New Relationship[1-3]", AR195 &lt;= 7, "Established Relationship[4-7]", AR195 &lt;= 12, "Long Term Relationship[8-12]", AR195 &lt;= 17, "Very Long Term Relationship[13-17]")</f>
        <v>New Relationship[1-3]</v>
      </c>
      <c r="AR195" s="1">
        <v>2</v>
      </c>
    </row>
    <row r="196" spans="1:44" x14ac:dyDescent="0.25">
      <c r="A196" s="1">
        <v>45</v>
      </c>
      <c r="B196" s="8" t="str" cm="1">
        <f t="array" ref="B196">_xlfn.IFS(A196 &lt;= 25, "[18-25]", A196 &lt;= 35, "[26-35]", A196 &lt;=45, "[36-45]", A196 &lt;= 60, "[46- 60]")</f>
        <v>[36-45]</v>
      </c>
      <c r="C196" s="3" t="s">
        <v>43</v>
      </c>
      <c r="D196">
        <f t="shared" si="3"/>
        <v>0</v>
      </c>
      <c r="E196" t="s">
        <v>62</v>
      </c>
      <c r="F196" s="1">
        <v>1195</v>
      </c>
      <c r="G196" s="3" t="s">
        <v>45</v>
      </c>
      <c r="H196" s="1">
        <v>2</v>
      </c>
      <c r="I196" s="9" t="str" cm="1">
        <f t="array" ref="I196">_xlfn.IFS(H196 &lt;= 2, "[1-2] very close", H196 &lt;= 10, "[3-10] close", H196 &lt;= 20, "[11-20] moderate", H196 &lt;= 30, "[21-30] far")</f>
        <v>[1-2] very close</v>
      </c>
      <c r="J196" s="1">
        <v>2</v>
      </c>
      <c r="K196" s="3" t="s">
        <v>51</v>
      </c>
      <c r="L196" s="1">
        <v>1</v>
      </c>
      <c r="M196" s="1">
        <v>264</v>
      </c>
      <c r="N196" s="1">
        <v>1</v>
      </c>
      <c r="O196" s="3" t="s">
        <v>46</v>
      </c>
      <c r="P196" s="1">
        <v>65</v>
      </c>
      <c r="Q196" s="1">
        <v>2</v>
      </c>
      <c r="R196" s="1">
        <v>4</v>
      </c>
      <c r="S196" s="3" t="s">
        <v>56</v>
      </c>
      <c r="T196" s="1">
        <v>4</v>
      </c>
      <c r="U196" s="3" t="s">
        <v>48</v>
      </c>
      <c r="V196" s="4">
        <v>16792</v>
      </c>
      <c r="W196" s="1">
        <v>20462</v>
      </c>
      <c r="X196" s="1">
        <v>9</v>
      </c>
      <c r="Y196" s="3" t="s">
        <v>42</v>
      </c>
      <c r="Z196" s="3" t="s">
        <v>43</v>
      </c>
      <c r="AA196" s="5">
        <v>0.23</v>
      </c>
      <c r="AB196" s="10" t="str" cm="1">
        <f t="array" ref="AB196">_xlfn.IFS(AA196 &lt;= 15%, "Low Hike[11-15%]", AA196 &lt;= 20%, "Moderate Hike[16-20%]", AA196 &lt;= 25%,"High Hike[21-25%]")</f>
        <v>High Hike[21-25%]</v>
      </c>
      <c r="AC196" s="1">
        <v>4</v>
      </c>
      <c r="AD196" s="1">
        <v>4</v>
      </c>
      <c r="AE196" s="1">
        <v>80</v>
      </c>
      <c r="AF196" s="1">
        <v>1</v>
      </c>
      <c r="AG196" s="1">
        <v>22</v>
      </c>
      <c r="AH196" s="9" t="str" cm="1">
        <f t="array" ref="AH196">_xlfn.IFS(AG196 &lt;= 5, "New[1-5]", AG196 &lt;= 10, "Early Career[6-10]", AG196 &lt;= 20, "Established[11-20]", AG196 &lt;= 30, "Veteran[21-30]", AG196 &lt;= 40, "Late Career[31-40]")</f>
        <v>Veteran[21-30]</v>
      </c>
      <c r="AI196" s="1">
        <v>1</v>
      </c>
      <c r="AJ196" s="1">
        <v>3</v>
      </c>
      <c r="AK196" s="1">
        <v>20</v>
      </c>
      <c r="AL196" s="9" t="str" cm="1">
        <f t="array" ref="AL196">_xlfn.IFS(AK196 &lt;= 5, "New[1-5]", AK196 &lt;= 10, "Early Career[6-10]", AK196 &lt;= 20, "Established[11-20]", AK196 &lt;= 30, "Veteran[21-30]", AK196 &lt;= 40, "Late Career[31-40]")</f>
        <v>Established[11-20]</v>
      </c>
      <c r="AM196" s="1">
        <v>8</v>
      </c>
      <c r="AN196" s="9" t="str" cm="1">
        <f t="array" ref="AN196">_xlfn.IFS(AM196 &lt;= 3, "New to Role[1-3]", AM196 &lt;= 7, "Settled[4-7]", AM196 &lt;= 12, "Experienced[[8-12]", AM196 &lt;= 18, "Long Tenured[13-18]")</f>
        <v>Experienced[[8-12]</v>
      </c>
      <c r="AO196" s="1">
        <v>11</v>
      </c>
      <c r="AP196" s="9" t="str" cm="1">
        <f t="array" ref="AP196">_xlfn.IFS(AO196 &lt;= 3, "Recently[1-3]", AO196 &lt;= 6, "Due Soon[4-6]", AO196 &lt;= 10, "Overdue[7-10]", AO196 &lt;= 15, "Long Overdue[11-15]")</f>
        <v>Long Overdue[11-15]</v>
      </c>
      <c r="AQ196" s="9" t="str" cm="1">
        <f t="array" ref="AQ196">_xlfn.IFS(AR196 &lt;= 3, "New Relationship[1-3]", AR196 &lt;= 7, "Established Relationship[4-7]", AR196 &lt;= 12, "Long Term Relationship[8-12]", AR196 &lt;= 17, "Very Long Term Relationship[13-17]")</f>
        <v>Long Term Relationship[8-12]</v>
      </c>
      <c r="AR196" s="1">
        <v>8</v>
      </c>
    </row>
    <row r="197" spans="1:44" x14ac:dyDescent="0.25">
      <c r="A197" s="1">
        <v>37</v>
      </c>
      <c r="B197" s="8" t="str" cm="1">
        <f t="array" ref="B197">_xlfn.IFS(A197 &lt;= 25, "[18-25]", A197 &lt;= 35, "[26-35]", A197 &lt;=45, "[36-45]", A197 &lt;= 60, "[46- 60]")</f>
        <v>[36-45]</v>
      </c>
      <c r="C197" s="3" t="s">
        <v>43</v>
      </c>
      <c r="D197">
        <f t="shared" si="3"/>
        <v>0</v>
      </c>
      <c r="E197" t="s">
        <v>36</v>
      </c>
      <c r="F197" s="1">
        <v>290</v>
      </c>
      <c r="G197" s="3" t="s">
        <v>45</v>
      </c>
      <c r="H197" s="1">
        <v>21</v>
      </c>
      <c r="I197" s="9" t="str" cm="1">
        <f t="array" ref="I197">_xlfn.IFS(H197 &lt;= 2, "[1-2] very close", H197 &lt;= 10, "[3-10] close", H197 &lt;= 20, "[11-20] moderate", H197 &lt;= 30, "[21-30] far")</f>
        <v>[21-30] far</v>
      </c>
      <c r="J197" s="1">
        <v>3</v>
      </c>
      <c r="K197" s="3" t="s">
        <v>38</v>
      </c>
      <c r="L197" s="1">
        <v>1</v>
      </c>
      <c r="M197" s="1">
        <v>267</v>
      </c>
      <c r="N197" s="1">
        <v>2</v>
      </c>
      <c r="O197" s="3" t="s">
        <v>46</v>
      </c>
      <c r="P197" s="1">
        <v>65</v>
      </c>
      <c r="Q197" s="1">
        <v>4</v>
      </c>
      <c r="R197" s="1">
        <v>1</v>
      </c>
      <c r="S197" s="3" t="s">
        <v>47</v>
      </c>
      <c r="T197" s="1">
        <v>1</v>
      </c>
      <c r="U197" s="3" t="s">
        <v>48</v>
      </c>
      <c r="V197" s="4">
        <v>3564</v>
      </c>
      <c r="W197" s="1">
        <v>22977</v>
      </c>
      <c r="X197" s="1">
        <v>1</v>
      </c>
      <c r="Y197" s="3" t="s">
        <v>42</v>
      </c>
      <c r="Z197" s="3" t="s">
        <v>35</v>
      </c>
      <c r="AA197" s="5">
        <v>0.12</v>
      </c>
      <c r="AB197" s="10" t="str" cm="1">
        <f t="array" ref="AB197">_xlfn.IFS(AA197 &lt;= 15%, "Low Hike[11-15%]", AA197 &lt;= 20%, "Moderate Hike[16-20%]", AA197 &lt;= 25%,"High Hike[21-25%]")</f>
        <v>Low Hike[11-15%]</v>
      </c>
      <c r="AC197" s="1">
        <v>3</v>
      </c>
      <c r="AD197" s="1">
        <v>1</v>
      </c>
      <c r="AE197" s="1">
        <v>80</v>
      </c>
      <c r="AF197" s="1">
        <v>1</v>
      </c>
      <c r="AG197" s="1">
        <v>8</v>
      </c>
      <c r="AH197" s="9" t="str" cm="1">
        <f t="array" ref="AH197">_xlfn.IFS(AG197 &lt;= 5, "New[1-5]", AG197 &lt;= 10, "Early Career[6-10]", AG197 &lt;= 20, "Established[11-20]", AG197 &lt;= 30, "Veteran[21-30]", AG197 &lt;= 40, "Late Career[31-40]")</f>
        <v>Early Career[6-10]</v>
      </c>
      <c r="AI197" s="1">
        <v>3</v>
      </c>
      <c r="AJ197" s="1">
        <v>2</v>
      </c>
      <c r="AK197" s="1">
        <v>8</v>
      </c>
      <c r="AL197" s="9" t="str" cm="1">
        <f t="array" ref="AL197">_xlfn.IFS(AK197 &lt;= 5, "New[1-5]", AK197 &lt;= 10, "Early Career[6-10]", AK197 &lt;= 20, "Established[11-20]", AK197 &lt;= 30, "Veteran[21-30]", AK197 &lt;= 40, "Late Career[31-40]")</f>
        <v>Early Career[6-10]</v>
      </c>
      <c r="AM197" s="1">
        <v>7</v>
      </c>
      <c r="AN197" s="9" t="str" cm="1">
        <f t="array" ref="AN197">_xlfn.IFS(AM197 &lt;= 3, "New to Role[1-3]", AM197 &lt;= 7, "Settled[4-7]", AM197 &lt;= 12, "Experienced[[8-12]", AM197 &lt;= 18, "Long Tenured[13-18]")</f>
        <v>Settled[4-7]</v>
      </c>
      <c r="AO197" s="1">
        <v>1</v>
      </c>
      <c r="AP197" s="9" t="str" cm="1">
        <f t="array" ref="AP197">_xlfn.IFS(AO197 &lt;= 3, "Recently[1-3]", AO197 &lt;= 6, "Due Soon[4-6]", AO197 &lt;= 10, "Overdue[7-10]", AO197 &lt;= 15, "Long Overdue[11-15]")</f>
        <v>Recently[1-3]</v>
      </c>
      <c r="AQ197" s="9" t="str" cm="1">
        <f t="array" ref="AQ197">_xlfn.IFS(AR197 &lt;= 3, "New Relationship[1-3]", AR197 &lt;= 7, "Established Relationship[4-7]", AR197 &lt;= 12, "Long Term Relationship[8-12]", AR197 &lt;= 17, "Very Long Term Relationship[13-17]")</f>
        <v>Established Relationship[4-7]</v>
      </c>
      <c r="AR197" s="1">
        <v>7</v>
      </c>
    </row>
    <row r="198" spans="1:44" x14ac:dyDescent="0.25">
      <c r="A198" s="1">
        <v>35</v>
      </c>
      <c r="B198" s="8" t="str" cm="1">
        <f t="array" ref="B198">_xlfn.IFS(A198 &lt;= 25, "[18-25]", A198 &lt;= 35, "[26-35]", A198 &lt;=45, "[36-45]", A198 &lt;= 60, "[46- 60]")</f>
        <v>[26-35]</v>
      </c>
      <c r="C198" s="3" t="s">
        <v>43</v>
      </c>
      <c r="D198">
        <f t="shared" si="3"/>
        <v>0</v>
      </c>
      <c r="E198" t="s">
        <v>44</v>
      </c>
      <c r="F198" s="1">
        <v>138</v>
      </c>
      <c r="G198" s="3" t="s">
        <v>45</v>
      </c>
      <c r="H198" s="1">
        <v>2</v>
      </c>
      <c r="I198" s="9" t="str" cm="1">
        <f t="array" ref="I198">_xlfn.IFS(H198 &lt;= 2, "[1-2] very close", H198 &lt;= 10, "[3-10] close", H198 &lt;= 20, "[11-20] moderate", H198 &lt;= 30, "[21-30] far")</f>
        <v>[1-2] very close</v>
      </c>
      <c r="J198" s="1">
        <v>3</v>
      </c>
      <c r="K198" s="3" t="s">
        <v>51</v>
      </c>
      <c r="L198" s="1">
        <v>1</v>
      </c>
      <c r="M198" s="1">
        <v>269</v>
      </c>
      <c r="N198" s="1">
        <v>2</v>
      </c>
      <c r="O198" s="3" t="s">
        <v>39</v>
      </c>
      <c r="P198" s="1">
        <v>37</v>
      </c>
      <c r="Q198" s="1">
        <v>3</v>
      </c>
      <c r="R198" s="1">
        <v>2</v>
      </c>
      <c r="S198" s="3" t="s">
        <v>50</v>
      </c>
      <c r="T198" s="1">
        <v>2</v>
      </c>
      <c r="U198" s="3" t="s">
        <v>41</v>
      </c>
      <c r="V198" s="4">
        <v>4425</v>
      </c>
      <c r="W198" s="1">
        <v>15986</v>
      </c>
      <c r="X198" s="1">
        <v>5</v>
      </c>
      <c r="Y198" s="3" t="s">
        <v>42</v>
      </c>
      <c r="Z198" s="3" t="s">
        <v>43</v>
      </c>
      <c r="AA198" s="5">
        <v>0.11</v>
      </c>
      <c r="AB198" s="10" t="str" cm="1">
        <f t="array" ref="AB198">_xlfn.IFS(AA198 &lt;= 15%, "Low Hike[11-15%]", AA198 &lt;= 20%, "Moderate Hike[16-20%]", AA198 &lt;= 25%,"High Hike[21-25%]")</f>
        <v>Low Hike[11-15%]</v>
      </c>
      <c r="AC198" s="1">
        <v>3</v>
      </c>
      <c r="AD198" s="1">
        <v>4</v>
      </c>
      <c r="AE198" s="1">
        <v>80</v>
      </c>
      <c r="AF198" s="1">
        <v>0</v>
      </c>
      <c r="AG198" s="1">
        <v>10</v>
      </c>
      <c r="AH198" s="9" t="str" cm="1">
        <f t="array" ref="AH198">_xlfn.IFS(AG198 &lt;= 5, "New[1-5]", AG198 &lt;= 10, "Early Career[6-10]", AG198 &lt;= 20, "Established[11-20]", AG198 &lt;= 30, "Veteran[21-30]", AG198 &lt;= 40, "Late Career[31-40]")</f>
        <v>Early Career[6-10]</v>
      </c>
      <c r="AI198" s="1">
        <v>5</v>
      </c>
      <c r="AJ198" s="1">
        <v>3</v>
      </c>
      <c r="AK198" s="1">
        <v>6</v>
      </c>
      <c r="AL198" s="9" t="str" cm="1">
        <f t="array" ref="AL198">_xlfn.IFS(AK198 &lt;= 5, "New[1-5]", AK198 &lt;= 10, "Early Career[6-10]", AK198 &lt;= 20, "Established[11-20]", AK198 &lt;= 30, "Veteran[21-30]", AK198 &lt;= 40, "Late Career[31-40]")</f>
        <v>Early Career[6-10]</v>
      </c>
      <c r="AM198" s="1">
        <v>2</v>
      </c>
      <c r="AN198" s="9" t="str" cm="1">
        <f t="array" ref="AN198">_xlfn.IFS(AM198 &lt;= 3, "New to Role[1-3]", AM198 &lt;= 7, "Settled[4-7]", AM198 &lt;= 12, "Experienced[[8-12]", AM198 &lt;= 18, "Long Tenured[13-18]")</f>
        <v>New to Role[1-3]</v>
      </c>
      <c r="AO198" s="1">
        <v>1</v>
      </c>
      <c r="AP198" s="9" t="str" cm="1">
        <f t="array" ref="AP198">_xlfn.IFS(AO198 &lt;= 3, "Recently[1-3]", AO198 &lt;= 6, "Due Soon[4-6]", AO198 &lt;= 10, "Overdue[7-10]", AO198 &lt;= 15, "Long Overdue[11-15]")</f>
        <v>Recently[1-3]</v>
      </c>
      <c r="AQ198" s="9" t="str" cm="1">
        <f t="array" ref="AQ198">_xlfn.IFS(AR198 &lt;= 3, "New Relationship[1-3]", AR198 &lt;= 7, "Established Relationship[4-7]", AR198 &lt;= 12, "Long Term Relationship[8-12]", AR198 &lt;= 17, "Very Long Term Relationship[13-17]")</f>
        <v>New Relationship[1-3]</v>
      </c>
      <c r="AR198" s="1">
        <v>2</v>
      </c>
    </row>
    <row r="199" spans="1:44" x14ac:dyDescent="0.25">
      <c r="A199" s="1">
        <v>42</v>
      </c>
      <c r="B199" s="8" t="str" cm="1">
        <f t="array" ref="B199">_xlfn.IFS(A199 &lt;= 25, "[18-25]", A199 &lt;= 35, "[26-35]", A199 &lt;=45, "[36-45]", A199 &lt;= 60, "[46- 60]")</f>
        <v>[36-45]</v>
      </c>
      <c r="C199" s="3" t="s">
        <v>43</v>
      </c>
      <c r="D199">
        <f t="shared" si="3"/>
        <v>0</v>
      </c>
      <c r="E199" t="s">
        <v>62</v>
      </c>
      <c r="F199" s="1">
        <v>926</v>
      </c>
      <c r="G199" s="3" t="s">
        <v>45</v>
      </c>
      <c r="H199" s="1">
        <v>21</v>
      </c>
      <c r="I199" s="9" t="str" cm="1">
        <f t="array" ref="I199">_xlfn.IFS(H199 &lt;= 2, "[1-2] very close", H199 &lt;= 10, "[3-10] close", H199 &lt;= 20, "[11-20] moderate", H199 &lt;= 30, "[21-30] far")</f>
        <v>[21-30] far</v>
      </c>
      <c r="J199" s="1">
        <v>2</v>
      </c>
      <c r="K199" s="3" t="s">
        <v>51</v>
      </c>
      <c r="L199" s="1">
        <v>1</v>
      </c>
      <c r="M199" s="1">
        <v>270</v>
      </c>
      <c r="N199" s="1">
        <v>3</v>
      </c>
      <c r="O199" s="3" t="s">
        <v>39</v>
      </c>
      <c r="P199" s="1">
        <v>36</v>
      </c>
      <c r="Q199" s="1">
        <v>3</v>
      </c>
      <c r="R199" s="1">
        <v>2</v>
      </c>
      <c r="S199" s="3" t="s">
        <v>53</v>
      </c>
      <c r="T199" s="1">
        <v>3</v>
      </c>
      <c r="U199" s="3" t="s">
        <v>52</v>
      </c>
      <c r="V199" s="4">
        <v>5265</v>
      </c>
      <c r="W199" s="1">
        <v>16439</v>
      </c>
      <c r="X199" s="1">
        <v>2</v>
      </c>
      <c r="Y199" s="3" t="s">
        <v>42</v>
      </c>
      <c r="Z199" s="3" t="s">
        <v>43</v>
      </c>
      <c r="AA199" s="5">
        <v>0.16</v>
      </c>
      <c r="AB199" s="10" t="str" cm="1">
        <f t="array" ref="AB199">_xlfn.IFS(AA199 &lt;= 15%, "Low Hike[11-15%]", AA199 &lt;= 20%, "Moderate Hike[16-20%]", AA199 &lt;= 25%,"High Hike[21-25%]")</f>
        <v>Moderate Hike[16-20%]</v>
      </c>
      <c r="AC199" s="1">
        <v>3</v>
      </c>
      <c r="AD199" s="1">
        <v>2</v>
      </c>
      <c r="AE199" s="1">
        <v>80</v>
      </c>
      <c r="AF199" s="1">
        <v>1</v>
      </c>
      <c r="AG199" s="1">
        <v>11</v>
      </c>
      <c r="AH199" s="9" t="str" cm="1">
        <f t="array" ref="AH199">_xlfn.IFS(AG199 &lt;= 5, "New[1-5]", AG199 &lt;= 10, "Early Career[6-10]", AG199 &lt;= 20, "Established[11-20]", AG199 &lt;= 30, "Veteran[21-30]", AG199 &lt;= 40, "Late Career[31-40]")</f>
        <v>Established[11-20]</v>
      </c>
      <c r="AI199" s="1">
        <v>5</v>
      </c>
      <c r="AJ199" s="1">
        <v>3</v>
      </c>
      <c r="AK199" s="1">
        <v>5</v>
      </c>
      <c r="AL199" s="9" t="str" cm="1">
        <f t="array" ref="AL199">_xlfn.IFS(AK199 &lt;= 5, "New[1-5]", AK199 &lt;= 10, "Early Career[6-10]", AK199 &lt;= 20, "Established[11-20]", AK199 &lt;= 30, "Veteran[21-30]", AK199 &lt;= 40, "Late Career[31-40]")</f>
        <v>New[1-5]</v>
      </c>
      <c r="AM199" s="1">
        <v>3</v>
      </c>
      <c r="AN199" s="9" t="str" cm="1">
        <f t="array" ref="AN199">_xlfn.IFS(AM199 &lt;= 3, "New to Role[1-3]", AM199 &lt;= 7, "Settled[4-7]", AM199 &lt;= 12, "Experienced[[8-12]", AM199 &lt;= 18, "Long Tenured[13-18]")</f>
        <v>New to Role[1-3]</v>
      </c>
      <c r="AO199" s="1">
        <v>0</v>
      </c>
      <c r="AP199" s="9" t="str" cm="1">
        <f t="array" ref="AP199">_xlfn.IFS(AO199 &lt;= 3, "Recently[1-3]", AO199 &lt;= 6, "Due Soon[4-6]", AO199 &lt;= 10, "Overdue[7-10]", AO199 &lt;= 15, "Long Overdue[11-15]")</f>
        <v>Recently[1-3]</v>
      </c>
      <c r="AQ199" s="9" t="str" cm="1">
        <f t="array" ref="AQ199">_xlfn.IFS(AR199 &lt;= 3, "New Relationship[1-3]", AR199 &lt;= 7, "Established Relationship[4-7]", AR199 &lt;= 12, "Long Term Relationship[8-12]", AR199 &lt;= 17, "Very Long Term Relationship[13-17]")</f>
        <v>New Relationship[1-3]</v>
      </c>
      <c r="AR199" s="1">
        <v>2</v>
      </c>
    </row>
    <row r="200" spans="1:44" x14ac:dyDescent="0.25">
      <c r="A200" s="1">
        <v>38</v>
      </c>
      <c r="B200" s="8" t="str" cm="1">
        <f t="array" ref="B200">_xlfn.IFS(A200 &lt;= 25, "[18-25]", A200 &lt;= 35, "[26-35]", A200 &lt;=45, "[36-45]", A200 &lt;= 60, "[46- 60]")</f>
        <v>[36-45]</v>
      </c>
      <c r="C200" s="3" t="s">
        <v>43</v>
      </c>
      <c r="D200">
        <f t="shared" si="3"/>
        <v>0</v>
      </c>
      <c r="E200" t="s">
        <v>36</v>
      </c>
      <c r="F200" s="1">
        <v>1261</v>
      </c>
      <c r="G200" s="3" t="s">
        <v>45</v>
      </c>
      <c r="H200" s="1">
        <v>2</v>
      </c>
      <c r="I200" s="9" t="str" cm="1">
        <f t="array" ref="I200">_xlfn.IFS(H200 &lt;= 2, "[1-2] very close", H200 &lt;= 10, "[3-10] close", H200 &lt;= 20, "[11-20] moderate", H200 &lt;= 30, "[21-30] far")</f>
        <v>[1-2] very close</v>
      </c>
      <c r="J200" s="1">
        <v>4</v>
      </c>
      <c r="K200" s="3" t="s">
        <v>38</v>
      </c>
      <c r="L200" s="1">
        <v>1</v>
      </c>
      <c r="M200" s="1">
        <v>271</v>
      </c>
      <c r="N200" s="1">
        <v>4</v>
      </c>
      <c r="O200" s="3" t="s">
        <v>46</v>
      </c>
      <c r="P200" s="1">
        <v>88</v>
      </c>
      <c r="Q200" s="1">
        <v>3</v>
      </c>
      <c r="R200" s="1">
        <v>2</v>
      </c>
      <c r="S200" s="3" t="s">
        <v>53</v>
      </c>
      <c r="T200" s="1">
        <v>3</v>
      </c>
      <c r="U200" s="3" t="s">
        <v>48</v>
      </c>
      <c r="V200" s="4">
        <v>6553</v>
      </c>
      <c r="W200" s="1">
        <v>7259</v>
      </c>
      <c r="X200" s="1">
        <v>9</v>
      </c>
      <c r="Y200" s="3" t="s">
        <v>42</v>
      </c>
      <c r="Z200" s="3" t="s">
        <v>43</v>
      </c>
      <c r="AA200" s="5">
        <v>0.14000000000000001</v>
      </c>
      <c r="AB200" s="10" t="str" cm="1">
        <f t="array" ref="AB200">_xlfn.IFS(AA200 &lt;= 15%, "Low Hike[11-15%]", AA200 &lt;= 20%, "Moderate Hike[16-20%]", AA200 &lt;= 25%,"High Hike[21-25%]")</f>
        <v>Low Hike[11-15%]</v>
      </c>
      <c r="AC200" s="1">
        <v>3</v>
      </c>
      <c r="AD200" s="1">
        <v>2</v>
      </c>
      <c r="AE200" s="1">
        <v>80</v>
      </c>
      <c r="AF200" s="1">
        <v>0</v>
      </c>
      <c r="AG200" s="1">
        <v>14</v>
      </c>
      <c r="AH200" s="9" t="str" cm="1">
        <f t="array" ref="AH200">_xlfn.IFS(AG200 &lt;= 5, "New[1-5]", AG200 &lt;= 10, "Early Career[6-10]", AG200 &lt;= 20, "Established[11-20]", AG200 &lt;= 30, "Veteran[21-30]", AG200 &lt;= 40, "Late Career[31-40]")</f>
        <v>Established[11-20]</v>
      </c>
      <c r="AI200" s="1">
        <v>3</v>
      </c>
      <c r="AJ200" s="1">
        <v>3</v>
      </c>
      <c r="AK200" s="1">
        <v>1</v>
      </c>
      <c r="AL200" s="9" t="str" cm="1">
        <f t="array" ref="AL200">_xlfn.IFS(AK200 &lt;= 5, "New[1-5]", AK200 &lt;= 10, "Early Career[6-10]", AK200 &lt;= 20, "Established[11-20]", AK200 &lt;= 30, "Veteran[21-30]", AK200 &lt;= 40, "Late Career[31-40]")</f>
        <v>New[1-5]</v>
      </c>
      <c r="AM200" s="1">
        <v>0</v>
      </c>
      <c r="AN200" s="9" t="str" cm="1">
        <f t="array" ref="AN200">_xlfn.IFS(AM200 &lt;= 3, "New to Role[1-3]", AM200 &lt;= 7, "Settled[4-7]", AM200 &lt;= 12, "Experienced[[8-12]", AM200 &lt;= 18, "Long Tenured[13-18]")</f>
        <v>New to Role[1-3]</v>
      </c>
      <c r="AO200" s="1">
        <v>0</v>
      </c>
      <c r="AP200" s="9" t="str" cm="1">
        <f t="array" ref="AP200">_xlfn.IFS(AO200 &lt;= 3, "Recently[1-3]", AO200 &lt;= 6, "Due Soon[4-6]", AO200 &lt;= 10, "Overdue[7-10]", AO200 &lt;= 15, "Long Overdue[11-15]")</f>
        <v>Recently[1-3]</v>
      </c>
      <c r="AQ200" s="9" t="str" cm="1">
        <f t="array" ref="AQ200">_xlfn.IFS(AR200 &lt;= 3, "New Relationship[1-3]", AR200 &lt;= 7, "Established Relationship[4-7]", AR200 &lt;= 12, "Long Term Relationship[8-12]", AR200 &lt;= 17, "Very Long Term Relationship[13-17]")</f>
        <v>New Relationship[1-3]</v>
      </c>
      <c r="AR200" s="1">
        <v>0</v>
      </c>
    </row>
    <row r="201" spans="1:44" x14ac:dyDescent="0.25">
      <c r="A201" s="1">
        <v>38</v>
      </c>
      <c r="B201" s="8" t="str" cm="1">
        <f t="array" ref="B201">_xlfn.IFS(A201 &lt;= 25, "[18-25]", A201 &lt;= 35, "[26-35]", A201 &lt;=45, "[36-45]", A201 &lt;= 60, "[46- 60]")</f>
        <v>[36-45]</v>
      </c>
      <c r="C201" s="3" t="s">
        <v>43</v>
      </c>
      <c r="D201">
        <f t="shared" si="3"/>
        <v>0</v>
      </c>
      <c r="E201" t="s">
        <v>36</v>
      </c>
      <c r="F201" s="1">
        <v>1084</v>
      </c>
      <c r="G201" s="3" t="s">
        <v>45</v>
      </c>
      <c r="H201" s="1">
        <v>29</v>
      </c>
      <c r="I201" s="9" t="str" cm="1">
        <f t="array" ref="I201">_xlfn.IFS(H201 &lt;= 2, "[1-2] very close", H201 &lt;= 10, "[3-10] close", H201 &lt;= 20, "[11-20] moderate", H201 &lt;= 30, "[21-30] far")</f>
        <v>[21-30] far</v>
      </c>
      <c r="J201" s="1">
        <v>3</v>
      </c>
      <c r="K201" s="3" t="s">
        <v>60</v>
      </c>
      <c r="L201" s="1">
        <v>1</v>
      </c>
      <c r="M201" s="1">
        <v>273</v>
      </c>
      <c r="N201" s="1">
        <v>4</v>
      </c>
      <c r="O201" s="3" t="s">
        <v>46</v>
      </c>
      <c r="P201" s="1">
        <v>54</v>
      </c>
      <c r="Q201" s="1">
        <v>3</v>
      </c>
      <c r="R201" s="1">
        <v>2</v>
      </c>
      <c r="S201" s="3" t="s">
        <v>53</v>
      </c>
      <c r="T201" s="1">
        <v>4</v>
      </c>
      <c r="U201" s="3" t="s">
        <v>48</v>
      </c>
      <c r="V201" s="4">
        <v>6261</v>
      </c>
      <c r="W201" s="1">
        <v>4185</v>
      </c>
      <c r="X201" s="1">
        <v>3</v>
      </c>
      <c r="Y201" s="3" t="s">
        <v>42</v>
      </c>
      <c r="Z201" s="3" t="s">
        <v>43</v>
      </c>
      <c r="AA201" s="5">
        <v>0.18</v>
      </c>
      <c r="AB201" s="10" t="str" cm="1">
        <f t="array" ref="AB201">_xlfn.IFS(AA201 &lt;= 15%, "Low Hike[11-15%]", AA201 &lt;= 20%, "Moderate Hike[16-20%]", AA201 &lt;= 25%,"High Hike[21-25%]")</f>
        <v>Moderate Hike[16-20%]</v>
      </c>
      <c r="AC201" s="1">
        <v>3</v>
      </c>
      <c r="AD201" s="1">
        <v>1</v>
      </c>
      <c r="AE201" s="1">
        <v>80</v>
      </c>
      <c r="AF201" s="1">
        <v>1</v>
      </c>
      <c r="AG201" s="1">
        <v>9</v>
      </c>
      <c r="AH201" s="9" t="str" cm="1">
        <f t="array" ref="AH201">_xlfn.IFS(AG201 &lt;= 5, "New[1-5]", AG201 &lt;= 10, "Early Career[6-10]", AG201 &lt;= 20, "Established[11-20]", AG201 &lt;= 30, "Veteran[21-30]", AG201 &lt;= 40, "Late Career[31-40]")</f>
        <v>Early Career[6-10]</v>
      </c>
      <c r="AI201" s="1">
        <v>3</v>
      </c>
      <c r="AJ201" s="1">
        <v>1</v>
      </c>
      <c r="AK201" s="1">
        <v>7</v>
      </c>
      <c r="AL201" s="9" t="str" cm="1">
        <f t="array" ref="AL201">_xlfn.IFS(AK201 &lt;= 5, "New[1-5]", AK201 &lt;= 10, "Early Career[6-10]", AK201 &lt;= 20, "Established[11-20]", AK201 &lt;= 30, "Veteran[21-30]", AK201 &lt;= 40, "Late Career[31-40]")</f>
        <v>Early Career[6-10]</v>
      </c>
      <c r="AM201" s="1">
        <v>7</v>
      </c>
      <c r="AN201" s="9" t="str" cm="1">
        <f t="array" ref="AN201">_xlfn.IFS(AM201 &lt;= 3, "New to Role[1-3]", AM201 &lt;= 7, "Settled[4-7]", AM201 &lt;= 12, "Experienced[[8-12]", AM201 &lt;= 18, "Long Tenured[13-18]")</f>
        <v>Settled[4-7]</v>
      </c>
      <c r="AO201" s="1">
        <v>1</v>
      </c>
      <c r="AP201" s="9" t="str" cm="1">
        <f t="array" ref="AP201">_xlfn.IFS(AO201 &lt;= 3, "Recently[1-3]", AO201 &lt;= 6, "Due Soon[4-6]", AO201 &lt;= 10, "Overdue[7-10]", AO201 &lt;= 15, "Long Overdue[11-15]")</f>
        <v>Recently[1-3]</v>
      </c>
      <c r="AQ201" s="9" t="str" cm="1">
        <f t="array" ref="AQ201">_xlfn.IFS(AR201 &lt;= 3, "New Relationship[1-3]", AR201 &lt;= 7, "Established Relationship[4-7]", AR201 &lt;= 12, "Long Term Relationship[8-12]", AR201 &lt;= 17, "Very Long Term Relationship[13-17]")</f>
        <v>Established Relationship[4-7]</v>
      </c>
      <c r="AR201" s="1">
        <v>7</v>
      </c>
    </row>
    <row r="202" spans="1:44" x14ac:dyDescent="0.25">
      <c r="A202" s="1">
        <v>27</v>
      </c>
      <c r="B202" s="8" t="str" cm="1">
        <f t="array" ref="B202">_xlfn.IFS(A202 &lt;= 25, "[18-25]", A202 &lt;= 35, "[26-35]", A202 &lt;=45, "[36-45]", A202 &lt;= 60, "[46- 60]")</f>
        <v>[26-35]</v>
      </c>
      <c r="C202" s="3" t="s">
        <v>43</v>
      </c>
      <c r="D202">
        <f t="shared" si="3"/>
        <v>0</v>
      </c>
      <c r="E202" t="s">
        <v>44</v>
      </c>
      <c r="F202" s="1">
        <v>472</v>
      </c>
      <c r="G202" s="3" t="s">
        <v>45</v>
      </c>
      <c r="H202" s="1">
        <v>1</v>
      </c>
      <c r="I202" s="9" t="str" cm="1">
        <f t="array" ref="I202">_xlfn.IFS(H202 &lt;= 2, "[1-2] very close", H202 &lt;= 10, "[3-10] close", H202 &lt;= 20, "[11-20] moderate", H202 &lt;= 30, "[21-30] far")</f>
        <v>[1-2] very close</v>
      </c>
      <c r="J202" s="1">
        <v>1</v>
      </c>
      <c r="K202" s="3" t="s">
        <v>60</v>
      </c>
      <c r="L202" s="1">
        <v>1</v>
      </c>
      <c r="M202" s="1">
        <v>274</v>
      </c>
      <c r="N202" s="1">
        <v>3</v>
      </c>
      <c r="O202" s="3" t="s">
        <v>46</v>
      </c>
      <c r="P202" s="1">
        <v>60</v>
      </c>
      <c r="Q202" s="1">
        <v>2</v>
      </c>
      <c r="R202" s="1">
        <v>2</v>
      </c>
      <c r="S202" s="3" t="s">
        <v>53</v>
      </c>
      <c r="T202" s="1">
        <v>1</v>
      </c>
      <c r="U202" s="3" t="s">
        <v>48</v>
      </c>
      <c r="V202" s="4">
        <v>4298</v>
      </c>
      <c r="W202" s="1">
        <v>9679</v>
      </c>
      <c r="X202" s="1">
        <v>5</v>
      </c>
      <c r="Y202" s="3" t="s">
        <v>42</v>
      </c>
      <c r="Z202" s="3" t="s">
        <v>43</v>
      </c>
      <c r="AA202" s="5">
        <v>0.19</v>
      </c>
      <c r="AB202" s="10" t="str" cm="1">
        <f t="array" ref="AB202">_xlfn.IFS(AA202 &lt;= 15%, "Low Hike[11-15%]", AA202 &lt;= 20%, "Moderate Hike[16-20%]", AA202 &lt;= 25%,"High Hike[21-25%]")</f>
        <v>Moderate Hike[16-20%]</v>
      </c>
      <c r="AC202" s="1">
        <v>3</v>
      </c>
      <c r="AD202" s="1">
        <v>3</v>
      </c>
      <c r="AE202" s="1">
        <v>80</v>
      </c>
      <c r="AF202" s="1">
        <v>1</v>
      </c>
      <c r="AG202" s="1">
        <v>6</v>
      </c>
      <c r="AH202" s="9" t="str" cm="1">
        <f t="array" ref="AH202">_xlfn.IFS(AG202 &lt;= 5, "New[1-5]", AG202 &lt;= 10, "Early Career[6-10]", AG202 &lt;= 20, "Established[11-20]", AG202 &lt;= 30, "Veteran[21-30]", AG202 &lt;= 40, "Late Career[31-40]")</f>
        <v>Early Career[6-10]</v>
      </c>
      <c r="AI202" s="1">
        <v>1</v>
      </c>
      <c r="AJ202" s="1">
        <v>3</v>
      </c>
      <c r="AK202" s="1">
        <v>2</v>
      </c>
      <c r="AL202" s="9" t="str" cm="1">
        <f t="array" ref="AL202">_xlfn.IFS(AK202 &lt;= 5, "New[1-5]", AK202 &lt;= 10, "Early Career[6-10]", AK202 &lt;= 20, "Established[11-20]", AK202 &lt;= 30, "Veteran[21-30]", AK202 &lt;= 40, "Late Career[31-40]")</f>
        <v>New[1-5]</v>
      </c>
      <c r="AM202" s="1">
        <v>2</v>
      </c>
      <c r="AN202" s="9" t="str" cm="1">
        <f t="array" ref="AN202">_xlfn.IFS(AM202 &lt;= 3, "New to Role[1-3]", AM202 &lt;= 7, "Settled[4-7]", AM202 &lt;= 12, "Experienced[[8-12]", AM202 &lt;= 18, "Long Tenured[13-18]")</f>
        <v>New to Role[1-3]</v>
      </c>
      <c r="AO202" s="1">
        <v>2</v>
      </c>
      <c r="AP202" s="9" t="str" cm="1">
        <f t="array" ref="AP202">_xlfn.IFS(AO202 &lt;= 3, "Recently[1-3]", AO202 &lt;= 6, "Due Soon[4-6]", AO202 &lt;= 10, "Overdue[7-10]", AO202 &lt;= 15, "Long Overdue[11-15]")</f>
        <v>Recently[1-3]</v>
      </c>
      <c r="AQ202" s="9" t="str" cm="1">
        <f t="array" ref="AQ202">_xlfn.IFS(AR202 &lt;= 3, "New Relationship[1-3]", AR202 &lt;= 7, "Established Relationship[4-7]", AR202 &lt;= 12, "Long Term Relationship[8-12]", AR202 &lt;= 17, "Very Long Term Relationship[13-17]")</f>
        <v>New Relationship[1-3]</v>
      </c>
      <c r="AR202" s="1">
        <v>0</v>
      </c>
    </row>
    <row r="203" spans="1:44" x14ac:dyDescent="0.25">
      <c r="A203" s="1">
        <v>49</v>
      </c>
      <c r="B203" s="8" t="str" cm="1">
        <f t="array" ref="B203">_xlfn.IFS(A203 &lt;= 25, "[18-25]", A203 &lt;= 35, "[26-35]", A203 &lt;=45, "[36-45]", A203 &lt;= 60, "[46- 60]")</f>
        <v>[46- 60]</v>
      </c>
      <c r="C203" s="3" t="s">
        <v>43</v>
      </c>
      <c r="D203">
        <f t="shared" si="3"/>
        <v>0</v>
      </c>
      <c r="E203" t="s">
        <v>62</v>
      </c>
      <c r="F203" s="1">
        <v>1002</v>
      </c>
      <c r="G203" s="3" t="s">
        <v>45</v>
      </c>
      <c r="H203" s="1">
        <v>18</v>
      </c>
      <c r="I203" s="9" t="str" cm="1">
        <f t="array" ref="I203">_xlfn.IFS(H203 &lt;= 2, "[1-2] very close", H203 &lt;= 10, "[3-10] close", H203 &lt;= 20, "[11-20] moderate", H203 &lt;= 30, "[21-30] far")</f>
        <v>[11-20] moderate</v>
      </c>
      <c r="J203" s="1">
        <v>4</v>
      </c>
      <c r="K203" s="3" t="s">
        <v>38</v>
      </c>
      <c r="L203" s="1">
        <v>1</v>
      </c>
      <c r="M203" s="1">
        <v>275</v>
      </c>
      <c r="N203" s="1">
        <v>4</v>
      </c>
      <c r="O203" s="3" t="s">
        <v>46</v>
      </c>
      <c r="P203" s="1">
        <v>92</v>
      </c>
      <c r="Q203" s="1">
        <v>3</v>
      </c>
      <c r="R203" s="1">
        <v>2</v>
      </c>
      <c r="S203" s="3" t="s">
        <v>53</v>
      </c>
      <c r="T203" s="1">
        <v>4</v>
      </c>
      <c r="U203" s="3" t="s">
        <v>52</v>
      </c>
      <c r="V203" s="4">
        <v>6804</v>
      </c>
      <c r="W203" s="1">
        <v>23793</v>
      </c>
      <c r="X203" s="1">
        <v>1</v>
      </c>
      <c r="Y203" s="3" t="s">
        <v>42</v>
      </c>
      <c r="Z203" s="3" t="s">
        <v>35</v>
      </c>
      <c r="AA203" s="5">
        <v>0.15</v>
      </c>
      <c r="AB203" s="10" t="str" cm="1">
        <f t="array" ref="AB203">_xlfn.IFS(AA203 &lt;= 15%, "Low Hike[11-15%]", AA203 &lt;= 20%, "Moderate Hike[16-20%]", AA203 &lt;= 25%,"High Hike[21-25%]")</f>
        <v>Low Hike[11-15%]</v>
      </c>
      <c r="AC203" s="1">
        <v>3</v>
      </c>
      <c r="AD203" s="1">
        <v>1</v>
      </c>
      <c r="AE203" s="1">
        <v>80</v>
      </c>
      <c r="AF203" s="1">
        <v>2</v>
      </c>
      <c r="AG203" s="1">
        <v>7</v>
      </c>
      <c r="AH203" s="9" t="str" cm="1">
        <f t="array" ref="AH203">_xlfn.IFS(AG203 &lt;= 5, "New[1-5]", AG203 &lt;= 10, "Early Career[6-10]", AG203 &lt;= 20, "Established[11-20]", AG203 &lt;= 30, "Veteran[21-30]", AG203 &lt;= 40, "Late Career[31-40]")</f>
        <v>Early Career[6-10]</v>
      </c>
      <c r="AI203" s="1">
        <v>0</v>
      </c>
      <c r="AJ203" s="1">
        <v>3</v>
      </c>
      <c r="AK203" s="1">
        <v>7</v>
      </c>
      <c r="AL203" s="9" t="str" cm="1">
        <f t="array" ref="AL203">_xlfn.IFS(AK203 &lt;= 5, "New[1-5]", AK203 &lt;= 10, "Early Career[6-10]", AK203 &lt;= 20, "Established[11-20]", AK203 &lt;= 30, "Veteran[21-30]", AK203 &lt;= 40, "Late Career[31-40]")</f>
        <v>Early Career[6-10]</v>
      </c>
      <c r="AM203" s="1">
        <v>7</v>
      </c>
      <c r="AN203" s="9" t="str" cm="1">
        <f t="array" ref="AN203">_xlfn.IFS(AM203 &lt;= 3, "New to Role[1-3]", AM203 &lt;= 7, "Settled[4-7]", AM203 &lt;= 12, "Experienced[[8-12]", AM203 &lt;= 18, "Long Tenured[13-18]")</f>
        <v>Settled[4-7]</v>
      </c>
      <c r="AO203" s="1">
        <v>1</v>
      </c>
      <c r="AP203" s="9" t="str" cm="1">
        <f t="array" ref="AP203">_xlfn.IFS(AO203 &lt;= 3, "Recently[1-3]", AO203 &lt;= 6, "Due Soon[4-6]", AO203 &lt;= 10, "Overdue[7-10]", AO203 &lt;= 15, "Long Overdue[11-15]")</f>
        <v>Recently[1-3]</v>
      </c>
      <c r="AQ203" s="9" t="str" cm="1">
        <f t="array" ref="AQ203">_xlfn.IFS(AR203 &lt;= 3, "New Relationship[1-3]", AR203 &lt;= 7, "Established Relationship[4-7]", AR203 &lt;= 12, "Long Term Relationship[8-12]", AR203 &lt;= 17, "Very Long Term Relationship[13-17]")</f>
        <v>Established Relationship[4-7]</v>
      </c>
      <c r="AR203" s="1">
        <v>7</v>
      </c>
    </row>
    <row r="204" spans="1:44" x14ac:dyDescent="0.25">
      <c r="A204" s="1">
        <v>34</v>
      </c>
      <c r="B204" s="8" t="str" cm="1">
        <f t="array" ref="B204">_xlfn.IFS(A204 &lt;= 25, "[18-25]", A204 &lt;= 35, "[26-35]", A204 &lt;=45, "[36-45]", A204 &lt;= 60, "[46- 60]")</f>
        <v>[26-35]</v>
      </c>
      <c r="C204" s="3" t="s">
        <v>43</v>
      </c>
      <c r="D204">
        <f t="shared" si="3"/>
        <v>0</v>
      </c>
      <c r="E204" t="s">
        <v>44</v>
      </c>
      <c r="F204" s="1">
        <v>878</v>
      </c>
      <c r="G204" s="3" t="s">
        <v>45</v>
      </c>
      <c r="H204" s="1">
        <v>10</v>
      </c>
      <c r="I204" s="9" t="str" cm="1">
        <f t="array" ref="I204">_xlfn.IFS(H204 &lt;= 2, "[1-2] very close", H204 &lt;= 10, "[3-10] close", H204 &lt;= 20, "[11-20] moderate", H204 &lt;= 30, "[21-30] far")</f>
        <v>[3-10] close</v>
      </c>
      <c r="J204" s="1">
        <v>4</v>
      </c>
      <c r="K204" s="3" t="s">
        <v>51</v>
      </c>
      <c r="L204" s="1">
        <v>1</v>
      </c>
      <c r="M204" s="1">
        <v>277</v>
      </c>
      <c r="N204" s="1">
        <v>4</v>
      </c>
      <c r="O204" s="3" t="s">
        <v>46</v>
      </c>
      <c r="P204" s="1">
        <v>43</v>
      </c>
      <c r="Q204" s="1">
        <v>3</v>
      </c>
      <c r="R204" s="1">
        <v>1</v>
      </c>
      <c r="S204" s="3" t="s">
        <v>47</v>
      </c>
      <c r="T204" s="1">
        <v>3</v>
      </c>
      <c r="U204" s="3" t="s">
        <v>52</v>
      </c>
      <c r="V204" s="4">
        <v>3815</v>
      </c>
      <c r="W204" s="1">
        <v>5972</v>
      </c>
      <c r="X204" s="1">
        <v>1</v>
      </c>
      <c r="Y204" s="3" t="s">
        <v>42</v>
      </c>
      <c r="Z204" s="3" t="s">
        <v>35</v>
      </c>
      <c r="AA204" s="5">
        <v>0.17</v>
      </c>
      <c r="AB204" s="10" t="str" cm="1">
        <f t="array" ref="AB204">_xlfn.IFS(AA204 &lt;= 15%, "Low Hike[11-15%]", AA204 &lt;= 20%, "Moderate Hike[16-20%]", AA204 &lt;= 25%,"High Hike[21-25%]")</f>
        <v>Moderate Hike[16-20%]</v>
      </c>
      <c r="AC204" s="1">
        <v>3</v>
      </c>
      <c r="AD204" s="1">
        <v>4</v>
      </c>
      <c r="AE204" s="1">
        <v>80</v>
      </c>
      <c r="AF204" s="1">
        <v>1</v>
      </c>
      <c r="AG204" s="1">
        <v>5</v>
      </c>
      <c r="AH204" s="9" t="str" cm="1">
        <f t="array" ref="AH204">_xlfn.IFS(AG204 &lt;= 5, "New[1-5]", AG204 &lt;= 10, "Early Career[6-10]", AG204 &lt;= 20, "Established[11-20]", AG204 &lt;= 30, "Veteran[21-30]", AG204 &lt;= 40, "Late Career[31-40]")</f>
        <v>New[1-5]</v>
      </c>
      <c r="AI204" s="1">
        <v>4</v>
      </c>
      <c r="AJ204" s="1">
        <v>4</v>
      </c>
      <c r="AK204" s="1">
        <v>5</v>
      </c>
      <c r="AL204" s="9" t="str" cm="1">
        <f t="array" ref="AL204">_xlfn.IFS(AK204 &lt;= 5, "New[1-5]", AK204 &lt;= 10, "Early Career[6-10]", AK204 &lt;= 20, "Established[11-20]", AK204 &lt;= 30, "Veteran[21-30]", AK204 &lt;= 40, "Late Career[31-40]")</f>
        <v>New[1-5]</v>
      </c>
      <c r="AM204" s="1">
        <v>3</v>
      </c>
      <c r="AN204" s="9" t="str" cm="1">
        <f t="array" ref="AN204">_xlfn.IFS(AM204 &lt;= 3, "New to Role[1-3]", AM204 &lt;= 7, "Settled[4-7]", AM204 &lt;= 12, "Experienced[[8-12]", AM204 &lt;= 18, "Long Tenured[13-18]")</f>
        <v>New to Role[1-3]</v>
      </c>
      <c r="AO204" s="1">
        <v>2</v>
      </c>
      <c r="AP204" s="9" t="str" cm="1">
        <f t="array" ref="AP204">_xlfn.IFS(AO204 &lt;= 3, "Recently[1-3]", AO204 &lt;= 6, "Due Soon[4-6]", AO204 &lt;= 10, "Overdue[7-10]", AO204 &lt;= 15, "Long Overdue[11-15]")</f>
        <v>Recently[1-3]</v>
      </c>
      <c r="AQ204" s="9" t="str" cm="1">
        <f t="array" ref="AQ204">_xlfn.IFS(AR204 &lt;= 3, "New Relationship[1-3]", AR204 &lt;= 7, "Established Relationship[4-7]", AR204 &lt;= 12, "Long Term Relationship[8-12]", AR204 &lt;= 17, "Very Long Term Relationship[13-17]")</f>
        <v>New Relationship[1-3]</v>
      </c>
      <c r="AR204" s="1">
        <v>0</v>
      </c>
    </row>
    <row r="205" spans="1:44" x14ac:dyDescent="0.25">
      <c r="A205" s="1">
        <v>40</v>
      </c>
      <c r="B205" s="8" t="str" cm="1">
        <f t="array" ref="B205">_xlfn.IFS(A205 &lt;= 25, "[18-25]", A205 &lt;= 35, "[26-35]", A205 &lt;=45, "[36-45]", A205 &lt;= 60, "[46- 60]")</f>
        <v>[36-45]</v>
      </c>
      <c r="C205" s="3" t="s">
        <v>43</v>
      </c>
      <c r="D205">
        <f t="shared" si="3"/>
        <v>0</v>
      </c>
      <c r="E205" t="s">
        <v>36</v>
      </c>
      <c r="F205" s="1">
        <v>905</v>
      </c>
      <c r="G205" s="3" t="s">
        <v>45</v>
      </c>
      <c r="H205" s="1">
        <v>19</v>
      </c>
      <c r="I205" s="9" t="str" cm="1">
        <f t="array" ref="I205">_xlfn.IFS(H205 &lt;= 2, "[1-2] very close", H205 &lt;= 10, "[3-10] close", H205 &lt;= 20, "[11-20] moderate", H205 &lt;= 30, "[21-30] far")</f>
        <v>[11-20] moderate</v>
      </c>
      <c r="J205" s="1">
        <v>2</v>
      </c>
      <c r="K205" s="3" t="s">
        <v>51</v>
      </c>
      <c r="L205" s="1">
        <v>1</v>
      </c>
      <c r="M205" s="1">
        <v>281</v>
      </c>
      <c r="N205" s="1">
        <v>3</v>
      </c>
      <c r="O205" s="3" t="s">
        <v>46</v>
      </c>
      <c r="P205" s="1">
        <v>99</v>
      </c>
      <c r="Q205" s="1">
        <v>3</v>
      </c>
      <c r="R205" s="1">
        <v>2</v>
      </c>
      <c r="S205" s="3" t="s">
        <v>50</v>
      </c>
      <c r="T205" s="1">
        <v>4</v>
      </c>
      <c r="U205" s="3" t="s">
        <v>48</v>
      </c>
      <c r="V205" s="4">
        <v>2741</v>
      </c>
      <c r="W205" s="1">
        <v>16523</v>
      </c>
      <c r="X205" s="1">
        <v>8</v>
      </c>
      <c r="Y205" s="3" t="s">
        <v>42</v>
      </c>
      <c r="Z205" s="3" t="s">
        <v>35</v>
      </c>
      <c r="AA205" s="5">
        <v>0.15</v>
      </c>
      <c r="AB205" s="10" t="str" cm="1">
        <f t="array" ref="AB205">_xlfn.IFS(AA205 &lt;= 15%, "Low Hike[11-15%]", AA205 &lt;= 20%, "Moderate Hike[16-20%]", AA205 &lt;= 25%,"High Hike[21-25%]")</f>
        <v>Low Hike[11-15%]</v>
      </c>
      <c r="AC205" s="1">
        <v>3</v>
      </c>
      <c r="AD205" s="1">
        <v>3</v>
      </c>
      <c r="AE205" s="1">
        <v>80</v>
      </c>
      <c r="AF205" s="1">
        <v>1</v>
      </c>
      <c r="AG205" s="1">
        <v>15</v>
      </c>
      <c r="AH205" s="9" t="str" cm="1">
        <f t="array" ref="AH205">_xlfn.IFS(AG205 &lt;= 5, "New[1-5]", AG205 &lt;= 10, "Early Career[6-10]", AG205 &lt;= 20, "Established[11-20]", AG205 &lt;= 30, "Veteran[21-30]", AG205 &lt;= 40, "Late Career[31-40]")</f>
        <v>Established[11-20]</v>
      </c>
      <c r="AI205" s="1">
        <v>2</v>
      </c>
      <c r="AJ205" s="1">
        <v>4</v>
      </c>
      <c r="AK205" s="1">
        <v>7</v>
      </c>
      <c r="AL205" s="9" t="str" cm="1">
        <f t="array" ref="AL205">_xlfn.IFS(AK205 &lt;= 5, "New[1-5]", AK205 &lt;= 10, "Early Career[6-10]", AK205 &lt;= 20, "Established[11-20]", AK205 &lt;= 30, "Veteran[21-30]", AK205 &lt;= 40, "Late Career[31-40]")</f>
        <v>Early Career[6-10]</v>
      </c>
      <c r="AM205" s="1">
        <v>2</v>
      </c>
      <c r="AN205" s="9" t="str" cm="1">
        <f t="array" ref="AN205">_xlfn.IFS(AM205 &lt;= 3, "New to Role[1-3]", AM205 &lt;= 7, "Settled[4-7]", AM205 &lt;= 12, "Experienced[[8-12]", AM205 &lt;= 18, "Long Tenured[13-18]")</f>
        <v>New to Role[1-3]</v>
      </c>
      <c r="AO205" s="1">
        <v>3</v>
      </c>
      <c r="AP205" s="9" t="str" cm="1">
        <f t="array" ref="AP205">_xlfn.IFS(AO205 &lt;= 3, "Recently[1-3]", AO205 &lt;= 6, "Due Soon[4-6]", AO205 &lt;= 10, "Overdue[7-10]", AO205 &lt;= 15, "Long Overdue[11-15]")</f>
        <v>Recently[1-3]</v>
      </c>
      <c r="AQ205" s="9" t="str" cm="1">
        <f t="array" ref="AQ205">_xlfn.IFS(AR205 &lt;= 3, "New Relationship[1-3]", AR205 &lt;= 7, "Established Relationship[4-7]", AR205 &lt;= 12, "Long Term Relationship[8-12]", AR205 &lt;= 17, "Very Long Term Relationship[13-17]")</f>
        <v>Established Relationship[4-7]</v>
      </c>
      <c r="AR205" s="1">
        <v>7</v>
      </c>
    </row>
    <row r="206" spans="1:44" x14ac:dyDescent="0.25">
      <c r="A206" s="1">
        <v>38</v>
      </c>
      <c r="B206" s="8" t="str" cm="1">
        <f t="array" ref="B206">_xlfn.IFS(A206 &lt;= 25, "[18-25]", A206 &lt;= 35, "[26-35]", A206 &lt;=45, "[36-45]", A206 &lt;= 60, "[46- 60]")</f>
        <v>[36-45]</v>
      </c>
      <c r="C206" s="3" t="s">
        <v>35</v>
      </c>
      <c r="D206">
        <f t="shared" si="3"/>
        <v>1</v>
      </c>
      <c r="E206" t="s">
        <v>36</v>
      </c>
      <c r="F206" s="1">
        <v>1180</v>
      </c>
      <c r="G206" s="3" t="s">
        <v>45</v>
      </c>
      <c r="H206" s="1">
        <v>29</v>
      </c>
      <c r="I206" s="9" t="str" cm="1">
        <f t="array" ref="I206">_xlfn.IFS(H206 &lt;= 2, "[1-2] very close", H206 &lt;= 10, "[3-10] close", H206 &lt;= 20, "[11-20] moderate", H206 &lt;= 30, "[21-30] far")</f>
        <v>[21-30] far</v>
      </c>
      <c r="J206" s="1">
        <v>1</v>
      </c>
      <c r="K206" s="3" t="s">
        <v>51</v>
      </c>
      <c r="L206" s="1">
        <v>1</v>
      </c>
      <c r="M206" s="1">
        <v>282</v>
      </c>
      <c r="N206" s="1">
        <v>2</v>
      </c>
      <c r="O206" s="3" t="s">
        <v>46</v>
      </c>
      <c r="P206" s="1">
        <v>70</v>
      </c>
      <c r="Q206" s="1">
        <v>3</v>
      </c>
      <c r="R206" s="1">
        <v>2</v>
      </c>
      <c r="S206" s="3" t="s">
        <v>54</v>
      </c>
      <c r="T206" s="1">
        <v>1</v>
      </c>
      <c r="U206" s="3" t="s">
        <v>48</v>
      </c>
      <c r="V206" s="4">
        <v>6673</v>
      </c>
      <c r="W206" s="1">
        <v>11354</v>
      </c>
      <c r="X206" s="1">
        <v>7</v>
      </c>
      <c r="Y206" s="3" t="s">
        <v>42</v>
      </c>
      <c r="Z206" s="3" t="s">
        <v>35</v>
      </c>
      <c r="AA206" s="5">
        <v>0.19</v>
      </c>
      <c r="AB206" s="10" t="str" cm="1">
        <f t="array" ref="AB206">_xlfn.IFS(AA206 &lt;= 15%, "Low Hike[11-15%]", AA206 &lt;= 20%, "Moderate Hike[16-20%]", AA206 &lt;= 25%,"High Hike[21-25%]")</f>
        <v>Moderate Hike[16-20%]</v>
      </c>
      <c r="AC206" s="1">
        <v>3</v>
      </c>
      <c r="AD206" s="1">
        <v>2</v>
      </c>
      <c r="AE206" s="1">
        <v>80</v>
      </c>
      <c r="AF206" s="1">
        <v>0</v>
      </c>
      <c r="AG206" s="1">
        <v>17</v>
      </c>
      <c r="AH206" s="9" t="str" cm="1">
        <f t="array" ref="AH206">_xlfn.IFS(AG206 &lt;= 5, "New[1-5]", AG206 &lt;= 10, "Early Career[6-10]", AG206 &lt;= 20, "Established[11-20]", AG206 &lt;= 30, "Veteran[21-30]", AG206 &lt;= 40, "Late Career[31-40]")</f>
        <v>Established[11-20]</v>
      </c>
      <c r="AI206" s="1">
        <v>2</v>
      </c>
      <c r="AJ206" s="1">
        <v>3</v>
      </c>
      <c r="AK206" s="1">
        <v>1</v>
      </c>
      <c r="AL206" s="9" t="str" cm="1">
        <f t="array" ref="AL206">_xlfn.IFS(AK206 &lt;= 5, "New[1-5]", AK206 &lt;= 10, "Early Career[6-10]", AK206 &lt;= 20, "Established[11-20]", AK206 &lt;= 30, "Veteran[21-30]", AK206 &lt;= 40, "Late Career[31-40]")</f>
        <v>New[1-5]</v>
      </c>
      <c r="AM206" s="1">
        <v>0</v>
      </c>
      <c r="AN206" s="9" t="str" cm="1">
        <f t="array" ref="AN206">_xlfn.IFS(AM206 &lt;= 3, "New to Role[1-3]", AM206 &lt;= 7, "Settled[4-7]", AM206 &lt;= 12, "Experienced[[8-12]", AM206 &lt;= 18, "Long Tenured[13-18]")</f>
        <v>New to Role[1-3]</v>
      </c>
      <c r="AO206" s="1">
        <v>0</v>
      </c>
      <c r="AP206" s="9" t="str" cm="1">
        <f t="array" ref="AP206">_xlfn.IFS(AO206 &lt;= 3, "Recently[1-3]", AO206 &lt;= 6, "Due Soon[4-6]", AO206 &lt;= 10, "Overdue[7-10]", AO206 &lt;= 15, "Long Overdue[11-15]")</f>
        <v>Recently[1-3]</v>
      </c>
      <c r="AQ206" s="9" t="str" cm="1">
        <f t="array" ref="AQ206">_xlfn.IFS(AR206 &lt;= 3, "New Relationship[1-3]", AR206 &lt;= 7, "Established Relationship[4-7]", AR206 &lt;= 12, "Long Term Relationship[8-12]", AR206 &lt;= 17, "Very Long Term Relationship[13-17]")</f>
        <v>New Relationship[1-3]</v>
      </c>
      <c r="AR206" s="1">
        <v>0</v>
      </c>
    </row>
    <row r="207" spans="1:44" x14ac:dyDescent="0.25">
      <c r="A207" s="1">
        <v>29</v>
      </c>
      <c r="B207" s="8" t="str" cm="1">
        <f t="array" ref="B207">_xlfn.IFS(A207 &lt;= 25, "[18-25]", A207 &lt;= 35, "[26-35]", A207 &lt;=45, "[36-45]", A207 &lt;= 60, "[46- 60]")</f>
        <v>[26-35]</v>
      </c>
      <c r="C207" s="3" t="s">
        <v>35</v>
      </c>
      <c r="D207">
        <f t="shared" si="3"/>
        <v>1</v>
      </c>
      <c r="E207" t="s">
        <v>36</v>
      </c>
      <c r="F207" s="1">
        <v>121</v>
      </c>
      <c r="G207" s="3" t="s">
        <v>37</v>
      </c>
      <c r="H207" s="1">
        <v>27</v>
      </c>
      <c r="I207" s="9" t="str" cm="1">
        <f t="array" ref="I207">_xlfn.IFS(H207 &lt;= 2, "[1-2] very close", H207 &lt;= 10, "[3-10] close", H207 &lt;= 20, "[11-20] moderate", H207 &lt;= 30, "[21-30] far")</f>
        <v>[21-30] far</v>
      </c>
      <c r="J207" s="1">
        <v>3</v>
      </c>
      <c r="K207" s="3" t="s">
        <v>59</v>
      </c>
      <c r="L207" s="1">
        <v>1</v>
      </c>
      <c r="M207" s="1">
        <v>283</v>
      </c>
      <c r="N207" s="1">
        <v>2</v>
      </c>
      <c r="O207" s="3" t="s">
        <v>39</v>
      </c>
      <c r="P207" s="1">
        <v>35</v>
      </c>
      <c r="Q207" s="1">
        <v>3</v>
      </c>
      <c r="R207" s="1">
        <v>3</v>
      </c>
      <c r="S207" s="3" t="s">
        <v>40</v>
      </c>
      <c r="T207" s="1">
        <v>4</v>
      </c>
      <c r="U207" s="3" t="s">
        <v>48</v>
      </c>
      <c r="V207" s="4">
        <v>7639</v>
      </c>
      <c r="W207" s="1">
        <v>24525</v>
      </c>
      <c r="X207" s="1">
        <v>1</v>
      </c>
      <c r="Y207" s="3" t="s">
        <v>42</v>
      </c>
      <c r="Z207" s="3" t="s">
        <v>43</v>
      </c>
      <c r="AA207" s="5">
        <v>0.22</v>
      </c>
      <c r="AB207" s="10" t="str" cm="1">
        <f t="array" ref="AB207">_xlfn.IFS(AA207 &lt;= 15%, "Low Hike[11-15%]", AA207 &lt;= 20%, "Moderate Hike[16-20%]", AA207 &lt;= 25%,"High Hike[21-25%]")</f>
        <v>High Hike[21-25%]</v>
      </c>
      <c r="AC207" s="1">
        <v>4</v>
      </c>
      <c r="AD207" s="1">
        <v>4</v>
      </c>
      <c r="AE207" s="1">
        <v>80</v>
      </c>
      <c r="AF207" s="1">
        <v>3</v>
      </c>
      <c r="AG207" s="1">
        <v>10</v>
      </c>
      <c r="AH207" s="9" t="str" cm="1">
        <f t="array" ref="AH207">_xlfn.IFS(AG207 &lt;= 5, "New[1-5]", AG207 &lt;= 10, "Early Career[6-10]", AG207 &lt;= 20, "Established[11-20]", AG207 &lt;= 30, "Veteran[21-30]", AG207 &lt;= 40, "Late Career[31-40]")</f>
        <v>Early Career[6-10]</v>
      </c>
      <c r="AI207" s="1">
        <v>3</v>
      </c>
      <c r="AJ207" s="1">
        <v>2</v>
      </c>
      <c r="AK207" s="1">
        <v>10</v>
      </c>
      <c r="AL207" s="9" t="str" cm="1">
        <f t="array" ref="AL207">_xlfn.IFS(AK207 &lt;= 5, "New[1-5]", AK207 &lt;= 10, "Early Career[6-10]", AK207 &lt;= 20, "Established[11-20]", AK207 &lt;= 30, "Veteran[21-30]", AK207 &lt;= 40, "Late Career[31-40]")</f>
        <v>Early Career[6-10]</v>
      </c>
      <c r="AM207" s="1">
        <v>4</v>
      </c>
      <c r="AN207" s="9" t="str" cm="1">
        <f t="array" ref="AN207">_xlfn.IFS(AM207 &lt;= 3, "New to Role[1-3]", AM207 &lt;= 7, "Settled[4-7]", AM207 &lt;= 12, "Experienced[[8-12]", AM207 &lt;= 18, "Long Tenured[13-18]")</f>
        <v>Settled[4-7]</v>
      </c>
      <c r="AO207" s="1">
        <v>1</v>
      </c>
      <c r="AP207" s="9" t="str" cm="1">
        <f t="array" ref="AP207">_xlfn.IFS(AO207 &lt;= 3, "Recently[1-3]", AO207 &lt;= 6, "Due Soon[4-6]", AO207 &lt;= 10, "Overdue[7-10]", AO207 &lt;= 15, "Long Overdue[11-15]")</f>
        <v>Recently[1-3]</v>
      </c>
      <c r="AQ207" s="9" t="str" cm="1">
        <f t="array" ref="AQ207">_xlfn.IFS(AR207 &lt;= 3, "New Relationship[1-3]", AR207 &lt;= 7, "Established Relationship[4-7]", AR207 &lt;= 12, "Long Term Relationship[8-12]", AR207 &lt;= 17, "Very Long Term Relationship[13-17]")</f>
        <v>Long Term Relationship[8-12]</v>
      </c>
      <c r="AR207" s="1">
        <v>9</v>
      </c>
    </row>
    <row r="208" spans="1:44" x14ac:dyDescent="0.25">
      <c r="A208" s="1">
        <v>22</v>
      </c>
      <c r="B208" s="8" t="str" cm="1">
        <f t="array" ref="B208">_xlfn.IFS(A208 &lt;= 25, "[18-25]", A208 &lt;= 35, "[26-35]", A208 &lt;=45, "[36-45]", A208 &lt;= 60, "[46- 60]")</f>
        <v>[18-25]</v>
      </c>
      <c r="C208" s="3" t="s">
        <v>43</v>
      </c>
      <c r="D208">
        <f t="shared" si="3"/>
        <v>0</v>
      </c>
      <c r="E208" t="s">
        <v>36</v>
      </c>
      <c r="F208" s="1">
        <v>1136</v>
      </c>
      <c r="G208" s="3" t="s">
        <v>45</v>
      </c>
      <c r="H208" s="1">
        <v>5</v>
      </c>
      <c r="I208" s="9" t="str" cm="1">
        <f t="array" ref="I208">_xlfn.IFS(H208 &lt;= 2, "[1-2] very close", H208 &lt;= 10, "[3-10] close", H208 &lt;= 20, "[11-20] moderate", H208 &lt;= 30, "[21-30] far")</f>
        <v>[3-10] close</v>
      </c>
      <c r="J208" s="1">
        <v>3</v>
      </c>
      <c r="K208" s="3" t="s">
        <v>38</v>
      </c>
      <c r="L208" s="1">
        <v>1</v>
      </c>
      <c r="M208" s="1">
        <v>284</v>
      </c>
      <c r="N208" s="1">
        <v>4</v>
      </c>
      <c r="O208" s="3" t="s">
        <v>46</v>
      </c>
      <c r="P208" s="1">
        <v>60</v>
      </c>
      <c r="Q208" s="1">
        <v>4</v>
      </c>
      <c r="R208" s="1">
        <v>1</v>
      </c>
      <c r="S208" s="3" t="s">
        <v>47</v>
      </c>
      <c r="T208" s="1">
        <v>2</v>
      </c>
      <c r="U208" s="3" t="s">
        <v>52</v>
      </c>
      <c r="V208" s="4">
        <v>2328</v>
      </c>
      <c r="W208" s="1">
        <v>12392</v>
      </c>
      <c r="X208" s="1">
        <v>1</v>
      </c>
      <c r="Y208" s="3" t="s">
        <v>42</v>
      </c>
      <c r="Z208" s="3" t="s">
        <v>35</v>
      </c>
      <c r="AA208" s="5">
        <v>0.16</v>
      </c>
      <c r="AB208" s="10" t="str" cm="1">
        <f t="array" ref="AB208">_xlfn.IFS(AA208 &lt;= 15%, "Low Hike[11-15%]", AA208 &lt;= 20%, "Moderate Hike[16-20%]", AA208 &lt;= 25%,"High Hike[21-25%]")</f>
        <v>Moderate Hike[16-20%]</v>
      </c>
      <c r="AC208" s="1">
        <v>3</v>
      </c>
      <c r="AD208" s="1">
        <v>1</v>
      </c>
      <c r="AE208" s="1">
        <v>80</v>
      </c>
      <c r="AF208" s="1">
        <v>1</v>
      </c>
      <c r="AG208" s="1">
        <v>4</v>
      </c>
      <c r="AH208" s="9" t="str" cm="1">
        <f t="array" ref="AH208">_xlfn.IFS(AG208 &lt;= 5, "New[1-5]", AG208 &lt;= 10, "Early Career[6-10]", AG208 &lt;= 20, "Established[11-20]", AG208 &lt;= 30, "Veteran[21-30]", AG208 &lt;= 40, "Late Career[31-40]")</f>
        <v>New[1-5]</v>
      </c>
      <c r="AI208" s="1">
        <v>2</v>
      </c>
      <c r="AJ208" s="1">
        <v>2</v>
      </c>
      <c r="AK208" s="1">
        <v>4</v>
      </c>
      <c r="AL208" s="9" t="str" cm="1">
        <f t="array" ref="AL208">_xlfn.IFS(AK208 &lt;= 5, "New[1-5]", AK208 &lt;= 10, "Early Career[6-10]", AK208 &lt;= 20, "Established[11-20]", AK208 &lt;= 30, "Veteran[21-30]", AK208 &lt;= 40, "Late Career[31-40]")</f>
        <v>New[1-5]</v>
      </c>
      <c r="AM208" s="1">
        <v>2</v>
      </c>
      <c r="AN208" s="9" t="str" cm="1">
        <f t="array" ref="AN208">_xlfn.IFS(AM208 &lt;= 3, "New to Role[1-3]", AM208 &lt;= 7, "Settled[4-7]", AM208 &lt;= 12, "Experienced[[8-12]", AM208 &lt;= 18, "Long Tenured[13-18]")</f>
        <v>New to Role[1-3]</v>
      </c>
      <c r="AO208" s="1">
        <v>2</v>
      </c>
      <c r="AP208" s="9" t="str" cm="1">
        <f t="array" ref="AP208">_xlfn.IFS(AO208 &lt;= 3, "Recently[1-3]", AO208 &lt;= 6, "Due Soon[4-6]", AO208 &lt;= 10, "Overdue[7-10]", AO208 &lt;= 15, "Long Overdue[11-15]")</f>
        <v>Recently[1-3]</v>
      </c>
      <c r="AQ208" s="9" t="str" cm="1">
        <f t="array" ref="AQ208">_xlfn.IFS(AR208 &lt;= 3, "New Relationship[1-3]", AR208 &lt;= 7, "Established Relationship[4-7]", AR208 &lt;= 12, "Long Term Relationship[8-12]", AR208 &lt;= 17, "Very Long Term Relationship[13-17]")</f>
        <v>New Relationship[1-3]</v>
      </c>
      <c r="AR208" s="1">
        <v>2</v>
      </c>
    </row>
    <row r="209" spans="1:44" x14ac:dyDescent="0.25">
      <c r="A209" s="1">
        <v>36</v>
      </c>
      <c r="B209" s="8" t="str" cm="1">
        <f t="array" ref="B209">_xlfn.IFS(A209 &lt;= 25, "[18-25]", A209 &lt;= 35, "[26-35]", A209 &lt;=45, "[36-45]", A209 &lt;= 60, "[46- 60]")</f>
        <v>[36-45]</v>
      </c>
      <c r="C209" s="3" t="s">
        <v>43</v>
      </c>
      <c r="D209">
        <f t="shared" si="3"/>
        <v>0</v>
      </c>
      <c r="E209" t="s">
        <v>44</v>
      </c>
      <c r="F209" s="1">
        <v>635</v>
      </c>
      <c r="G209" s="3" t="s">
        <v>45</v>
      </c>
      <c r="H209" s="1">
        <v>18</v>
      </c>
      <c r="I209" s="9" t="str" cm="1">
        <f t="array" ref="I209">_xlfn.IFS(H209 &lt;= 2, "[1-2] very close", H209 &lt;= 10, "[3-10] close", H209 &lt;= 20, "[11-20] moderate", H209 &lt;= 30, "[21-30] far")</f>
        <v>[11-20] moderate</v>
      </c>
      <c r="J209" s="1">
        <v>1</v>
      </c>
      <c r="K209" s="3" t="s">
        <v>51</v>
      </c>
      <c r="L209" s="1">
        <v>1</v>
      </c>
      <c r="M209" s="1">
        <v>286</v>
      </c>
      <c r="N209" s="1">
        <v>2</v>
      </c>
      <c r="O209" s="3" t="s">
        <v>39</v>
      </c>
      <c r="P209" s="1">
        <v>73</v>
      </c>
      <c r="Q209" s="1">
        <v>3</v>
      </c>
      <c r="R209" s="1">
        <v>1</v>
      </c>
      <c r="S209" s="3" t="s">
        <v>50</v>
      </c>
      <c r="T209" s="1">
        <v>4</v>
      </c>
      <c r="U209" s="3" t="s">
        <v>41</v>
      </c>
      <c r="V209" s="4">
        <v>2153</v>
      </c>
      <c r="W209" s="1">
        <v>7703</v>
      </c>
      <c r="X209" s="1">
        <v>1</v>
      </c>
      <c r="Y209" s="3" t="s">
        <v>42</v>
      </c>
      <c r="Z209" s="3" t="s">
        <v>43</v>
      </c>
      <c r="AA209" s="5">
        <v>0.13</v>
      </c>
      <c r="AB209" s="10" t="str" cm="1">
        <f t="array" ref="AB209">_xlfn.IFS(AA209 &lt;= 15%, "Low Hike[11-15%]", AA209 &lt;= 20%, "Moderate Hike[16-20%]", AA209 &lt;= 25%,"High Hike[21-25%]")</f>
        <v>Low Hike[11-15%]</v>
      </c>
      <c r="AC209" s="1">
        <v>3</v>
      </c>
      <c r="AD209" s="1">
        <v>1</v>
      </c>
      <c r="AE209" s="1">
        <v>80</v>
      </c>
      <c r="AF209" s="1">
        <v>0</v>
      </c>
      <c r="AG209" s="1">
        <v>8</v>
      </c>
      <c r="AH209" s="9" t="str" cm="1">
        <f t="array" ref="AH209">_xlfn.IFS(AG209 &lt;= 5, "New[1-5]", AG209 &lt;= 10, "Early Career[6-10]", AG209 &lt;= 20, "Established[11-20]", AG209 &lt;= 30, "Veteran[21-30]", AG209 &lt;= 40, "Late Career[31-40]")</f>
        <v>Early Career[6-10]</v>
      </c>
      <c r="AI209" s="1">
        <v>2</v>
      </c>
      <c r="AJ209" s="1">
        <v>3</v>
      </c>
      <c r="AK209" s="1">
        <v>8</v>
      </c>
      <c r="AL209" s="9" t="str" cm="1">
        <f t="array" ref="AL209">_xlfn.IFS(AK209 &lt;= 5, "New[1-5]", AK209 &lt;= 10, "Early Career[6-10]", AK209 &lt;= 20, "Established[11-20]", AK209 &lt;= 30, "Veteran[21-30]", AK209 &lt;= 40, "Late Career[31-40]")</f>
        <v>Early Career[6-10]</v>
      </c>
      <c r="AM209" s="1">
        <v>1</v>
      </c>
      <c r="AN209" s="9" t="str" cm="1">
        <f t="array" ref="AN209">_xlfn.IFS(AM209 &lt;= 3, "New to Role[1-3]", AM209 &lt;= 7, "Settled[4-7]", AM209 &lt;= 12, "Experienced[[8-12]", AM209 &lt;= 18, "Long Tenured[13-18]")</f>
        <v>New to Role[1-3]</v>
      </c>
      <c r="AO209" s="1">
        <v>1</v>
      </c>
      <c r="AP209" s="9" t="str" cm="1">
        <f t="array" ref="AP209">_xlfn.IFS(AO209 &lt;= 3, "Recently[1-3]", AO209 &lt;= 6, "Due Soon[4-6]", AO209 &lt;= 10, "Overdue[7-10]", AO209 &lt;= 15, "Long Overdue[11-15]")</f>
        <v>Recently[1-3]</v>
      </c>
      <c r="AQ209" s="9" t="str" cm="1">
        <f t="array" ref="AQ209">_xlfn.IFS(AR209 &lt;= 3, "New Relationship[1-3]", AR209 &lt;= 7, "Established Relationship[4-7]", AR209 &lt;= 12, "Long Term Relationship[8-12]", AR209 &lt;= 17, "Very Long Term Relationship[13-17]")</f>
        <v>Established Relationship[4-7]</v>
      </c>
      <c r="AR209" s="1">
        <v>7</v>
      </c>
    </row>
    <row r="210" spans="1:44" x14ac:dyDescent="0.25">
      <c r="A210" s="1">
        <v>40</v>
      </c>
      <c r="B210" s="8" t="str" cm="1">
        <f t="array" ref="B210">_xlfn.IFS(A210 &lt;= 25, "[18-25]", A210 &lt;= 35, "[26-35]", A210 &lt;=45, "[36-45]", A210 &lt;= 60, "[46- 60]")</f>
        <v>[36-45]</v>
      </c>
      <c r="C210" s="3" t="s">
        <v>43</v>
      </c>
      <c r="D210">
        <f t="shared" si="3"/>
        <v>0</v>
      </c>
      <c r="E210" t="s">
        <v>62</v>
      </c>
      <c r="F210" s="1">
        <v>1151</v>
      </c>
      <c r="G210" s="3" t="s">
        <v>45</v>
      </c>
      <c r="H210" s="1">
        <v>9</v>
      </c>
      <c r="I210" s="9" t="str" cm="1">
        <f t="array" ref="I210">_xlfn.IFS(H210 &lt;= 2, "[1-2] very close", H210 &lt;= 10, "[3-10] close", H210 &lt;= 20, "[11-20] moderate", H210 &lt;= 30, "[21-30] far")</f>
        <v>[3-10] close</v>
      </c>
      <c r="J210" s="1">
        <v>5</v>
      </c>
      <c r="K210" s="3" t="s">
        <v>38</v>
      </c>
      <c r="L210" s="1">
        <v>1</v>
      </c>
      <c r="M210" s="1">
        <v>287</v>
      </c>
      <c r="N210" s="1">
        <v>4</v>
      </c>
      <c r="O210" s="3" t="s">
        <v>46</v>
      </c>
      <c r="P210" s="1">
        <v>63</v>
      </c>
      <c r="Q210" s="1">
        <v>2</v>
      </c>
      <c r="R210" s="1">
        <v>2</v>
      </c>
      <c r="S210" s="3" t="s">
        <v>54</v>
      </c>
      <c r="T210" s="1">
        <v>4</v>
      </c>
      <c r="U210" s="3" t="s">
        <v>48</v>
      </c>
      <c r="V210" s="4">
        <v>4876</v>
      </c>
      <c r="W210" s="1">
        <v>14242</v>
      </c>
      <c r="X210" s="1">
        <v>9</v>
      </c>
      <c r="Y210" s="3" t="s">
        <v>42</v>
      </c>
      <c r="Z210" s="3" t="s">
        <v>43</v>
      </c>
      <c r="AA210" s="5">
        <v>0.14000000000000001</v>
      </c>
      <c r="AB210" s="10" t="str" cm="1">
        <f t="array" ref="AB210">_xlfn.IFS(AA210 &lt;= 15%, "Low Hike[11-15%]", AA210 &lt;= 20%, "Moderate Hike[16-20%]", AA210 &lt;= 25%,"High Hike[21-25%]")</f>
        <v>Low Hike[11-15%]</v>
      </c>
      <c r="AC210" s="1">
        <v>3</v>
      </c>
      <c r="AD210" s="1">
        <v>4</v>
      </c>
      <c r="AE210" s="1">
        <v>80</v>
      </c>
      <c r="AF210" s="1">
        <v>1</v>
      </c>
      <c r="AG210" s="1">
        <v>5</v>
      </c>
      <c r="AH210" s="9" t="str" cm="1">
        <f t="array" ref="AH210">_xlfn.IFS(AG210 &lt;= 5, "New[1-5]", AG210 &lt;= 10, "Early Career[6-10]", AG210 &lt;= 20, "Established[11-20]", AG210 &lt;= 30, "Veteran[21-30]", AG210 &lt;= 40, "Late Career[31-40]")</f>
        <v>New[1-5]</v>
      </c>
      <c r="AI210" s="1">
        <v>5</v>
      </c>
      <c r="AJ210" s="1">
        <v>1</v>
      </c>
      <c r="AK210" s="1">
        <v>3</v>
      </c>
      <c r="AL210" s="9" t="str" cm="1">
        <f t="array" ref="AL210">_xlfn.IFS(AK210 &lt;= 5, "New[1-5]", AK210 &lt;= 10, "Early Career[6-10]", AK210 &lt;= 20, "Established[11-20]", AK210 &lt;= 30, "Veteran[21-30]", AK210 &lt;= 40, "Late Career[31-40]")</f>
        <v>New[1-5]</v>
      </c>
      <c r="AM210" s="1">
        <v>2</v>
      </c>
      <c r="AN210" s="9" t="str" cm="1">
        <f t="array" ref="AN210">_xlfn.IFS(AM210 &lt;= 3, "New to Role[1-3]", AM210 &lt;= 7, "Settled[4-7]", AM210 &lt;= 12, "Experienced[[8-12]", AM210 &lt;= 18, "Long Tenured[13-18]")</f>
        <v>New to Role[1-3]</v>
      </c>
      <c r="AO210" s="1">
        <v>0</v>
      </c>
      <c r="AP210" s="9" t="str" cm="1">
        <f t="array" ref="AP210">_xlfn.IFS(AO210 &lt;= 3, "Recently[1-3]", AO210 &lt;= 6, "Due Soon[4-6]", AO210 &lt;= 10, "Overdue[7-10]", AO210 &lt;= 15, "Long Overdue[11-15]")</f>
        <v>Recently[1-3]</v>
      </c>
      <c r="AQ210" s="9" t="str" cm="1">
        <f t="array" ref="AQ210">_xlfn.IFS(AR210 &lt;= 3, "New Relationship[1-3]", AR210 &lt;= 7, "Established Relationship[4-7]", AR210 &lt;= 12, "Long Term Relationship[8-12]", AR210 &lt;= 17, "Very Long Term Relationship[13-17]")</f>
        <v>New Relationship[1-3]</v>
      </c>
      <c r="AR210" s="1">
        <v>2</v>
      </c>
    </row>
    <row r="211" spans="1:44" x14ac:dyDescent="0.25">
      <c r="A211" s="1">
        <v>46</v>
      </c>
      <c r="B211" s="8" t="str" cm="1">
        <f t="array" ref="B211">_xlfn.IFS(A211 &lt;= 25, "[18-25]", A211 &lt;= 35, "[26-35]", A211 &lt;=45, "[36-45]", A211 &lt;= 60, "[46- 60]")</f>
        <v>[46- 60]</v>
      </c>
      <c r="C211" s="3" t="s">
        <v>43</v>
      </c>
      <c r="D211">
        <f t="shared" si="3"/>
        <v>0</v>
      </c>
      <c r="E211" t="s">
        <v>36</v>
      </c>
      <c r="F211" s="1">
        <v>644</v>
      </c>
      <c r="G211" s="3" t="s">
        <v>45</v>
      </c>
      <c r="H211" s="1">
        <v>1</v>
      </c>
      <c r="I211" s="9" t="str" cm="1">
        <f t="array" ref="I211">_xlfn.IFS(H211 &lt;= 2, "[1-2] very close", H211 &lt;= 10, "[3-10] close", H211 &lt;= 20, "[11-20] moderate", H211 &lt;= 30, "[21-30] far")</f>
        <v>[1-2] very close</v>
      </c>
      <c r="J211" s="1">
        <v>4</v>
      </c>
      <c r="K211" s="3" t="s">
        <v>51</v>
      </c>
      <c r="L211" s="1">
        <v>1</v>
      </c>
      <c r="M211" s="1">
        <v>288</v>
      </c>
      <c r="N211" s="1">
        <v>4</v>
      </c>
      <c r="O211" s="3" t="s">
        <v>46</v>
      </c>
      <c r="P211" s="1">
        <v>97</v>
      </c>
      <c r="Q211" s="1">
        <v>3</v>
      </c>
      <c r="R211" s="1">
        <v>3</v>
      </c>
      <c r="S211" s="3" t="s">
        <v>54</v>
      </c>
      <c r="T211" s="1">
        <v>1</v>
      </c>
      <c r="U211" s="3" t="s">
        <v>52</v>
      </c>
      <c r="V211" s="4">
        <v>9396</v>
      </c>
      <c r="W211" s="1">
        <v>12368</v>
      </c>
      <c r="X211" s="1">
        <v>7</v>
      </c>
      <c r="Y211" s="3" t="s">
        <v>42</v>
      </c>
      <c r="Z211" s="3" t="s">
        <v>43</v>
      </c>
      <c r="AA211" s="5">
        <v>0.16</v>
      </c>
      <c r="AB211" s="10" t="str" cm="1">
        <f t="array" ref="AB211">_xlfn.IFS(AA211 &lt;= 15%, "Low Hike[11-15%]", AA211 &lt;= 20%, "Moderate Hike[16-20%]", AA211 &lt;= 25%,"High Hike[21-25%]")</f>
        <v>Moderate Hike[16-20%]</v>
      </c>
      <c r="AC211" s="1">
        <v>3</v>
      </c>
      <c r="AD211" s="1">
        <v>3</v>
      </c>
      <c r="AE211" s="1">
        <v>80</v>
      </c>
      <c r="AF211" s="1">
        <v>1</v>
      </c>
      <c r="AG211" s="1">
        <v>17</v>
      </c>
      <c r="AH211" s="9" t="str" cm="1">
        <f t="array" ref="AH211">_xlfn.IFS(AG211 &lt;= 5, "New[1-5]", AG211 &lt;= 10, "Early Career[6-10]", AG211 &lt;= 20, "Established[11-20]", AG211 &lt;= 30, "Veteran[21-30]", AG211 &lt;= 40, "Late Career[31-40]")</f>
        <v>Established[11-20]</v>
      </c>
      <c r="AI211" s="1">
        <v>3</v>
      </c>
      <c r="AJ211" s="1">
        <v>3</v>
      </c>
      <c r="AK211" s="1">
        <v>4</v>
      </c>
      <c r="AL211" s="9" t="str" cm="1">
        <f t="array" ref="AL211">_xlfn.IFS(AK211 &lt;= 5, "New[1-5]", AK211 &lt;= 10, "Early Career[6-10]", AK211 &lt;= 20, "Established[11-20]", AK211 &lt;= 30, "Veteran[21-30]", AK211 &lt;= 40, "Late Career[31-40]")</f>
        <v>New[1-5]</v>
      </c>
      <c r="AM211" s="1">
        <v>2</v>
      </c>
      <c r="AN211" s="9" t="str" cm="1">
        <f t="array" ref="AN211">_xlfn.IFS(AM211 &lt;= 3, "New to Role[1-3]", AM211 &lt;= 7, "Settled[4-7]", AM211 &lt;= 12, "Experienced[[8-12]", AM211 &lt;= 18, "Long Tenured[13-18]")</f>
        <v>New to Role[1-3]</v>
      </c>
      <c r="AO211" s="1">
        <v>0</v>
      </c>
      <c r="AP211" s="9" t="str" cm="1">
        <f t="array" ref="AP211">_xlfn.IFS(AO211 &lt;= 3, "Recently[1-3]", AO211 &lt;= 6, "Due Soon[4-6]", AO211 &lt;= 10, "Overdue[7-10]", AO211 &lt;= 15, "Long Overdue[11-15]")</f>
        <v>Recently[1-3]</v>
      </c>
      <c r="AQ211" s="9" t="str" cm="1">
        <f t="array" ref="AQ211">_xlfn.IFS(AR211 &lt;= 3, "New Relationship[1-3]", AR211 &lt;= 7, "Established Relationship[4-7]", AR211 &lt;= 12, "Long Term Relationship[8-12]", AR211 &lt;= 17, "Very Long Term Relationship[13-17]")</f>
        <v>New Relationship[1-3]</v>
      </c>
      <c r="AR211" s="1">
        <v>3</v>
      </c>
    </row>
    <row r="212" spans="1:44" x14ac:dyDescent="0.25">
      <c r="A212" s="1">
        <v>32</v>
      </c>
      <c r="B212" s="8" t="str" cm="1">
        <f t="array" ref="B212">_xlfn.IFS(A212 &lt;= 25, "[18-25]", A212 &lt;= 35, "[26-35]", A212 &lt;=45, "[36-45]", A212 &lt;= 60, "[46- 60]")</f>
        <v>[26-35]</v>
      </c>
      <c r="C212" s="3" t="s">
        <v>35</v>
      </c>
      <c r="D212">
        <f t="shared" si="3"/>
        <v>1</v>
      </c>
      <c r="E212" t="s">
        <v>36</v>
      </c>
      <c r="F212" s="1">
        <v>1045</v>
      </c>
      <c r="G212" s="3" t="s">
        <v>37</v>
      </c>
      <c r="H212" s="1">
        <v>4</v>
      </c>
      <c r="I212" s="9" t="str" cm="1">
        <f t="array" ref="I212">_xlfn.IFS(H212 &lt;= 2, "[1-2] very close", H212 &lt;= 10, "[3-10] close", H212 &lt;= 20, "[11-20] moderate", H212 &lt;= 30, "[21-30] far")</f>
        <v>[3-10] close</v>
      </c>
      <c r="J212" s="1">
        <v>4</v>
      </c>
      <c r="K212" s="3" t="s">
        <v>51</v>
      </c>
      <c r="L212" s="1">
        <v>1</v>
      </c>
      <c r="M212" s="1">
        <v>291</v>
      </c>
      <c r="N212" s="1">
        <v>4</v>
      </c>
      <c r="O212" s="3" t="s">
        <v>46</v>
      </c>
      <c r="P212" s="1">
        <v>32</v>
      </c>
      <c r="Q212" s="1">
        <v>1</v>
      </c>
      <c r="R212" s="1">
        <v>3</v>
      </c>
      <c r="S212" s="3" t="s">
        <v>40</v>
      </c>
      <c r="T212" s="1">
        <v>4</v>
      </c>
      <c r="U212" s="3" t="s">
        <v>48</v>
      </c>
      <c r="V212" s="4">
        <v>10400</v>
      </c>
      <c r="W212" s="1">
        <v>25812</v>
      </c>
      <c r="X212" s="1">
        <v>1</v>
      </c>
      <c r="Y212" s="3" t="s">
        <v>42</v>
      </c>
      <c r="Z212" s="3" t="s">
        <v>43</v>
      </c>
      <c r="AA212" s="5">
        <v>0.11</v>
      </c>
      <c r="AB212" s="10" t="str" cm="1">
        <f t="array" ref="AB212">_xlfn.IFS(AA212 &lt;= 15%, "Low Hike[11-15%]", AA212 &lt;= 20%, "Moderate Hike[16-20%]", AA212 &lt;= 25%,"High Hike[21-25%]")</f>
        <v>Low Hike[11-15%]</v>
      </c>
      <c r="AC212" s="1">
        <v>3</v>
      </c>
      <c r="AD212" s="1">
        <v>3</v>
      </c>
      <c r="AE212" s="1">
        <v>80</v>
      </c>
      <c r="AF212" s="1">
        <v>0</v>
      </c>
      <c r="AG212" s="1">
        <v>14</v>
      </c>
      <c r="AH212" s="9" t="str" cm="1">
        <f t="array" ref="AH212">_xlfn.IFS(AG212 &lt;= 5, "New[1-5]", AG212 &lt;= 10, "Early Career[6-10]", AG212 &lt;= 20, "Established[11-20]", AG212 &lt;= 30, "Veteran[21-30]", AG212 &lt;= 40, "Late Career[31-40]")</f>
        <v>Established[11-20]</v>
      </c>
      <c r="AI212" s="1">
        <v>2</v>
      </c>
      <c r="AJ212" s="1">
        <v>2</v>
      </c>
      <c r="AK212" s="1">
        <v>14</v>
      </c>
      <c r="AL212" s="9" t="str" cm="1">
        <f t="array" ref="AL212">_xlfn.IFS(AK212 &lt;= 5, "New[1-5]", AK212 &lt;= 10, "Early Career[6-10]", AK212 &lt;= 20, "Established[11-20]", AK212 &lt;= 30, "Veteran[21-30]", AK212 &lt;= 40, "Late Career[31-40]")</f>
        <v>Established[11-20]</v>
      </c>
      <c r="AM212" s="1">
        <v>8</v>
      </c>
      <c r="AN212" s="9" t="str" cm="1">
        <f t="array" ref="AN212">_xlfn.IFS(AM212 &lt;= 3, "New to Role[1-3]", AM212 &lt;= 7, "Settled[4-7]", AM212 &lt;= 12, "Experienced[[8-12]", AM212 &lt;= 18, "Long Tenured[13-18]")</f>
        <v>Experienced[[8-12]</v>
      </c>
      <c r="AO212" s="1">
        <v>9</v>
      </c>
      <c r="AP212" s="9" t="str" cm="1">
        <f t="array" ref="AP212">_xlfn.IFS(AO212 &lt;= 3, "Recently[1-3]", AO212 &lt;= 6, "Due Soon[4-6]", AO212 &lt;= 10, "Overdue[7-10]", AO212 &lt;= 15, "Long Overdue[11-15]")</f>
        <v>Overdue[7-10]</v>
      </c>
      <c r="AQ212" s="9" t="str" cm="1">
        <f t="array" ref="AQ212">_xlfn.IFS(AR212 &lt;= 3, "New Relationship[1-3]", AR212 &lt;= 7, "Established Relationship[4-7]", AR212 &lt;= 12, "Long Term Relationship[8-12]", AR212 &lt;= 17, "Very Long Term Relationship[13-17]")</f>
        <v>Long Term Relationship[8-12]</v>
      </c>
      <c r="AR212" s="1">
        <v>8</v>
      </c>
    </row>
    <row r="213" spans="1:44" x14ac:dyDescent="0.25">
      <c r="A213" s="1">
        <v>30</v>
      </c>
      <c r="B213" s="8" t="str" cm="1">
        <f t="array" ref="B213">_xlfn.IFS(A213 &lt;= 25, "[18-25]", A213 &lt;= 35, "[26-35]", A213 &lt;=45, "[36-45]", A213 &lt;= 60, "[46- 60]")</f>
        <v>[26-35]</v>
      </c>
      <c r="C213" s="3" t="s">
        <v>43</v>
      </c>
      <c r="D213">
        <f t="shared" si="3"/>
        <v>0</v>
      </c>
      <c r="E213" t="s">
        <v>62</v>
      </c>
      <c r="F213" s="1">
        <v>829</v>
      </c>
      <c r="G213" s="3" t="s">
        <v>45</v>
      </c>
      <c r="H213" s="1">
        <v>1</v>
      </c>
      <c r="I213" s="9" t="str" cm="1">
        <f t="array" ref="I213">_xlfn.IFS(H213 &lt;= 2, "[1-2] very close", H213 &lt;= 10, "[3-10] close", H213 &lt;= 20, "[11-20] moderate", H213 &lt;= 30, "[21-30] far")</f>
        <v>[1-2] very close</v>
      </c>
      <c r="J213" s="1">
        <v>1</v>
      </c>
      <c r="K213" s="3" t="s">
        <v>38</v>
      </c>
      <c r="L213" s="1">
        <v>1</v>
      </c>
      <c r="M213" s="1">
        <v>292</v>
      </c>
      <c r="N213" s="1">
        <v>3</v>
      </c>
      <c r="O213" s="3" t="s">
        <v>46</v>
      </c>
      <c r="P213" s="1">
        <v>88</v>
      </c>
      <c r="Q213" s="1">
        <v>2</v>
      </c>
      <c r="R213" s="1">
        <v>3</v>
      </c>
      <c r="S213" s="3" t="s">
        <v>53</v>
      </c>
      <c r="T213" s="1">
        <v>3</v>
      </c>
      <c r="U213" s="3" t="s">
        <v>41</v>
      </c>
      <c r="V213" s="4">
        <v>8474</v>
      </c>
      <c r="W213" s="1">
        <v>20925</v>
      </c>
      <c r="X213" s="1">
        <v>1</v>
      </c>
      <c r="Y213" s="3" t="s">
        <v>42</v>
      </c>
      <c r="Z213" s="3" t="s">
        <v>43</v>
      </c>
      <c r="AA213" s="5">
        <v>0.22</v>
      </c>
      <c r="AB213" s="10" t="str" cm="1">
        <f t="array" ref="AB213">_xlfn.IFS(AA213 &lt;= 15%, "Low Hike[11-15%]", AA213 &lt;= 20%, "Moderate Hike[16-20%]", AA213 &lt;= 25%,"High Hike[21-25%]")</f>
        <v>High Hike[21-25%]</v>
      </c>
      <c r="AC213" s="1">
        <v>4</v>
      </c>
      <c r="AD213" s="1">
        <v>3</v>
      </c>
      <c r="AE213" s="1">
        <v>80</v>
      </c>
      <c r="AF213" s="1">
        <v>0</v>
      </c>
      <c r="AG213" s="1">
        <v>12</v>
      </c>
      <c r="AH213" s="9" t="str" cm="1">
        <f t="array" ref="AH213">_xlfn.IFS(AG213 &lt;= 5, "New[1-5]", AG213 &lt;= 10, "Early Career[6-10]", AG213 &lt;= 20, "Established[11-20]", AG213 &lt;= 30, "Veteran[21-30]", AG213 &lt;= 40, "Late Career[31-40]")</f>
        <v>Established[11-20]</v>
      </c>
      <c r="AI213" s="1">
        <v>2</v>
      </c>
      <c r="AJ213" s="1">
        <v>3</v>
      </c>
      <c r="AK213" s="1">
        <v>11</v>
      </c>
      <c r="AL213" s="9" t="str" cm="1">
        <f t="array" ref="AL213">_xlfn.IFS(AK213 &lt;= 5, "New[1-5]", AK213 &lt;= 10, "Early Career[6-10]", AK213 &lt;= 20, "Established[11-20]", AK213 &lt;= 30, "Veteran[21-30]", AK213 &lt;= 40, "Late Career[31-40]")</f>
        <v>Established[11-20]</v>
      </c>
      <c r="AM213" s="1">
        <v>8</v>
      </c>
      <c r="AN213" s="9" t="str" cm="1">
        <f t="array" ref="AN213">_xlfn.IFS(AM213 &lt;= 3, "New to Role[1-3]", AM213 &lt;= 7, "Settled[4-7]", AM213 &lt;= 12, "Experienced[[8-12]", AM213 &lt;= 18, "Long Tenured[13-18]")</f>
        <v>Experienced[[8-12]</v>
      </c>
      <c r="AO213" s="1">
        <v>5</v>
      </c>
      <c r="AP213" s="9" t="str" cm="1">
        <f t="array" ref="AP213">_xlfn.IFS(AO213 &lt;= 3, "Recently[1-3]", AO213 &lt;= 6, "Due Soon[4-6]", AO213 &lt;= 10, "Overdue[7-10]", AO213 &lt;= 15, "Long Overdue[11-15]")</f>
        <v>Due Soon[4-6]</v>
      </c>
      <c r="AQ213" s="9" t="str" cm="1">
        <f t="array" ref="AQ213">_xlfn.IFS(AR213 &lt;= 3, "New Relationship[1-3]", AR213 &lt;= 7, "Established Relationship[4-7]", AR213 &lt;= 12, "Long Term Relationship[8-12]", AR213 &lt;= 17, "Very Long Term Relationship[13-17]")</f>
        <v>Long Term Relationship[8-12]</v>
      </c>
      <c r="AR213" s="1">
        <v>8</v>
      </c>
    </row>
    <row r="214" spans="1:44" x14ac:dyDescent="0.25">
      <c r="A214" s="1">
        <v>27</v>
      </c>
      <c r="B214" s="8" t="str" cm="1">
        <f t="array" ref="B214">_xlfn.IFS(A214 &lt;= 25, "[18-25]", A214 &lt;= 35, "[26-35]", A214 &lt;=45, "[36-45]", A214 &lt;= 60, "[46- 60]")</f>
        <v>[26-35]</v>
      </c>
      <c r="C214" s="3" t="s">
        <v>43</v>
      </c>
      <c r="D214">
        <f t="shared" si="3"/>
        <v>0</v>
      </c>
      <c r="E214" t="s">
        <v>44</v>
      </c>
      <c r="F214" s="1">
        <v>1242</v>
      </c>
      <c r="G214" s="3" t="s">
        <v>37</v>
      </c>
      <c r="H214" s="1">
        <v>20</v>
      </c>
      <c r="I214" s="9" t="str" cm="1">
        <f t="array" ref="I214">_xlfn.IFS(H214 &lt;= 2, "[1-2] very close", H214 &lt;= 10, "[3-10] close", H214 &lt;= 20, "[11-20] moderate", H214 &lt;= 30, "[21-30] far")</f>
        <v>[11-20] moderate</v>
      </c>
      <c r="J214" s="1">
        <v>3</v>
      </c>
      <c r="K214" s="3" t="s">
        <v>38</v>
      </c>
      <c r="L214" s="1">
        <v>1</v>
      </c>
      <c r="M214" s="1">
        <v>293</v>
      </c>
      <c r="N214" s="1">
        <v>4</v>
      </c>
      <c r="O214" s="3" t="s">
        <v>39</v>
      </c>
      <c r="P214" s="1">
        <v>90</v>
      </c>
      <c r="Q214" s="1">
        <v>3</v>
      </c>
      <c r="R214" s="1">
        <v>2</v>
      </c>
      <c r="S214" s="3" t="s">
        <v>40</v>
      </c>
      <c r="T214" s="1">
        <v>3</v>
      </c>
      <c r="U214" s="3" t="s">
        <v>41</v>
      </c>
      <c r="V214" s="4">
        <v>9981</v>
      </c>
      <c r="W214" s="1">
        <v>12916</v>
      </c>
      <c r="X214" s="1">
        <v>1</v>
      </c>
      <c r="Y214" s="3" t="s">
        <v>42</v>
      </c>
      <c r="Z214" s="3" t="s">
        <v>43</v>
      </c>
      <c r="AA214" s="5">
        <v>0.14000000000000001</v>
      </c>
      <c r="AB214" s="10" t="str" cm="1">
        <f t="array" ref="AB214">_xlfn.IFS(AA214 &lt;= 15%, "Low Hike[11-15%]", AA214 &lt;= 20%, "Moderate Hike[16-20%]", AA214 &lt;= 25%,"High Hike[21-25%]")</f>
        <v>Low Hike[11-15%]</v>
      </c>
      <c r="AC214" s="1">
        <v>3</v>
      </c>
      <c r="AD214" s="1">
        <v>4</v>
      </c>
      <c r="AE214" s="1">
        <v>80</v>
      </c>
      <c r="AF214" s="1">
        <v>0</v>
      </c>
      <c r="AG214" s="1">
        <v>7</v>
      </c>
      <c r="AH214" s="9" t="str" cm="1">
        <f t="array" ref="AH214">_xlfn.IFS(AG214 &lt;= 5, "New[1-5]", AG214 &lt;= 10, "Early Career[6-10]", AG214 &lt;= 20, "Established[11-20]", AG214 &lt;= 30, "Veteran[21-30]", AG214 &lt;= 40, "Late Career[31-40]")</f>
        <v>Early Career[6-10]</v>
      </c>
      <c r="AI214" s="1">
        <v>2</v>
      </c>
      <c r="AJ214" s="1">
        <v>3</v>
      </c>
      <c r="AK214" s="1">
        <v>7</v>
      </c>
      <c r="AL214" s="9" t="str" cm="1">
        <f t="array" ref="AL214">_xlfn.IFS(AK214 &lt;= 5, "New[1-5]", AK214 &lt;= 10, "Early Career[6-10]", AK214 &lt;= 20, "Established[11-20]", AK214 &lt;= 30, "Veteran[21-30]", AK214 &lt;= 40, "Late Career[31-40]")</f>
        <v>Early Career[6-10]</v>
      </c>
      <c r="AM214" s="1">
        <v>7</v>
      </c>
      <c r="AN214" s="9" t="str" cm="1">
        <f t="array" ref="AN214">_xlfn.IFS(AM214 &lt;= 3, "New to Role[1-3]", AM214 &lt;= 7, "Settled[4-7]", AM214 &lt;= 12, "Experienced[[8-12]", AM214 &lt;= 18, "Long Tenured[13-18]")</f>
        <v>Settled[4-7]</v>
      </c>
      <c r="AO214" s="1">
        <v>0</v>
      </c>
      <c r="AP214" s="9" t="str" cm="1">
        <f t="array" ref="AP214">_xlfn.IFS(AO214 &lt;= 3, "Recently[1-3]", AO214 &lt;= 6, "Due Soon[4-6]", AO214 &lt;= 10, "Overdue[7-10]", AO214 &lt;= 15, "Long Overdue[11-15]")</f>
        <v>Recently[1-3]</v>
      </c>
      <c r="AQ214" s="9" t="str" cm="1">
        <f t="array" ref="AQ214">_xlfn.IFS(AR214 &lt;= 3, "New Relationship[1-3]", AR214 &lt;= 7, "Established Relationship[4-7]", AR214 &lt;= 12, "Long Term Relationship[8-12]", AR214 &lt;= 17, "Very Long Term Relationship[13-17]")</f>
        <v>Established Relationship[4-7]</v>
      </c>
      <c r="AR214" s="1">
        <v>7</v>
      </c>
    </row>
    <row r="215" spans="1:44" x14ac:dyDescent="0.25">
      <c r="A215" s="1">
        <v>51</v>
      </c>
      <c r="B215" s="8" t="str" cm="1">
        <f t="array" ref="B215">_xlfn.IFS(A215 &lt;= 25, "[18-25]", A215 &lt;= 35, "[26-35]", A215 &lt;=45, "[36-45]", A215 &lt;= 60, "[46- 60]")</f>
        <v>[46- 60]</v>
      </c>
      <c r="C215" s="3" t="s">
        <v>43</v>
      </c>
      <c r="D215">
        <f t="shared" si="3"/>
        <v>0</v>
      </c>
      <c r="E215" t="s">
        <v>36</v>
      </c>
      <c r="F215" s="1">
        <v>1469</v>
      </c>
      <c r="G215" s="3" t="s">
        <v>45</v>
      </c>
      <c r="H215" s="1">
        <v>8</v>
      </c>
      <c r="I215" s="9" t="str" cm="1">
        <f t="array" ref="I215">_xlfn.IFS(H215 &lt;= 2, "[1-2] very close", H215 &lt;= 10, "[3-10] close", H215 &lt;= 20, "[11-20] moderate", H215 &lt;= 30, "[21-30] far")</f>
        <v>[3-10] close</v>
      </c>
      <c r="J215" s="1">
        <v>4</v>
      </c>
      <c r="K215" s="3" t="s">
        <v>38</v>
      </c>
      <c r="L215" s="1">
        <v>1</v>
      </c>
      <c r="M215" s="1">
        <v>296</v>
      </c>
      <c r="N215" s="1">
        <v>2</v>
      </c>
      <c r="O215" s="3" t="s">
        <v>46</v>
      </c>
      <c r="P215" s="1">
        <v>81</v>
      </c>
      <c r="Q215" s="1">
        <v>2</v>
      </c>
      <c r="R215" s="1">
        <v>3</v>
      </c>
      <c r="S215" s="3" t="s">
        <v>58</v>
      </c>
      <c r="T215" s="1">
        <v>2</v>
      </c>
      <c r="U215" s="3" t="s">
        <v>48</v>
      </c>
      <c r="V215" s="4">
        <v>12490</v>
      </c>
      <c r="W215" s="1">
        <v>15736</v>
      </c>
      <c r="X215" s="1">
        <v>5</v>
      </c>
      <c r="Y215" s="3" t="s">
        <v>42</v>
      </c>
      <c r="Z215" s="3" t="s">
        <v>43</v>
      </c>
      <c r="AA215" s="5">
        <v>0.16</v>
      </c>
      <c r="AB215" s="10" t="str" cm="1">
        <f t="array" ref="AB215">_xlfn.IFS(AA215 &lt;= 15%, "Low Hike[11-15%]", AA215 &lt;= 20%, "Moderate Hike[16-20%]", AA215 &lt;= 25%,"High Hike[21-25%]")</f>
        <v>Moderate Hike[16-20%]</v>
      </c>
      <c r="AC215" s="1">
        <v>3</v>
      </c>
      <c r="AD215" s="1">
        <v>4</v>
      </c>
      <c r="AE215" s="1">
        <v>80</v>
      </c>
      <c r="AF215" s="1">
        <v>2</v>
      </c>
      <c r="AG215" s="1">
        <v>16</v>
      </c>
      <c r="AH215" s="9" t="str" cm="1">
        <f t="array" ref="AH215">_xlfn.IFS(AG215 &lt;= 5, "New[1-5]", AG215 &lt;= 10, "Early Career[6-10]", AG215 &lt;= 20, "Established[11-20]", AG215 &lt;= 30, "Veteran[21-30]", AG215 &lt;= 40, "Late Career[31-40]")</f>
        <v>Established[11-20]</v>
      </c>
      <c r="AI215" s="1">
        <v>5</v>
      </c>
      <c r="AJ215" s="1">
        <v>1</v>
      </c>
      <c r="AK215" s="1">
        <v>10</v>
      </c>
      <c r="AL215" s="9" t="str" cm="1">
        <f t="array" ref="AL215">_xlfn.IFS(AK215 &lt;= 5, "New[1-5]", AK215 &lt;= 10, "Early Career[6-10]", AK215 &lt;= 20, "Established[11-20]", AK215 &lt;= 30, "Veteran[21-30]", AK215 &lt;= 40, "Late Career[31-40]")</f>
        <v>Early Career[6-10]</v>
      </c>
      <c r="AM215" s="1">
        <v>9</v>
      </c>
      <c r="AN215" s="9" t="str" cm="1">
        <f t="array" ref="AN215">_xlfn.IFS(AM215 &lt;= 3, "New to Role[1-3]", AM215 &lt;= 7, "Settled[4-7]", AM215 &lt;= 12, "Experienced[[8-12]", AM215 &lt;= 18, "Long Tenured[13-18]")</f>
        <v>Experienced[[8-12]</v>
      </c>
      <c r="AO215" s="1">
        <v>4</v>
      </c>
      <c r="AP215" s="9" t="str" cm="1">
        <f t="array" ref="AP215">_xlfn.IFS(AO215 &lt;= 3, "Recently[1-3]", AO215 &lt;= 6, "Due Soon[4-6]", AO215 &lt;= 10, "Overdue[7-10]", AO215 &lt;= 15, "Long Overdue[11-15]")</f>
        <v>Due Soon[4-6]</v>
      </c>
      <c r="AQ215" s="9" t="str" cm="1">
        <f t="array" ref="AQ215">_xlfn.IFS(AR215 &lt;= 3, "New Relationship[1-3]", AR215 &lt;= 7, "Established Relationship[4-7]", AR215 &lt;= 12, "Long Term Relationship[8-12]", AR215 &lt;= 17, "Very Long Term Relationship[13-17]")</f>
        <v>Established Relationship[4-7]</v>
      </c>
      <c r="AR215" s="1">
        <v>7</v>
      </c>
    </row>
    <row r="216" spans="1:44" x14ac:dyDescent="0.25">
      <c r="A216" s="1">
        <v>30</v>
      </c>
      <c r="B216" s="8" t="str" cm="1">
        <f t="array" ref="B216">_xlfn.IFS(A216 &lt;= 25, "[18-25]", A216 &lt;= 35, "[26-35]", A216 &lt;=45, "[36-45]", A216 &lt;= 60, "[46- 60]")</f>
        <v>[26-35]</v>
      </c>
      <c r="C216" s="3" t="s">
        <v>35</v>
      </c>
      <c r="D216">
        <f t="shared" si="3"/>
        <v>1</v>
      </c>
      <c r="E216" t="s">
        <v>36</v>
      </c>
      <c r="F216" s="1">
        <v>1005</v>
      </c>
      <c r="G216" s="3" t="s">
        <v>45</v>
      </c>
      <c r="H216" s="1">
        <v>3</v>
      </c>
      <c r="I216" s="9" t="str" cm="1">
        <f t="array" ref="I216">_xlfn.IFS(H216 &lt;= 2, "[1-2] very close", H216 &lt;= 10, "[3-10] close", H216 &lt;= 20, "[11-20] moderate", H216 &lt;= 30, "[21-30] far")</f>
        <v>[3-10] close</v>
      </c>
      <c r="J216" s="1">
        <v>3</v>
      </c>
      <c r="K216" s="3" t="s">
        <v>60</v>
      </c>
      <c r="L216" s="1">
        <v>1</v>
      </c>
      <c r="M216" s="1">
        <v>297</v>
      </c>
      <c r="N216" s="1">
        <v>4</v>
      </c>
      <c r="O216" s="3" t="s">
        <v>39</v>
      </c>
      <c r="P216" s="1">
        <v>88</v>
      </c>
      <c r="Q216" s="1">
        <v>3</v>
      </c>
      <c r="R216" s="1">
        <v>1</v>
      </c>
      <c r="S216" s="3" t="s">
        <v>47</v>
      </c>
      <c r="T216" s="1">
        <v>1</v>
      </c>
      <c r="U216" s="3" t="s">
        <v>41</v>
      </c>
      <c r="V216" s="4">
        <v>2657</v>
      </c>
      <c r="W216" s="1">
        <v>8556</v>
      </c>
      <c r="X216" s="1">
        <v>5</v>
      </c>
      <c r="Y216" s="3" t="s">
        <v>42</v>
      </c>
      <c r="Z216" s="3" t="s">
        <v>35</v>
      </c>
      <c r="AA216" s="5">
        <v>0.11</v>
      </c>
      <c r="AB216" s="10" t="str" cm="1">
        <f t="array" ref="AB216">_xlfn.IFS(AA216 &lt;= 15%, "Low Hike[11-15%]", AA216 &lt;= 20%, "Moderate Hike[16-20%]", AA216 &lt;= 25%,"High Hike[21-25%]")</f>
        <v>Low Hike[11-15%]</v>
      </c>
      <c r="AC216" s="1">
        <v>3</v>
      </c>
      <c r="AD216" s="1">
        <v>3</v>
      </c>
      <c r="AE216" s="1">
        <v>80</v>
      </c>
      <c r="AF216" s="1">
        <v>0</v>
      </c>
      <c r="AG216" s="1">
        <v>8</v>
      </c>
      <c r="AH216" s="9" t="str" cm="1">
        <f t="array" ref="AH216">_xlfn.IFS(AG216 &lt;= 5, "New[1-5]", AG216 &lt;= 10, "Early Career[6-10]", AG216 &lt;= 20, "Established[11-20]", AG216 &lt;= 30, "Veteran[21-30]", AG216 &lt;= 40, "Late Career[31-40]")</f>
        <v>Early Career[6-10]</v>
      </c>
      <c r="AI216" s="1">
        <v>5</v>
      </c>
      <c r="AJ216" s="1">
        <v>3</v>
      </c>
      <c r="AK216" s="1">
        <v>5</v>
      </c>
      <c r="AL216" s="9" t="str" cm="1">
        <f t="array" ref="AL216">_xlfn.IFS(AK216 &lt;= 5, "New[1-5]", AK216 &lt;= 10, "Early Career[6-10]", AK216 &lt;= 20, "Established[11-20]", AK216 &lt;= 30, "Veteran[21-30]", AK216 &lt;= 40, "Late Career[31-40]")</f>
        <v>New[1-5]</v>
      </c>
      <c r="AM216" s="1">
        <v>2</v>
      </c>
      <c r="AN216" s="9" t="str" cm="1">
        <f t="array" ref="AN216">_xlfn.IFS(AM216 &lt;= 3, "New to Role[1-3]", AM216 &lt;= 7, "Settled[4-7]", AM216 &lt;= 12, "Experienced[[8-12]", AM216 &lt;= 18, "Long Tenured[13-18]")</f>
        <v>New to Role[1-3]</v>
      </c>
      <c r="AO216" s="1">
        <v>0</v>
      </c>
      <c r="AP216" s="9" t="str" cm="1">
        <f t="array" ref="AP216">_xlfn.IFS(AO216 &lt;= 3, "Recently[1-3]", AO216 &lt;= 6, "Due Soon[4-6]", AO216 &lt;= 10, "Overdue[7-10]", AO216 &lt;= 15, "Long Overdue[11-15]")</f>
        <v>Recently[1-3]</v>
      </c>
      <c r="AQ216" s="9" t="str" cm="1">
        <f t="array" ref="AQ216">_xlfn.IFS(AR216 &lt;= 3, "New Relationship[1-3]", AR216 &lt;= 7, "Established Relationship[4-7]", AR216 &lt;= 12, "Long Term Relationship[8-12]", AR216 &lt;= 17, "Very Long Term Relationship[13-17]")</f>
        <v>Established Relationship[4-7]</v>
      </c>
      <c r="AR216" s="1">
        <v>4</v>
      </c>
    </row>
    <row r="217" spans="1:44" x14ac:dyDescent="0.25">
      <c r="A217" s="1">
        <v>41</v>
      </c>
      <c r="B217" s="8" t="str" cm="1">
        <f t="array" ref="B217">_xlfn.IFS(A217 &lt;= 25, "[18-25]", A217 &lt;= 35, "[26-35]", A217 &lt;=45, "[36-45]", A217 &lt;= 60, "[46- 60]")</f>
        <v>[36-45]</v>
      </c>
      <c r="C217" s="3" t="s">
        <v>43</v>
      </c>
      <c r="D217">
        <f t="shared" si="3"/>
        <v>0</v>
      </c>
      <c r="E217" t="s">
        <v>36</v>
      </c>
      <c r="F217" s="1">
        <v>896</v>
      </c>
      <c r="G217" s="3" t="s">
        <v>37</v>
      </c>
      <c r="H217" s="1">
        <v>6</v>
      </c>
      <c r="I217" s="9" t="str" cm="1">
        <f t="array" ref="I217">_xlfn.IFS(H217 &lt;= 2, "[1-2] very close", H217 &lt;= 10, "[3-10] close", H217 &lt;= 20, "[11-20] moderate", H217 &lt;= 30, "[21-30] far")</f>
        <v>[3-10] close</v>
      </c>
      <c r="J217" s="1">
        <v>3</v>
      </c>
      <c r="K217" s="3" t="s">
        <v>38</v>
      </c>
      <c r="L217" s="1">
        <v>1</v>
      </c>
      <c r="M217" s="1">
        <v>298</v>
      </c>
      <c r="N217" s="1">
        <v>4</v>
      </c>
      <c r="O217" s="3" t="s">
        <v>39</v>
      </c>
      <c r="P217" s="1">
        <v>75</v>
      </c>
      <c r="Q217" s="1">
        <v>3</v>
      </c>
      <c r="R217" s="1">
        <v>3</v>
      </c>
      <c r="S217" s="3" t="s">
        <v>56</v>
      </c>
      <c r="T217" s="1">
        <v>4</v>
      </c>
      <c r="U217" s="3" t="s">
        <v>41</v>
      </c>
      <c r="V217" s="4">
        <v>13591</v>
      </c>
      <c r="W217" s="1">
        <v>14674</v>
      </c>
      <c r="X217" s="1">
        <v>3</v>
      </c>
      <c r="Y217" s="3" t="s">
        <v>42</v>
      </c>
      <c r="Z217" s="3" t="s">
        <v>35</v>
      </c>
      <c r="AA217" s="5">
        <v>0.18</v>
      </c>
      <c r="AB217" s="10" t="str" cm="1">
        <f t="array" ref="AB217">_xlfn.IFS(AA217 &lt;= 15%, "Low Hike[11-15%]", AA217 &lt;= 20%, "Moderate Hike[16-20%]", AA217 &lt;= 25%,"High Hike[21-25%]")</f>
        <v>Moderate Hike[16-20%]</v>
      </c>
      <c r="AC217" s="1">
        <v>3</v>
      </c>
      <c r="AD217" s="1">
        <v>3</v>
      </c>
      <c r="AE217" s="1">
        <v>80</v>
      </c>
      <c r="AF217" s="1">
        <v>0</v>
      </c>
      <c r="AG217" s="1">
        <v>16</v>
      </c>
      <c r="AH217" s="9" t="str" cm="1">
        <f t="array" ref="AH217">_xlfn.IFS(AG217 &lt;= 5, "New[1-5]", AG217 &lt;= 10, "Early Career[6-10]", AG217 &lt;= 20, "Established[11-20]", AG217 &lt;= 30, "Veteran[21-30]", AG217 &lt;= 40, "Late Career[31-40]")</f>
        <v>Established[11-20]</v>
      </c>
      <c r="AI217" s="1">
        <v>3</v>
      </c>
      <c r="AJ217" s="1">
        <v>3</v>
      </c>
      <c r="AK217" s="1">
        <v>1</v>
      </c>
      <c r="AL217" s="9" t="str" cm="1">
        <f t="array" ref="AL217">_xlfn.IFS(AK217 &lt;= 5, "New[1-5]", AK217 &lt;= 10, "Early Career[6-10]", AK217 &lt;= 20, "Established[11-20]", AK217 &lt;= 30, "Veteran[21-30]", AK217 &lt;= 40, "Late Career[31-40]")</f>
        <v>New[1-5]</v>
      </c>
      <c r="AM217" s="1">
        <v>0</v>
      </c>
      <c r="AN217" s="9" t="str" cm="1">
        <f t="array" ref="AN217">_xlfn.IFS(AM217 &lt;= 3, "New to Role[1-3]", AM217 &lt;= 7, "Settled[4-7]", AM217 &lt;= 12, "Experienced[[8-12]", AM217 &lt;= 18, "Long Tenured[13-18]")</f>
        <v>New to Role[1-3]</v>
      </c>
      <c r="AO217" s="1">
        <v>0</v>
      </c>
      <c r="AP217" s="9" t="str" cm="1">
        <f t="array" ref="AP217">_xlfn.IFS(AO217 &lt;= 3, "Recently[1-3]", AO217 &lt;= 6, "Due Soon[4-6]", AO217 &lt;= 10, "Overdue[7-10]", AO217 &lt;= 15, "Long Overdue[11-15]")</f>
        <v>Recently[1-3]</v>
      </c>
      <c r="AQ217" s="9" t="str" cm="1">
        <f t="array" ref="AQ217">_xlfn.IFS(AR217 &lt;= 3, "New Relationship[1-3]", AR217 &lt;= 7, "Established Relationship[4-7]", AR217 &lt;= 12, "Long Term Relationship[8-12]", AR217 &lt;= 17, "Very Long Term Relationship[13-17]")</f>
        <v>New Relationship[1-3]</v>
      </c>
      <c r="AR217" s="1">
        <v>0</v>
      </c>
    </row>
    <row r="218" spans="1:44" x14ac:dyDescent="0.25">
      <c r="A218" s="1">
        <v>30</v>
      </c>
      <c r="B218" s="8" t="str" cm="1">
        <f t="array" ref="B218">_xlfn.IFS(A218 &lt;= 25, "[18-25]", A218 &lt;= 35, "[26-35]", A218 &lt;=45, "[36-45]", A218 &lt;= 60, "[46- 60]")</f>
        <v>[26-35]</v>
      </c>
      <c r="C218" s="3" t="s">
        <v>35</v>
      </c>
      <c r="D218">
        <f t="shared" si="3"/>
        <v>1</v>
      </c>
      <c r="E218" t="s">
        <v>44</v>
      </c>
      <c r="F218" s="1">
        <v>334</v>
      </c>
      <c r="G218" s="3" t="s">
        <v>37</v>
      </c>
      <c r="H218" s="1">
        <v>26</v>
      </c>
      <c r="I218" s="9" t="str" cm="1">
        <f t="array" ref="I218">_xlfn.IFS(H218 &lt;= 2, "[1-2] very close", H218 &lt;= 10, "[3-10] close", H218 &lt;= 20, "[11-20] moderate", H218 &lt;= 30, "[21-30] far")</f>
        <v>[21-30] far</v>
      </c>
      <c r="J218" s="1">
        <v>4</v>
      </c>
      <c r="K218" s="3" t="s">
        <v>59</v>
      </c>
      <c r="L218" s="1">
        <v>1</v>
      </c>
      <c r="M218" s="1">
        <v>299</v>
      </c>
      <c r="N218" s="1">
        <v>3</v>
      </c>
      <c r="O218" s="3" t="s">
        <v>39</v>
      </c>
      <c r="P218" s="1">
        <v>52</v>
      </c>
      <c r="Q218" s="1">
        <v>2</v>
      </c>
      <c r="R218" s="1">
        <v>2</v>
      </c>
      <c r="S218" s="3" t="s">
        <v>40</v>
      </c>
      <c r="T218" s="1">
        <v>1</v>
      </c>
      <c r="U218" s="3" t="s">
        <v>41</v>
      </c>
      <c r="V218" s="4">
        <v>6696</v>
      </c>
      <c r="W218" s="1">
        <v>22967</v>
      </c>
      <c r="X218" s="1">
        <v>5</v>
      </c>
      <c r="Y218" s="3" t="s">
        <v>42</v>
      </c>
      <c r="Z218" s="3" t="s">
        <v>43</v>
      </c>
      <c r="AA218" s="5">
        <v>0.15</v>
      </c>
      <c r="AB218" s="10" t="str" cm="1">
        <f t="array" ref="AB218">_xlfn.IFS(AA218 &lt;= 15%, "Low Hike[11-15%]", AA218 &lt;= 20%, "Moderate Hike[16-20%]", AA218 &lt;= 25%,"High Hike[21-25%]")</f>
        <v>Low Hike[11-15%]</v>
      </c>
      <c r="AC218" s="1">
        <v>3</v>
      </c>
      <c r="AD218" s="1">
        <v>3</v>
      </c>
      <c r="AE218" s="1">
        <v>80</v>
      </c>
      <c r="AF218" s="1">
        <v>0</v>
      </c>
      <c r="AG218" s="1">
        <v>9</v>
      </c>
      <c r="AH218" s="9" t="str" cm="1">
        <f t="array" ref="AH218">_xlfn.IFS(AG218 &lt;= 5, "New[1-5]", AG218 &lt;= 10, "Early Career[6-10]", AG218 &lt;= 20, "Established[11-20]", AG218 &lt;= 30, "Veteran[21-30]", AG218 &lt;= 40, "Late Career[31-40]")</f>
        <v>Early Career[6-10]</v>
      </c>
      <c r="AI218" s="1">
        <v>5</v>
      </c>
      <c r="AJ218" s="1">
        <v>2</v>
      </c>
      <c r="AK218" s="1">
        <v>6</v>
      </c>
      <c r="AL218" s="9" t="str" cm="1">
        <f t="array" ref="AL218">_xlfn.IFS(AK218 &lt;= 5, "New[1-5]", AK218 &lt;= 10, "Early Career[6-10]", AK218 &lt;= 20, "Established[11-20]", AK218 &lt;= 30, "Veteran[21-30]", AK218 &lt;= 40, "Late Career[31-40]")</f>
        <v>Early Career[6-10]</v>
      </c>
      <c r="AM218" s="1">
        <v>3</v>
      </c>
      <c r="AN218" s="9" t="str" cm="1">
        <f t="array" ref="AN218">_xlfn.IFS(AM218 &lt;= 3, "New to Role[1-3]", AM218 &lt;= 7, "Settled[4-7]", AM218 &lt;= 12, "Experienced[[8-12]", AM218 &lt;= 18, "Long Tenured[13-18]")</f>
        <v>New to Role[1-3]</v>
      </c>
      <c r="AO218" s="1">
        <v>0</v>
      </c>
      <c r="AP218" s="9" t="str" cm="1">
        <f t="array" ref="AP218">_xlfn.IFS(AO218 &lt;= 3, "Recently[1-3]", AO218 &lt;= 6, "Due Soon[4-6]", AO218 &lt;= 10, "Overdue[7-10]", AO218 &lt;= 15, "Long Overdue[11-15]")</f>
        <v>Recently[1-3]</v>
      </c>
      <c r="AQ218" s="9" t="str" cm="1">
        <f t="array" ref="AQ218">_xlfn.IFS(AR218 &lt;= 3, "New Relationship[1-3]", AR218 &lt;= 7, "Established Relationship[4-7]", AR218 &lt;= 12, "Long Term Relationship[8-12]", AR218 &lt;= 17, "Very Long Term Relationship[13-17]")</f>
        <v>New Relationship[1-3]</v>
      </c>
      <c r="AR218" s="1">
        <v>1</v>
      </c>
    </row>
    <row r="219" spans="1:44" x14ac:dyDescent="0.25">
      <c r="A219" s="1">
        <v>29</v>
      </c>
      <c r="B219" s="8" t="str" cm="1">
        <f t="array" ref="B219">_xlfn.IFS(A219 &lt;= 25, "[18-25]", A219 &lt;= 35, "[26-35]", A219 &lt;=45, "[36-45]", A219 &lt;= 60, "[46- 60]")</f>
        <v>[26-35]</v>
      </c>
      <c r="C219" s="3" t="s">
        <v>35</v>
      </c>
      <c r="D219">
        <f t="shared" si="3"/>
        <v>1</v>
      </c>
      <c r="E219" t="s">
        <v>36</v>
      </c>
      <c r="F219" s="1">
        <v>992</v>
      </c>
      <c r="G219" s="3" t="s">
        <v>45</v>
      </c>
      <c r="H219" s="1">
        <v>1</v>
      </c>
      <c r="I219" s="9" t="str" cm="1">
        <f t="array" ref="I219">_xlfn.IFS(H219 &lt;= 2, "[1-2] very close", H219 &lt;= 10, "[3-10] close", H219 &lt;= 20, "[11-20] moderate", H219 &lt;= 30, "[21-30] far")</f>
        <v>[1-2] very close</v>
      </c>
      <c r="J219" s="1">
        <v>3</v>
      </c>
      <c r="K219" s="3" t="s">
        <v>60</v>
      </c>
      <c r="L219" s="1">
        <v>1</v>
      </c>
      <c r="M219" s="1">
        <v>300</v>
      </c>
      <c r="N219" s="1">
        <v>3</v>
      </c>
      <c r="O219" s="3" t="s">
        <v>46</v>
      </c>
      <c r="P219" s="1">
        <v>85</v>
      </c>
      <c r="Q219" s="1">
        <v>3</v>
      </c>
      <c r="R219" s="1">
        <v>1</v>
      </c>
      <c r="S219" s="3" t="s">
        <v>47</v>
      </c>
      <c r="T219" s="1">
        <v>3</v>
      </c>
      <c r="U219" s="3" t="s">
        <v>41</v>
      </c>
      <c r="V219" s="4">
        <v>2058</v>
      </c>
      <c r="W219" s="1">
        <v>19757</v>
      </c>
      <c r="X219" s="1">
        <v>0</v>
      </c>
      <c r="Y219" s="3" t="s">
        <v>42</v>
      </c>
      <c r="Z219" s="3" t="s">
        <v>43</v>
      </c>
      <c r="AA219" s="5">
        <v>0.14000000000000001</v>
      </c>
      <c r="AB219" s="10" t="str" cm="1">
        <f t="array" ref="AB219">_xlfn.IFS(AA219 &lt;= 15%, "Low Hike[11-15%]", AA219 &lt;= 20%, "Moderate Hike[16-20%]", AA219 &lt;= 25%,"High Hike[21-25%]")</f>
        <v>Low Hike[11-15%]</v>
      </c>
      <c r="AC219" s="1">
        <v>3</v>
      </c>
      <c r="AD219" s="1">
        <v>4</v>
      </c>
      <c r="AE219" s="1">
        <v>80</v>
      </c>
      <c r="AF219" s="1">
        <v>0</v>
      </c>
      <c r="AG219" s="1">
        <v>7</v>
      </c>
      <c r="AH219" s="9" t="str" cm="1">
        <f t="array" ref="AH219">_xlfn.IFS(AG219 &lt;= 5, "New[1-5]", AG219 &lt;= 10, "Early Career[6-10]", AG219 &lt;= 20, "Established[11-20]", AG219 &lt;= 30, "Veteran[21-30]", AG219 &lt;= 40, "Late Career[31-40]")</f>
        <v>Early Career[6-10]</v>
      </c>
      <c r="AI219" s="1">
        <v>1</v>
      </c>
      <c r="AJ219" s="1">
        <v>2</v>
      </c>
      <c r="AK219" s="1">
        <v>6</v>
      </c>
      <c r="AL219" s="9" t="str" cm="1">
        <f t="array" ref="AL219">_xlfn.IFS(AK219 &lt;= 5, "New[1-5]", AK219 &lt;= 10, "Early Career[6-10]", AK219 &lt;= 20, "Established[11-20]", AK219 &lt;= 30, "Veteran[21-30]", AK219 &lt;= 40, "Late Career[31-40]")</f>
        <v>Early Career[6-10]</v>
      </c>
      <c r="AM219" s="1">
        <v>2</v>
      </c>
      <c r="AN219" s="9" t="str" cm="1">
        <f t="array" ref="AN219">_xlfn.IFS(AM219 &lt;= 3, "New to Role[1-3]", AM219 &lt;= 7, "Settled[4-7]", AM219 &lt;= 12, "Experienced[[8-12]", AM219 &lt;= 18, "Long Tenured[13-18]")</f>
        <v>New to Role[1-3]</v>
      </c>
      <c r="AO219" s="1">
        <v>1</v>
      </c>
      <c r="AP219" s="9" t="str" cm="1">
        <f t="array" ref="AP219">_xlfn.IFS(AO219 &lt;= 3, "Recently[1-3]", AO219 &lt;= 6, "Due Soon[4-6]", AO219 &lt;= 10, "Overdue[7-10]", AO219 &lt;= 15, "Long Overdue[11-15]")</f>
        <v>Recently[1-3]</v>
      </c>
      <c r="AQ219" s="9" t="str" cm="1">
        <f t="array" ref="AQ219">_xlfn.IFS(AR219 &lt;= 3, "New Relationship[1-3]", AR219 &lt;= 7, "Established Relationship[4-7]", AR219 &lt;= 12, "Long Term Relationship[8-12]", AR219 &lt;= 17, "Very Long Term Relationship[13-17]")</f>
        <v>Established Relationship[4-7]</v>
      </c>
      <c r="AR219" s="1">
        <v>5</v>
      </c>
    </row>
    <row r="220" spans="1:44" x14ac:dyDescent="0.25">
      <c r="A220" s="1">
        <v>45</v>
      </c>
      <c r="B220" s="8" t="str" cm="1">
        <f t="array" ref="B220">_xlfn.IFS(A220 &lt;= 25, "[18-25]", A220 &lt;= 35, "[26-35]", A220 &lt;=45, "[36-45]", A220 &lt;= 60, "[46- 60]")</f>
        <v>[36-45]</v>
      </c>
      <c r="C220" s="3" t="s">
        <v>43</v>
      </c>
      <c r="D220">
        <f t="shared" si="3"/>
        <v>0</v>
      </c>
      <c r="E220" t="s">
        <v>62</v>
      </c>
      <c r="F220" s="1">
        <v>1052</v>
      </c>
      <c r="G220" s="3" t="s">
        <v>37</v>
      </c>
      <c r="H220" s="1">
        <v>6</v>
      </c>
      <c r="I220" s="9" t="str" cm="1">
        <f t="array" ref="I220">_xlfn.IFS(H220 &lt;= 2, "[1-2] very close", H220 &lt;= 10, "[3-10] close", H220 &lt;= 20, "[11-20] moderate", H220 &lt;= 30, "[21-30] far")</f>
        <v>[3-10] close</v>
      </c>
      <c r="J220" s="1">
        <v>3</v>
      </c>
      <c r="K220" s="3" t="s">
        <v>51</v>
      </c>
      <c r="L220" s="1">
        <v>1</v>
      </c>
      <c r="M220" s="1">
        <v>302</v>
      </c>
      <c r="N220" s="1">
        <v>4</v>
      </c>
      <c r="O220" s="3" t="s">
        <v>39</v>
      </c>
      <c r="P220" s="1">
        <v>57</v>
      </c>
      <c r="Q220" s="1">
        <v>2</v>
      </c>
      <c r="R220" s="1">
        <v>3</v>
      </c>
      <c r="S220" s="3" t="s">
        <v>40</v>
      </c>
      <c r="T220" s="1">
        <v>4</v>
      </c>
      <c r="U220" s="3" t="s">
        <v>41</v>
      </c>
      <c r="V220" s="4">
        <v>8865</v>
      </c>
      <c r="W220" s="1">
        <v>16840</v>
      </c>
      <c r="X220" s="1">
        <v>6</v>
      </c>
      <c r="Y220" s="3" t="s">
        <v>42</v>
      </c>
      <c r="Z220" s="3" t="s">
        <v>43</v>
      </c>
      <c r="AA220" s="5">
        <v>0.12</v>
      </c>
      <c r="AB220" s="10" t="str" cm="1">
        <f t="array" ref="AB220">_xlfn.IFS(AA220 &lt;= 15%, "Low Hike[11-15%]", AA220 &lt;= 20%, "Moderate Hike[16-20%]", AA220 &lt;= 25%,"High Hike[21-25%]")</f>
        <v>Low Hike[11-15%]</v>
      </c>
      <c r="AC220" s="1">
        <v>3</v>
      </c>
      <c r="AD220" s="1">
        <v>4</v>
      </c>
      <c r="AE220" s="1">
        <v>80</v>
      </c>
      <c r="AF220" s="1">
        <v>0</v>
      </c>
      <c r="AG220" s="1">
        <v>23</v>
      </c>
      <c r="AH220" s="9" t="str" cm="1">
        <f t="array" ref="AH220">_xlfn.IFS(AG220 &lt;= 5, "New[1-5]", AG220 &lt;= 10, "Early Career[6-10]", AG220 &lt;= 20, "Established[11-20]", AG220 &lt;= 30, "Veteran[21-30]", AG220 &lt;= 40, "Late Career[31-40]")</f>
        <v>Veteran[21-30]</v>
      </c>
      <c r="AI220" s="1">
        <v>2</v>
      </c>
      <c r="AJ220" s="1">
        <v>3</v>
      </c>
      <c r="AK220" s="1">
        <v>19</v>
      </c>
      <c r="AL220" s="9" t="str" cm="1">
        <f t="array" ref="AL220">_xlfn.IFS(AK220 &lt;= 5, "New[1-5]", AK220 &lt;= 10, "Early Career[6-10]", AK220 &lt;= 20, "Established[11-20]", AK220 &lt;= 30, "Veteran[21-30]", AK220 &lt;= 40, "Late Career[31-40]")</f>
        <v>Established[11-20]</v>
      </c>
      <c r="AM220" s="1">
        <v>7</v>
      </c>
      <c r="AN220" s="9" t="str" cm="1">
        <f t="array" ref="AN220">_xlfn.IFS(AM220 &lt;= 3, "New to Role[1-3]", AM220 &lt;= 7, "Settled[4-7]", AM220 &lt;= 12, "Experienced[[8-12]", AM220 &lt;= 18, "Long Tenured[13-18]")</f>
        <v>Settled[4-7]</v>
      </c>
      <c r="AO220" s="1">
        <v>12</v>
      </c>
      <c r="AP220" s="9" t="str" cm="1">
        <f t="array" ref="AP220">_xlfn.IFS(AO220 &lt;= 3, "Recently[1-3]", AO220 &lt;= 6, "Due Soon[4-6]", AO220 &lt;= 10, "Overdue[7-10]", AO220 &lt;= 15, "Long Overdue[11-15]")</f>
        <v>Long Overdue[11-15]</v>
      </c>
      <c r="AQ220" s="9" t="str" cm="1">
        <f t="array" ref="AQ220">_xlfn.IFS(AR220 &lt;= 3, "New Relationship[1-3]", AR220 &lt;= 7, "Established Relationship[4-7]", AR220 &lt;= 12, "Long Term Relationship[8-12]", AR220 &lt;= 17, "Very Long Term Relationship[13-17]")</f>
        <v>Long Term Relationship[8-12]</v>
      </c>
      <c r="AR220" s="1">
        <v>8</v>
      </c>
    </row>
    <row r="221" spans="1:44" x14ac:dyDescent="0.25">
      <c r="A221" s="1">
        <v>54</v>
      </c>
      <c r="B221" s="8" t="str" cm="1">
        <f t="array" ref="B221">_xlfn.IFS(A221 &lt;= 25, "[18-25]", A221 &lt;= 35, "[26-35]", A221 &lt;=45, "[36-45]", A221 &lt;= 60, "[46- 60]")</f>
        <v>[46- 60]</v>
      </c>
      <c r="C221" s="3" t="s">
        <v>43</v>
      </c>
      <c r="D221">
        <f t="shared" si="3"/>
        <v>0</v>
      </c>
      <c r="E221" t="s">
        <v>36</v>
      </c>
      <c r="F221" s="1">
        <v>1147</v>
      </c>
      <c r="G221" s="3" t="s">
        <v>37</v>
      </c>
      <c r="H221" s="1">
        <v>3</v>
      </c>
      <c r="I221" s="9" t="str" cm="1">
        <f t="array" ref="I221">_xlfn.IFS(H221 &lt;= 2, "[1-2] very close", H221 &lt;= 10, "[3-10] close", H221 &lt;= 20, "[11-20] moderate", H221 &lt;= 30, "[21-30] far")</f>
        <v>[3-10] close</v>
      </c>
      <c r="J221" s="1">
        <v>3</v>
      </c>
      <c r="K221" s="3" t="s">
        <v>59</v>
      </c>
      <c r="L221" s="1">
        <v>1</v>
      </c>
      <c r="M221" s="1">
        <v>303</v>
      </c>
      <c r="N221" s="1">
        <v>4</v>
      </c>
      <c r="O221" s="3" t="s">
        <v>39</v>
      </c>
      <c r="P221" s="1">
        <v>52</v>
      </c>
      <c r="Q221" s="1">
        <v>3</v>
      </c>
      <c r="R221" s="1">
        <v>2</v>
      </c>
      <c r="S221" s="3" t="s">
        <v>40</v>
      </c>
      <c r="T221" s="1">
        <v>1</v>
      </c>
      <c r="U221" s="3" t="s">
        <v>48</v>
      </c>
      <c r="V221" s="4">
        <v>5940</v>
      </c>
      <c r="W221" s="1">
        <v>17011</v>
      </c>
      <c r="X221" s="1">
        <v>2</v>
      </c>
      <c r="Y221" s="3" t="s">
        <v>42</v>
      </c>
      <c r="Z221" s="3" t="s">
        <v>43</v>
      </c>
      <c r="AA221" s="5">
        <v>0.14000000000000001</v>
      </c>
      <c r="AB221" s="10" t="str" cm="1">
        <f t="array" ref="AB221">_xlfn.IFS(AA221 &lt;= 15%, "Low Hike[11-15%]", AA221 &lt;= 20%, "Moderate Hike[16-20%]", AA221 &lt;= 25%,"High Hike[21-25%]")</f>
        <v>Low Hike[11-15%]</v>
      </c>
      <c r="AC221" s="1">
        <v>3</v>
      </c>
      <c r="AD221" s="1">
        <v>4</v>
      </c>
      <c r="AE221" s="1">
        <v>80</v>
      </c>
      <c r="AF221" s="1">
        <v>1</v>
      </c>
      <c r="AG221" s="1">
        <v>16</v>
      </c>
      <c r="AH221" s="9" t="str" cm="1">
        <f t="array" ref="AH221">_xlfn.IFS(AG221 &lt;= 5, "New[1-5]", AG221 &lt;= 10, "Early Career[6-10]", AG221 &lt;= 20, "Established[11-20]", AG221 &lt;= 30, "Veteran[21-30]", AG221 &lt;= 40, "Late Career[31-40]")</f>
        <v>Established[11-20]</v>
      </c>
      <c r="AI221" s="1">
        <v>4</v>
      </c>
      <c r="AJ221" s="1">
        <v>3</v>
      </c>
      <c r="AK221" s="1">
        <v>6</v>
      </c>
      <c r="AL221" s="9" t="str" cm="1">
        <f t="array" ref="AL221">_xlfn.IFS(AK221 &lt;= 5, "New[1-5]", AK221 &lt;= 10, "Early Career[6-10]", AK221 &lt;= 20, "Established[11-20]", AK221 &lt;= 30, "Veteran[21-30]", AK221 &lt;= 40, "Late Career[31-40]")</f>
        <v>Early Career[6-10]</v>
      </c>
      <c r="AM221" s="1">
        <v>2</v>
      </c>
      <c r="AN221" s="9" t="str" cm="1">
        <f t="array" ref="AN221">_xlfn.IFS(AM221 &lt;= 3, "New to Role[1-3]", AM221 &lt;= 7, "Settled[4-7]", AM221 &lt;= 12, "Experienced[[8-12]", AM221 &lt;= 18, "Long Tenured[13-18]")</f>
        <v>New to Role[1-3]</v>
      </c>
      <c r="AO221" s="1">
        <v>0</v>
      </c>
      <c r="AP221" s="9" t="str" cm="1">
        <f t="array" ref="AP221">_xlfn.IFS(AO221 &lt;= 3, "Recently[1-3]", AO221 &lt;= 6, "Due Soon[4-6]", AO221 &lt;= 10, "Overdue[7-10]", AO221 &lt;= 15, "Long Overdue[11-15]")</f>
        <v>Recently[1-3]</v>
      </c>
      <c r="AQ221" s="9" t="str" cm="1">
        <f t="array" ref="AQ221">_xlfn.IFS(AR221 &lt;= 3, "New Relationship[1-3]", AR221 &lt;= 7, "Established Relationship[4-7]", AR221 &lt;= 12, "Long Term Relationship[8-12]", AR221 &lt;= 17, "Very Long Term Relationship[13-17]")</f>
        <v>Established Relationship[4-7]</v>
      </c>
      <c r="AR221" s="1">
        <v>5</v>
      </c>
    </row>
    <row r="222" spans="1:44" x14ac:dyDescent="0.25">
      <c r="A222" s="1">
        <v>36</v>
      </c>
      <c r="B222" s="8" t="str" cm="1">
        <f t="array" ref="B222">_xlfn.IFS(A222 &lt;= 25, "[18-25]", A222 &lt;= 35, "[26-35]", A222 &lt;=45, "[36-45]", A222 &lt;= 60, "[46- 60]")</f>
        <v>[36-45]</v>
      </c>
      <c r="C222" s="3" t="s">
        <v>43</v>
      </c>
      <c r="D222">
        <f t="shared" si="3"/>
        <v>0</v>
      </c>
      <c r="E222" t="s">
        <v>36</v>
      </c>
      <c r="F222" s="1">
        <v>1396</v>
      </c>
      <c r="G222" s="3" t="s">
        <v>45</v>
      </c>
      <c r="H222" s="1">
        <v>5</v>
      </c>
      <c r="I222" s="9" t="str" cm="1">
        <f t="array" ref="I222">_xlfn.IFS(H222 &lt;= 2, "[1-2] very close", H222 &lt;= 10, "[3-10] close", H222 &lt;= 20, "[11-20] moderate", H222 &lt;= 30, "[21-30] far")</f>
        <v>[3-10] close</v>
      </c>
      <c r="J222" s="1">
        <v>2</v>
      </c>
      <c r="K222" s="3" t="s">
        <v>38</v>
      </c>
      <c r="L222" s="1">
        <v>1</v>
      </c>
      <c r="M222" s="1">
        <v>304</v>
      </c>
      <c r="N222" s="1">
        <v>4</v>
      </c>
      <c r="O222" s="3" t="s">
        <v>46</v>
      </c>
      <c r="P222" s="1">
        <v>62</v>
      </c>
      <c r="Q222" s="1">
        <v>3</v>
      </c>
      <c r="R222" s="1">
        <v>2</v>
      </c>
      <c r="S222" s="3" t="s">
        <v>50</v>
      </c>
      <c r="T222" s="1">
        <v>2</v>
      </c>
      <c r="U222" s="3" t="s">
        <v>41</v>
      </c>
      <c r="V222" s="4">
        <v>5914</v>
      </c>
      <c r="W222" s="1">
        <v>9945</v>
      </c>
      <c r="X222" s="1">
        <v>8</v>
      </c>
      <c r="Y222" s="3" t="s">
        <v>42</v>
      </c>
      <c r="Z222" s="3" t="s">
        <v>43</v>
      </c>
      <c r="AA222" s="5">
        <v>0.16</v>
      </c>
      <c r="AB222" s="10" t="str" cm="1">
        <f t="array" ref="AB222">_xlfn.IFS(AA222 &lt;= 15%, "Low Hike[11-15%]", AA222 &lt;= 20%, "Moderate Hike[16-20%]", AA222 &lt;= 25%,"High Hike[21-25%]")</f>
        <v>Moderate Hike[16-20%]</v>
      </c>
      <c r="AC222" s="1">
        <v>3</v>
      </c>
      <c r="AD222" s="1">
        <v>4</v>
      </c>
      <c r="AE222" s="1">
        <v>80</v>
      </c>
      <c r="AF222" s="1">
        <v>0</v>
      </c>
      <c r="AG222" s="1">
        <v>16</v>
      </c>
      <c r="AH222" s="9" t="str" cm="1">
        <f t="array" ref="AH222">_xlfn.IFS(AG222 &lt;= 5, "New[1-5]", AG222 &lt;= 10, "Early Career[6-10]", AG222 &lt;= 20, "Established[11-20]", AG222 &lt;= 30, "Veteran[21-30]", AG222 &lt;= 40, "Late Career[31-40]")</f>
        <v>Established[11-20]</v>
      </c>
      <c r="AI222" s="1">
        <v>3</v>
      </c>
      <c r="AJ222" s="1">
        <v>4</v>
      </c>
      <c r="AK222" s="1">
        <v>13</v>
      </c>
      <c r="AL222" s="9" t="str" cm="1">
        <f t="array" ref="AL222">_xlfn.IFS(AK222 &lt;= 5, "New[1-5]", AK222 &lt;= 10, "Early Career[6-10]", AK222 &lt;= 20, "Established[11-20]", AK222 &lt;= 30, "Veteran[21-30]", AK222 &lt;= 40, "Late Career[31-40]")</f>
        <v>Established[11-20]</v>
      </c>
      <c r="AM222" s="1">
        <v>11</v>
      </c>
      <c r="AN222" s="9" t="str" cm="1">
        <f t="array" ref="AN222">_xlfn.IFS(AM222 &lt;= 3, "New to Role[1-3]", AM222 &lt;= 7, "Settled[4-7]", AM222 &lt;= 12, "Experienced[[8-12]", AM222 &lt;= 18, "Long Tenured[13-18]")</f>
        <v>Experienced[[8-12]</v>
      </c>
      <c r="AO222" s="1">
        <v>3</v>
      </c>
      <c r="AP222" s="9" t="str" cm="1">
        <f t="array" ref="AP222">_xlfn.IFS(AO222 &lt;= 3, "Recently[1-3]", AO222 &lt;= 6, "Due Soon[4-6]", AO222 &lt;= 10, "Overdue[7-10]", AO222 &lt;= 15, "Long Overdue[11-15]")</f>
        <v>Recently[1-3]</v>
      </c>
      <c r="AQ222" s="9" t="str" cm="1">
        <f t="array" ref="AQ222">_xlfn.IFS(AR222 &lt;= 3, "New Relationship[1-3]", AR222 &lt;= 7, "Established Relationship[4-7]", AR222 &lt;= 12, "Long Term Relationship[8-12]", AR222 &lt;= 17, "Very Long Term Relationship[13-17]")</f>
        <v>Established Relationship[4-7]</v>
      </c>
      <c r="AR222" s="1">
        <v>7</v>
      </c>
    </row>
    <row r="223" spans="1:44" x14ac:dyDescent="0.25">
      <c r="A223" s="1">
        <v>33</v>
      </c>
      <c r="B223" s="8" t="str" cm="1">
        <f t="array" ref="B223">_xlfn.IFS(A223 &lt;= 25, "[18-25]", A223 &lt;= 35, "[26-35]", A223 &lt;=45, "[36-45]", A223 &lt;= 60, "[46- 60]")</f>
        <v>[26-35]</v>
      </c>
      <c r="C223" s="3" t="s">
        <v>43</v>
      </c>
      <c r="D223">
        <f t="shared" si="3"/>
        <v>0</v>
      </c>
      <c r="E223" t="s">
        <v>36</v>
      </c>
      <c r="F223" s="1">
        <v>147</v>
      </c>
      <c r="G223" s="3" t="s">
        <v>45</v>
      </c>
      <c r="H223" s="1">
        <v>4</v>
      </c>
      <c r="I223" s="9" t="str" cm="1">
        <f t="array" ref="I223">_xlfn.IFS(H223 &lt;= 2, "[1-2] very close", H223 &lt;= 10, "[3-10] close", H223 &lt;= 20, "[11-20] moderate", H223 &lt;= 30, "[21-30] far")</f>
        <v>[3-10] close</v>
      </c>
      <c r="J223" s="1">
        <v>4</v>
      </c>
      <c r="K223" s="3" t="s">
        <v>51</v>
      </c>
      <c r="L223" s="1">
        <v>1</v>
      </c>
      <c r="M223" s="1">
        <v>305</v>
      </c>
      <c r="N223" s="1">
        <v>3</v>
      </c>
      <c r="O223" s="3" t="s">
        <v>39</v>
      </c>
      <c r="P223" s="1">
        <v>47</v>
      </c>
      <c r="Q223" s="1">
        <v>2</v>
      </c>
      <c r="R223" s="1">
        <v>1</v>
      </c>
      <c r="S223" s="3" t="s">
        <v>47</v>
      </c>
      <c r="T223" s="1">
        <v>2</v>
      </c>
      <c r="U223" s="3" t="s">
        <v>48</v>
      </c>
      <c r="V223" s="4">
        <v>2622</v>
      </c>
      <c r="W223" s="1">
        <v>13248</v>
      </c>
      <c r="X223" s="1">
        <v>6</v>
      </c>
      <c r="Y223" s="3" t="s">
        <v>42</v>
      </c>
      <c r="Z223" s="3" t="s">
        <v>43</v>
      </c>
      <c r="AA223" s="5">
        <v>0.21</v>
      </c>
      <c r="AB223" s="10" t="str" cm="1">
        <f t="array" ref="AB223">_xlfn.IFS(AA223 &lt;= 15%, "Low Hike[11-15%]", AA223 &lt;= 20%, "Moderate Hike[16-20%]", AA223 &lt;= 25%,"High Hike[21-25%]")</f>
        <v>High Hike[21-25%]</v>
      </c>
      <c r="AC223" s="1">
        <v>4</v>
      </c>
      <c r="AD223" s="1">
        <v>4</v>
      </c>
      <c r="AE223" s="1">
        <v>80</v>
      </c>
      <c r="AF223" s="1">
        <v>0</v>
      </c>
      <c r="AG223" s="1">
        <v>7</v>
      </c>
      <c r="AH223" s="9" t="str" cm="1">
        <f t="array" ref="AH223">_xlfn.IFS(AG223 &lt;= 5, "New[1-5]", AG223 &lt;= 10, "Early Career[6-10]", AG223 &lt;= 20, "Established[11-20]", AG223 &lt;= 30, "Veteran[21-30]", AG223 &lt;= 40, "Late Career[31-40]")</f>
        <v>Early Career[6-10]</v>
      </c>
      <c r="AI223" s="1">
        <v>3</v>
      </c>
      <c r="AJ223" s="1">
        <v>3</v>
      </c>
      <c r="AK223" s="1">
        <v>3</v>
      </c>
      <c r="AL223" s="9" t="str" cm="1">
        <f t="array" ref="AL223">_xlfn.IFS(AK223 &lt;= 5, "New[1-5]", AK223 &lt;= 10, "Early Career[6-10]", AK223 &lt;= 20, "Established[11-20]", AK223 &lt;= 30, "Veteran[21-30]", AK223 &lt;= 40, "Late Career[31-40]")</f>
        <v>New[1-5]</v>
      </c>
      <c r="AM223" s="1">
        <v>2</v>
      </c>
      <c r="AN223" s="9" t="str" cm="1">
        <f t="array" ref="AN223">_xlfn.IFS(AM223 &lt;= 3, "New to Role[1-3]", AM223 &lt;= 7, "Settled[4-7]", AM223 &lt;= 12, "Experienced[[8-12]", AM223 &lt;= 18, "Long Tenured[13-18]")</f>
        <v>New to Role[1-3]</v>
      </c>
      <c r="AO223" s="1">
        <v>1</v>
      </c>
      <c r="AP223" s="9" t="str" cm="1">
        <f t="array" ref="AP223">_xlfn.IFS(AO223 &lt;= 3, "Recently[1-3]", AO223 &lt;= 6, "Due Soon[4-6]", AO223 &lt;= 10, "Overdue[7-10]", AO223 &lt;= 15, "Long Overdue[11-15]")</f>
        <v>Recently[1-3]</v>
      </c>
      <c r="AQ223" s="9" t="str" cm="1">
        <f t="array" ref="AQ223">_xlfn.IFS(AR223 &lt;= 3, "New Relationship[1-3]", AR223 &lt;= 7, "Established Relationship[4-7]", AR223 &lt;= 12, "Long Term Relationship[8-12]", AR223 &lt;= 17, "Very Long Term Relationship[13-17]")</f>
        <v>New Relationship[1-3]</v>
      </c>
      <c r="AR223" s="1">
        <v>1</v>
      </c>
    </row>
    <row r="224" spans="1:44" x14ac:dyDescent="0.25">
      <c r="A224" s="1">
        <v>37</v>
      </c>
      <c r="B224" s="8" t="str" cm="1">
        <f t="array" ref="B224">_xlfn.IFS(A224 &lt;= 25, "[18-25]", A224 &lt;= 35, "[26-35]", A224 &lt;=45, "[36-45]", A224 &lt;= 60, "[46- 60]")</f>
        <v>[36-45]</v>
      </c>
      <c r="C224" s="3" t="s">
        <v>43</v>
      </c>
      <c r="D224">
        <f t="shared" si="3"/>
        <v>0</v>
      </c>
      <c r="E224" t="s">
        <v>44</v>
      </c>
      <c r="F224" s="1">
        <v>663</v>
      </c>
      <c r="G224" s="3" t="s">
        <v>45</v>
      </c>
      <c r="H224" s="1">
        <v>11</v>
      </c>
      <c r="I224" s="9" t="str" cm="1">
        <f t="array" ref="I224">_xlfn.IFS(H224 &lt;= 2, "[1-2] very close", H224 &lt;= 10, "[3-10] close", H224 &lt;= 20, "[11-20] moderate", H224 &lt;= 30, "[21-30] far")</f>
        <v>[11-20] moderate</v>
      </c>
      <c r="J224" s="1">
        <v>3</v>
      </c>
      <c r="K224" s="3" t="s">
        <v>49</v>
      </c>
      <c r="L224" s="1">
        <v>1</v>
      </c>
      <c r="M224" s="1">
        <v>306</v>
      </c>
      <c r="N224" s="1">
        <v>2</v>
      </c>
      <c r="O224" s="3" t="s">
        <v>46</v>
      </c>
      <c r="P224" s="1">
        <v>47</v>
      </c>
      <c r="Q224" s="1">
        <v>3</v>
      </c>
      <c r="R224" s="1">
        <v>3</v>
      </c>
      <c r="S224" s="3" t="s">
        <v>58</v>
      </c>
      <c r="T224" s="1">
        <v>4</v>
      </c>
      <c r="U224" s="3" t="s">
        <v>52</v>
      </c>
      <c r="V224" s="4">
        <v>12185</v>
      </c>
      <c r="W224" s="1">
        <v>10056</v>
      </c>
      <c r="X224" s="1">
        <v>1</v>
      </c>
      <c r="Y224" s="3" t="s">
        <v>42</v>
      </c>
      <c r="Z224" s="3" t="s">
        <v>35</v>
      </c>
      <c r="AA224" s="5">
        <v>0.14000000000000001</v>
      </c>
      <c r="AB224" s="10" t="str" cm="1">
        <f t="array" ref="AB224">_xlfn.IFS(AA224 &lt;= 15%, "Low Hike[11-15%]", AA224 &lt;= 20%, "Moderate Hike[16-20%]", AA224 &lt;= 25%,"High Hike[21-25%]")</f>
        <v>Low Hike[11-15%]</v>
      </c>
      <c r="AC224" s="1">
        <v>3</v>
      </c>
      <c r="AD224" s="1">
        <v>3</v>
      </c>
      <c r="AE224" s="1">
        <v>80</v>
      </c>
      <c r="AF224" s="1">
        <v>3</v>
      </c>
      <c r="AG224" s="1">
        <v>10</v>
      </c>
      <c r="AH224" s="9" t="str" cm="1">
        <f t="array" ref="AH224">_xlfn.IFS(AG224 &lt;= 5, "New[1-5]", AG224 &lt;= 10, "Early Career[6-10]", AG224 &lt;= 20, "Established[11-20]", AG224 &lt;= 30, "Veteran[21-30]", AG224 &lt;= 40, "Late Career[31-40]")</f>
        <v>Early Career[6-10]</v>
      </c>
      <c r="AI224" s="1">
        <v>1</v>
      </c>
      <c r="AJ224" s="1">
        <v>3</v>
      </c>
      <c r="AK224" s="1">
        <v>10</v>
      </c>
      <c r="AL224" s="9" t="str" cm="1">
        <f t="array" ref="AL224">_xlfn.IFS(AK224 &lt;= 5, "New[1-5]", AK224 &lt;= 10, "Early Career[6-10]", AK224 &lt;= 20, "Established[11-20]", AK224 &lt;= 30, "Veteran[21-30]", AK224 &lt;= 40, "Late Career[31-40]")</f>
        <v>Early Career[6-10]</v>
      </c>
      <c r="AM224" s="1">
        <v>8</v>
      </c>
      <c r="AN224" s="9" t="str" cm="1">
        <f t="array" ref="AN224">_xlfn.IFS(AM224 &lt;= 3, "New to Role[1-3]", AM224 &lt;= 7, "Settled[4-7]", AM224 &lt;= 12, "Experienced[[8-12]", AM224 &lt;= 18, "Long Tenured[13-18]")</f>
        <v>Experienced[[8-12]</v>
      </c>
      <c r="AO224" s="1">
        <v>0</v>
      </c>
      <c r="AP224" s="9" t="str" cm="1">
        <f t="array" ref="AP224">_xlfn.IFS(AO224 &lt;= 3, "Recently[1-3]", AO224 &lt;= 6, "Due Soon[4-6]", AO224 &lt;= 10, "Overdue[7-10]", AO224 &lt;= 15, "Long Overdue[11-15]")</f>
        <v>Recently[1-3]</v>
      </c>
      <c r="AQ224" s="9" t="str" cm="1">
        <f t="array" ref="AQ224">_xlfn.IFS(AR224 &lt;= 3, "New Relationship[1-3]", AR224 &lt;= 7, "Established Relationship[4-7]", AR224 &lt;= 12, "Long Term Relationship[8-12]", AR224 &lt;= 17, "Very Long Term Relationship[13-17]")</f>
        <v>Established Relationship[4-7]</v>
      </c>
      <c r="AR224" s="1">
        <v>7</v>
      </c>
    </row>
    <row r="225" spans="1:44" x14ac:dyDescent="0.25">
      <c r="A225" s="1">
        <v>38</v>
      </c>
      <c r="B225" s="8" t="str" cm="1">
        <f t="array" ref="B225">_xlfn.IFS(A225 &lt;= 25, "[18-25]", A225 &lt;= 35, "[26-35]", A225 &lt;=45, "[36-45]", A225 &lt;= 60, "[46- 60]")</f>
        <v>[36-45]</v>
      </c>
      <c r="C225" s="3" t="s">
        <v>43</v>
      </c>
      <c r="D225">
        <f t="shared" si="3"/>
        <v>0</v>
      </c>
      <c r="E225" t="s">
        <v>36</v>
      </c>
      <c r="F225" s="1">
        <v>119</v>
      </c>
      <c r="G225" s="3" t="s">
        <v>37</v>
      </c>
      <c r="H225" s="1">
        <v>3</v>
      </c>
      <c r="I225" s="9" t="str" cm="1">
        <f t="array" ref="I225">_xlfn.IFS(H225 &lt;= 2, "[1-2] very close", H225 &lt;= 10, "[3-10] close", H225 &lt;= 20, "[11-20] moderate", H225 &lt;= 30, "[21-30] far")</f>
        <v>[3-10] close</v>
      </c>
      <c r="J225" s="1">
        <v>3</v>
      </c>
      <c r="K225" s="3" t="s">
        <v>38</v>
      </c>
      <c r="L225" s="1">
        <v>1</v>
      </c>
      <c r="M225" s="1">
        <v>307</v>
      </c>
      <c r="N225" s="1">
        <v>1</v>
      </c>
      <c r="O225" s="3" t="s">
        <v>46</v>
      </c>
      <c r="P225" s="1">
        <v>76</v>
      </c>
      <c r="Q225" s="1">
        <v>3</v>
      </c>
      <c r="R225" s="1">
        <v>3</v>
      </c>
      <c r="S225" s="3" t="s">
        <v>40</v>
      </c>
      <c r="T225" s="1">
        <v>3</v>
      </c>
      <c r="U225" s="3" t="s">
        <v>52</v>
      </c>
      <c r="V225" s="4">
        <v>10609</v>
      </c>
      <c r="W225" s="1">
        <v>9647</v>
      </c>
      <c r="X225" s="1">
        <v>0</v>
      </c>
      <c r="Y225" s="3" t="s">
        <v>42</v>
      </c>
      <c r="Z225" s="3" t="s">
        <v>43</v>
      </c>
      <c r="AA225" s="5">
        <v>0.12</v>
      </c>
      <c r="AB225" s="10" t="str" cm="1">
        <f t="array" ref="AB225">_xlfn.IFS(AA225 &lt;= 15%, "Low Hike[11-15%]", AA225 &lt;= 20%, "Moderate Hike[16-20%]", AA225 &lt;= 25%,"High Hike[21-25%]")</f>
        <v>Low Hike[11-15%]</v>
      </c>
      <c r="AC225" s="1">
        <v>3</v>
      </c>
      <c r="AD225" s="1">
        <v>3</v>
      </c>
      <c r="AE225" s="1">
        <v>80</v>
      </c>
      <c r="AF225" s="1">
        <v>2</v>
      </c>
      <c r="AG225" s="1">
        <v>17</v>
      </c>
      <c r="AH225" s="9" t="str" cm="1">
        <f t="array" ref="AH225">_xlfn.IFS(AG225 &lt;= 5, "New[1-5]", AG225 &lt;= 10, "Early Career[6-10]", AG225 &lt;= 20, "Established[11-20]", AG225 &lt;= 30, "Veteran[21-30]", AG225 &lt;= 40, "Late Career[31-40]")</f>
        <v>Established[11-20]</v>
      </c>
      <c r="AI225" s="1">
        <v>6</v>
      </c>
      <c r="AJ225" s="1">
        <v>2</v>
      </c>
      <c r="AK225" s="1">
        <v>16</v>
      </c>
      <c r="AL225" s="9" t="str" cm="1">
        <f t="array" ref="AL225">_xlfn.IFS(AK225 &lt;= 5, "New[1-5]", AK225 &lt;= 10, "Early Career[6-10]", AK225 &lt;= 20, "Established[11-20]", AK225 &lt;= 30, "Veteran[21-30]", AK225 &lt;= 40, "Late Career[31-40]")</f>
        <v>Established[11-20]</v>
      </c>
      <c r="AM225" s="1">
        <v>10</v>
      </c>
      <c r="AN225" s="9" t="str" cm="1">
        <f t="array" ref="AN225">_xlfn.IFS(AM225 &lt;= 3, "New to Role[1-3]", AM225 &lt;= 7, "Settled[4-7]", AM225 &lt;= 12, "Experienced[[8-12]", AM225 &lt;= 18, "Long Tenured[13-18]")</f>
        <v>Experienced[[8-12]</v>
      </c>
      <c r="AO225" s="1">
        <v>5</v>
      </c>
      <c r="AP225" s="9" t="str" cm="1">
        <f t="array" ref="AP225">_xlfn.IFS(AO225 &lt;= 3, "Recently[1-3]", AO225 &lt;= 6, "Due Soon[4-6]", AO225 &lt;= 10, "Overdue[7-10]", AO225 &lt;= 15, "Long Overdue[11-15]")</f>
        <v>Due Soon[4-6]</v>
      </c>
      <c r="AQ225" s="9" t="str" cm="1">
        <f t="array" ref="AQ225">_xlfn.IFS(AR225 &lt;= 3, "New Relationship[1-3]", AR225 &lt;= 7, "Established Relationship[4-7]", AR225 &lt;= 12, "Long Term Relationship[8-12]", AR225 &lt;= 17, "Very Long Term Relationship[13-17]")</f>
        <v>Very Long Term Relationship[13-17]</v>
      </c>
      <c r="AR225" s="1">
        <v>13</v>
      </c>
    </row>
    <row r="226" spans="1:44" x14ac:dyDescent="0.25">
      <c r="A226" s="1">
        <v>31</v>
      </c>
      <c r="B226" s="8" t="str" cm="1">
        <f t="array" ref="B226">_xlfn.IFS(A226 &lt;= 25, "[18-25]", A226 &lt;= 35, "[26-35]", A226 &lt;=45, "[36-45]", A226 &lt;= 60, "[46- 60]")</f>
        <v>[26-35]</v>
      </c>
      <c r="C226" s="3" t="s">
        <v>43</v>
      </c>
      <c r="D226">
        <f t="shared" si="3"/>
        <v>0</v>
      </c>
      <c r="E226" t="s">
        <v>62</v>
      </c>
      <c r="F226" s="1">
        <v>979</v>
      </c>
      <c r="G226" s="3" t="s">
        <v>45</v>
      </c>
      <c r="H226" s="1">
        <v>1</v>
      </c>
      <c r="I226" s="9" t="str" cm="1">
        <f t="array" ref="I226">_xlfn.IFS(H226 &lt;= 2, "[1-2] very close", H226 &lt;= 10, "[3-10] close", H226 &lt;= 20, "[11-20] moderate", H226 &lt;= 30, "[21-30] far")</f>
        <v>[1-2] very close</v>
      </c>
      <c r="J226" s="1">
        <v>4</v>
      </c>
      <c r="K226" s="3" t="s">
        <v>51</v>
      </c>
      <c r="L226" s="1">
        <v>1</v>
      </c>
      <c r="M226" s="1">
        <v>308</v>
      </c>
      <c r="N226" s="1">
        <v>3</v>
      </c>
      <c r="O226" s="3" t="s">
        <v>46</v>
      </c>
      <c r="P226" s="1">
        <v>90</v>
      </c>
      <c r="Q226" s="1">
        <v>1</v>
      </c>
      <c r="R226" s="1">
        <v>2</v>
      </c>
      <c r="S226" s="3" t="s">
        <v>53</v>
      </c>
      <c r="T226" s="1">
        <v>3</v>
      </c>
      <c r="U226" s="3" t="s">
        <v>48</v>
      </c>
      <c r="V226" s="4">
        <v>4345</v>
      </c>
      <c r="W226" s="1">
        <v>4381</v>
      </c>
      <c r="X226" s="1">
        <v>0</v>
      </c>
      <c r="Y226" s="3" t="s">
        <v>42</v>
      </c>
      <c r="Z226" s="3" t="s">
        <v>43</v>
      </c>
      <c r="AA226" s="5">
        <v>0.12</v>
      </c>
      <c r="AB226" s="10" t="str" cm="1">
        <f t="array" ref="AB226">_xlfn.IFS(AA226 &lt;= 15%, "Low Hike[11-15%]", AA226 &lt;= 20%, "Moderate Hike[16-20%]", AA226 &lt;= 25%,"High Hike[21-25%]")</f>
        <v>Low Hike[11-15%]</v>
      </c>
      <c r="AC226" s="1">
        <v>3</v>
      </c>
      <c r="AD226" s="1">
        <v>4</v>
      </c>
      <c r="AE226" s="1">
        <v>80</v>
      </c>
      <c r="AF226" s="1">
        <v>1</v>
      </c>
      <c r="AG226" s="1">
        <v>6</v>
      </c>
      <c r="AH226" s="9" t="str" cm="1">
        <f t="array" ref="AH226">_xlfn.IFS(AG226 &lt;= 5, "New[1-5]", AG226 &lt;= 10, "Early Career[6-10]", AG226 &lt;= 20, "Established[11-20]", AG226 &lt;= 30, "Veteran[21-30]", AG226 &lt;= 40, "Late Career[31-40]")</f>
        <v>Early Career[6-10]</v>
      </c>
      <c r="AI226" s="1">
        <v>2</v>
      </c>
      <c r="AJ226" s="1">
        <v>3</v>
      </c>
      <c r="AK226" s="1">
        <v>5</v>
      </c>
      <c r="AL226" s="9" t="str" cm="1">
        <f t="array" ref="AL226">_xlfn.IFS(AK226 &lt;= 5, "New[1-5]", AK226 &lt;= 10, "Early Career[6-10]", AK226 &lt;= 20, "Established[11-20]", AK226 &lt;= 30, "Veteran[21-30]", AK226 &lt;= 40, "Late Career[31-40]")</f>
        <v>New[1-5]</v>
      </c>
      <c r="AM226" s="1">
        <v>4</v>
      </c>
      <c r="AN226" s="9" t="str" cm="1">
        <f t="array" ref="AN226">_xlfn.IFS(AM226 &lt;= 3, "New to Role[1-3]", AM226 &lt;= 7, "Settled[4-7]", AM226 &lt;= 12, "Experienced[[8-12]", AM226 &lt;= 18, "Long Tenured[13-18]")</f>
        <v>Settled[4-7]</v>
      </c>
      <c r="AO226" s="1">
        <v>1</v>
      </c>
      <c r="AP226" s="9" t="str" cm="1">
        <f t="array" ref="AP226">_xlfn.IFS(AO226 &lt;= 3, "Recently[1-3]", AO226 &lt;= 6, "Due Soon[4-6]", AO226 &lt;= 10, "Overdue[7-10]", AO226 &lt;= 15, "Long Overdue[11-15]")</f>
        <v>Recently[1-3]</v>
      </c>
      <c r="AQ226" s="9" t="str" cm="1">
        <f t="array" ref="AQ226">_xlfn.IFS(AR226 &lt;= 3, "New Relationship[1-3]", AR226 &lt;= 7, "Established Relationship[4-7]", AR226 &lt;= 12, "Long Term Relationship[8-12]", AR226 &lt;= 17, "Very Long Term Relationship[13-17]")</f>
        <v>Established Relationship[4-7]</v>
      </c>
      <c r="AR226" s="1">
        <v>4</v>
      </c>
    </row>
    <row r="227" spans="1:44" x14ac:dyDescent="0.25">
      <c r="A227" s="1">
        <v>59</v>
      </c>
      <c r="B227" s="8" t="str" cm="1">
        <f t="array" ref="B227">_xlfn.IFS(A227 &lt;= 25, "[18-25]", A227 &lt;= 35, "[26-35]", A227 &lt;=45, "[36-45]", A227 &lt;= 60, "[46- 60]")</f>
        <v>[46- 60]</v>
      </c>
      <c r="C227" s="3" t="s">
        <v>43</v>
      </c>
      <c r="D227">
        <f t="shared" si="3"/>
        <v>0</v>
      </c>
      <c r="E227" t="s">
        <v>36</v>
      </c>
      <c r="F227" s="1">
        <v>142</v>
      </c>
      <c r="G227" s="3" t="s">
        <v>45</v>
      </c>
      <c r="H227" s="1">
        <v>3</v>
      </c>
      <c r="I227" s="9" t="str" cm="1">
        <f t="array" ref="I227">_xlfn.IFS(H227 &lt;= 2, "[1-2] very close", H227 &lt;= 10, "[3-10] close", H227 &lt;= 20, "[11-20] moderate", H227 &lt;= 30, "[21-30] far")</f>
        <v>[3-10] close</v>
      </c>
      <c r="J227" s="1">
        <v>3</v>
      </c>
      <c r="K227" s="3" t="s">
        <v>38</v>
      </c>
      <c r="L227" s="1">
        <v>1</v>
      </c>
      <c r="M227" s="1">
        <v>309</v>
      </c>
      <c r="N227" s="1">
        <v>3</v>
      </c>
      <c r="O227" s="3" t="s">
        <v>46</v>
      </c>
      <c r="P227" s="1">
        <v>70</v>
      </c>
      <c r="Q227" s="1">
        <v>2</v>
      </c>
      <c r="R227" s="1">
        <v>1</v>
      </c>
      <c r="S227" s="3" t="s">
        <v>47</v>
      </c>
      <c r="T227" s="1">
        <v>4</v>
      </c>
      <c r="U227" s="3" t="s">
        <v>48</v>
      </c>
      <c r="V227" s="4">
        <v>2177</v>
      </c>
      <c r="W227" s="1">
        <v>8456</v>
      </c>
      <c r="X227" s="1">
        <v>3</v>
      </c>
      <c r="Y227" s="3" t="s">
        <v>42</v>
      </c>
      <c r="Z227" s="3" t="s">
        <v>43</v>
      </c>
      <c r="AA227" s="5">
        <v>0.17</v>
      </c>
      <c r="AB227" s="10" t="str" cm="1">
        <f t="array" ref="AB227">_xlfn.IFS(AA227 &lt;= 15%, "Low Hike[11-15%]", AA227 &lt;= 20%, "Moderate Hike[16-20%]", AA227 &lt;= 25%,"High Hike[21-25%]")</f>
        <v>Moderate Hike[16-20%]</v>
      </c>
      <c r="AC227" s="1">
        <v>3</v>
      </c>
      <c r="AD227" s="1">
        <v>1</v>
      </c>
      <c r="AE227" s="1">
        <v>80</v>
      </c>
      <c r="AF227" s="1">
        <v>1</v>
      </c>
      <c r="AG227" s="1">
        <v>7</v>
      </c>
      <c r="AH227" s="9" t="str" cm="1">
        <f t="array" ref="AH227">_xlfn.IFS(AG227 &lt;= 5, "New[1-5]", AG227 &lt;= 10, "Early Career[6-10]", AG227 &lt;= 20, "Established[11-20]", AG227 &lt;= 30, "Veteran[21-30]", AG227 &lt;= 40, "Late Career[31-40]")</f>
        <v>Early Career[6-10]</v>
      </c>
      <c r="AI227" s="1">
        <v>6</v>
      </c>
      <c r="AJ227" s="1">
        <v>3</v>
      </c>
      <c r="AK227" s="1">
        <v>1</v>
      </c>
      <c r="AL227" s="9" t="str" cm="1">
        <f t="array" ref="AL227">_xlfn.IFS(AK227 &lt;= 5, "New[1-5]", AK227 &lt;= 10, "Early Career[6-10]", AK227 &lt;= 20, "Established[11-20]", AK227 &lt;= 30, "Veteran[21-30]", AK227 &lt;= 40, "Late Career[31-40]")</f>
        <v>New[1-5]</v>
      </c>
      <c r="AM227" s="1">
        <v>0</v>
      </c>
      <c r="AN227" s="9" t="str" cm="1">
        <f t="array" ref="AN227">_xlfn.IFS(AM227 &lt;= 3, "New to Role[1-3]", AM227 &lt;= 7, "Settled[4-7]", AM227 &lt;= 12, "Experienced[[8-12]", AM227 &lt;= 18, "Long Tenured[13-18]")</f>
        <v>New to Role[1-3]</v>
      </c>
      <c r="AO227" s="1">
        <v>0</v>
      </c>
      <c r="AP227" s="9" t="str" cm="1">
        <f t="array" ref="AP227">_xlfn.IFS(AO227 &lt;= 3, "Recently[1-3]", AO227 &lt;= 6, "Due Soon[4-6]", AO227 &lt;= 10, "Overdue[7-10]", AO227 &lt;= 15, "Long Overdue[11-15]")</f>
        <v>Recently[1-3]</v>
      </c>
      <c r="AQ227" s="9" t="str" cm="1">
        <f t="array" ref="AQ227">_xlfn.IFS(AR227 &lt;= 3, "New Relationship[1-3]", AR227 &lt;= 7, "Established Relationship[4-7]", AR227 &lt;= 12, "Long Term Relationship[8-12]", AR227 &lt;= 17, "Very Long Term Relationship[13-17]")</f>
        <v>New Relationship[1-3]</v>
      </c>
      <c r="AR227" s="1">
        <v>0</v>
      </c>
    </row>
    <row r="228" spans="1:44" x14ac:dyDescent="0.25">
      <c r="A228" s="1">
        <v>37</v>
      </c>
      <c r="B228" s="8" t="str" cm="1">
        <f t="array" ref="B228">_xlfn.IFS(A228 &lt;= 25, "[18-25]", A228 &lt;= 35, "[26-35]", A228 &lt;=45, "[36-45]", A228 &lt;= 60, "[46- 60]")</f>
        <v>[36-45]</v>
      </c>
      <c r="C228" s="3" t="s">
        <v>43</v>
      </c>
      <c r="D228">
        <f t="shared" si="3"/>
        <v>0</v>
      </c>
      <c r="E228" t="s">
        <v>44</v>
      </c>
      <c r="F228" s="1">
        <v>319</v>
      </c>
      <c r="G228" s="3" t="s">
        <v>37</v>
      </c>
      <c r="H228" s="1">
        <v>4</v>
      </c>
      <c r="I228" s="9" t="str" cm="1">
        <f t="array" ref="I228">_xlfn.IFS(H228 &lt;= 2, "[1-2] very close", H228 &lt;= 10, "[3-10] close", H228 &lt;= 20, "[11-20] moderate", H228 &lt;= 30, "[21-30] far")</f>
        <v>[3-10] close</v>
      </c>
      <c r="J228" s="1">
        <v>4</v>
      </c>
      <c r="K228" s="3" t="s">
        <v>59</v>
      </c>
      <c r="L228" s="1">
        <v>1</v>
      </c>
      <c r="M228" s="1">
        <v>311</v>
      </c>
      <c r="N228" s="1">
        <v>1</v>
      </c>
      <c r="O228" s="3" t="s">
        <v>46</v>
      </c>
      <c r="P228" s="1">
        <v>41</v>
      </c>
      <c r="Q228" s="1">
        <v>3</v>
      </c>
      <c r="R228" s="1">
        <v>1</v>
      </c>
      <c r="S228" s="3" t="s">
        <v>57</v>
      </c>
      <c r="T228" s="1">
        <v>4</v>
      </c>
      <c r="U228" s="3" t="s">
        <v>52</v>
      </c>
      <c r="V228" s="4">
        <v>2793</v>
      </c>
      <c r="W228" s="1">
        <v>2539</v>
      </c>
      <c r="X228" s="1">
        <v>4</v>
      </c>
      <c r="Y228" s="3" t="s">
        <v>42</v>
      </c>
      <c r="Z228" s="3" t="s">
        <v>43</v>
      </c>
      <c r="AA228" s="5">
        <v>0.17</v>
      </c>
      <c r="AB228" s="10" t="str" cm="1">
        <f t="array" ref="AB228">_xlfn.IFS(AA228 &lt;= 15%, "Low Hike[11-15%]", AA228 &lt;= 20%, "Moderate Hike[16-20%]", AA228 &lt;= 25%,"High Hike[21-25%]")</f>
        <v>Moderate Hike[16-20%]</v>
      </c>
      <c r="AC228" s="1">
        <v>3</v>
      </c>
      <c r="AD228" s="1">
        <v>3</v>
      </c>
      <c r="AE228" s="1">
        <v>80</v>
      </c>
      <c r="AF228" s="1">
        <v>1</v>
      </c>
      <c r="AG228" s="1">
        <v>13</v>
      </c>
      <c r="AH228" s="9" t="str" cm="1">
        <f t="array" ref="AH228">_xlfn.IFS(AG228 &lt;= 5, "New[1-5]", AG228 &lt;= 10, "Early Career[6-10]", AG228 &lt;= 20, "Established[11-20]", AG228 &lt;= 30, "Veteran[21-30]", AG228 &lt;= 40, "Late Career[31-40]")</f>
        <v>Established[11-20]</v>
      </c>
      <c r="AI228" s="1">
        <v>2</v>
      </c>
      <c r="AJ228" s="1">
        <v>3</v>
      </c>
      <c r="AK228" s="1">
        <v>9</v>
      </c>
      <c r="AL228" s="9" t="str" cm="1">
        <f t="array" ref="AL228">_xlfn.IFS(AK228 &lt;= 5, "New[1-5]", AK228 &lt;= 10, "Early Career[6-10]", AK228 &lt;= 20, "Established[11-20]", AK228 &lt;= 30, "Veteran[21-30]", AK228 &lt;= 40, "Late Career[31-40]")</f>
        <v>Early Career[6-10]</v>
      </c>
      <c r="AM228" s="1">
        <v>8</v>
      </c>
      <c r="AN228" s="9" t="str" cm="1">
        <f t="array" ref="AN228">_xlfn.IFS(AM228 &lt;= 3, "New to Role[1-3]", AM228 &lt;= 7, "Settled[4-7]", AM228 &lt;= 12, "Experienced[[8-12]", AM228 &lt;= 18, "Long Tenured[13-18]")</f>
        <v>Experienced[[8-12]</v>
      </c>
      <c r="AO228" s="1">
        <v>5</v>
      </c>
      <c r="AP228" s="9" t="str" cm="1">
        <f t="array" ref="AP228">_xlfn.IFS(AO228 &lt;= 3, "Recently[1-3]", AO228 &lt;= 6, "Due Soon[4-6]", AO228 &lt;= 10, "Overdue[7-10]", AO228 &lt;= 15, "Long Overdue[11-15]")</f>
        <v>Due Soon[4-6]</v>
      </c>
      <c r="AQ228" s="9" t="str" cm="1">
        <f t="array" ref="AQ228">_xlfn.IFS(AR228 &lt;= 3, "New Relationship[1-3]", AR228 &lt;= 7, "Established Relationship[4-7]", AR228 &lt;= 12, "Long Term Relationship[8-12]", AR228 &lt;= 17, "Very Long Term Relationship[13-17]")</f>
        <v>Long Term Relationship[8-12]</v>
      </c>
      <c r="AR228" s="1">
        <v>8</v>
      </c>
    </row>
    <row r="229" spans="1:44" x14ac:dyDescent="0.25">
      <c r="A229" s="1">
        <v>29</v>
      </c>
      <c r="B229" s="8" t="str" cm="1">
        <f t="array" ref="B229">_xlfn.IFS(A229 &lt;= 25, "[18-25]", A229 &lt;= 35, "[26-35]", A229 &lt;=45, "[36-45]", A229 &lt;= 60, "[46- 60]")</f>
        <v>[26-35]</v>
      </c>
      <c r="C229" s="3" t="s">
        <v>43</v>
      </c>
      <c r="D229">
        <f t="shared" si="3"/>
        <v>0</v>
      </c>
      <c r="E229" t="s">
        <v>44</v>
      </c>
      <c r="F229" s="1">
        <v>1413</v>
      </c>
      <c r="G229" s="3" t="s">
        <v>37</v>
      </c>
      <c r="H229" s="1">
        <v>1</v>
      </c>
      <c r="I229" s="9" t="str" cm="1">
        <f t="array" ref="I229">_xlfn.IFS(H229 &lt;= 2, "[1-2] very close", H229 &lt;= 10, "[3-10] close", H229 &lt;= 20, "[11-20] moderate", H229 &lt;= 30, "[21-30] far")</f>
        <v>[1-2] very close</v>
      </c>
      <c r="J229" s="1">
        <v>1</v>
      </c>
      <c r="K229" s="3" t="s">
        <v>51</v>
      </c>
      <c r="L229" s="1">
        <v>1</v>
      </c>
      <c r="M229" s="1">
        <v>312</v>
      </c>
      <c r="N229" s="1">
        <v>2</v>
      </c>
      <c r="O229" s="3" t="s">
        <v>39</v>
      </c>
      <c r="P229" s="1">
        <v>42</v>
      </c>
      <c r="Q229" s="1">
        <v>3</v>
      </c>
      <c r="R229" s="1">
        <v>3</v>
      </c>
      <c r="S229" s="3" t="s">
        <v>40</v>
      </c>
      <c r="T229" s="1">
        <v>4</v>
      </c>
      <c r="U229" s="3" t="s">
        <v>48</v>
      </c>
      <c r="V229" s="4">
        <v>7918</v>
      </c>
      <c r="W229" s="1">
        <v>6599</v>
      </c>
      <c r="X229" s="1">
        <v>1</v>
      </c>
      <c r="Y229" s="3" t="s">
        <v>42</v>
      </c>
      <c r="Z229" s="3" t="s">
        <v>43</v>
      </c>
      <c r="AA229" s="5">
        <v>0.14000000000000001</v>
      </c>
      <c r="AB229" s="10" t="str" cm="1">
        <f t="array" ref="AB229">_xlfn.IFS(AA229 &lt;= 15%, "Low Hike[11-15%]", AA229 &lt;= 20%, "Moderate Hike[16-20%]", AA229 &lt;= 25%,"High Hike[21-25%]")</f>
        <v>Low Hike[11-15%]</v>
      </c>
      <c r="AC229" s="1">
        <v>3</v>
      </c>
      <c r="AD229" s="1">
        <v>4</v>
      </c>
      <c r="AE229" s="1">
        <v>80</v>
      </c>
      <c r="AF229" s="1">
        <v>1</v>
      </c>
      <c r="AG229" s="1">
        <v>11</v>
      </c>
      <c r="AH229" s="9" t="str" cm="1">
        <f t="array" ref="AH229">_xlfn.IFS(AG229 &lt;= 5, "New[1-5]", AG229 &lt;= 10, "Early Career[6-10]", AG229 &lt;= 20, "Established[11-20]", AG229 &lt;= 30, "Veteran[21-30]", AG229 &lt;= 40, "Late Career[31-40]")</f>
        <v>Established[11-20]</v>
      </c>
      <c r="AI229" s="1">
        <v>5</v>
      </c>
      <c r="AJ229" s="1">
        <v>3</v>
      </c>
      <c r="AK229" s="1">
        <v>11</v>
      </c>
      <c r="AL229" s="9" t="str" cm="1">
        <f t="array" ref="AL229">_xlfn.IFS(AK229 &lt;= 5, "New[1-5]", AK229 &lt;= 10, "Early Career[6-10]", AK229 &lt;= 20, "Established[11-20]", AK229 &lt;= 30, "Veteran[21-30]", AK229 &lt;= 40, "Late Career[31-40]")</f>
        <v>Established[11-20]</v>
      </c>
      <c r="AM229" s="1">
        <v>10</v>
      </c>
      <c r="AN229" s="9" t="str" cm="1">
        <f t="array" ref="AN229">_xlfn.IFS(AM229 &lt;= 3, "New to Role[1-3]", AM229 &lt;= 7, "Settled[4-7]", AM229 &lt;= 12, "Experienced[[8-12]", AM229 &lt;= 18, "Long Tenured[13-18]")</f>
        <v>Experienced[[8-12]</v>
      </c>
      <c r="AO229" s="1">
        <v>4</v>
      </c>
      <c r="AP229" s="9" t="str" cm="1">
        <f t="array" ref="AP229">_xlfn.IFS(AO229 &lt;= 3, "Recently[1-3]", AO229 &lt;= 6, "Due Soon[4-6]", AO229 &lt;= 10, "Overdue[7-10]", AO229 &lt;= 15, "Long Overdue[11-15]")</f>
        <v>Due Soon[4-6]</v>
      </c>
      <c r="AQ229" s="9" t="str" cm="1">
        <f t="array" ref="AQ229">_xlfn.IFS(AR229 &lt;= 3, "New Relationship[1-3]", AR229 &lt;= 7, "Established Relationship[4-7]", AR229 &lt;= 12, "Long Term Relationship[8-12]", AR229 &lt;= 17, "Very Long Term Relationship[13-17]")</f>
        <v>New Relationship[1-3]</v>
      </c>
      <c r="AR229" s="1">
        <v>1</v>
      </c>
    </row>
    <row r="230" spans="1:44" x14ac:dyDescent="0.25">
      <c r="A230" s="1">
        <v>35</v>
      </c>
      <c r="B230" s="8" t="str" cm="1">
        <f t="array" ref="B230">_xlfn.IFS(A230 &lt;= 25, "[18-25]", A230 &lt;= 35, "[26-35]", A230 &lt;=45, "[36-45]", A230 &lt;= 60, "[46- 60]")</f>
        <v>[26-35]</v>
      </c>
      <c r="C230" s="3" t="s">
        <v>43</v>
      </c>
      <c r="D230">
        <f t="shared" si="3"/>
        <v>0</v>
      </c>
      <c r="E230" t="s">
        <v>44</v>
      </c>
      <c r="F230" s="1">
        <v>944</v>
      </c>
      <c r="G230" s="3" t="s">
        <v>37</v>
      </c>
      <c r="H230" s="1">
        <v>1</v>
      </c>
      <c r="I230" s="9" t="str" cm="1">
        <f t="array" ref="I230">_xlfn.IFS(H230 &lt;= 2, "[1-2] very close", H230 &lt;= 10, "[3-10] close", H230 &lt;= 20, "[11-20] moderate", H230 &lt;= 30, "[21-30] far")</f>
        <v>[1-2] very close</v>
      </c>
      <c r="J230" s="1">
        <v>3</v>
      </c>
      <c r="K230" s="3" t="s">
        <v>59</v>
      </c>
      <c r="L230" s="1">
        <v>1</v>
      </c>
      <c r="M230" s="1">
        <v>314</v>
      </c>
      <c r="N230" s="1">
        <v>3</v>
      </c>
      <c r="O230" s="3" t="s">
        <v>39</v>
      </c>
      <c r="P230" s="1">
        <v>92</v>
      </c>
      <c r="Q230" s="1">
        <v>3</v>
      </c>
      <c r="R230" s="1">
        <v>3</v>
      </c>
      <c r="S230" s="3" t="s">
        <v>40</v>
      </c>
      <c r="T230" s="1">
        <v>3</v>
      </c>
      <c r="U230" s="3" t="s">
        <v>41</v>
      </c>
      <c r="V230" s="4">
        <v>8789</v>
      </c>
      <c r="W230" s="1">
        <v>9096</v>
      </c>
      <c r="X230" s="1">
        <v>1</v>
      </c>
      <c r="Y230" s="3" t="s">
        <v>42</v>
      </c>
      <c r="Z230" s="3" t="s">
        <v>43</v>
      </c>
      <c r="AA230" s="5">
        <v>0.14000000000000001</v>
      </c>
      <c r="AB230" s="10" t="str" cm="1">
        <f t="array" ref="AB230">_xlfn.IFS(AA230 &lt;= 15%, "Low Hike[11-15%]", AA230 &lt;= 20%, "Moderate Hike[16-20%]", AA230 &lt;= 25%,"High Hike[21-25%]")</f>
        <v>Low Hike[11-15%]</v>
      </c>
      <c r="AC230" s="1">
        <v>3</v>
      </c>
      <c r="AD230" s="1">
        <v>1</v>
      </c>
      <c r="AE230" s="1">
        <v>80</v>
      </c>
      <c r="AF230" s="1">
        <v>0</v>
      </c>
      <c r="AG230" s="1">
        <v>10</v>
      </c>
      <c r="AH230" s="9" t="str" cm="1">
        <f t="array" ref="AH230">_xlfn.IFS(AG230 &lt;= 5, "New[1-5]", AG230 &lt;= 10, "Early Career[6-10]", AG230 &lt;= 20, "Established[11-20]", AG230 &lt;= 30, "Veteran[21-30]", AG230 &lt;= 40, "Late Career[31-40]")</f>
        <v>Early Career[6-10]</v>
      </c>
      <c r="AI230" s="1">
        <v>3</v>
      </c>
      <c r="AJ230" s="1">
        <v>4</v>
      </c>
      <c r="AK230" s="1">
        <v>10</v>
      </c>
      <c r="AL230" s="9" t="str" cm="1">
        <f t="array" ref="AL230">_xlfn.IFS(AK230 &lt;= 5, "New[1-5]", AK230 &lt;= 10, "Early Career[6-10]", AK230 &lt;= 20, "Established[11-20]", AK230 &lt;= 30, "Veteran[21-30]", AK230 &lt;= 40, "Late Career[31-40]")</f>
        <v>Early Career[6-10]</v>
      </c>
      <c r="AM230" s="1">
        <v>7</v>
      </c>
      <c r="AN230" s="9" t="str" cm="1">
        <f t="array" ref="AN230">_xlfn.IFS(AM230 &lt;= 3, "New to Role[1-3]", AM230 &lt;= 7, "Settled[4-7]", AM230 &lt;= 12, "Experienced[[8-12]", AM230 &lt;= 18, "Long Tenured[13-18]")</f>
        <v>Settled[4-7]</v>
      </c>
      <c r="AO230" s="1">
        <v>0</v>
      </c>
      <c r="AP230" s="9" t="str" cm="1">
        <f t="array" ref="AP230">_xlfn.IFS(AO230 &lt;= 3, "Recently[1-3]", AO230 &lt;= 6, "Due Soon[4-6]", AO230 &lt;= 10, "Overdue[7-10]", AO230 &lt;= 15, "Long Overdue[11-15]")</f>
        <v>Recently[1-3]</v>
      </c>
      <c r="AQ230" s="9" t="str" cm="1">
        <f t="array" ref="AQ230">_xlfn.IFS(AR230 &lt;= 3, "New Relationship[1-3]", AR230 &lt;= 7, "Established Relationship[4-7]", AR230 &lt;= 12, "Long Term Relationship[8-12]", AR230 &lt;= 17, "Very Long Term Relationship[13-17]")</f>
        <v>Long Term Relationship[8-12]</v>
      </c>
      <c r="AR230" s="1">
        <v>8</v>
      </c>
    </row>
    <row r="231" spans="1:44" x14ac:dyDescent="0.25">
      <c r="A231" s="1">
        <v>29</v>
      </c>
      <c r="B231" s="8" t="str" cm="1">
        <f t="array" ref="B231">_xlfn.IFS(A231 &lt;= 25, "[18-25]", A231 &lt;= 35, "[26-35]", A231 &lt;=45, "[36-45]", A231 &lt;= 60, "[46- 60]")</f>
        <v>[26-35]</v>
      </c>
      <c r="C231" s="3" t="s">
        <v>35</v>
      </c>
      <c r="D231">
        <f t="shared" si="3"/>
        <v>1</v>
      </c>
      <c r="E231" t="s">
        <v>36</v>
      </c>
      <c r="F231" s="1">
        <v>896</v>
      </c>
      <c r="G231" s="3" t="s">
        <v>45</v>
      </c>
      <c r="H231" s="1">
        <v>18</v>
      </c>
      <c r="I231" s="9" t="str" cm="1">
        <f t="array" ref="I231">_xlfn.IFS(H231 &lt;= 2, "[1-2] very close", H231 &lt;= 10, "[3-10] close", H231 &lt;= 20, "[11-20] moderate", H231 &lt;= 30, "[21-30] far")</f>
        <v>[11-20] moderate</v>
      </c>
      <c r="J231" s="1">
        <v>1</v>
      </c>
      <c r="K231" s="3" t="s">
        <v>51</v>
      </c>
      <c r="L231" s="1">
        <v>1</v>
      </c>
      <c r="M231" s="1">
        <v>315</v>
      </c>
      <c r="N231" s="1">
        <v>3</v>
      </c>
      <c r="O231" s="3" t="s">
        <v>46</v>
      </c>
      <c r="P231" s="1">
        <v>86</v>
      </c>
      <c r="Q231" s="1">
        <v>2</v>
      </c>
      <c r="R231" s="1">
        <v>1</v>
      </c>
      <c r="S231" s="3" t="s">
        <v>47</v>
      </c>
      <c r="T231" s="1">
        <v>4</v>
      </c>
      <c r="U231" s="3" t="s">
        <v>41</v>
      </c>
      <c r="V231" s="4">
        <v>2389</v>
      </c>
      <c r="W231" s="1">
        <v>14961</v>
      </c>
      <c r="X231" s="1">
        <v>1</v>
      </c>
      <c r="Y231" s="3" t="s">
        <v>42</v>
      </c>
      <c r="Z231" s="3" t="s">
        <v>35</v>
      </c>
      <c r="AA231" s="5">
        <v>0.13</v>
      </c>
      <c r="AB231" s="10" t="str" cm="1">
        <f t="array" ref="AB231">_xlfn.IFS(AA231 &lt;= 15%, "Low Hike[11-15%]", AA231 &lt;= 20%, "Moderate Hike[16-20%]", AA231 &lt;= 25%,"High Hike[21-25%]")</f>
        <v>Low Hike[11-15%]</v>
      </c>
      <c r="AC231" s="1">
        <v>3</v>
      </c>
      <c r="AD231" s="1">
        <v>3</v>
      </c>
      <c r="AE231" s="1">
        <v>80</v>
      </c>
      <c r="AF231" s="1">
        <v>0</v>
      </c>
      <c r="AG231" s="1">
        <v>4</v>
      </c>
      <c r="AH231" s="9" t="str" cm="1">
        <f t="array" ref="AH231">_xlfn.IFS(AG231 &lt;= 5, "New[1-5]", AG231 &lt;= 10, "Early Career[6-10]", AG231 &lt;= 20, "Established[11-20]", AG231 &lt;= 30, "Veteran[21-30]", AG231 &lt;= 40, "Late Career[31-40]")</f>
        <v>New[1-5]</v>
      </c>
      <c r="AI231" s="1">
        <v>3</v>
      </c>
      <c r="AJ231" s="1">
        <v>2</v>
      </c>
      <c r="AK231" s="1">
        <v>4</v>
      </c>
      <c r="AL231" s="9" t="str" cm="1">
        <f t="array" ref="AL231">_xlfn.IFS(AK231 &lt;= 5, "New[1-5]", AK231 &lt;= 10, "Early Career[6-10]", AK231 &lt;= 20, "Established[11-20]", AK231 &lt;= 30, "Veteran[21-30]", AK231 &lt;= 40, "Late Career[31-40]")</f>
        <v>New[1-5]</v>
      </c>
      <c r="AM231" s="1">
        <v>3</v>
      </c>
      <c r="AN231" s="9" t="str" cm="1">
        <f t="array" ref="AN231">_xlfn.IFS(AM231 &lt;= 3, "New to Role[1-3]", AM231 &lt;= 7, "Settled[4-7]", AM231 &lt;= 12, "Experienced[[8-12]", AM231 &lt;= 18, "Long Tenured[13-18]")</f>
        <v>New to Role[1-3]</v>
      </c>
      <c r="AO231" s="1">
        <v>0</v>
      </c>
      <c r="AP231" s="9" t="str" cm="1">
        <f t="array" ref="AP231">_xlfn.IFS(AO231 &lt;= 3, "Recently[1-3]", AO231 &lt;= 6, "Due Soon[4-6]", AO231 &lt;= 10, "Overdue[7-10]", AO231 &lt;= 15, "Long Overdue[11-15]")</f>
        <v>Recently[1-3]</v>
      </c>
      <c r="AQ231" s="9" t="str" cm="1">
        <f t="array" ref="AQ231">_xlfn.IFS(AR231 &lt;= 3, "New Relationship[1-3]", AR231 &lt;= 7, "Established Relationship[4-7]", AR231 &lt;= 12, "Long Term Relationship[8-12]", AR231 &lt;= 17, "Very Long Term Relationship[13-17]")</f>
        <v>New Relationship[1-3]</v>
      </c>
      <c r="AR231" s="1">
        <v>1</v>
      </c>
    </row>
    <row r="232" spans="1:44" x14ac:dyDescent="0.25">
      <c r="A232" s="1">
        <v>52</v>
      </c>
      <c r="B232" s="8" t="str" cm="1">
        <f t="array" ref="B232">_xlfn.IFS(A232 &lt;= 25, "[18-25]", A232 &lt;= 35, "[26-35]", A232 &lt;=45, "[36-45]", A232 &lt;= 60, "[46- 60]")</f>
        <v>[46- 60]</v>
      </c>
      <c r="C232" s="3" t="s">
        <v>43</v>
      </c>
      <c r="D232">
        <f t="shared" si="3"/>
        <v>0</v>
      </c>
      <c r="E232" t="s">
        <v>36</v>
      </c>
      <c r="F232" s="1">
        <v>1323</v>
      </c>
      <c r="G232" s="3" t="s">
        <v>45</v>
      </c>
      <c r="H232" s="1">
        <v>2</v>
      </c>
      <c r="I232" s="9" t="str" cm="1">
        <f t="array" ref="I232">_xlfn.IFS(H232 &lt;= 2, "[1-2] very close", H232 &lt;= 10, "[3-10] close", H232 &lt;= 20, "[11-20] moderate", H232 &lt;= 30, "[21-30] far")</f>
        <v>[1-2] very close</v>
      </c>
      <c r="J232" s="1">
        <v>3</v>
      </c>
      <c r="K232" s="3" t="s">
        <v>38</v>
      </c>
      <c r="L232" s="1">
        <v>1</v>
      </c>
      <c r="M232" s="1">
        <v>316</v>
      </c>
      <c r="N232" s="1">
        <v>3</v>
      </c>
      <c r="O232" s="3" t="s">
        <v>39</v>
      </c>
      <c r="P232" s="1">
        <v>89</v>
      </c>
      <c r="Q232" s="1">
        <v>2</v>
      </c>
      <c r="R232" s="1">
        <v>1</v>
      </c>
      <c r="S232" s="3" t="s">
        <v>50</v>
      </c>
      <c r="T232" s="1">
        <v>4</v>
      </c>
      <c r="U232" s="3" t="s">
        <v>41</v>
      </c>
      <c r="V232" s="4">
        <v>3212</v>
      </c>
      <c r="W232" s="1">
        <v>3300</v>
      </c>
      <c r="X232" s="1">
        <v>7</v>
      </c>
      <c r="Y232" s="3" t="s">
        <v>42</v>
      </c>
      <c r="Z232" s="3" t="s">
        <v>43</v>
      </c>
      <c r="AA232" s="5">
        <v>0.15</v>
      </c>
      <c r="AB232" s="10" t="str" cm="1">
        <f t="array" ref="AB232">_xlfn.IFS(AA232 &lt;= 15%, "Low Hike[11-15%]", AA232 &lt;= 20%, "Moderate Hike[16-20%]", AA232 &lt;= 25%,"High Hike[21-25%]")</f>
        <v>Low Hike[11-15%]</v>
      </c>
      <c r="AC232" s="1">
        <v>3</v>
      </c>
      <c r="AD232" s="1">
        <v>2</v>
      </c>
      <c r="AE232" s="1">
        <v>80</v>
      </c>
      <c r="AF232" s="1">
        <v>0</v>
      </c>
      <c r="AG232" s="1">
        <v>6</v>
      </c>
      <c r="AH232" s="9" t="str" cm="1">
        <f t="array" ref="AH232">_xlfn.IFS(AG232 &lt;= 5, "New[1-5]", AG232 &lt;= 10, "Early Career[6-10]", AG232 &lt;= 20, "Established[11-20]", AG232 &lt;= 30, "Veteran[21-30]", AG232 &lt;= 40, "Late Career[31-40]")</f>
        <v>Early Career[6-10]</v>
      </c>
      <c r="AI232" s="1">
        <v>3</v>
      </c>
      <c r="AJ232" s="1">
        <v>2</v>
      </c>
      <c r="AK232" s="1">
        <v>2</v>
      </c>
      <c r="AL232" s="9" t="str" cm="1">
        <f t="array" ref="AL232">_xlfn.IFS(AK232 &lt;= 5, "New[1-5]", AK232 &lt;= 10, "Early Career[6-10]", AK232 &lt;= 20, "Established[11-20]", AK232 &lt;= 30, "Veteran[21-30]", AK232 &lt;= 40, "Late Career[31-40]")</f>
        <v>New[1-5]</v>
      </c>
      <c r="AM232" s="1">
        <v>2</v>
      </c>
      <c r="AN232" s="9" t="str" cm="1">
        <f t="array" ref="AN232">_xlfn.IFS(AM232 &lt;= 3, "New to Role[1-3]", AM232 &lt;= 7, "Settled[4-7]", AM232 &lt;= 12, "Experienced[[8-12]", AM232 &lt;= 18, "Long Tenured[13-18]")</f>
        <v>New to Role[1-3]</v>
      </c>
      <c r="AO232" s="1">
        <v>2</v>
      </c>
      <c r="AP232" s="9" t="str" cm="1">
        <f t="array" ref="AP232">_xlfn.IFS(AO232 &lt;= 3, "Recently[1-3]", AO232 &lt;= 6, "Due Soon[4-6]", AO232 &lt;= 10, "Overdue[7-10]", AO232 &lt;= 15, "Long Overdue[11-15]")</f>
        <v>Recently[1-3]</v>
      </c>
      <c r="AQ232" s="9" t="str" cm="1">
        <f t="array" ref="AQ232">_xlfn.IFS(AR232 &lt;= 3, "New Relationship[1-3]", AR232 &lt;= 7, "Established Relationship[4-7]", AR232 &lt;= 12, "Long Term Relationship[8-12]", AR232 &lt;= 17, "Very Long Term Relationship[13-17]")</f>
        <v>New Relationship[1-3]</v>
      </c>
      <c r="AR232" s="1">
        <v>2</v>
      </c>
    </row>
    <row r="233" spans="1:44" x14ac:dyDescent="0.25">
      <c r="A233" s="1">
        <v>42</v>
      </c>
      <c r="B233" s="8" t="str" cm="1">
        <f t="array" ref="B233">_xlfn.IFS(A233 &lt;= 25, "[18-25]", A233 &lt;= 35, "[26-35]", A233 &lt;=45, "[36-45]", A233 &lt;= 60, "[46- 60]")</f>
        <v>[36-45]</v>
      </c>
      <c r="C233" s="3" t="s">
        <v>43</v>
      </c>
      <c r="D233">
        <f t="shared" si="3"/>
        <v>0</v>
      </c>
      <c r="E233" t="s">
        <v>36</v>
      </c>
      <c r="F233" s="1">
        <v>532</v>
      </c>
      <c r="G233" s="3" t="s">
        <v>45</v>
      </c>
      <c r="H233" s="1">
        <v>4</v>
      </c>
      <c r="I233" s="9" t="str" cm="1">
        <f t="array" ref="I233">_xlfn.IFS(H233 &lt;= 2, "[1-2] very close", H233 &lt;= 10, "[3-10] close", H233 &lt;= 20, "[11-20] moderate", H233 &lt;= 30, "[21-30] far")</f>
        <v>[3-10] close</v>
      </c>
      <c r="J233" s="1">
        <v>2</v>
      </c>
      <c r="K233" s="3" t="s">
        <v>60</v>
      </c>
      <c r="L233" s="1">
        <v>1</v>
      </c>
      <c r="M233" s="1">
        <v>319</v>
      </c>
      <c r="N233" s="1">
        <v>3</v>
      </c>
      <c r="O233" s="3" t="s">
        <v>46</v>
      </c>
      <c r="P233" s="1">
        <v>58</v>
      </c>
      <c r="Q233" s="1">
        <v>3</v>
      </c>
      <c r="R233" s="1">
        <v>5</v>
      </c>
      <c r="S233" s="3" t="s">
        <v>56</v>
      </c>
      <c r="T233" s="1">
        <v>4</v>
      </c>
      <c r="U233" s="3" t="s">
        <v>48</v>
      </c>
      <c r="V233" s="4">
        <v>19232</v>
      </c>
      <c r="W233" s="1">
        <v>4933</v>
      </c>
      <c r="X233" s="1">
        <v>1</v>
      </c>
      <c r="Y233" s="3" t="s">
        <v>42</v>
      </c>
      <c r="Z233" s="3" t="s">
        <v>43</v>
      </c>
      <c r="AA233" s="5">
        <v>0.11</v>
      </c>
      <c r="AB233" s="10" t="str" cm="1">
        <f t="array" ref="AB233">_xlfn.IFS(AA233 &lt;= 15%, "Low Hike[11-15%]", AA233 &lt;= 20%, "Moderate Hike[16-20%]", AA233 &lt;= 25%,"High Hike[21-25%]")</f>
        <v>Low Hike[11-15%]</v>
      </c>
      <c r="AC233" s="1">
        <v>3</v>
      </c>
      <c r="AD233" s="1">
        <v>4</v>
      </c>
      <c r="AE233" s="1">
        <v>80</v>
      </c>
      <c r="AF233" s="1">
        <v>0</v>
      </c>
      <c r="AG233" s="1">
        <v>22</v>
      </c>
      <c r="AH233" s="9" t="str" cm="1">
        <f t="array" ref="AH233">_xlfn.IFS(AG233 &lt;= 5, "New[1-5]", AG233 &lt;= 10, "Early Career[6-10]", AG233 &lt;= 20, "Established[11-20]", AG233 &lt;= 30, "Veteran[21-30]", AG233 &lt;= 40, "Late Career[31-40]")</f>
        <v>Veteran[21-30]</v>
      </c>
      <c r="AI233" s="1">
        <v>3</v>
      </c>
      <c r="AJ233" s="1">
        <v>3</v>
      </c>
      <c r="AK233" s="1">
        <v>22</v>
      </c>
      <c r="AL233" s="9" t="str" cm="1">
        <f t="array" ref="AL233">_xlfn.IFS(AK233 &lt;= 5, "New[1-5]", AK233 &lt;= 10, "Early Career[6-10]", AK233 &lt;= 20, "Established[11-20]", AK233 &lt;= 30, "Veteran[21-30]", AK233 &lt;= 40, "Late Career[31-40]")</f>
        <v>Veteran[21-30]</v>
      </c>
      <c r="AM233" s="1">
        <v>17</v>
      </c>
      <c r="AN233" s="9" t="str" cm="1">
        <f t="array" ref="AN233">_xlfn.IFS(AM233 &lt;= 3, "New to Role[1-3]", AM233 &lt;= 7, "Settled[4-7]", AM233 &lt;= 12, "Experienced[[8-12]", AM233 &lt;= 18, "Long Tenured[13-18]")</f>
        <v>Long Tenured[13-18]</v>
      </c>
      <c r="AO233" s="1">
        <v>11</v>
      </c>
      <c r="AP233" s="9" t="str" cm="1">
        <f t="array" ref="AP233">_xlfn.IFS(AO233 &lt;= 3, "Recently[1-3]", AO233 &lt;= 6, "Due Soon[4-6]", AO233 &lt;= 10, "Overdue[7-10]", AO233 &lt;= 15, "Long Overdue[11-15]")</f>
        <v>Long Overdue[11-15]</v>
      </c>
      <c r="AQ233" s="9" t="str" cm="1">
        <f t="array" ref="AQ233">_xlfn.IFS(AR233 &lt;= 3, "New Relationship[1-3]", AR233 &lt;= 7, "Established Relationship[4-7]", AR233 &lt;= 12, "Long Term Relationship[8-12]", AR233 &lt;= 17, "Very Long Term Relationship[13-17]")</f>
        <v>Very Long Term Relationship[13-17]</v>
      </c>
      <c r="AR233" s="1">
        <v>15</v>
      </c>
    </row>
    <row r="234" spans="1:44" x14ac:dyDescent="0.25">
      <c r="A234" s="1">
        <v>59</v>
      </c>
      <c r="B234" s="8" t="str" cm="1">
        <f t="array" ref="B234">_xlfn.IFS(A234 &lt;= 25, "[18-25]", A234 &lt;= 35, "[26-35]", A234 &lt;=45, "[36-45]", A234 &lt;= 60, "[46- 60]")</f>
        <v>[46- 60]</v>
      </c>
      <c r="C234" s="3" t="s">
        <v>43</v>
      </c>
      <c r="D234">
        <f t="shared" si="3"/>
        <v>0</v>
      </c>
      <c r="E234" t="s">
        <v>36</v>
      </c>
      <c r="F234" s="1">
        <v>818</v>
      </c>
      <c r="G234" s="3" t="s">
        <v>61</v>
      </c>
      <c r="H234" s="1">
        <v>6</v>
      </c>
      <c r="I234" s="9" t="str" cm="1">
        <f t="array" ref="I234">_xlfn.IFS(H234 &lt;= 2, "[1-2] very close", H234 &lt;= 10, "[3-10] close", H234 &lt;= 20, "[11-20] moderate", H234 &lt;= 30, "[21-30] far")</f>
        <v>[3-10] close</v>
      </c>
      <c r="J234" s="1">
        <v>2</v>
      </c>
      <c r="K234" s="3" t="s">
        <v>51</v>
      </c>
      <c r="L234" s="1">
        <v>1</v>
      </c>
      <c r="M234" s="1">
        <v>321</v>
      </c>
      <c r="N234" s="1">
        <v>2</v>
      </c>
      <c r="O234" s="3" t="s">
        <v>46</v>
      </c>
      <c r="P234" s="1">
        <v>52</v>
      </c>
      <c r="Q234" s="1">
        <v>3</v>
      </c>
      <c r="R234" s="1">
        <v>1</v>
      </c>
      <c r="S234" s="3" t="s">
        <v>61</v>
      </c>
      <c r="T234" s="1">
        <v>3</v>
      </c>
      <c r="U234" s="3" t="s">
        <v>48</v>
      </c>
      <c r="V234" s="4">
        <v>2267</v>
      </c>
      <c r="W234" s="1">
        <v>25657</v>
      </c>
      <c r="X234" s="1">
        <v>8</v>
      </c>
      <c r="Y234" s="3" t="s">
        <v>42</v>
      </c>
      <c r="Z234" s="3" t="s">
        <v>43</v>
      </c>
      <c r="AA234" s="5">
        <v>0.17</v>
      </c>
      <c r="AB234" s="10" t="str" cm="1">
        <f t="array" ref="AB234">_xlfn.IFS(AA234 &lt;= 15%, "Low Hike[11-15%]", AA234 &lt;= 20%, "Moderate Hike[16-20%]", AA234 &lt;= 25%,"High Hike[21-25%]")</f>
        <v>Moderate Hike[16-20%]</v>
      </c>
      <c r="AC234" s="1">
        <v>3</v>
      </c>
      <c r="AD234" s="1">
        <v>4</v>
      </c>
      <c r="AE234" s="1">
        <v>80</v>
      </c>
      <c r="AF234" s="1">
        <v>0</v>
      </c>
      <c r="AG234" s="1">
        <v>7</v>
      </c>
      <c r="AH234" s="9" t="str" cm="1">
        <f t="array" ref="AH234">_xlfn.IFS(AG234 &lt;= 5, "New[1-5]", AG234 &lt;= 10, "Early Career[6-10]", AG234 &lt;= 20, "Established[11-20]", AG234 &lt;= 30, "Veteran[21-30]", AG234 &lt;= 40, "Late Career[31-40]")</f>
        <v>Early Career[6-10]</v>
      </c>
      <c r="AI234" s="1">
        <v>2</v>
      </c>
      <c r="AJ234" s="1">
        <v>2</v>
      </c>
      <c r="AK234" s="1">
        <v>2</v>
      </c>
      <c r="AL234" s="9" t="str" cm="1">
        <f t="array" ref="AL234">_xlfn.IFS(AK234 &lt;= 5, "New[1-5]", AK234 &lt;= 10, "Early Career[6-10]", AK234 &lt;= 20, "Established[11-20]", AK234 &lt;= 30, "Veteran[21-30]", AK234 &lt;= 40, "Late Career[31-40]")</f>
        <v>New[1-5]</v>
      </c>
      <c r="AM234" s="1">
        <v>2</v>
      </c>
      <c r="AN234" s="9" t="str" cm="1">
        <f t="array" ref="AN234">_xlfn.IFS(AM234 &lt;= 3, "New to Role[1-3]", AM234 &lt;= 7, "Settled[4-7]", AM234 &lt;= 12, "Experienced[[8-12]", AM234 &lt;= 18, "Long Tenured[13-18]")</f>
        <v>New to Role[1-3]</v>
      </c>
      <c r="AO234" s="1">
        <v>2</v>
      </c>
      <c r="AP234" s="9" t="str" cm="1">
        <f t="array" ref="AP234">_xlfn.IFS(AO234 &lt;= 3, "Recently[1-3]", AO234 &lt;= 6, "Due Soon[4-6]", AO234 &lt;= 10, "Overdue[7-10]", AO234 &lt;= 15, "Long Overdue[11-15]")</f>
        <v>Recently[1-3]</v>
      </c>
      <c r="AQ234" s="9" t="str" cm="1">
        <f t="array" ref="AQ234">_xlfn.IFS(AR234 &lt;= 3, "New Relationship[1-3]", AR234 &lt;= 7, "Established Relationship[4-7]", AR234 &lt;= 12, "Long Term Relationship[8-12]", AR234 &lt;= 17, "Very Long Term Relationship[13-17]")</f>
        <v>New Relationship[1-3]</v>
      </c>
      <c r="AR234" s="1">
        <v>2</v>
      </c>
    </row>
    <row r="235" spans="1:44" x14ac:dyDescent="0.25">
      <c r="A235" s="1">
        <v>50</v>
      </c>
      <c r="B235" s="8" t="str" cm="1">
        <f t="array" ref="B235">_xlfn.IFS(A235 &lt;= 25, "[18-25]", A235 &lt;= 35, "[26-35]", A235 &lt;=45, "[36-45]", A235 &lt;= 60, "[46- 60]")</f>
        <v>[46- 60]</v>
      </c>
      <c r="C235" s="3" t="s">
        <v>43</v>
      </c>
      <c r="D235">
        <f t="shared" si="3"/>
        <v>0</v>
      </c>
      <c r="E235" t="s">
        <v>36</v>
      </c>
      <c r="F235" s="1">
        <v>854</v>
      </c>
      <c r="G235" s="3" t="s">
        <v>37</v>
      </c>
      <c r="H235" s="1">
        <v>1</v>
      </c>
      <c r="I235" s="9" t="str" cm="1">
        <f t="array" ref="I235">_xlfn.IFS(H235 &lt;= 2, "[1-2] very close", H235 &lt;= 10, "[3-10] close", H235 &lt;= 20, "[11-20] moderate", H235 &lt;= 30, "[21-30] far")</f>
        <v>[1-2] very close</v>
      </c>
      <c r="J235" s="1">
        <v>4</v>
      </c>
      <c r="K235" s="3" t="s">
        <v>51</v>
      </c>
      <c r="L235" s="1">
        <v>1</v>
      </c>
      <c r="M235" s="1">
        <v>323</v>
      </c>
      <c r="N235" s="1">
        <v>4</v>
      </c>
      <c r="O235" s="3" t="s">
        <v>39</v>
      </c>
      <c r="P235" s="1">
        <v>68</v>
      </c>
      <c r="Q235" s="1">
        <v>3</v>
      </c>
      <c r="R235" s="1">
        <v>5</v>
      </c>
      <c r="S235" s="3" t="s">
        <v>56</v>
      </c>
      <c r="T235" s="1">
        <v>4</v>
      </c>
      <c r="U235" s="3" t="s">
        <v>52</v>
      </c>
      <c r="V235" s="4">
        <v>19517</v>
      </c>
      <c r="W235" s="1">
        <v>24118</v>
      </c>
      <c r="X235" s="1">
        <v>3</v>
      </c>
      <c r="Y235" s="3" t="s">
        <v>42</v>
      </c>
      <c r="Z235" s="3" t="s">
        <v>43</v>
      </c>
      <c r="AA235" s="5">
        <v>0.11</v>
      </c>
      <c r="AB235" s="10" t="str" cm="1">
        <f t="array" ref="AB235">_xlfn.IFS(AA235 &lt;= 15%, "Low Hike[11-15%]", AA235 &lt;= 20%, "Moderate Hike[16-20%]", AA235 &lt;= 25%,"High Hike[21-25%]")</f>
        <v>Low Hike[11-15%]</v>
      </c>
      <c r="AC235" s="1">
        <v>3</v>
      </c>
      <c r="AD235" s="1">
        <v>3</v>
      </c>
      <c r="AE235" s="1">
        <v>80</v>
      </c>
      <c r="AF235" s="1">
        <v>1</v>
      </c>
      <c r="AG235" s="1">
        <v>32</v>
      </c>
      <c r="AH235" s="9" t="str" cm="1">
        <f t="array" ref="AH235">_xlfn.IFS(AG235 &lt;= 5, "New[1-5]", AG235 &lt;= 10, "Early Career[6-10]", AG235 &lt;= 20, "Established[11-20]", AG235 &lt;= 30, "Veteran[21-30]", AG235 &lt;= 40, "Late Career[31-40]")</f>
        <v>Late Career[31-40]</v>
      </c>
      <c r="AI235" s="1">
        <v>3</v>
      </c>
      <c r="AJ235" s="1">
        <v>2</v>
      </c>
      <c r="AK235" s="1">
        <v>7</v>
      </c>
      <c r="AL235" s="9" t="str" cm="1">
        <f t="array" ref="AL235">_xlfn.IFS(AK235 &lt;= 5, "New[1-5]", AK235 &lt;= 10, "Early Career[6-10]", AK235 &lt;= 20, "Established[11-20]", AK235 &lt;= 30, "Veteran[21-30]", AK235 &lt;= 40, "Late Career[31-40]")</f>
        <v>Early Career[6-10]</v>
      </c>
      <c r="AM235" s="1">
        <v>0</v>
      </c>
      <c r="AN235" s="9" t="str" cm="1">
        <f t="array" ref="AN235">_xlfn.IFS(AM235 &lt;= 3, "New to Role[1-3]", AM235 &lt;= 7, "Settled[4-7]", AM235 &lt;= 12, "Experienced[[8-12]", AM235 &lt;= 18, "Long Tenured[13-18]")</f>
        <v>New to Role[1-3]</v>
      </c>
      <c r="AO235" s="1">
        <v>0</v>
      </c>
      <c r="AP235" s="9" t="str" cm="1">
        <f t="array" ref="AP235">_xlfn.IFS(AO235 &lt;= 3, "Recently[1-3]", AO235 &lt;= 6, "Due Soon[4-6]", AO235 &lt;= 10, "Overdue[7-10]", AO235 &lt;= 15, "Long Overdue[11-15]")</f>
        <v>Recently[1-3]</v>
      </c>
      <c r="AQ235" s="9" t="str" cm="1">
        <f t="array" ref="AQ235">_xlfn.IFS(AR235 &lt;= 3, "New Relationship[1-3]", AR235 &lt;= 7, "Established Relationship[4-7]", AR235 &lt;= 12, "Long Term Relationship[8-12]", AR235 &lt;= 17, "Very Long Term Relationship[13-17]")</f>
        <v>Established Relationship[4-7]</v>
      </c>
      <c r="AR235" s="1">
        <v>6</v>
      </c>
    </row>
    <row r="236" spans="1:44" x14ac:dyDescent="0.25">
      <c r="A236" s="1">
        <v>33</v>
      </c>
      <c r="B236" s="8" t="str" cm="1">
        <f t="array" ref="B236">_xlfn.IFS(A236 &lt;= 25, "[18-25]", A236 &lt;= 35, "[26-35]", A236 &lt;=45, "[36-45]", A236 &lt;= 60, "[46- 60]")</f>
        <v>[26-35]</v>
      </c>
      <c r="C236" s="3" t="s">
        <v>35</v>
      </c>
      <c r="D236">
        <f t="shared" si="3"/>
        <v>1</v>
      </c>
      <c r="E236" t="s">
        <v>36</v>
      </c>
      <c r="F236" s="1">
        <v>813</v>
      </c>
      <c r="G236" s="3" t="s">
        <v>45</v>
      </c>
      <c r="H236" s="1">
        <v>14</v>
      </c>
      <c r="I236" s="9" t="str" cm="1">
        <f t="array" ref="I236">_xlfn.IFS(H236 &lt;= 2, "[1-2] very close", H236 &lt;= 10, "[3-10] close", H236 &lt;= 20, "[11-20] moderate", H236 &lt;= 30, "[21-30] far")</f>
        <v>[11-20] moderate</v>
      </c>
      <c r="J236" s="1">
        <v>3</v>
      </c>
      <c r="K236" s="3" t="s">
        <v>51</v>
      </c>
      <c r="L236" s="1">
        <v>1</v>
      </c>
      <c r="M236" s="1">
        <v>325</v>
      </c>
      <c r="N236" s="1">
        <v>3</v>
      </c>
      <c r="O236" s="3" t="s">
        <v>46</v>
      </c>
      <c r="P236" s="1">
        <v>58</v>
      </c>
      <c r="Q236" s="1">
        <v>3</v>
      </c>
      <c r="R236" s="1">
        <v>1</v>
      </c>
      <c r="S236" s="3" t="s">
        <v>50</v>
      </c>
      <c r="T236" s="1">
        <v>4</v>
      </c>
      <c r="U236" s="3" t="s">
        <v>48</v>
      </c>
      <c r="V236" s="4">
        <v>2436</v>
      </c>
      <c r="W236" s="1">
        <v>22149</v>
      </c>
      <c r="X236" s="1">
        <v>5</v>
      </c>
      <c r="Y236" s="3" t="s">
        <v>42</v>
      </c>
      <c r="Z236" s="3" t="s">
        <v>35</v>
      </c>
      <c r="AA236" s="5">
        <v>0.13</v>
      </c>
      <c r="AB236" s="10" t="str" cm="1">
        <f t="array" ref="AB236">_xlfn.IFS(AA236 &lt;= 15%, "Low Hike[11-15%]", AA236 &lt;= 20%, "Moderate Hike[16-20%]", AA236 &lt;= 25%,"High Hike[21-25%]")</f>
        <v>Low Hike[11-15%]</v>
      </c>
      <c r="AC236" s="1">
        <v>3</v>
      </c>
      <c r="AD236" s="1">
        <v>3</v>
      </c>
      <c r="AE236" s="1">
        <v>80</v>
      </c>
      <c r="AF236" s="1">
        <v>1</v>
      </c>
      <c r="AG236" s="1">
        <v>8</v>
      </c>
      <c r="AH236" s="9" t="str" cm="1">
        <f t="array" ref="AH236">_xlfn.IFS(AG236 &lt;= 5, "New[1-5]", AG236 &lt;= 10, "Early Career[6-10]", AG236 &lt;= 20, "Established[11-20]", AG236 &lt;= 30, "Veteran[21-30]", AG236 &lt;= 40, "Late Career[31-40]")</f>
        <v>Early Career[6-10]</v>
      </c>
      <c r="AI236" s="1">
        <v>2</v>
      </c>
      <c r="AJ236" s="1">
        <v>1</v>
      </c>
      <c r="AK236" s="1">
        <v>5</v>
      </c>
      <c r="AL236" s="9" t="str" cm="1">
        <f t="array" ref="AL236">_xlfn.IFS(AK236 &lt;= 5, "New[1-5]", AK236 &lt;= 10, "Early Career[6-10]", AK236 &lt;= 20, "Established[11-20]", AK236 &lt;= 30, "Veteran[21-30]", AK236 &lt;= 40, "Late Career[31-40]")</f>
        <v>New[1-5]</v>
      </c>
      <c r="AM236" s="1">
        <v>4</v>
      </c>
      <c r="AN236" s="9" t="str" cm="1">
        <f t="array" ref="AN236">_xlfn.IFS(AM236 &lt;= 3, "New to Role[1-3]", AM236 &lt;= 7, "Settled[4-7]", AM236 &lt;= 12, "Experienced[[8-12]", AM236 &lt;= 18, "Long Tenured[13-18]")</f>
        <v>Settled[4-7]</v>
      </c>
      <c r="AO236" s="1">
        <v>0</v>
      </c>
      <c r="AP236" s="9" t="str" cm="1">
        <f t="array" ref="AP236">_xlfn.IFS(AO236 &lt;= 3, "Recently[1-3]", AO236 &lt;= 6, "Due Soon[4-6]", AO236 &lt;= 10, "Overdue[7-10]", AO236 &lt;= 15, "Long Overdue[11-15]")</f>
        <v>Recently[1-3]</v>
      </c>
      <c r="AQ236" s="9" t="str" cm="1">
        <f t="array" ref="AQ236">_xlfn.IFS(AR236 &lt;= 3, "New Relationship[1-3]", AR236 &lt;= 7, "Established Relationship[4-7]", AR236 &lt;= 12, "Long Term Relationship[8-12]", AR236 &lt;= 17, "Very Long Term Relationship[13-17]")</f>
        <v>Established Relationship[4-7]</v>
      </c>
      <c r="AR236" s="1">
        <v>4</v>
      </c>
    </row>
    <row r="237" spans="1:44" x14ac:dyDescent="0.25">
      <c r="A237" s="1">
        <v>43</v>
      </c>
      <c r="B237" s="8" t="str" cm="1">
        <f t="array" ref="B237">_xlfn.IFS(A237 &lt;= 25, "[18-25]", A237 &lt;= 35, "[26-35]", A237 &lt;=45, "[36-45]", A237 &lt;= 60, "[46- 60]")</f>
        <v>[36-45]</v>
      </c>
      <c r="C237" s="3" t="s">
        <v>43</v>
      </c>
      <c r="D237">
        <f t="shared" si="3"/>
        <v>0</v>
      </c>
      <c r="E237" t="s">
        <v>36</v>
      </c>
      <c r="F237" s="1">
        <v>1034</v>
      </c>
      <c r="G237" s="3" t="s">
        <v>37</v>
      </c>
      <c r="H237" s="1">
        <v>16</v>
      </c>
      <c r="I237" s="9" t="str" cm="1">
        <f t="array" ref="I237">_xlfn.IFS(H237 &lt;= 2, "[1-2] very close", H237 &lt;= 10, "[3-10] close", H237 &lt;= 20, "[11-20] moderate", H237 &lt;= 30, "[21-30] far")</f>
        <v>[11-20] moderate</v>
      </c>
      <c r="J237" s="1">
        <v>3</v>
      </c>
      <c r="K237" s="3" t="s">
        <v>59</v>
      </c>
      <c r="L237" s="1">
        <v>1</v>
      </c>
      <c r="M237" s="1">
        <v>327</v>
      </c>
      <c r="N237" s="1">
        <v>4</v>
      </c>
      <c r="O237" s="3" t="s">
        <v>39</v>
      </c>
      <c r="P237" s="1">
        <v>80</v>
      </c>
      <c r="Q237" s="1">
        <v>3</v>
      </c>
      <c r="R237" s="1">
        <v>4</v>
      </c>
      <c r="S237" s="3" t="s">
        <v>56</v>
      </c>
      <c r="T237" s="1">
        <v>4</v>
      </c>
      <c r="U237" s="3" t="s">
        <v>48</v>
      </c>
      <c r="V237" s="4">
        <v>16064</v>
      </c>
      <c r="W237" s="1">
        <v>7744</v>
      </c>
      <c r="X237" s="1">
        <v>5</v>
      </c>
      <c r="Y237" s="3" t="s">
        <v>42</v>
      </c>
      <c r="Z237" s="3" t="s">
        <v>35</v>
      </c>
      <c r="AA237" s="5">
        <v>0.22</v>
      </c>
      <c r="AB237" s="10" t="str" cm="1">
        <f t="array" ref="AB237">_xlfn.IFS(AA237 &lt;= 15%, "Low Hike[11-15%]", AA237 &lt;= 20%, "Moderate Hike[16-20%]", AA237 &lt;= 25%,"High Hike[21-25%]")</f>
        <v>High Hike[21-25%]</v>
      </c>
      <c r="AC237" s="1">
        <v>4</v>
      </c>
      <c r="AD237" s="1">
        <v>3</v>
      </c>
      <c r="AE237" s="1">
        <v>80</v>
      </c>
      <c r="AF237" s="1">
        <v>1</v>
      </c>
      <c r="AG237" s="1">
        <v>22</v>
      </c>
      <c r="AH237" s="9" t="str" cm="1">
        <f t="array" ref="AH237">_xlfn.IFS(AG237 &lt;= 5, "New[1-5]", AG237 &lt;= 10, "Early Career[6-10]", AG237 &lt;= 20, "Established[11-20]", AG237 &lt;= 30, "Veteran[21-30]", AG237 &lt;= 40, "Late Career[31-40]")</f>
        <v>Veteran[21-30]</v>
      </c>
      <c r="AI237" s="1">
        <v>3</v>
      </c>
      <c r="AJ237" s="1">
        <v>3</v>
      </c>
      <c r="AK237" s="1">
        <v>17</v>
      </c>
      <c r="AL237" s="9" t="str" cm="1">
        <f t="array" ref="AL237">_xlfn.IFS(AK237 &lt;= 5, "New[1-5]", AK237 &lt;= 10, "Early Career[6-10]", AK237 &lt;= 20, "Established[11-20]", AK237 &lt;= 30, "Veteran[21-30]", AK237 &lt;= 40, "Late Career[31-40]")</f>
        <v>Established[11-20]</v>
      </c>
      <c r="AM237" s="1">
        <v>13</v>
      </c>
      <c r="AN237" s="9" t="str" cm="1">
        <f t="array" ref="AN237">_xlfn.IFS(AM237 &lt;= 3, "New to Role[1-3]", AM237 &lt;= 7, "Settled[4-7]", AM237 &lt;= 12, "Experienced[[8-12]", AM237 &lt;= 18, "Long Tenured[13-18]")</f>
        <v>Long Tenured[13-18]</v>
      </c>
      <c r="AO237" s="1">
        <v>1</v>
      </c>
      <c r="AP237" s="9" t="str" cm="1">
        <f t="array" ref="AP237">_xlfn.IFS(AO237 &lt;= 3, "Recently[1-3]", AO237 &lt;= 6, "Due Soon[4-6]", AO237 &lt;= 10, "Overdue[7-10]", AO237 &lt;= 15, "Long Overdue[11-15]")</f>
        <v>Recently[1-3]</v>
      </c>
      <c r="AQ237" s="9" t="str" cm="1">
        <f t="array" ref="AQ237">_xlfn.IFS(AR237 &lt;= 3, "New Relationship[1-3]", AR237 &lt;= 7, "Established Relationship[4-7]", AR237 &lt;= 12, "Long Term Relationship[8-12]", AR237 &lt;= 17, "Very Long Term Relationship[13-17]")</f>
        <v>Long Term Relationship[8-12]</v>
      </c>
      <c r="AR237" s="1">
        <v>9</v>
      </c>
    </row>
    <row r="238" spans="1:44" x14ac:dyDescent="0.25">
      <c r="A238" s="1">
        <v>33</v>
      </c>
      <c r="B238" s="8" t="str" cm="1">
        <f t="array" ref="B238">_xlfn.IFS(A238 &lt;= 25, "[18-25]", A238 &lt;= 35, "[26-35]", A238 &lt;=45, "[36-45]", A238 &lt;= 60, "[46- 60]")</f>
        <v>[26-35]</v>
      </c>
      <c r="C238" s="3" t="s">
        <v>35</v>
      </c>
      <c r="D238">
        <f t="shared" si="3"/>
        <v>1</v>
      </c>
      <c r="E238" t="s">
        <v>36</v>
      </c>
      <c r="F238" s="1">
        <v>465</v>
      </c>
      <c r="G238" s="3" t="s">
        <v>45</v>
      </c>
      <c r="H238" s="1">
        <v>2</v>
      </c>
      <c r="I238" s="9" t="str" cm="1">
        <f t="array" ref="I238">_xlfn.IFS(H238 &lt;= 2, "[1-2] very close", H238 &lt;= 10, "[3-10] close", H238 &lt;= 20, "[11-20] moderate", H238 &lt;= 30, "[21-30] far")</f>
        <v>[1-2] very close</v>
      </c>
      <c r="J238" s="1">
        <v>2</v>
      </c>
      <c r="K238" s="3" t="s">
        <v>38</v>
      </c>
      <c r="L238" s="1">
        <v>1</v>
      </c>
      <c r="M238" s="1">
        <v>328</v>
      </c>
      <c r="N238" s="1">
        <v>1</v>
      </c>
      <c r="O238" s="3" t="s">
        <v>39</v>
      </c>
      <c r="P238" s="1">
        <v>39</v>
      </c>
      <c r="Q238" s="1">
        <v>3</v>
      </c>
      <c r="R238" s="1">
        <v>1</v>
      </c>
      <c r="S238" s="3" t="s">
        <v>50</v>
      </c>
      <c r="T238" s="1">
        <v>1</v>
      </c>
      <c r="U238" s="3" t="s">
        <v>48</v>
      </c>
      <c r="V238" s="4">
        <v>2707</v>
      </c>
      <c r="W238" s="1">
        <v>21509</v>
      </c>
      <c r="X238" s="1">
        <v>7</v>
      </c>
      <c r="Y238" s="3" t="s">
        <v>42</v>
      </c>
      <c r="Z238" s="3" t="s">
        <v>43</v>
      </c>
      <c r="AA238" s="5">
        <v>0.2</v>
      </c>
      <c r="AB238" s="10" t="str" cm="1">
        <f t="array" ref="AB238">_xlfn.IFS(AA238 &lt;= 15%, "Low Hike[11-15%]", AA238 &lt;= 20%, "Moderate Hike[16-20%]", AA238 &lt;= 25%,"High Hike[21-25%]")</f>
        <v>Moderate Hike[16-20%]</v>
      </c>
      <c r="AC238" s="1">
        <v>4</v>
      </c>
      <c r="AD238" s="1">
        <v>1</v>
      </c>
      <c r="AE238" s="1">
        <v>80</v>
      </c>
      <c r="AF238" s="1">
        <v>0</v>
      </c>
      <c r="AG238" s="1">
        <v>13</v>
      </c>
      <c r="AH238" s="9" t="str" cm="1">
        <f t="array" ref="AH238">_xlfn.IFS(AG238 &lt;= 5, "New[1-5]", AG238 &lt;= 10, "Early Career[6-10]", AG238 &lt;= 20, "Established[11-20]", AG238 &lt;= 30, "Veteran[21-30]", AG238 &lt;= 40, "Late Career[31-40]")</f>
        <v>Established[11-20]</v>
      </c>
      <c r="AI238" s="1">
        <v>3</v>
      </c>
      <c r="AJ238" s="1">
        <v>4</v>
      </c>
      <c r="AK238" s="1">
        <v>9</v>
      </c>
      <c r="AL238" s="9" t="str" cm="1">
        <f t="array" ref="AL238">_xlfn.IFS(AK238 &lt;= 5, "New[1-5]", AK238 &lt;= 10, "Early Career[6-10]", AK238 &lt;= 20, "Established[11-20]", AK238 &lt;= 30, "Veteran[21-30]", AK238 &lt;= 40, "Late Career[31-40]")</f>
        <v>Early Career[6-10]</v>
      </c>
      <c r="AM238" s="1">
        <v>7</v>
      </c>
      <c r="AN238" s="9" t="str" cm="1">
        <f t="array" ref="AN238">_xlfn.IFS(AM238 &lt;= 3, "New to Role[1-3]", AM238 &lt;= 7, "Settled[4-7]", AM238 &lt;= 12, "Experienced[[8-12]", AM238 &lt;= 18, "Long Tenured[13-18]")</f>
        <v>Settled[4-7]</v>
      </c>
      <c r="AO238" s="1">
        <v>1</v>
      </c>
      <c r="AP238" s="9" t="str" cm="1">
        <f t="array" ref="AP238">_xlfn.IFS(AO238 &lt;= 3, "Recently[1-3]", AO238 &lt;= 6, "Due Soon[4-6]", AO238 &lt;= 10, "Overdue[7-10]", AO238 &lt;= 15, "Long Overdue[11-15]")</f>
        <v>Recently[1-3]</v>
      </c>
      <c r="AQ238" s="9" t="str" cm="1">
        <f t="array" ref="AQ238">_xlfn.IFS(AR238 &lt;= 3, "New Relationship[1-3]", AR238 &lt;= 7, "Established Relationship[4-7]", AR238 &lt;= 12, "Long Term Relationship[8-12]", AR238 &lt;= 17, "Very Long Term Relationship[13-17]")</f>
        <v>Established Relationship[4-7]</v>
      </c>
      <c r="AR238" s="1">
        <v>7</v>
      </c>
    </row>
    <row r="239" spans="1:44" x14ac:dyDescent="0.25">
      <c r="A239" s="1">
        <v>52</v>
      </c>
      <c r="B239" s="8" t="str" cm="1">
        <f t="array" ref="B239">_xlfn.IFS(A239 &lt;= 25, "[18-25]", A239 &lt;= 35, "[26-35]", A239 &lt;=45, "[36-45]", A239 &lt;= 60, "[46- 60]")</f>
        <v>[46- 60]</v>
      </c>
      <c r="C239" s="3" t="s">
        <v>43</v>
      </c>
      <c r="D239">
        <f t="shared" si="3"/>
        <v>0</v>
      </c>
      <c r="E239" t="s">
        <v>62</v>
      </c>
      <c r="F239" s="1">
        <v>771</v>
      </c>
      <c r="G239" s="3" t="s">
        <v>37</v>
      </c>
      <c r="H239" s="1">
        <v>2</v>
      </c>
      <c r="I239" s="9" t="str" cm="1">
        <f t="array" ref="I239">_xlfn.IFS(H239 &lt;= 2, "[1-2] very close", H239 &lt;= 10, "[3-10] close", H239 &lt;= 20, "[11-20] moderate", H239 &lt;= 30, "[21-30] far")</f>
        <v>[1-2] very close</v>
      </c>
      <c r="J239" s="1">
        <v>4</v>
      </c>
      <c r="K239" s="3" t="s">
        <v>38</v>
      </c>
      <c r="L239" s="1">
        <v>1</v>
      </c>
      <c r="M239" s="1">
        <v>329</v>
      </c>
      <c r="N239" s="1">
        <v>1</v>
      </c>
      <c r="O239" s="3" t="s">
        <v>46</v>
      </c>
      <c r="P239" s="1">
        <v>79</v>
      </c>
      <c r="Q239" s="1">
        <v>2</v>
      </c>
      <c r="R239" s="1">
        <v>5</v>
      </c>
      <c r="S239" s="3" t="s">
        <v>56</v>
      </c>
      <c r="T239" s="1">
        <v>3</v>
      </c>
      <c r="U239" s="3" t="s">
        <v>41</v>
      </c>
      <c r="V239" s="4">
        <v>19068</v>
      </c>
      <c r="W239" s="1">
        <v>21030</v>
      </c>
      <c r="X239" s="1">
        <v>1</v>
      </c>
      <c r="Y239" s="3" t="s">
        <v>42</v>
      </c>
      <c r="Z239" s="3" t="s">
        <v>35</v>
      </c>
      <c r="AA239" s="5">
        <v>0.18</v>
      </c>
      <c r="AB239" s="10" t="str" cm="1">
        <f t="array" ref="AB239">_xlfn.IFS(AA239 &lt;= 15%, "Low Hike[11-15%]", AA239 &lt;= 20%, "Moderate Hike[16-20%]", AA239 &lt;= 25%,"High Hike[21-25%]")</f>
        <v>Moderate Hike[16-20%]</v>
      </c>
      <c r="AC239" s="1">
        <v>3</v>
      </c>
      <c r="AD239" s="1">
        <v>4</v>
      </c>
      <c r="AE239" s="1">
        <v>80</v>
      </c>
      <c r="AF239" s="1">
        <v>0</v>
      </c>
      <c r="AG239" s="1">
        <v>33</v>
      </c>
      <c r="AH239" s="9" t="str" cm="1">
        <f t="array" ref="AH239">_xlfn.IFS(AG239 &lt;= 5, "New[1-5]", AG239 &lt;= 10, "Early Career[6-10]", AG239 &lt;= 20, "Established[11-20]", AG239 &lt;= 30, "Veteran[21-30]", AG239 &lt;= 40, "Late Career[31-40]")</f>
        <v>Late Career[31-40]</v>
      </c>
      <c r="AI239" s="1">
        <v>2</v>
      </c>
      <c r="AJ239" s="1">
        <v>4</v>
      </c>
      <c r="AK239" s="1">
        <v>33</v>
      </c>
      <c r="AL239" s="9" t="str" cm="1">
        <f t="array" ref="AL239">_xlfn.IFS(AK239 &lt;= 5, "New[1-5]", AK239 &lt;= 10, "Early Career[6-10]", AK239 &lt;= 20, "Established[11-20]", AK239 &lt;= 30, "Veteran[21-30]", AK239 &lt;= 40, "Late Career[31-40]")</f>
        <v>Late Career[31-40]</v>
      </c>
      <c r="AM239" s="1">
        <v>7</v>
      </c>
      <c r="AN239" s="9" t="str" cm="1">
        <f t="array" ref="AN239">_xlfn.IFS(AM239 &lt;= 3, "New to Role[1-3]", AM239 &lt;= 7, "Settled[4-7]", AM239 &lt;= 12, "Experienced[[8-12]", AM239 &lt;= 18, "Long Tenured[13-18]")</f>
        <v>Settled[4-7]</v>
      </c>
      <c r="AO239" s="1">
        <v>15</v>
      </c>
      <c r="AP239" s="9" t="str" cm="1">
        <f t="array" ref="AP239">_xlfn.IFS(AO239 &lt;= 3, "Recently[1-3]", AO239 &lt;= 6, "Due Soon[4-6]", AO239 &lt;= 10, "Overdue[7-10]", AO239 &lt;= 15, "Long Overdue[11-15]")</f>
        <v>Long Overdue[11-15]</v>
      </c>
      <c r="AQ239" s="9" t="str" cm="1">
        <f t="array" ref="AQ239">_xlfn.IFS(AR239 &lt;= 3, "New Relationship[1-3]", AR239 &lt;= 7, "Established Relationship[4-7]", AR239 &lt;= 12, "Long Term Relationship[8-12]", AR239 &lt;= 17, "Very Long Term Relationship[13-17]")</f>
        <v>Long Term Relationship[8-12]</v>
      </c>
      <c r="AR239" s="1">
        <v>12</v>
      </c>
    </row>
    <row r="240" spans="1:44" x14ac:dyDescent="0.25">
      <c r="A240" s="1">
        <v>32</v>
      </c>
      <c r="B240" s="8" t="str" cm="1">
        <f t="array" ref="B240">_xlfn.IFS(A240 &lt;= 25, "[18-25]", A240 &lt;= 35, "[26-35]", A240 &lt;=45, "[36-45]", A240 &lt;= 60, "[46- 60]")</f>
        <v>[26-35]</v>
      </c>
      <c r="C240" s="3" t="s">
        <v>43</v>
      </c>
      <c r="D240">
        <f t="shared" si="3"/>
        <v>0</v>
      </c>
      <c r="E240" t="s">
        <v>36</v>
      </c>
      <c r="F240" s="1">
        <v>1401</v>
      </c>
      <c r="G240" s="3" t="s">
        <v>37</v>
      </c>
      <c r="H240" s="1">
        <v>4</v>
      </c>
      <c r="I240" s="9" t="str" cm="1">
        <f t="array" ref="I240">_xlfn.IFS(H240 &lt;= 2, "[1-2] very close", H240 &lt;= 10, "[3-10] close", H240 &lt;= 20, "[11-20] moderate", H240 &lt;= 30, "[21-30] far")</f>
        <v>[3-10] close</v>
      </c>
      <c r="J240" s="1">
        <v>2</v>
      </c>
      <c r="K240" s="3" t="s">
        <v>38</v>
      </c>
      <c r="L240" s="1">
        <v>1</v>
      </c>
      <c r="M240" s="1">
        <v>330</v>
      </c>
      <c r="N240" s="1">
        <v>3</v>
      </c>
      <c r="O240" s="3" t="s">
        <v>39</v>
      </c>
      <c r="P240" s="1">
        <v>56</v>
      </c>
      <c r="Q240" s="1">
        <v>3</v>
      </c>
      <c r="R240" s="1">
        <v>1</v>
      </c>
      <c r="S240" s="3" t="s">
        <v>57</v>
      </c>
      <c r="T240" s="1">
        <v>2</v>
      </c>
      <c r="U240" s="3" t="s">
        <v>48</v>
      </c>
      <c r="V240" s="4">
        <v>3931</v>
      </c>
      <c r="W240" s="1">
        <v>20990</v>
      </c>
      <c r="X240" s="1">
        <v>2</v>
      </c>
      <c r="Y240" s="3" t="s">
        <v>42</v>
      </c>
      <c r="Z240" s="3" t="s">
        <v>43</v>
      </c>
      <c r="AA240" s="5">
        <v>0.11</v>
      </c>
      <c r="AB240" s="10" t="str" cm="1">
        <f t="array" ref="AB240">_xlfn.IFS(AA240 &lt;= 15%, "Low Hike[11-15%]", AA240 &lt;= 20%, "Moderate Hike[16-20%]", AA240 &lt;= 25%,"High Hike[21-25%]")</f>
        <v>Low Hike[11-15%]</v>
      </c>
      <c r="AC240" s="1">
        <v>3</v>
      </c>
      <c r="AD240" s="1">
        <v>1</v>
      </c>
      <c r="AE240" s="1">
        <v>80</v>
      </c>
      <c r="AF240" s="1">
        <v>1</v>
      </c>
      <c r="AG240" s="1">
        <v>6</v>
      </c>
      <c r="AH240" s="9" t="str" cm="1">
        <f t="array" ref="AH240">_xlfn.IFS(AG240 &lt;= 5, "New[1-5]", AG240 &lt;= 10, "Early Career[6-10]", AG240 &lt;= 20, "Established[11-20]", AG240 &lt;= 30, "Veteran[21-30]", AG240 &lt;= 40, "Late Career[31-40]")</f>
        <v>Early Career[6-10]</v>
      </c>
      <c r="AI240" s="1">
        <v>5</v>
      </c>
      <c r="AJ240" s="1">
        <v>3</v>
      </c>
      <c r="AK240" s="1">
        <v>4</v>
      </c>
      <c r="AL240" s="9" t="str" cm="1">
        <f t="array" ref="AL240">_xlfn.IFS(AK240 &lt;= 5, "New[1-5]", AK240 &lt;= 10, "Early Career[6-10]", AK240 &lt;= 20, "Established[11-20]", AK240 &lt;= 30, "Veteran[21-30]", AK240 &lt;= 40, "Late Career[31-40]")</f>
        <v>New[1-5]</v>
      </c>
      <c r="AM240" s="1">
        <v>3</v>
      </c>
      <c r="AN240" s="9" t="str" cm="1">
        <f t="array" ref="AN240">_xlfn.IFS(AM240 &lt;= 3, "New to Role[1-3]", AM240 &lt;= 7, "Settled[4-7]", AM240 &lt;= 12, "Experienced[[8-12]", AM240 &lt;= 18, "Long Tenured[13-18]")</f>
        <v>New to Role[1-3]</v>
      </c>
      <c r="AO240" s="1">
        <v>1</v>
      </c>
      <c r="AP240" s="9" t="str" cm="1">
        <f t="array" ref="AP240">_xlfn.IFS(AO240 &lt;= 3, "Recently[1-3]", AO240 &lt;= 6, "Due Soon[4-6]", AO240 &lt;= 10, "Overdue[7-10]", AO240 &lt;= 15, "Long Overdue[11-15]")</f>
        <v>Recently[1-3]</v>
      </c>
      <c r="AQ240" s="9" t="str" cm="1">
        <f t="array" ref="AQ240">_xlfn.IFS(AR240 &lt;= 3, "New Relationship[1-3]", AR240 &lt;= 7, "Established Relationship[4-7]", AR240 &lt;= 12, "Long Term Relationship[8-12]", AR240 &lt;= 17, "Very Long Term Relationship[13-17]")</f>
        <v>New Relationship[1-3]</v>
      </c>
      <c r="AR240" s="1">
        <v>2</v>
      </c>
    </row>
    <row r="241" spans="1:44" x14ac:dyDescent="0.25">
      <c r="A241" s="1">
        <v>32</v>
      </c>
      <c r="B241" s="8" t="str" cm="1">
        <f t="array" ref="B241">_xlfn.IFS(A241 &lt;= 25, "[18-25]", A241 &lt;= 35, "[26-35]", A241 &lt;=45, "[36-45]", A241 &lt;= 60, "[46- 60]")</f>
        <v>[26-35]</v>
      </c>
      <c r="C241" s="3" t="s">
        <v>35</v>
      </c>
      <c r="D241">
        <f t="shared" si="3"/>
        <v>1</v>
      </c>
      <c r="E241" t="s">
        <v>36</v>
      </c>
      <c r="F241" s="1">
        <v>515</v>
      </c>
      <c r="G241" s="3" t="s">
        <v>45</v>
      </c>
      <c r="H241" s="1">
        <v>1</v>
      </c>
      <c r="I241" s="9" t="str" cm="1">
        <f t="array" ref="I241">_xlfn.IFS(H241 &lt;= 2, "[1-2] very close", H241 &lt;= 10, "[3-10] close", H241 &lt;= 20, "[11-20] moderate", H241 &lt;= 30, "[21-30] far")</f>
        <v>[1-2] very close</v>
      </c>
      <c r="J241" s="1">
        <v>3</v>
      </c>
      <c r="K241" s="3" t="s">
        <v>38</v>
      </c>
      <c r="L241" s="1">
        <v>1</v>
      </c>
      <c r="M241" s="1">
        <v>331</v>
      </c>
      <c r="N241" s="1">
        <v>4</v>
      </c>
      <c r="O241" s="3" t="s">
        <v>46</v>
      </c>
      <c r="P241" s="1">
        <v>62</v>
      </c>
      <c r="Q241" s="1">
        <v>2</v>
      </c>
      <c r="R241" s="1">
        <v>1</v>
      </c>
      <c r="S241" s="3" t="s">
        <v>50</v>
      </c>
      <c r="T241" s="1">
        <v>3</v>
      </c>
      <c r="U241" s="3" t="s">
        <v>41</v>
      </c>
      <c r="V241" s="4">
        <v>3730</v>
      </c>
      <c r="W241" s="1">
        <v>9571</v>
      </c>
      <c r="X241" s="1">
        <v>0</v>
      </c>
      <c r="Y241" s="3" t="s">
        <v>42</v>
      </c>
      <c r="Z241" s="3" t="s">
        <v>35</v>
      </c>
      <c r="AA241" s="5">
        <v>0.14000000000000001</v>
      </c>
      <c r="AB241" s="10" t="str" cm="1">
        <f t="array" ref="AB241">_xlfn.IFS(AA241 &lt;= 15%, "Low Hike[11-15%]", AA241 &lt;= 20%, "Moderate Hike[16-20%]", AA241 &lt;= 25%,"High Hike[21-25%]")</f>
        <v>Low Hike[11-15%]</v>
      </c>
      <c r="AC241" s="1">
        <v>3</v>
      </c>
      <c r="AD241" s="1">
        <v>4</v>
      </c>
      <c r="AE241" s="1">
        <v>80</v>
      </c>
      <c r="AF241" s="1">
        <v>0</v>
      </c>
      <c r="AG241" s="1">
        <v>4</v>
      </c>
      <c r="AH241" s="9" t="str" cm="1">
        <f t="array" ref="AH241">_xlfn.IFS(AG241 &lt;= 5, "New[1-5]", AG241 &lt;= 10, "Early Career[6-10]", AG241 &lt;= 20, "Established[11-20]", AG241 &lt;= 30, "Veteran[21-30]", AG241 &lt;= 40, "Late Career[31-40]")</f>
        <v>New[1-5]</v>
      </c>
      <c r="AI241" s="1">
        <v>2</v>
      </c>
      <c r="AJ241" s="1">
        <v>1</v>
      </c>
      <c r="AK241" s="1">
        <v>3</v>
      </c>
      <c r="AL241" s="9" t="str" cm="1">
        <f t="array" ref="AL241">_xlfn.IFS(AK241 &lt;= 5, "New[1-5]", AK241 &lt;= 10, "Early Career[6-10]", AK241 &lt;= 20, "Established[11-20]", AK241 &lt;= 30, "Veteran[21-30]", AK241 &lt;= 40, "Late Career[31-40]")</f>
        <v>New[1-5]</v>
      </c>
      <c r="AM241" s="1">
        <v>2</v>
      </c>
      <c r="AN241" s="9" t="str" cm="1">
        <f t="array" ref="AN241">_xlfn.IFS(AM241 &lt;= 3, "New to Role[1-3]", AM241 &lt;= 7, "Settled[4-7]", AM241 &lt;= 12, "Experienced[[8-12]", AM241 &lt;= 18, "Long Tenured[13-18]")</f>
        <v>New to Role[1-3]</v>
      </c>
      <c r="AO241" s="1">
        <v>1</v>
      </c>
      <c r="AP241" s="9" t="str" cm="1">
        <f t="array" ref="AP241">_xlfn.IFS(AO241 &lt;= 3, "Recently[1-3]", AO241 &lt;= 6, "Due Soon[4-6]", AO241 &lt;= 10, "Overdue[7-10]", AO241 &lt;= 15, "Long Overdue[11-15]")</f>
        <v>Recently[1-3]</v>
      </c>
      <c r="AQ241" s="9" t="str" cm="1">
        <f t="array" ref="AQ241">_xlfn.IFS(AR241 &lt;= 3, "New Relationship[1-3]", AR241 &lt;= 7, "Established Relationship[4-7]", AR241 &lt;= 12, "Long Term Relationship[8-12]", AR241 &lt;= 17, "Very Long Term Relationship[13-17]")</f>
        <v>New Relationship[1-3]</v>
      </c>
      <c r="AR241" s="1">
        <v>2</v>
      </c>
    </row>
    <row r="242" spans="1:44" x14ac:dyDescent="0.25">
      <c r="A242" s="1">
        <v>39</v>
      </c>
      <c r="B242" s="8" t="str" cm="1">
        <f t="array" ref="B242">_xlfn.IFS(A242 &lt;= 25, "[18-25]", A242 &lt;= 35, "[26-35]", A242 &lt;=45, "[36-45]", A242 &lt;= 60, "[46- 60]")</f>
        <v>[36-45]</v>
      </c>
      <c r="C242" s="3" t="s">
        <v>43</v>
      </c>
      <c r="D242">
        <f t="shared" si="3"/>
        <v>0</v>
      </c>
      <c r="E242" t="s">
        <v>36</v>
      </c>
      <c r="F242" s="1">
        <v>1431</v>
      </c>
      <c r="G242" s="3" t="s">
        <v>45</v>
      </c>
      <c r="H242" s="1">
        <v>1</v>
      </c>
      <c r="I242" s="9" t="str" cm="1">
        <f t="array" ref="I242">_xlfn.IFS(H242 &lt;= 2, "[1-2] very close", H242 &lt;= 10, "[3-10] close", H242 &lt;= 20, "[11-20] moderate", H242 &lt;= 30, "[21-30] far")</f>
        <v>[1-2] very close</v>
      </c>
      <c r="J242" s="1">
        <v>4</v>
      </c>
      <c r="K242" s="3" t="s">
        <v>51</v>
      </c>
      <c r="L242" s="1">
        <v>1</v>
      </c>
      <c r="M242" s="1">
        <v>332</v>
      </c>
      <c r="N242" s="1">
        <v>3</v>
      </c>
      <c r="O242" s="3" t="s">
        <v>39</v>
      </c>
      <c r="P242" s="1">
        <v>96</v>
      </c>
      <c r="Q242" s="1">
        <v>3</v>
      </c>
      <c r="R242" s="1">
        <v>1</v>
      </c>
      <c r="S242" s="3" t="s">
        <v>50</v>
      </c>
      <c r="T242" s="1">
        <v>3</v>
      </c>
      <c r="U242" s="3" t="s">
        <v>52</v>
      </c>
      <c r="V242" s="4">
        <v>2232</v>
      </c>
      <c r="W242" s="1">
        <v>15417</v>
      </c>
      <c r="X242" s="1">
        <v>7</v>
      </c>
      <c r="Y242" s="3" t="s">
        <v>42</v>
      </c>
      <c r="Z242" s="3" t="s">
        <v>43</v>
      </c>
      <c r="AA242" s="5">
        <v>0.14000000000000001</v>
      </c>
      <c r="AB242" s="10" t="str" cm="1">
        <f t="array" ref="AB242">_xlfn.IFS(AA242 &lt;= 15%, "Low Hike[11-15%]", AA242 &lt;= 20%, "Moderate Hike[16-20%]", AA242 &lt;= 25%,"High Hike[21-25%]")</f>
        <v>Low Hike[11-15%]</v>
      </c>
      <c r="AC242" s="1">
        <v>3</v>
      </c>
      <c r="AD242" s="1">
        <v>3</v>
      </c>
      <c r="AE242" s="1">
        <v>80</v>
      </c>
      <c r="AF242" s="1">
        <v>3</v>
      </c>
      <c r="AG242" s="1">
        <v>7</v>
      </c>
      <c r="AH242" s="9" t="str" cm="1">
        <f t="array" ref="AH242">_xlfn.IFS(AG242 &lt;= 5, "New[1-5]", AG242 &lt;= 10, "Early Career[6-10]", AG242 &lt;= 20, "Established[11-20]", AG242 &lt;= 30, "Veteran[21-30]", AG242 &lt;= 40, "Late Career[31-40]")</f>
        <v>Early Career[6-10]</v>
      </c>
      <c r="AI242" s="1">
        <v>1</v>
      </c>
      <c r="AJ242" s="1">
        <v>3</v>
      </c>
      <c r="AK242" s="1">
        <v>3</v>
      </c>
      <c r="AL242" s="9" t="str" cm="1">
        <f t="array" ref="AL242">_xlfn.IFS(AK242 &lt;= 5, "New[1-5]", AK242 &lt;= 10, "Early Career[6-10]", AK242 &lt;= 20, "Established[11-20]", AK242 &lt;= 30, "Veteran[21-30]", AK242 &lt;= 40, "Late Career[31-40]")</f>
        <v>New[1-5]</v>
      </c>
      <c r="AM242" s="1">
        <v>2</v>
      </c>
      <c r="AN242" s="9" t="str" cm="1">
        <f t="array" ref="AN242">_xlfn.IFS(AM242 &lt;= 3, "New to Role[1-3]", AM242 &lt;= 7, "Settled[4-7]", AM242 &lt;= 12, "Experienced[[8-12]", AM242 &lt;= 18, "Long Tenured[13-18]")</f>
        <v>New to Role[1-3]</v>
      </c>
      <c r="AO242" s="1">
        <v>1</v>
      </c>
      <c r="AP242" s="9" t="str" cm="1">
        <f t="array" ref="AP242">_xlfn.IFS(AO242 &lt;= 3, "Recently[1-3]", AO242 &lt;= 6, "Due Soon[4-6]", AO242 &lt;= 10, "Overdue[7-10]", AO242 &lt;= 15, "Long Overdue[11-15]")</f>
        <v>Recently[1-3]</v>
      </c>
      <c r="AQ242" s="9" t="str" cm="1">
        <f t="array" ref="AQ242">_xlfn.IFS(AR242 &lt;= 3, "New Relationship[1-3]", AR242 &lt;= 7, "Established Relationship[4-7]", AR242 &lt;= 12, "Long Term Relationship[8-12]", AR242 &lt;= 17, "Very Long Term Relationship[13-17]")</f>
        <v>New Relationship[1-3]</v>
      </c>
      <c r="AR242" s="1">
        <v>2</v>
      </c>
    </row>
    <row r="243" spans="1:44" x14ac:dyDescent="0.25">
      <c r="A243" s="1">
        <v>32</v>
      </c>
      <c r="B243" s="8" t="str" cm="1">
        <f t="array" ref="B243">_xlfn.IFS(A243 &lt;= 25, "[18-25]", A243 &lt;= 35, "[26-35]", A243 &lt;=45, "[36-45]", A243 &lt;= 60, "[46- 60]")</f>
        <v>[26-35]</v>
      </c>
      <c r="C243" s="3" t="s">
        <v>43</v>
      </c>
      <c r="D243">
        <f t="shared" si="3"/>
        <v>0</v>
      </c>
      <c r="E243" t="s">
        <v>62</v>
      </c>
      <c r="F243" s="1">
        <v>976</v>
      </c>
      <c r="G243" s="3" t="s">
        <v>37</v>
      </c>
      <c r="H243" s="1">
        <v>26</v>
      </c>
      <c r="I243" s="9" t="str" cm="1">
        <f t="array" ref="I243">_xlfn.IFS(H243 &lt;= 2, "[1-2] very close", H243 &lt;= 10, "[3-10] close", H243 &lt;= 20, "[11-20] moderate", H243 &lt;= 30, "[21-30] far")</f>
        <v>[21-30] far</v>
      </c>
      <c r="J243" s="1">
        <v>4</v>
      </c>
      <c r="K243" s="3" t="s">
        <v>59</v>
      </c>
      <c r="L243" s="1">
        <v>1</v>
      </c>
      <c r="M243" s="1">
        <v>333</v>
      </c>
      <c r="N243" s="1">
        <v>3</v>
      </c>
      <c r="O243" s="3" t="s">
        <v>46</v>
      </c>
      <c r="P243" s="1">
        <v>100</v>
      </c>
      <c r="Q243" s="1">
        <v>3</v>
      </c>
      <c r="R243" s="1">
        <v>2</v>
      </c>
      <c r="S243" s="3" t="s">
        <v>40</v>
      </c>
      <c r="T243" s="1">
        <v>4</v>
      </c>
      <c r="U243" s="3" t="s">
        <v>48</v>
      </c>
      <c r="V243" s="4">
        <v>4465</v>
      </c>
      <c r="W243" s="1">
        <v>12069</v>
      </c>
      <c r="X243" s="1">
        <v>0</v>
      </c>
      <c r="Y243" s="3" t="s">
        <v>42</v>
      </c>
      <c r="Z243" s="3" t="s">
        <v>43</v>
      </c>
      <c r="AA243" s="5">
        <v>0.18</v>
      </c>
      <c r="AB243" s="10" t="str" cm="1">
        <f t="array" ref="AB243">_xlfn.IFS(AA243 &lt;= 15%, "Low Hike[11-15%]", AA243 &lt;= 20%, "Moderate Hike[16-20%]", AA243 &lt;= 25%,"High Hike[21-25%]")</f>
        <v>Moderate Hike[16-20%]</v>
      </c>
      <c r="AC243" s="1">
        <v>3</v>
      </c>
      <c r="AD243" s="1">
        <v>1</v>
      </c>
      <c r="AE243" s="1">
        <v>80</v>
      </c>
      <c r="AF243" s="1">
        <v>0</v>
      </c>
      <c r="AG243" s="1">
        <v>4</v>
      </c>
      <c r="AH243" s="9" t="str" cm="1">
        <f t="array" ref="AH243">_xlfn.IFS(AG243 &lt;= 5, "New[1-5]", AG243 &lt;= 10, "Early Career[6-10]", AG243 &lt;= 20, "Established[11-20]", AG243 &lt;= 30, "Veteran[21-30]", AG243 &lt;= 40, "Late Career[31-40]")</f>
        <v>New[1-5]</v>
      </c>
      <c r="AI243" s="1">
        <v>2</v>
      </c>
      <c r="AJ243" s="1">
        <v>3</v>
      </c>
      <c r="AK243" s="1">
        <v>3</v>
      </c>
      <c r="AL243" s="9" t="str" cm="1">
        <f t="array" ref="AL243">_xlfn.IFS(AK243 &lt;= 5, "New[1-5]", AK243 &lt;= 10, "Early Career[6-10]", AK243 &lt;= 20, "Established[11-20]", AK243 &lt;= 30, "Veteran[21-30]", AK243 &lt;= 40, "Late Career[31-40]")</f>
        <v>New[1-5]</v>
      </c>
      <c r="AM243" s="1">
        <v>2</v>
      </c>
      <c r="AN243" s="9" t="str" cm="1">
        <f t="array" ref="AN243">_xlfn.IFS(AM243 &lt;= 3, "New to Role[1-3]", AM243 &lt;= 7, "Settled[4-7]", AM243 &lt;= 12, "Experienced[[8-12]", AM243 &lt;= 18, "Long Tenured[13-18]")</f>
        <v>New to Role[1-3]</v>
      </c>
      <c r="AO243" s="1">
        <v>2</v>
      </c>
      <c r="AP243" s="9" t="str" cm="1">
        <f t="array" ref="AP243">_xlfn.IFS(AO243 &lt;= 3, "Recently[1-3]", AO243 &lt;= 6, "Due Soon[4-6]", AO243 &lt;= 10, "Overdue[7-10]", AO243 &lt;= 15, "Long Overdue[11-15]")</f>
        <v>Recently[1-3]</v>
      </c>
      <c r="AQ243" s="9" t="str" cm="1">
        <f t="array" ref="AQ243">_xlfn.IFS(AR243 &lt;= 3, "New Relationship[1-3]", AR243 &lt;= 7, "Established Relationship[4-7]", AR243 &lt;= 12, "Long Term Relationship[8-12]", AR243 &lt;= 17, "Very Long Term Relationship[13-17]")</f>
        <v>New Relationship[1-3]</v>
      </c>
      <c r="AR243" s="1">
        <v>2</v>
      </c>
    </row>
    <row r="244" spans="1:44" x14ac:dyDescent="0.25">
      <c r="A244" s="1">
        <v>41</v>
      </c>
      <c r="B244" s="8" t="str" cm="1">
        <f t="array" ref="B244">_xlfn.IFS(A244 &lt;= 25, "[18-25]", A244 &lt;= 35, "[26-35]", A244 &lt;=45, "[36-45]", A244 &lt;= 60, "[46- 60]")</f>
        <v>[36-45]</v>
      </c>
      <c r="C244" s="3" t="s">
        <v>43</v>
      </c>
      <c r="D244">
        <f t="shared" si="3"/>
        <v>0</v>
      </c>
      <c r="E244" t="s">
        <v>36</v>
      </c>
      <c r="F244" s="1">
        <v>1411</v>
      </c>
      <c r="G244" s="3" t="s">
        <v>45</v>
      </c>
      <c r="H244" s="1">
        <v>19</v>
      </c>
      <c r="I244" s="9" t="str" cm="1">
        <f t="array" ref="I244">_xlfn.IFS(H244 &lt;= 2, "[1-2] very close", H244 &lt;= 10, "[3-10] close", H244 &lt;= 20, "[11-20] moderate", H244 &lt;= 30, "[21-30] far")</f>
        <v>[11-20] moderate</v>
      </c>
      <c r="J244" s="1">
        <v>2</v>
      </c>
      <c r="K244" s="3" t="s">
        <v>38</v>
      </c>
      <c r="L244" s="1">
        <v>1</v>
      </c>
      <c r="M244" s="1">
        <v>334</v>
      </c>
      <c r="N244" s="1">
        <v>3</v>
      </c>
      <c r="O244" s="3" t="s">
        <v>46</v>
      </c>
      <c r="P244" s="1">
        <v>36</v>
      </c>
      <c r="Q244" s="1">
        <v>3</v>
      </c>
      <c r="R244" s="1">
        <v>2</v>
      </c>
      <c r="S244" s="3" t="s">
        <v>47</v>
      </c>
      <c r="T244" s="1">
        <v>1</v>
      </c>
      <c r="U244" s="3" t="s">
        <v>52</v>
      </c>
      <c r="V244" s="4">
        <v>3072</v>
      </c>
      <c r="W244" s="1">
        <v>19877</v>
      </c>
      <c r="X244" s="1">
        <v>2</v>
      </c>
      <c r="Y244" s="3" t="s">
        <v>42</v>
      </c>
      <c r="Z244" s="3" t="s">
        <v>43</v>
      </c>
      <c r="AA244" s="5">
        <v>0.16</v>
      </c>
      <c r="AB244" s="10" t="str" cm="1">
        <f t="array" ref="AB244">_xlfn.IFS(AA244 &lt;= 15%, "Low Hike[11-15%]", AA244 &lt;= 20%, "Moderate Hike[16-20%]", AA244 &lt;= 25%,"High Hike[21-25%]")</f>
        <v>Moderate Hike[16-20%]</v>
      </c>
      <c r="AC244" s="1">
        <v>3</v>
      </c>
      <c r="AD244" s="1">
        <v>1</v>
      </c>
      <c r="AE244" s="1">
        <v>80</v>
      </c>
      <c r="AF244" s="1">
        <v>2</v>
      </c>
      <c r="AG244" s="1">
        <v>17</v>
      </c>
      <c r="AH244" s="9" t="str" cm="1">
        <f t="array" ref="AH244">_xlfn.IFS(AG244 &lt;= 5, "New[1-5]", AG244 &lt;= 10, "Early Career[6-10]", AG244 &lt;= 20, "Established[11-20]", AG244 &lt;= 30, "Veteran[21-30]", AG244 &lt;= 40, "Late Career[31-40]")</f>
        <v>Established[11-20]</v>
      </c>
      <c r="AI244" s="1">
        <v>2</v>
      </c>
      <c r="AJ244" s="1">
        <v>2</v>
      </c>
      <c r="AK244" s="1">
        <v>1</v>
      </c>
      <c r="AL244" s="9" t="str" cm="1">
        <f t="array" ref="AL244">_xlfn.IFS(AK244 &lt;= 5, "New[1-5]", AK244 &lt;= 10, "Early Career[6-10]", AK244 &lt;= 20, "Established[11-20]", AK244 &lt;= 30, "Veteran[21-30]", AK244 &lt;= 40, "Late Career[31-40]")</f>
        <v>New[1-5]</v>
      </c>
      <c r="AM244" s="1">
        <v>0</v>
      </c>
      <c r="AN244" s="9" t="str" cm="1">
        <f t="array" ref="AN244">_xlfn.IFS(AM244 &lt;= 3, "New to Role[1-3]", AM244 &lt;= 7, "Settled[4-7]", AM244 &lt;= 12, "Experienced[[8-12]", AM244 &lt;= 18, "Long Tenured[13-18]")</f>
        <v>New to Role[1-3]</v>
      </c>
      <c r="AO244" s="1">
        <v>0</v>
      </c>
      <c r="AP244" s="9" t="str" cm="1">
        <f t="array" ref="AP244">_xlfn.IFS(AO244 &lt;= 3, "Recently[1-3]", AO244 &lt;= 6, "Due Soon[4-6]", AO244 &lt;= 10, "Overdue[7-10]", AO244 &lt;= 15, "Long Overdue[11-15]")</f>
        <v>Recently[1-3]</v>
      </c>
      <c r="AQ244" s="9" t="str" cm="1">
        <f t="array" ref="AQ244">_xlfn.IFS(AR244 &lt;= 3, "New Relationship[1-3]", AR244 &lt;= 7, "Established Relationship[4-7]", AR244 &lt;= 12, "Long Term Relationship[8-12]", AR244 &lt;= 17, "Very Long Term Relationship[13-17]")</f>
        <v>New Relationship[1-3]</v>
      </c>
      <c r="AR244" s="1">
        <v>0</v>
      </c>
    </row>
    <row r="245" spans="1:44" x14ac:dyDescent="0.25">
      <c r="A245" s="1">
        <v>40</v>
      </c>
      <c r="B245" s="8" t="str" cm="1">
        <f t="array" ref="B245">_xlfn.IFS(A245 &lt;= 25, "[18-25]", A245 &lt;= 35, "[26-35]", A245 &lt;=45, "[36-45]", A245 &lt;= 60, "[46- 60]")</f>
        <v>[36-45]</v>
      </c>
      <c r="C245" s="3" t="s">
        <v>43</v>
      </c>
      <c r="D245">
        <f t="shared" si="3"/>
        <v>0</v>
      </c>
      <c r="E245" t="s">
        <v>36</v>
      </c>
      <c r="F245" s="1">
        <v>1300</v>
      </c>
      <c r="G245" s="3" t="s">
        <v>45</v>
      </c>
      <c r="H245" s="1">
        <v>24</v>
      </c>
      <c r="I245" s="9" t="str" cm="1">
        <f t="array" ref="I245">_xlfn.IFS(H245 &lt;= 2, "[1-2] very close", H245 &lt;= 10, "[3-10] close", H245 &lt;= 20, "[11-20] moderate", H245 &lt;= 30, "[21-30] far")</f>
        <v>[21-30] far</v>
      </c>
      <c r="J245" s="1">
        <v>2</v>
      </c>
      <c r="K245" s="3" t="s">
        <v>60</v>
      </c>
      <c r="L245" s="1">
        <v>1</v>
      </c>
      <c r="M245" s="1">
        <v>335</v>
      </c>
      <c r="N245" s="1">
        <v>1</v>
      </c>
      <c r="O245" s="3" t="s">
        <v>46</v>
      </c>
      <c r="P245" s="1">
        <v>62</v>
      </c>
      <c r="Q245" s="1">
        <v>3</v>
      </c>
      <c r="R245" s="1">
        <v>2</v>
      </c>
      <c r="S245" s="3" t="s">
        <v>47</v>
      </c>
      <c r="T245" s="1">
        <v>4</v>
      </c>
      <c r="U245" s="3" t="s">
        <v>52</v>
      </c>
      <c r="V245" s="4">
        <v>3319</v>
      </c>
      <c r="W245" s="1">
        <v>24447</v>
      </c>
      <c r="X245" s="1">
        <v>1</v>
      </c>
      <c r="Y245" s="3" t="s">
        <v>42</v>
      </c>
      <c r="Z245" s="3" t="s">
        <v>43</v>
      </c>
      <c r="AA245" s="5">
        <v>0.17</v>
      </c>
      <c r="AB245" s="10" t="str" cm="1">
        <f t="array" ref="AB245">_xlfn.IFS(AA245 &lt;= 15%, "Low Hike[11-15%]", AA245 &lt;= 20%, "Moderate Hike[16-20%]", AA245 &lt;= 25%,"High Hike[21-25%]")</f>
        <v>Moderate Hike[16-20%]</v>
      </c>
      <c r="AC245" s="1">
        <v>3</v>
      </c>
      <c r="AD245" s="1">
        <v>1</v>
      </c>
      <c r="AE245" s="1">
        <v>80</v>
      </c>
      <c r="AF245" s="1">
        <v>2</v>
      </c>
      <c r="AG245" s="1">
        <v>9</v>
      </c>
      <c r="AH245" s="9" t="str" cm="1">
        <f t="array" ref="AH245">_xlfn.IFS(AG245 &lt;= 5, "New[1-5]", AG245 &lt;= 10, "Early Career[6-10]", AG245 &lt;= 20, "Established[11-20]", AG245 &lt;= 30, "Veteran[21-30]", AG245 &lt;= 40, "Late Career[31-40]")</f>
        <v>Early Career[6-10]</v>
      </c>
      <c r="AI245" s="1">
        <v>3</v>
      </c>
      <c r="AJ245" s="1">
        <v>3</v>
      </c>
      <c r="AK245" s="1">
        <v>9</v>
      </c>
      <c r="AL245" s="9" t="str" cm="1">
        <f t="array" ref="AL245">_xlfn.IFS(AK245 &lt;= 5, "New[1-5]", AK245 &lt;= 10, "Early Career[6-10]", AK245 &lt;= 20, "Established[11-20]", AK245 &lt;= 30, "Veteran[21-30]", AK245 &lt;= 40, "Late Career[31-40]")</f>
        <v>Early Career[6-10]</v>
      </c>
      <c r="AM245" s="1">
        <v>8</v>
      </c>
      <c r="AN245" s="9" t="str" cm="1">
        <f t="array" ref="AN245">_xlfn.IFS(AM245 &lt;= 3, "New to Role[1-3]", AM245 &lt;= 7, "Settled[4-7]", AM245 &lt;= 12, "Experienced[[8-12]", AM245 &lt;= 18, "Long Tenured[13-18]")</f>
        <v>Experienced[[8-12]</v>
      </c>
      <c r="AO245" s="1">
        <v>4</v>
      </c>
      <c r="AP245" s="9" t="str" cm="1">
        <f t="array" ref="AP245">_xlfn.IFS(AO245 &lt;= 3, "Recently[1-3]", AO245 &lt;= 6, "Due Soon[4-6]", AO245 &lt;= 10, "Overdue[7-10]", AO245 &lt;= 15, "Long Overdue[11-15]")</f>
        <v>Due Soon[4-6]</v>
      </c>
      <c r="AQ245" s="9" t="str" cm="1">
        <f t="array" ref="AQ245">_xlfn.IFS(AR245 &lt;= 3, "New Relationship[1-3]", AR245 &lt;= 7, "Established Relationship[4-7]", AR245 &lt;= 12, "Long Term Relationship[8-12]", AR245 &lt;= 17, "Very Long Term Relationship[13-17]")</f>
        <v>Established Relationship[4-7]</v>
      </c>
      <c r="AR245" s="1">
        <v>7</v>
      </c>
    </row>
    <row r="246" spans="1:44" x14ac:dyDescent="0.25">
      <c r="A246" s="1">
        <v>45</v>
      </c>
      <c r="B246" s="8" t="str" cm="1">
        <f t="array" ref="B246">_xlfn.IFS(A246 &lt;= 25, "[18-25]", A246 &lt;= 35, "[26-35]", A246 &lt;=45, "[36-45]", A246 &lt;= 60, "[46- 60]")</f>
        <v>[36-45]</v>
      </c>
      <c r="C246" s="3" t="s">
        <v>43</v>
      </c>
      <c r="D246">
        <f t="shared" si="3"/>
        <v>0</v>
      </c>
      <c r="E246" t="s">
        <v>36</v>
      </c>
      <c r="F246" s="1">
        <v>252</v>
      </c>
      <c r="G246" s="3" t="s">
        <v>45</v>
      </c>
      <c r="H246" s="1">
        <v>1</v>
      </c>
      <c r="I246" s="9" t="str" cm="1">
        <f t="array" ref="I246">_xlfn.IFS(H246 &lt;= 2, "[1-2] very close", H246 &lt;= 10, "[3-10] close", H246 &lt;= 20, "[11-20] moderate", H246 &lt;= 30, "[21-30] far")</f>
        <v>[1-2] very close</v>
      </c>
      <c r="J246" s="1">
        <v>3</v>
      </c>
      <c r="K246" s="3" t="s">
        <v>49</v>
      </c>
      <c r="L246" s="1">
        <v>1</v>
      </c>
      <c r="M246" s="1">
        <v>336</v>
      </c>
      <c r="N246" s="1">
        <v>3</v>
      </c>
      <c r="O246" s="3" t="s">
        <v>46</v>
      </c>
      <c r="P246" s="1">
        <v>70</v>
      </c>
      <c r="Q246" s="1">
        <v>4</v>
      </c>
      <c r="R246" s="1">
        <v>5</v>
      </c>
      <c r="S246" s="3" t="s">
        <v>56</v>
      </c>
      <c r="T246" s="1">
        <v>4</v>
      </c>
      <c r="U246" s="3" t="s">
        <v>48</v>
      </c>
      <c r="V246" s="4">
        <v>19202</v>
      </c>
      <c r="W246" s="1">
        <v>15970</v>
      </c>
      <c r="X246" s="1">
        <v>0</v>
      </c>
      <c r="Y246" s="3" t="s">
        <v>42</v>
      </c>
      <c r="Z246" s="3" t="s">
        <v>43</v>
      </c>
      <c r="AA246" s="5">
        <v>0.11</v>
      </c>
      <c r="AB246" s="10" t="str" cm="1">
        <f t="array" ref="AB246">_xlfn.IFS(AA246 &lt;= 15%, "Low Hike[11-15%]", AA246 &lt;= 20%, "Moderate Hike[16-20%]", AA246 &lt;= 25%,"High Hike[21-25%]")</f>
        <v>Low Hike[11-15%]</v>
      </c>
      <c r="AC246" s="1">
        <v>3</v>
      </c>
      <c r="AD246" s="1">
        <v>3</v>
      </c>
      <c r="AE246" s="1">
        <v>80</v>
      </c>
      <c r="AF246" s="1">
        <v>1</v>
      </c>
      <c r="AG246" s="1">
        <v>25</v>
      </c>
      <c r="AH246" s="9" t="str" cm="1">
        <f t="array" ref="AH246">_xlfn.IFS(AG246 &lt;= 5, "New[1-5]", AG246 &lt;= 10, "Early Career[6-10]", AG246 &lt;= 20, "Established[11-20]", AG246 &lt;= 30, "Veteran[21-30]", AG246 &lt;= 40, "Late Career[31-40]")</f>
        <v>Veteran[21-30]</v>
      </c>
      <c r="AI246" s="1">
        <v>2</v>
      </c>
      <c r="AJ246" s="1">
        <v>3</v>
      </c>
      <c r="AK246" s="1">
        <v>24</v>
      </c>
      <c r="AL246" s="9" t="str" cm="1">
        <f t="array" ref="AL246">_xlfn.IFS(AK246 &lt;= 5, "New[1-5]", AK246 &lt;= 10, "Early Career[6-10]", AK246 &lt;= 20, "Established[11-20]", AK246 &lt;= 30, "Veteran[21-30]", AK246 &lt;= 40, "Late Career[31-40]")</f>
        <v>Veteran[21-30]</v>
      </c>
      <c r="AM246" s="1">
        <v>0</v>
      </c>
      <c r="AN246" s="9" t="str" cm="1">
        <f t="array" ref="AN246">_xlfn.IFS(AM246 &lt;= 3, "New to Role[1-3]", AM246 &lt;= 7, "Settled[4-7]", AM246 &lt;= 12, "Experienced[[8-12]", AM246 &lt;= 18, "Long Tenured[13-18]")</f>
        <v>New to Role[1-3]</v>
      </c>
      <c r="AO246" s="1">
        <v>1</v>
      </c>
      <c r="AP246" s="9" t="str" cm="1">
        <f t="array" ref="AP246">_xlfn.IFS(AO246 &lt;= 3, "Recently[1-3]", AO246 &lt;= 6, "Due Soon[4-6]", AO246 &lt;= 10, "Overdue[7-10]", AO246 &lt;= 15, "Long Overdue[11-15]")</f>
        <v>Recently[1-3]</v>
      </c>
      <c r="AQ246" s="9" t="str" cm="1">
        <f t="array" ref="AQ246">_xlfn.IFS(AR246 &lt;= 3, "New Relationship[1-3]", AR246 &lt;= 7, "Established Relationship[4-7]", AR246 &lt;= 12, "Long Term Relationship[8-12]", AR246 &lt;= 17, "Very Long Term Relationship[13-17]")</f>
        <v>Established Relationship[4-7]</v>
      </c>
      <c r="AR246" s="1">
        <v>7</v>
      </c>
    </row>
    <row r="247" spans="1:44" x14ac:dyDescent="0.25">
      <c r="A247" s="1">
        <v>31</v>
      </c>
      <c r="B247" s="8" t="str" cm="1">
        <f t="array" ref="B247">_xlfn.IFS(A247 &lt;= 25, "[18-25]", A247 &lt;= 35, "[26-35]", A247 &lt;=45, "[36-45]", A247 &lt;= 60, "[46- 60]")</f>
        <v>[26-35]</v>
      </c>
      <c r="C247" s="3" t="s">
        <v>43</v>
      </c>
      <c r="D247">
        <f t="shared" si="3"/>
        <v>0</v>
      </c>
      <c r="E247" t="s">
        <v>44</v>
      </c>
      <c r="F247" s="1">
        <v>1327</v>
      </c>
      <c r="G247" s="3" t="s">
        <v>45</v>
      </c>
      <c r="H247" s="1">
        <v>3</v>
      </c>
      <c r="I247" s="9" t="str" cm="1">
        <f t="array" ref="I247">_xlfn.IFS(H247 &lt;= 2, "[1-2] very close", H247 &lt;= 10, "[3-10] close", H247 &lt;= 20, "[11-20] moderate", H247 &lt;= 30, "[21-30] far")</f>
        <v>[3-10] close</v>
      </c>
      <c r="J247" s="1">
        <v>4</v>
      </c>
      <c r="K247" s="3" t="s">
        <v>51</v>
      </c>
      <c r="L247" s="1">
        <v>1</v>
      </c>
      <c r="M247" s="1">
        <v>337</v>
      </c>
      <c r="N247" s="1">
        <v>2</v>
      </c>
      <c r="O247" s="3" t="s">
        <v>46</v>
      </c>
      <c r="P247" s="1">
        <v>73</v>
      </c>
      <c r="Q247" s="1">
        <v>3</v>
      </c>
      <c r="R247" s="1">
        <v>3</v>
      </c>
      <c r="S247" s="3" t="s">
        <v>58</v>
      </c>
      <c r="T247" s="1">
        <v>3</v>
      </c>
      <c r="U247" s="3" t="s">
        <v>52</v>
      </c>
      <c r="V247" s="4">
        <v>13675</v>
      </c>
      <c r="W247" s="1">
        <v>13523</v>
      </c>
      <c r="X247" s="1">
        <v>9</v>
      </c>
      <c r="Y247" s="3" t="s">
        <v>42</v>
      </c>
      <c r="Z247" s="3" t="s">
        <v>43</v>
      </c>
      <c r="AA247" s="5">
        <v>0.12</v>
      </c>
      <c r="AB247" s="10" t="str" cm="1">
        <f t="array" ref="AB247">_xlfn.IFS(AA247 &lt;= 15%, "Low Hike[11-15%]", AA247 &lt;= 20%, "Moderate Hike[16-20%]", AA247 &lt;= 25%,"High Hike[21-25%]")</f>
        <v>Low Hike[11-15%]</v>
      </c>
      <c r="AC247" s="1">
        <v>3</v>
      </c>
      <c r="AD247" s="1">
        <v>1</v>
      </c>
      <c r="AE247" s="1">
        <v>80</v>
      </c>
      <c r="AF247" s="1">
        <v>1</v>
      </c>
      <c r="AG247" s="1">
        <v>9</v>
      </c>
      <c r="AH247" s="9" t="str" cm="1">
        <f t="array" ref="AH247">_xlfn.IFS(AG247 &lt;= 5, "New[1-5]", AG247 &lt;= 10, "Early Career[6-10]", AG247 &lt;= 20, "Established[11-20]", AG247 &lt;= 30, "Veteran[21-30]", AG247 &lt;= 40, "Late Career[31-40]")</f>
        <v>Early Career[6-10]</v>
      </c>
      <c r="AI247" s="1">
        <v>3</v>
      </c>
      <c r="AJ247" s="1">
        <v>3</v>
      </c>
      <c r="AK247" s="1">
        <v>2</v>
      </c>
      <c r="AL247" s="9" t="str" cm="1">
        <f t="array" ref="AL247">_xlfn.IFS(AK247 &lt;= 5, "New[1-5]", AK247 &lt;= 10, "Early Career[6-10]", AK247 &lt;= 20, "Established[11-20]", AK247 &lt;= 30, "Veteran[21-30]", AK247 &lt;= 40, "Late Career[31-40]")</f>
        <v>New[1-5]</v>
      </c>
      <c r="AM247" s="1">
        <v>2</v>
      </c>
      <c r="AN247" s="9" t="str" cm="1">
        <f t="array" ref="AN247">_xlfn.IFS(AM247 &lt;= 3, "New to Role[1-3]", AM247 &lt;= 7, "Settled[4-7]", AM247 &lt;= 12, "Experienced[[8-12]", AM247 &lt;= 18, "Long Tenured[13-18]")</f>
        <v>New to Role[1-3]</v>
      </c>
      <c r="AO247" s="1">
        <v>2</v>
      </c>
      <c r="AP247" s="9" t="str" cm="1">
        <f t="array" ref="AP247">_xlfn.IFS(AO247 &lt;= 3, "Recently[1-3]", AO247 &lt;= 6, "Due Soon[4-6]", AO247 &lt;= 10, "Overdue[7-10]", AO247 &lt;= 15, "Long Overdue[11-15]")</f>
        <v>Recently[1-3]</v>
      </c>
      <c r="AQ247" s="9" t="str" cm="1">
        <f t="array" ref="AQ247">_xlfn.IFS(AR247 &lt;= 3, "New Relationship[1-3]", AR247 &lt;= 7, "Established Relationship[4-7]", AR247 &lt;= 12, "Long Term Relationship[8-12]", AR247 &lt;= 17, "Very Long Term Relationship[13-17]")</f>
        <v>New Relationship[1-3]</v>
      </c>
      <c r="AR247" s="1">
        <v>2</v>
      </c>
    </row>
    <row r="248" spans="1:44" x14ac:dyDescent="0.25">
      <c r="A248" s="1">
        <v>33</v>
      </c>
      <c r="B248" s="8" t="str" cm="1">
        <f t="array" ref="B248">_xlfn.IFS(A248 &lt;= 25, "[18-25]", A248 &lt;= 35, "[26-35]", A248 &lt;=45, "[36-45]", A248 &lt;= 60, "[46- 60]")</f>
        <v>[26-35]</v>
      </c>
      <c r="C248" s="3" t="s">
        <v>43</v>
      </c>
      <c r="D248">
        <f t="shared" si="3"/>
        <v>0</v>
      </c>
      <c r="E248" t="s">
        <v>36</v>
      </c>
      <c r="F248" s="1">
        <v>832</v>
      </c>
      <c r="G248" s="3" t="s">
        <v>45</v>
      </c>
      <c r="H248" s="1">
        <v>5</v>
      </c>
      <c r="I248" s="9" t="str" cm="1">
        <f t="array" ref="I248">_xlfn.IFS(H248 &lt;= 2, "[1-2] very close", H248 &lt;= 10, "[3-10] close", H248 &lt;= 20, "[11-20] moderate", H248 &lt;= 30, "[21-30] far")</f>
        <v>[3-10] close</v>
      </c>
      <c r="J248" s="1">
        <v>4</v>
      </c>
      <c r="K248" s="3" t="s">
        <v>38</v>
      </c>
      <c r="L248" s="1">
        <v>1</v>
      </c>
      <c r="M248" s="1">
        <v>338</v>
      </c>
      <c r="N248" s="1">
        <v>3</v>
      </c>
      <c r="O248" s="3" t="s">
        <v>39</v>
      </c>
      <c r="P248" s="1">
        <v>63</v>
      </c>
      <c r="Q248" s="1">
        <v>2</v>
      </c>
      <c r="R248" s="1">
        <v>1</v>
      </c>
      <c r="S248" s="3" t="s">
        <v>47</v>
      </c>
      <c r="T248" s="1">
        <v>4</v>
      </c>
      <c r="U248" s="3" t="s">
        <v>48</v>
      </c>
      <c r="V248" s="4">
        <v>2911</v>
      </c>
      <c r="W248" s="1">
        <v>14776</v>
      </c>
      <c r="X248" s="1">
        <v>1</v>
      </c>
      <c r="Y248" s="3" t="s">
        <v>42</v>
      </c>
      <c r="Z248" s="3" t="s">
        <v>43</v>
      </c>
      <c r="AA248" s="5">
        <v>0.13</v>
      </c>
      <c r="AB248" s="10" t="str" cm="1">
        <f t="array" ref="AB248">_xlfn.IFS(AA248 &lt;= 15%, "Low Hike[11-15%]", AA248 &lt;= 20%, "Moderate Hike[16-20%]", AA248 &lt;= 25%,"High Hike[21-25%]")</f>
        <v>Low Hike[11-15%]</v>
      </c>
      <c r="AC248" s="1">
        <v>3</v>
      </c>
      <c r="AD248" s="1">
        <v>3</v>
      </c>
      <c r="AE248" s="1">
        <v>80</v>
      </c>
      <c r="AF248" s="1">
        <v>1</v>
      </c>
      <c r="AG248" s="1">
        <v>2</v>
      </c>
      <c r="AH248" s="9" t="str" cm="1">
        <f t="array" ref="AH248">_xlfn.IFS(AG248 &lt;= 5, "New[1-5]", AG248 &lt;= 10, "Early Career[6-10]", AG248 &lt;= 20, "Established[11-20]", AG248 &lt;= 30, "Veteran[21-30]", AG248 &lt;= 40, "Late Career[31-40]")</f>
        <v>New[1-5]</v>
      </c>
      <c r="AI248" s="1">
        <v>2</v>
      </c>
      <c r="AJ248" s="1">
        <v>2</v>
      </c>
      <c r="AK248" s="1">
        <v>2</v>
      </c>
      <c r="AL248" s="9" t="str" cm="1">
        <f t="array" ref="AL248">_xlfn.IFS(AK248 &lt;= 5, "New[1-5]", AK248 &lt;= 10, "Early Career[6-10]", AK248 &lt;= 20, "Established[11-20]", AK248 &lt;= 30, "Veteran[21-30]", AK248 &lt;= 40, "Late Career[31-40]")</f>
        <v>New[1-5]</v>
      </c>
      <c r="AM248" s="1">
        <v>2</v>
      </c>
      <c r="AN248" s="9" t="str" cm="1">
        <f t="array" ref="AN248">_xlfn.IFS(AM248 &lt;= 3, "New to Role[1-3]", AM248 &lt;= 7, "Settled[4-7]", AM248 &lt;= 12, "Experienced[[8-12]", AM248 &lt;= 18, "Long Tenured[13-18]")</f>
        <v>New to Role[1-3]</v>
      </c>
      <c r="AO248" s="1">
        <v>0</v>
      </c>
      <c r="AP248" s="9" t="str" cm="1">
        <f t="array" ref="AP248">_xlfn.IFS(AO248 &lt;= 3, "Recently[1-3]", AO248 &lt;= 6, "Due Soon[4-6]", AO248 &lt;= 10, "Overdue[7-10]", AO248 &lt;= 15, "Long Overdue[11-15]")</f>
        <v>Recently[1-3]</v>
      </c>
      <c r="AQ248" s="9" t="str" cm="1">
        <f t="array" ref="AQ248">_xlfn.IFS(AR248 &lt;= 3, "New Relationship[1-3]", AR248 &lt;= 7, "Established Relationship[4-7]", AR248 &lt;= 12, "Long Term Relationship[8-12]", AR248 &lt;= 17, "Very Long Term Relationship[13-17]")</f>
        <v>New Relationship[1-3]</v>
      </c>
      <c r="AR248" s="1">
        <v>2</v>
      </c>
    </row>
    <row r="249" spans="1:44" x14ac:dyDescent="0.25">
      <c r="A249" s="1">
        <v>34</v>
      </c>
      <c r="B249" s="8" t="str" cm="1">
        <f t="array" ref="B249">_xlfn.IFS(A249 &lt;= 25, "[18-25]", A249 &lt;= 35, "[26-35]", A249 &lt;=45, "[36-45]", A249 &lt;= 60, "[46- 60]")</f>
        <v>[26-35]</v>
      </c>
      <c r="C249" s="3" t="s">
        <v>43</v>
      </c>
      <c r="D249">
        <f t="shared" si="3"/>
        <v>0</v>
      </c>
      <c r="E249" t="s">
        <v>36</v>
      </c>
      <c r="F249" s="1">
        <v>470</v>
      </c>
      <c r="G249" s="3" t="s">
        <v>45</v>
      </c>
      <c r="H249" s="1">
        <v>2</v>
      </c>
      <c r="I249" s="9" t="str" cm="1">
        <f t="array" ref="I249">_xlfn.IFS(H249 &lt;= 2, "[1-2] very close", H249 &lt;= 10, "[3-10] close", H249 &lt;= 20, "[11-20] moderate", H249 &lt;= 30, "[21-30] far")</f>
        <v>[1-2] very close</v>
      </c>
      <c r="J249" s="1">
        <v>4</v>
      </c>
      <c r="K249" s="3" t="s">
        <v>38</v>
      </c>
      <c r="L249" s="1">
        <v>1</v>
      </c>
      <c r="M249" s="1">
        <v>339</v>
      </c>
      <c r="N249" s="1">
        <v>4</v>
      </c>
      <c r="O249" s="3" t="s">
        <v>46</v>
      </c>
      <c r="P249" s="1">
        <v>84</v>
      </c>
      <c r="Q249" s="1">
        <v>2</v>
      </c>
      <c r="R249" s="1">
        <v>2</v>
      </c>
      <c r="S249" s="3" t="s">
        <v>53</v>
      </c>
      <c r="T249" s="1">
        <v>1</v>
      </c>
      <c r="U249" s="3" t="s">
        <v>48</v>
      </c>
      <c r="V249" s="4">
        <v>5957</v>
      </c>
      <c r="W249" s="1">
        <v>23687</v>
      </c>
      <c r="X249" s="1">
        <v>6</v>
      </c>
      <c r="Y249" s="3" t="s">
        <v>42</v>
      </c>
      <c r="Z249" s="3" t="s">
        <v>43</v>
      </c>
      <c r="AA249" s="5">
        <v>0.13</v>
      </c>
      <c r="AB249" s="10" t="str" cm="1">
        <f t="array" ref="AB249">_xlfn.IFS(AA249 &lt;= 15%, "Low Hike[11-15%]", AA249 &lt;= 20%, "Moderate Hike[16-20%]", AA249 &lt;= 25%,"High Hike[21-25%]")</f>
        <v>Low Hike[11-15%]</v>
      </c>
      <c r="AC249" s="1">
        <v>3</v>
      </c>
      <c r="AD249" s="1">
        <v>2</v>
      </c>
      <c r="AE249" s="1">
        <v>80</v>
      </c>
      <c r="AF249" s="1">
        <v>1</v>
      </c>
      <c r="AG249" s="1">
        <v>13</v>
      </c>
      <c r="AH249" s="9" t="str" cm="1">
        <f t="array" ref="AH249">_xlfn.IFS(AG249 &lt;= 5, "New[1-5]", AG249 &lt;= 10, "Early Career[6-10]", AG249 &lt;= 20, "Established[11-20]", AG249 &lt;= 30, "Veteran[21-30]", AG249 &lt;= 40, "Late Career[31-40]")</f>
        <v>Established[11-20]</v>
      </c>
      <c r="AI249" s="1">
        <v>3</v>
      </c>
      <c r="AJ249" s="1">
        <v>3</v>
      </c>
      <c r="AK249" s="1">
        <v>11</v>
      </c>
      <c r="AL249" s="9" t="str" cm="1">
        <f t="array" ref="AL249">_xlfn.IFS(AK249 &lt;= 5, "New[1-5]", AK249 &lt;= 10, "Early Career[6-10]", AK249 &lt;= 20, "Established[11-20]", AK249 &lt;= 30, "Veteran[21-30]", AK249 &lt;= 40, "Late Career[31-40]")</f>
        <v>Established[11-20]</v>
      </c>
      <c r="AM249" s="1">
        <v>9</v>
      </c>
      <c r="AN249" s="9" t="str" cm="1">
        <f t="array" ref="AN249">_xlfn.IFS(AM249 &lt;= 3, "New to Role[1-3]", AM249 &lt;= 7, "Settled[4-7]", AM249 &lt;= 12, "Experienced[[8-12]", AM249 &lt;= 18, "Long Tenured[13-18]")</f>
        <v>Experienced[[8-12]</v>
      </c>
      <c r="AO249" s="1">
        <v>5</v>
      </c>
      <c r="AP249" s="9" t="str" cm="1">
        <f t="array" ref="AP249">_xlfn.IFS(AO249 &lt;= 3, "Recently[1-3]", AO249 &lt;= 6, "Due Soon[4-6]", AO249 &lt;= 10, "Overdue[7-10]", AO249 &lt;= 15, "Long Overdue[11-15]")</f>
        <v>Due Soon[4-6]</v>
      </c>
      <c r="AQ249" s="9" t="str" cm="1">
        <f t="array" ref="AQ249">_xlfn.IFS(AR249 &lt;= 3, "New Relationship[1-3]", AR249 &lt;= 7, "Established Relationship[4-7]", AR249 &lt;= 12, "Long Term Relationship[8-12]", AR249 &lt;= 17, "Very Long Term Relationship[13-17]")</f>
        <v>Long Term Relationship[8-12]</v>
      </c>
      <c r="AR249" s="1">
        <v>9</v>
      </c>
    </row>
    <row r="250" spans="1:44" x14ac:dyDescent="0.25">
      <c r="A250" s="1">
        <v>37</v>
      </c>
      <c r="B250" s="8" t="str" cm="1">
        <f t="array" ref="B250">_xlfn.IFS(A250 &lt;= 25, "[18-25]", A250 &lt;= 35, "[26-35]", A250 &lt;=45, "[36-45]", A250 &lt;= 60, "[46- 60]")</f>
        <v>[36-45]</v>
      </c>
      <c r="C250" s="3" t="s">
        <v>43</v>
      </c>
      <c r="D250">
        <f t="shared" si="3"/>
        <v>0</v>
      </c>
      <c r="E250" t="s">
        <v>36</v>
      </c>
      <c r="F250" s="1">
        <v>1017</v>
      </c>
      <c r="G250" s="3" t="s">
        <v>45</v>
      </c>
      <c r="H250" s="1">
        <v>1</v>
      </c>
      <c r="I250" s="9" t="str" cm="1">
        <f t="array" ref="I250">_xlfn.IFS(H250 &lt;= 2, "[1-2] very close", H250 &lt;= 10, "[3-10] close", H250 &lt;= 20, "[11-20] moderate", H250 &lt;= 30, "[21-30] far")</f>
        <v>[1-2] very close</v>
      </c>
      <c r="J250" s="1">
        <v>2</v>
      </c>
      <c r="K250" s="3" t="s">
        <v>51</v>
      </c>
      <c r="L250" s="1">
        <v>1</v>
      </c>
      <c r="M250" s="1">
        <v>340</v>
      </c>
      <c r="N250" s="1">
        <v>3</v>
      </c>
      <c r="O250" s="3" t="s">
        <v>39</v>
      </c>
      <c r="P250" s="1">
        <v>83</v>
      </c>
      <c r="Q250" s="1">
        <v>2</v>
      </c>
      <c r="R250" s="1">
        <v>1</v>
      </c>
      <c r="S250" s="3" t="s">
        <v>47</v>
      </c>
      <c r="T250" s="1">
        <v>1</v>
      </c>
      <c r="U250" s="3" t="s">
        <v>48</v>
      </c>
      <c r="V250" s="4">
        <v>3920</v>
      </c>
      <c r="W250" s="1">
        <v>18697</v>
      </c>
      <c r="X250" s="1">
        <v>2</v>
      </c>
      <c r="Y250" s="3" t="s">
        <v>42</v>
      </c>
      <c r="Z250" s="3" t="s">
        <v>43</v>
      </c>
      <c r="AA250" s="5">
        <v>0.14000000000000001</v>
      </c>
      <c r="AB250" s="10" t="str" cm="1">
        <f t="array" ref="AB250">_xlfn.IFS(AA250 &lt;= 15%, "Low Hike[11-15%]", AA250 &lt;= 20%, "Moderate Hike[16-20%]", AA250 &lt;= 25%,"High Hike[21-25%]")</f>
        <v>Low Hike[11-15%]</v>
      </c>
      <c r="AC250" s="1">
        <v>3</v>
      </c>
      <c r="AD250" s="1">
        <v>1</v>
      </c>
      <c r="AE250" s="1">
        <v>80</v>
      </c>
      <c r="AF250" s="1">
        <v>1</v>
      </c>
      <c r="AG250" s="1">
        <v>17</v>
      </c>
      <c r="AH250" s="9" t="str" cm="1">
        <f t="array" ref="AH250">_xlfn.IFS(AG250 &lt;= 5, "New[1-5]", AG250 &lt;= 10, "Early Career[6-10]", AG250 &lt;= 20, "Established[11-20]", AG250 &lt;= 30, "Veteran[21-30]", AG250 &lt;= 40, "Late Career[31-40]")</f>
        <v>Established[11-20]</v>
      </c>
      <c r="AI250" s="1">
        <v>2</v>
      </c>
      <c r="AJ250" s="1">
        <v>2</v>
      </c>
      <c r="AK250" s="1">
        <v>3</v>
      </c>
      <c r="AL250" s="9" t="str" cm="1">
        <f t="array" ref="AL250">_xlfn.IFS(AK250 &lt;= 5, "New[1-5]", AK250 &lt;= 10, "Early Career[6-10]", AK250 &lt;= 20, "Established[11-20]", AK250 &lt;= 30, "Veteran[21-30]", AK250 &lt;= 40, "Late Career[31-40]")</f>
        <v>New[1-5]</v>
      </c>
      <c r="AM250" s="1">
        <v>1</v>
      </c>
      <c r="AN250" s="9" t="str" cm="1">
        <f t="array" ref="AN250">_xlfn.IFS(AM250 &lt;= 3, "New to Role[1-3]", AM250 &lt;= 7, "Settled[4-7]", AM250 &lt;= 12, "Experienced[[8-12]", AM250 &lt;= 18, "Long Tenured[13-18]")</f>
        <v>New to Role[1-3]</v>
      </c>
      <c r="AO250" s="1">
        <v>0</v>
      </c>
      <c r="AP250" s="9" t="str" cm="1">
        <f t="array" ref="AP250">_xlfn.IFS(AO250 &lt;= 3, "Recently[1-3]", AO250 &lt;= 6, "Due Soon[4-6]", AO250 &lt;= 10, "Overdue[7-10]", AO250 &lt;= 15, "Long Overdue[11-15]")</f>
        <v>Recently[1-3]</v>
      </c>
      <c r="AQ250" s="9" t="str" cm="1">
        <f t="array" ref="AQ250">_xlfn.IFS(AR250 &lt;= 3, "New Relationship[1-3]", AR250 &lt;= 7, "Established Relationship[4-7]", AR250 &lt;= 12, "Long Term Relationship[8-12]", AR250 &lt;= 17, "Very Long Term Relationship[13-17]")</f>
        <v>New Relationship[1-3]</v>
      </c>
      <c r="AR250" s="1">
        <v>2</v>
      </c>
    </row>
    <row r="251" spans="1:44" x14ac:dyDescent="0.25">
      <c r="A251" s="1">
        <v>45</v>
      </c>
      <c r="B251" s="8" t="str" cm="1">
        <f t="array" ref="B251">_xlfn.IFS(A251 &lt;= 25, "[18-25]", A251 &lt;= 35, "[26-35]", A251 &lt;=45, "[36-45]", A251 &lt;= 60, "[46- 60]")</f>
        <v>[36-45]</v>
      </c>
      <c r="C251" s="3" t="s">
        <v>43</v>
      </c>
      <c r="D251">
        <f t="shared" si="3"/>
        <v>0</v>
      </c>
      <c r="E251" t="s">
        <v>44</v>
      </c>
      <c r="F251" s="1">
        <v>1199</v>
      </c>
      <c r="G251" s="3" t="s">
        <v>45</v>
      </c>
      <c r="H251" s="1">
        <v>7</v>
      </c>
      <c r="I251" s="9" t="str" cm="1">
        <f t="array" ref="I251">_xlfn.IFS(H251 &lt;= 2, "[1-2] very close", H251 &lt;= 10, "[3-10] close", H251 &lt;= 20, "[11-20] moderate", H251 &lt;= 30, "[21-30] far")</f>
        <v>[3-10] close</v>
      </c>
      <c r="J251" s="1">
        <v>4</v>
      </c>
      <c r="K251" s="3" t="s">
        <v>38</v>
      </c>
      <c r="L251" s="1">
        <v>1</v>
      </c>
      <c r="M251" s="1">
        <v>341</v>
      </c>
      <c r="N251" s="1">
        <v>1</v>
      </c>
      <c r="O251" s="3" t="s">
        <v>46</v>
      </c>
      <c r="P251" s="1">
        <v>77</v>
      </c>
      <c r="Q251" s="1">
        <v>4</v>
      </c>
      <c r="R251" s="1">
        <v>2</v>
      </c>
      <c r="S251" s="3" t="s">
        <v>53</v>
      </c>
      <c r="T251" s="1">
        <v>3</v>
      </c>
      <c r="U251" s="3" t="s">
        <v>48</v>
      </c>
      <c r="V251" s="4">
        <v>6434</v>
      </c>
      <c r="W251" s="1">
        <v>5118</v>
      </c>
      <c r="X251" s="1">
        <v>4</v>
      </c>
      <c r="Y251" s="3" t="s">
        <v>42</v>
      </c>
      <c r="Z251" s="3" t="s">
        <v>43</v>
      </c>
      <c r="AA251" s="5">
        <v>0.17</v>
      </c>
      <c r="AB251" s="10" t="str" cm="1">
        <f t="array" ref="AB251">_xlfn.IFS(AA251 &lt;= 15%, "Low Hike[11-15%]", AA251 &lt;= 20%, "Moderate Hike[16-20%]", AA251 &lt;= 25%,"High Hike[21-25%]")</f>
        <v>Moderate Hike[16-20%]</v>
      </c>
      <c r="AC251" s="1">
        <v>3</v>
      </c>
      <c r="AD251" s="1">
        <v>4</v>
      </c>
      <c r="AE251" s="1">
        <v>80</v>
      </c>
      <c r="AF251" s="1">
        <v>1</v>
      </c>
      <c r="AG251" s="1">
        <v>9</v>
      </c>
      <c r="AH251" s="9" t="str" cm="1">
        <f t="array" ref="AH251">_xlfn.IFS(AG251 &lt;= 5, "New[1-5]", AG251 &lt;= 10, "Early Career[6-10]", AG251 &lt;= 20, "Established[11-20]", AG251 &lt;= 30, "Veteran[21-30]", AG251 &lt;= 40, "Late Career[31-40]")</f>
        <v>Early Career[6-10]</v>
      </c>
      <c r="AI251" s="1">
        <v>1</v>
      </c>
      <c r="AJ251" s="1">
        <v>3</v>
      </c>
      <c r="AK251" s="1">
        <v>3</v>
      </c>
      <c r="AL251" s="9" t="str" cm="1">
        <f t="array" ref="AL251">_xlfn.IFS(AK251 &lt;= 5, "New[1-5]", AK251 &lt;= 10, "Early Career[6-10]", AK251 &lt;= 20, "Established[11-20]", AK251 &lt;= 30, "Veteran[21-30]", AK251 &lt;= 40, "Late Career[31-40]")</f>
        <v>New[1-5]</v>
      </c>
      <c r="AM251" s="1">
        <v>2</v>
      </c>
      <c r="AN251" s="9" t="str" cm="1">
        <f t="array" ref="AN251">_xlfn.IFS(AM251 &lt;= 3, "New to Role[1-3]", AM251 &lt;= 7, "Settled[4-7]", AM251 &lt;= 12, "Experienced[[8-12]", AM251 &lt;= 18, "Long Tenured[13-18]")</f>
        <v>New to Role[1-3]</v>
      </c>
      <c r="AO251" s="1">
        <v>0</v>
      </c>
      <c r="AP251" s="9" t="str" cm="1">
        <f t="array" ref="AP251">_xlfn.IFS(AO251 &lt;= 3, "Recently[1-3]", AO251 &lt;= 6, "Due Soon[4-6]", AO251 &lt;= 10, "Overdue[7-10]", AO251 &lt;= 15, "Long Overdue[11-15]")</f>
        <v>Recently[1-3]</v>
      </c>
      <c r="AQ251" s="9" t="str" cm="1">
        <f t="array" ref="AQ251">_xlfn.IFS(AR251 &lt;= 3, "New Relationship[1-3]", AR251 &lt;= 7, "Established Relationship[4-7]", AR251 &lt;= 12, "Long Term Relationship[8-12]", AR251 &lt;= 17, "Very Long Term Relationship[13-17]")</f>
        <v>New Relationship[1-3]</v>
      </c>
      <c r="AR251" s="1">
        <v>2</v>
      </c>
    </row>
    <row r="252" spans="1:44" x14ac:dyDescent="0.25">
      <c r="A252" s="1">
        <v>37</v>
      </c>
      <c r="B252" s="8" t="str" cm="1">
        <f t="array" ref="B252">_xlfn.IFS(A252 &lt;= 25, "[18-25]", A252 &lt;= 35, "[26-35]", A252 &lt;=45, "[36-45]", A252 &lt;= 60, "[46- 60]")</f>
        <v>[36-45]</v>
      </c>
      <c r="C252" s="3" t="s">
        <v>35</v>
      </c>
      <c r="D252">
        <f t="shared" si="3"/>
        <v>1</v>
      </c>
      <c r="E252" t="s">
        <v>44</v>
      </c>
      <c r="F252" s="1">
        <v>504</v>
      </c>
      <c r="G252" s="3" t="s">
        <v>45</v>
      </c>
      <c r="H252" s="1">
        <v>10</v>
      </c>
      <c r="I252" s="9" t="str" cm="1">
        <f t="array" ref="I252">_xlfn.IFS(H252 &lt;= 2, "[1-2] very close", H252 &lt;= 10, "[3-10] close", H252 &lt;= 20, "[11-20] moderate", H252 &lt;= 30, "[21-30] far")</f>
        <v>[3-10] close</v>
      </c>
      <c r="J252" s="1">
        <v>3</v>
      </c>
      <c r="K252" s="3" t="s">
        <v>51</v>
      </c>
      <c r="L252" s="1">
        <v>1</v>
      </c>
      <c r="M252" s="1">
        <v>342</v>
      </c>
      <c r="N252" s="1">
        <v>1</v>
      </c>
      <c r="O252" s="3" t="s">
        <v>46</v>
      </c>
      <c r="P252" s="1">
        <v>61</v>
      </c>
      <c r="Q252" s="1">
        <v>3</v>
      </c>
      <c r="R252" s="1">
        <v>3</v>
      </c>
      <c r="S252" s="3" t="s">
        <v>53</v>
      </c>
      <c r="T252" s="1">
        <v>3</v>
      </c>
      <c r="U252" s="3" t="s">
        <v>52</v>
      </c>
      <c r="V252" s="4">
        <v>10048</v>
      </c>
      <c r="W252" s="1">
        <v>22573</v>
      </c>
      <c r="X252" s="1">
        <v>6</v>
      </c>
      <c r="Y252" s="3" t="s">
        <v>42</v>
      </c>
      <c r="Z252" s="3" t="s">
        <v>43</v>
      </c>
      <c r="AA252" s="5">
        <v>0.11</v>
      </c>
      <c r="AB252" s="10" t="str" cm="1">
        <f t="array" ref="AB252">_xlfn.IFS(AA252 &lt;= 15%, "Low Hike[11-15%]", AA252 &lt;= 20%, "Moderate Hike[16-20%]", AA252 &lt;= 25%,"High Hike[21-25%]")</f>
        <v>Low Hike[11-15%]</v>
      </c>
      <c r="AC252" s="1">
        <v>3</v>
      </c>
      <c r="AD252" s="1">
        <v>2</v>
      </c>
      <c r="AE252" s="1">
        <v>80</v>
      </c>
      <c r="AF252" s="1">
        <v>2</v>
      </c>
      <c r="AG252" s="1">
        <v>17</v>
      </c>
      <c r="AH252" s="9" t="str" cm="1">
        <f t="array" ref="AH252">_xlfn.IFS(AG252 &lt;= 5, "New[1-5]", AG252 &lt;= 10, "Early Career[6-10]", AG252 &lt;= 20, "Established[11-20]", AG252 &lt;= 30, "Veteran[21-30]", AG252 &lt;= 40, "Late Career[31-40]")</f>
        <v>Established[11-20]</v>
      </c>
      <c r="AI252" s="1">
        <v>5</v>
      </c>
      <c r="AJ252" s="1">
        <v>3</v>
      </c>
      <c r="AK252" s="1">
        <v>1</v>
      </c>
      <c r="AL252" s="9" t="str" cm="1">
        <f t="array" ref="AL252">_xlfn.IFS(AK252 &lt;= 5, "New[1-5]", AK252 &lt;= 10, "Early Career[6-10]", AK252 &lt;= 20, "Established[11-20]", AK252 &lt;= 30, "Veteran[21-30]", AK252 &lt;= 40, "Late Career[31-40]")</f>
        <v>New[1-5]</v>
      </c>
      <c r="AM252" s="1">
        <v>0</v>
      </c>
      <c r="AN252" s="9" t="str" cm="1">
        <f t="array" ref="AN252">_xlfn.IFS(AM252 &lt;= 3, "New to Role[1-3]", AM252 &lt;= 7, "Settled[4-7]", AM252 &lt;= 12, "Experienced[[8-12]", AM252 &lt;= 18, "Long Tenured[13-18]")</f>
        <v>New to Role[1-3]</v>
      </c>
      <c r="AO252" s="1">
        <v>0</v>
      </c>
      <c r="AP252" s="9" t="str" cm="1">
        <f t="array" ref="AP252">_xlfn.IFS(AO252 &lt;= 3, "Recently[1-3]", AO252 &lt;= 6, "Due Soon[4-6]", AO252 &lt;= 10, "Overdue[7-10]", AO252 &lt;= 15, "Long Overdue[11-15]")</f>
        <v>Recently[1-3]</v>
      </c>
      <c r="AQ252" s="9" t="str" cm="1">
        <f t="array" ref="AQ252">_xlfn.IFS(AR252 &lt;= 3, "New Relationship[1-3]", AR252 &lt;= 7, "Established Relationship[4-7]", AR252 &lt;= 12, "Long Term Relationship[8-12]", AR252 &lt;= 17, "Very Long Term Relationship[13-17]")</f>
        <v>New Relationship[1-3]</v>
      </c>
      <c r="AR252" s="1">
        <v>0</v>
      </c>
    </row>
    <row r="253" spans="1:44" x14ac:dyDescent="0.25">
      <c r="A253" s="1">
        <v>39</v>
      </c>
      <c r="B253" s="8" t="str" cm="1">
        <f t="array" ref="B253">_xlfn.IFS(A253 &lt;= 25, "[18-25]", A253 &lt;= 35, "[26-35]", A253 &lt;=45, "[36-45]", A253 &lt;= 60, "[46- 60]")</f>
        <v>[36-45]</v>
      </c>
      <c r="C253" s="3" t="s">
        <v>43</v>
      </c>
      <c r="D253">
        <f t="shared" si="3"/>
        <v>0</v>
      </c>
      <c r="E253" t="s">
        <v>44</v>
      </c>
      <c r="F253" s="1">
        <v>505</v>
      </c>
      <c r="G253" s="3" t="s">
        <v>45</v>
      </c>
      <c r="H253" s="1">
        <v>2</v>
      </c>
      <c r="I253" s="9" t="str" cm="1">
        <f t="array" ref="I253">_xlfn.IFS(H253 &lt;= 2, "[1-2] very close", H253 &lt;= 10, "[3-10] close", H253 &lt;= 20, "[11-20] moderate", H253 &lt;= 30, "[21-30] far")</f>
        <v>[1-2] very close</v>
      </c>
      <c r="J253" s="1">
        <v>4</v>
      </c>
      <c r="K253" s="3" t="s">
        <v>60</v>
      </c>
      <c r="L253" s="1">
        <v>1</v>
      </c>
      <c r="M253" s="1">
        <v>343</v>
      </c>
      <c r="N253" s="1">
        <v>3</v>
      </c>
      <c r="O253" s="3" t="s">
        <v>39</v>
      </c>
      <c r="P253" s="1">
        <v>64</v>
      </c>
      <c r="Q253" s="1">
        <v>3</v>
      </c>
      <c r="R253" s="1">
        <v>3</v>
      </c>
      <c r="S253" s="3" t="s">
        <v>54</v>
      </c>
      <c r="T253" s="1">
        <v>3</v>
      </c>
      <c r="U253" s="3" t="s">
        <v>41</v>
      </c>
      <c r="V253" s="4">
        <v>10938</v>
      </c>
      <c r="W253" s="1">
        <v>6420</v>
      </c>
      <c r="X253" s="1">
        <v>0</v>
      </c>
      <c r="Y253" s="3" t="s">
        <v>42</v>
      </c>
      <c r="Z253" s="3" t="s">
        <v>43</v>
      </c>
      <c r="AA253" s="5">
        <v>0.25</v>
      </c>
      <c r="AB253" s="10" t="str" cm="1">
        <f t="array" ref="AB253">_xlfn.IFS(AA253 &lt;= 15%, "Low Hike[11-15%]", AA253 &lt;= 20%, "Moderate Hike[16-20%]", AA253 &lt;= 25%,"High Hike[21-25%]")</f>
        <v>High Hike[21-25%]</v>
      </c>
      <c r="AC253" s="1">
        <v>4</v>
      </c>
      <c r="AD253" s="1">
        <v>4</v>
      </c>
      <c r="AE253" s="1">
        <v>80</v>
      </c>
      <c r="AF253" s="1">
        <v>0</v>
      </c>
      <c r="AG253" s="1">
        <v>20</v>
      </c>
      <c r="AH253" s="9" t="str" cm="1">
        <f t="array" ref="AH253">_xlfn.IFS(AG253 &lt;= 5, "New[1-5]", AG253 &lt;= 10, "Early Career[6-10]", AG253 &lt;= 20, "Established[11-20]", AG253 &lt;= 30, "Veteran[21-30]", AG253 &lt;= 40, "Late Career[31-40]")</f>
        <v>Established[11-20]</v>
      </c>
      <c r="AI253" s="1">
        <v>1</v>
      </c>
      <c r="AJ253" s="1">
        <v>3</v>
      </c>
      <c r="AK253" s="1">
        <v>19</v>
      </c>
      <c r="AL253" s="9" t="str" cm="1">
        <f t="array" ref="AL253">_xlfn.IFS(AK253 &lt;= 5, "New[1-5]", AK253 &lt;= 10, "Early Career[6-10]", AK253 &lt;= 20, "Established[11-20]", AK253 &lt;= 30, "Veteran[21-30]", AK253 &lt;= 40, "Late Career[31-40]")</f>
        <v>Established[11-20]</v>
      </c>
      <c r="AM253" s="1">
        <v>6</v>
      </c>
      <c r="AN253" s="9" t="str" cm="1">
        <f t="array" ref="AN253">_xlfn.IFS(AM253 &lt;= 3, "New to Role[1-3]", AM253 &lt;= 7, "Settled[4-7]", AM253 &lt;= 12, "Experienced[[8-12]", AM253 &lt;= 18, "Long Tenured[13-18]")</f>
        <v>Settled[4-7]</v>
      </c>
      <c r="AO253" s="1">
        <v>11</v>
      </c>
      <c r="AP253" s="9" t="str" cm="1">
        <f t="array" ref="AP253">_xlfn.IFS(AO253 &lt;= 3, "Recently[1-3]", AO253 &lt;= 6, "Due Soon[4-6]", AO253 &lt;= 10, "Overdue[7-10]", AO253 &lt;= 15, "Long Overdue[11-15]")</f>
        <v>Long Overdue[11-15]</v>
      </c>
      <c r="AQ253" s="9" t="str" cm="1">
        <f t="array" ref="AQ253">_xlfn.IFS(AR253 &lt;= 3, "New Relationship[1-3]", AR253 &lt;= 7, "Established Relationship[4-7]", AR253 &lt;= 12, "Long Term Relationship[8-12]", AR253 &lt;= 17, "Very Long Term Relationship[13-17]")</f>
        <v>Long Term Relationship[8-12]</v>
      </c>
      <c r="AR253" s="1">
        <v>8</v>
      </c>
    </row>
    <row r="254" spans="1:44" x14ac:dyDescent="0.25">
      <c r="A254" s="1">
        <v>29</v>
      </c>
      <c r="B254" s="8" t="str" cm="1">
        <f t="array" ref="B254">_xlfn.IFS(A254 &lt;= 25, "[18-25]", A254 &lt;= 35, "[26-35]", A254 &lt;=45, "[36-45]", A254 &lt;= 60, "[46- 60]")</f>
        <v>[26-35]</v>
      </c>
      <c r="C254" s="3" t="s">
        <v>43</v>
      </c>
      <c r="D254">
        <f t="shared" si="3"/>
        <v>0</v>
      </c>
      <c r="E254" t="s">
        <v>36</v>
      </c>
      <c r="F254" s="1">
        <v>665</v>
      </c>
      <c r="G254" s="3" t="s">
        <v>45</v>
      </c>
      <c r="H254" s="1">
        <v>15</v>
      </c>
      <c r="I254" s="9" t="str" cm="1">
        <f t="array" ref="I254">_xlfn.IFS(H254 &lt;= 2, "[1-2] very close", H254 &lt;= 10, "[3-10] close", H254 &lt;= 20, "[11-20] moderate", H254 &lt;= 30, "[21-30] far")</f>
        <v>[11-20] moderate</v>
      </c>
      <c r="J254" s="1">
        <v>3</v>
      </c>
      <c r="K254" s="3" t="s">
        <v>38</v>
      </c>
      <c r="L254" s="1">
        <v>1</v>
      </c>
      <c r="M254" s="1">
        <v>346</v>
      </c>
      <c r="N254" s="1">
        <v>3</v>
      </c>
      <c r="O254" s="3" t="s">
        <v>46</v>
      </c>
      <c r="P254" s="1">
        <v>60</v>
      </c>
      <c r="Q254" s="1">
        <v>3</v>
      </c>
      <c r="R254" s="1">
        <v>1</v>
      </c>
      <c r="S254" s="3" t="s">
        <v>47</v>
      </c>
      <c r="T254" s="1">
        <v>4</v>
      </c>
      <c r="U254" s="3" t="s">
        <v>41</v>
      </c>
      <c r="V254" s="4">
        <v>2340</v>
      </c>
      <c r="W254" s="1">
        <v>22673</v>
      </c>
      <c r="X254" s="1">
        <v>1</v>
      </c>
      <c r="Y254" s="3" t="s">
        <v>42</v>
      </c>
      <c r="Z254" s="3" t="s">
        <v>43</v>
      </c>
      <c r="AA254" s="5">
        <v>0.19</v>
      </c>
      <c r="AB254" s="10" t="str" cm="1">
        <f t="array" ref="AB254">_xlfn.IFS(AA254 &lt;= 15%, "Low Hike[11-15%]", AA254 &lt;= 20%, "Moderate Hike[16-20%]", AA254 &lt;= 25%,"High Hike[21-25%]")</f>
        <v>Moderate Hike[16-20%]</v>
      </c>
      <c r="AC254" s="1">
        <v>3</v>
      </c>
      <c r="AD254" s="1">
        <v>1</v>
      </c>
      <c r="AE254" s="1">
        <v>80</v>
      </c>
      <c r="AF254" s="1">
        <v>0</v>
      </c>
      <c r="AG254" s="1">
        <v>6</v>
      </c>
      <c r="AH254" s="9" t="str" cm="1">
        <f t="array" ref="AH254">_xlfn.IFS(AG254 &lt;= 5, "New[1-5]", AG254 &lt;= 10, "Early Career[6-10]", AG254 &lt;= 20, "Established[11-20]", AG254 &lt;= 30, "Veteran[21-30]", AG254 &lt;= 40, "Late Career[31-40]")</f>
        <v>Early Career[6-10]</v>
      </c>
      <c r="AI254" s="1">
        <v>1</v>
      </c>
      <c r="AJ254" s="1">
        <v>3</v>
      </c>
      <c r="AK254" s="1">
        <v>6</v>
      </c>
      <c r="AL254" s="9" t="str" cm="1">
        <f t="array" ref="AL254">_xlfn.IFS(AK254 &lt;= 5, "New[1-5]", AK254 &lt;= 10, "Early Career[6-10]", AK254 &lt;= 20, "Established[11-20]", AK254 &lt;= 30, "Veteran[21-30]", AK254 &lt;= 40, "Late Career[31-40]")</f>
        <v>Early Career[6-10]</v>
      </c>
      <c r="AM254" s="1">
        <v>5</v>
      </c>
      <c r="AN254" s="9" t="str" cm="1">
        <f t="array" ref="AN254">_xlfn.IFS(AM254 &lt;= 3, "New to Role[1-3]", AM254 &lt;= 7, "Settled[4-7]", AM254 &lt;= 12, "Experienced[[8-12]", AM254 &lt;= 18, "Long Tenured[13-18]")</f>
        <v>Settled[4-7]</v>
      </c>
      <c r="AO254" s="1">
        <v>1</v>
      </c>
      <c r="AP254" s="9" t="str" cm="1">
        <f t="array" ref="AP254">_xlfn.IFS(AO254 &lt;= 3, "Recently[1-3]", AO254 &lt;= 6, "Due Soon[4-6]", AO254 &lt;= 10, "Overdue[7-10]", AO254 &lt;= 15, "Long Overdue[11-15]")</f>
        <v>Recently[1-3]</v>
      </c>
      <c r="AQ254" s="9" t="str" cm="1">
        <f t="array" ref="AQ254">_xlfn.IFS(AR254 &lt;= 3, "New Relationship[1-3]", AR254 &lt;= 7, "Established Relationship[4-7]", AR254 &lt;= 12, "Long Term Relationship[8-12]", AR254 &lt;= 17, "Very Long Term Relationship[13-17]")</f>
        <v>Established Relationship[4-7]</v>
      </c>
      <c r="AR254" s="1">
        <v>5</v>
      </c>
    </row>
    <row r="255" spans="1:44" x14ac:dyDescent="0.25">
      <c r="A255" s="1">
        <v>42</v>
      </c>
      <c r="B255" s="8" t="str" cm="1">
        <f t="array" ref="B255">_xlfn.IFS(A255 &lt;= 25, "[18-25]", A255 &lt;= 35, "[26-35]", A255 &lt;=45, "[36-45]", A255 &lt;= 60, "[46- 60]")</f>
        <v>[36-45]</v>
      </c>
      <c r="C255" s="3" t="s">
        <v>43</v>
      </c>
      <c r="D255">
        <f t="shared" si="3"/>
        <v>0</v>
      </c>
      <c r="E255" t="s">
        <v>36</v>
      </c>
      <c r="F255" s="1">
        <v>916</v>
      </c>
      <c r="G255" s="3" t="s">
        <v>45</v>
      </c>
      <c r="H255" s="1">
        <v>17</v>
      </c>
      <c r="I255" s="9" t="str" cm="1">
        <f t="array" ref="I255">_xlfn.IFS(H255 &lt;= 2, "[1-2] very close", H255 &lt;= 10, "[3-10] close", H255 &lt;= 20, "[11-20] moderate", H255 &lt;= 30, "[21-30] far")</f>
        <v>[11-20] moderate</v>
      </c>
      <c r="J255" s="1">
        <v>2</v>
      </c>
      <c r="K255" s="3" t="s">
        <v>38</v>
      </c>
      <c r="L255" s="1">
        <v>1</v>
      </c>
      <c r="M255" s="1">
        <v>347</v>
      </c>
      <c r="N255" s="1">
        <v>4</v>
      </c>
      <c r="O255" s="3" t="s">
        <v>39</v>
      </c>
      <c r="P255" s="1">
        <v>82</v>
      </c>
      <c r="Q255" s="1">
        <v>4</v>
      </c>
      <c r="R255" s="1">
        <v>2</v>
      </c>
      <c r="S255" s="3" t="s">
        <v>47</v>
      </c>
      <c r="T255" s="1">
        <v>1</v>
      </c>
      <c r="U255" s="3" t="s">
        <v>41</v>
      </c>
      <c r="V255" s="4">
        <v>6545</v>
      </c>
      <c r="W255" s="1">
        <v>23016</v>
      </c>
      <c r="X255" s="1">
        <v>3</v>
      </c>
      <c r="Y255" s="3" t="s">
        <v>42</v>
      </c>
      <c r="Z255" s="3" t="s">
        <v>35</v>
      </c>
      <c r="AA255" s="5">
        <v>0.13</v>
      </c>
      <c r="AB255" s="10" t="str" cm="1">
        <f t="array" ref="AB255">_xlfn.IFS(AA255 &lt;= 15%, "Low Hike[11-15%]", AA255 &lt;= 20%, "Moderate Hike[16-20%]", AA255 &lt;= 25%,"High Hike[21-25%]")</f>
        <v>Low Hike[11-15%]</v>
      </c>
      <c r="AC255" s="1">
        <v>3</v>
      </c>
      <c r="AD255" s="1">
        <v>3</v>
      </c>
      <c r="AE255" s="1">
        <v>80</v>
      </c>
      <c r="AF255" s="1">
        <v>0</v>
      </c>
      <c r="AG255" s="1">
        <v>10</v>
      </c>
      <c r="AH255" s="9" t="str" cm="1">
        <f t="array" ref="AH255">_xlfn.IFS(AG255 &lt;= 5, "New[1-5]", AG255 &lt;= 10, "Early Career[6-10]", AG255 &lt;= 20, "Established[11-20]", AG255 &lt;= 30, "Veteran[21-30]", AG255 &lt;= 40, "Late Career[31-40]")</f>
        <v>Early Career[6-10]</v>
      </c>
      <c r="AI255" s="1">
        <v>1</v>
      </c>
      <c r="AJ255" s="1">
        <v>3</v>
      </c>
      <c r="AK255" s="1">
        <v>3</v>
      </c>
      <c r="AL255" s="9" t="str" cm="1">
        <f t="array" ref="AL255">_xlfn.IFS(AK255 &lt;= 5, "New[1-5]", AK255 &lt;= 10, "Early Career[6-10]", AK255 &lt;= 20, "Established[11-20]", AK255 &lt;= 30, "Veteran[21-30]", AK255 &lt;= 40, "Late Career[31-40]")</f>
        <v>New[1-5]</v>
      </c>
      <c r="AM255" s="1">
        <v>2</v>
      </c>
      <c r="AN255" s="9" t="str" cm="1">
        <f t="array" ref="AN255">_xlfn.IFS(AM255 &lt;= 3, "New to Role[1-3]", AM255 &lt;= 7, "Settled[4-7]", AM255 &lt;= 12, "Experienced[[8-12]", AM255 &lt;= 18, "Long Tenured[13-18]")</f>
        <v>New to Role[1-3]</v>
      </c>
      <c r="AO255" s="1">
        <v>0</v>
      </c>
      <c r="AP255" s="9" t="str" cm="1">
        <f t="array" ref="AP255">_xlfn.IFS(AO255 &lt;= 3, "Recently[1-3]", AO255 &lt;= 6, "Due Soon[4-6]", AO255 &lt;= 10, "Overdue[7-10]", AO255 &lt;= 15, "Long Overdue[11-15]")</f>
        <v>Recently[1-3]</v>
      </c>
      <c r="AQ255" s="9" t="str" cm="1">
        <f t="array" ref="AQ255">_xlfn.IFS(AR255 &lt;= 3, "New Relationship[1-3]", AR255 &lt;= 7, "Established Relationship[4-7]", AR255 &lt;= 12, "Long Term Relationship[8-12]", AR255 &lt;= 17, "Very Long Term Relationship[13-17]")</f>
        <v>New Relationship[1-3]</v>
      </c>
      <c r="AR255" s="1">
        <v>2</v>
      </c>
    </row>
    <row r="256" spans="1:44" x14ac:dyDescent="0.25">
      <c r="A256" s="1">
        <v>29</v>
      </c>
      <c r="B256" s="8" t="str" cm="1">
        <f t="array" ref="B256">_xlfn.IFS(A256 &lt;= 25, "[18-25]", A256 &lt;= 35, "[26-35]", A256 &lt;=45, "[36-45]", A256 &lt;= 60, "[46- 60]")</f>
        <v>[26-35]</v>
      </c>
      <c r="C256" s="3" t="s">
        <v>43</v>
      </c>
      <c r="D256">
        <f t="shared" si="3"/>
        <v>0</v>
      </c>
      <c r="E256" t="s">
        <v>36</v>
      </c>
      <c r="F256" s="1">
        <v>1247</v>
      </c>
      <c r="G256" s="3" t="s">
        <v>37</v>
      </c>
      <c r="H256" s="1">
        <v>20</v>
      </c>
      <c r="I256" s="9" t="str" cm="1">
        <f t="array" ref="I256">_xlfn.IFS(H256 &lt;= 2, "[1-2] very close", H256 &lt;= 10, "[3-10] close", H256 &lt;= 20, "[11-20] moderate", H256 &lt;= 30, "[21-30] far")</f>
        <v>[11-20] moderate</v>
      </c>
      <c r="J256" s="1">
        <v>2</v>
      </c>
      <c r="K256" s="3" t="s">
        <v>59</v>
      </c>
      <c r="L256" s="1">
        <v>1</v>
      </c>
      <c r="M256" s="1">
        <v>349</v>
      </c>
      <c r="N256" s="1">
        <v>4</v>
      </c>
      <c r="O256" s="3" t="s">
        <v>46</v>
      </c>
      <c r="P256" s="1">
        <v>45</v>
      </c>
      <c r="Q256" s="1">
        <v>3</v>
      </c>
      <c r="R256" s="1">
        <v>2</v>
      </c>
      <c r="S256" s="3" t="s">
        <v>40</v>
      </c>
      <c r="T256" s="1">
        <v>4</v>
      </c>
      <c r="U256" s="3" t="s">
        <v>52</v>
      </c>
      <c r="V256" s="4">
        <v>6931</v>
      </c>
      <c r="W256" s="1">
        <v>10732</v>
      </c>
      <c r="X256" s="1">
        <v>2</v>
      </c>
      <c r="Y256" s="3" t="s">
        <v>42</v>
      </c>
      <c r="Z256" s="3" t="s">
        <v>43</v>
      </c>
      <c r="AA256" s="5">
        <v>0.14000000000000001</v>
      </c>
      <c r="AB256" s="10" t="str" cm="1">
        <f t="array" ref="AB256">_xlfn.IFS(AA256 &lt;= 15%, "Low Hike[11-15%]", AA256 &lt;= 20%, "Moderate Hike[16-20%]", AA256 &lt;= 25%,"High Hike[21-25%]")</f>
        <v>Low Hike[11-15%]</v>
      </c>
      <c r="AC256" s="1">
        <v>3</v>
      </c>
      <c r="AD256" s="1">
        <v>4</v>
      </c>
      <c r="AE256" s="1">
        <v>80</v>
      </c>
      <c r="AF256" s="1">
        <v>1</v>
      </c>
      <c r="AG256" s="1">
        <v>10</v>
      </c>
      <c r="AH256" s="9" t="str" cm="1">
        <f t="array" ref="AH256">_xlfn.IFS(AG256 &lt;= 5, "New[1-5]", AG256 &lt;= 10, "Early Career[6-10]", AG256 &lt;= 20, "Established[11-20]", AG256 &lt;= 30, "Veteran[21-30]", AG256 &lt;= 40, "Late Career[31-40]")</f>
        <v>Early Career[6-10]</v>
      </c>
      <c r="AI256" s="1">
        <v>2</v>
      </c>
      <c r="AJ256" s="1">
        <v>3</v>
      </c>
      <c r="AK256" s="1">
        <v>3</v>
      </c>
      <c r="AL256" s="9" t="str" cm="1">
        <f t="array" ref="AL256">_xlfn.IFS(AK256 &lt;= 5, "New[1-5]", AK256 &lt;= 10, "Early Career[6-10]", AK256 &lt;= 20, "Established[11-20]", AK256 &lt;= 30, "Veteran[21-30]", AK256 &lt;= 40, "Late Career[31-40]")</f>
        <v>New[1-5]</v>
      </c>
      <c r="AM256" s="1">
        <v>2</v>
      </c>
      <c r="AN256" s="9" t="str" cm="1">
        <f t="array" ref="AN256">_xlfn.IFS(AM256 &lt;= 3, "New to Role[1-3]", AM256 &lt;= 7, "Settled[4-7]", AM256 &lt;= 12, "Experienced[[8-12]", AM256 &lt;= 18, "Long Tenured[13-18]")</f>
        <v>New to Role[1-3]</v>
      </c>
      <c r="AO256" s="1">
        <v>0</v>
      </c>
      <c r="AP256" s="9" t="str" cm="1">
        <f t="array" ref="AP256">_xlfn.IFS(AO256 &lt;= 3, "Recently[1-3]", AO256 &lt;= 6, "Due Soon[4-6]", AO256 &lt;= 10, "Overdue[7-10]", AO256 &lt;= 15, "Long Overdue[11-15]")</f>
        <v>Recently[1-3]</v>
      </c>
      <c r="AQ256" s="9" t="str" cm="1">
        <f t="array" ref="AQ256">_xlfn.IFS(AR256 &lt;= 3, "New Relationship[1-3]", AR256 &lt;= 7, "Established Relationship[4-7]", AR256 &lt;= 12, "Long Term Relationship[8-12]", AR256 &lt;= 17, "Very Long Term Relationship[13-17]")</f>
        <v>New Relationship[1-3]</v>
      </c>
      <c r="AR256" s="1">
        <v>2</v>
      </c>
    </row>
    <row r="257" spans="1:44" x14ac:dyDescent="0.25">
      <c r="A257" s="1">
        <v>25</v>
      </c>
      <c r="B257" s="8" t="str" cm="1">
        <f t="array" ref="B257">_xlfn.IFS(A257 &lt;= 25, "[18-25]", A257 &lt;= 35, "[26-35]", A257 &lt;=45, "[36-45]", A257 &lt;= 60, "[46- 60]")</f>
        <v>[18-25]</v>
      </c>
      <c r="C257" s="3" t="s">
        <v>43</v>
      </c>
      <c r="D257">
        <f t="shared" si="3"/>
        <v>0</v>
      </c>
      <c r="E257" t="s">
        <v>36</v>
      </c>
      <c r="F257" s="1">
        <v>685</v>
      </c>
      <c r="G257" s="3" t="s">
        <v>45</v>
      </c>
      <c r="H257" s="1">
        <v>1</v>
      </c>
      <c r="I257" s="9" t="str" cm="1">
        <f t="array" ref="I257">_xlfn.IFS(H257 &lt;= 2, "[1-2] very close", H257 &lt;= 10, "[3-10] close", H257 &lt;= 20, "[11-20] moderate", H257 &lt;= 30, "[21-30] far")</f>
        <v>[1-2] very close</v>
      </c>
      <c r="J257" s="1">
        <v>3</v>
      </c>
      <c r="K257" s="3" t="s">
        <v>38</v>
      </c>
      <c r="L257" s="1">
        <v>1</v>
      </c>
      <c r="M257" s="1">
        <v>350</v>
      </c>
      <c r="N257" s="1">
        <v>1</v>
      </c>
      <c r="O257" s="3" t="s">
        <v>39</v>
      </c>
      <c r="P257" s="1">
        <v>62</v>
      </c>
      <c r="Q257" s="1">
        <v>3</v>
      </c>
      <c r="R257" s="1">
        <v>2</v>
      </c>
      <c r="S257" s="3" t="s">
        <v>53</v>
      </c>
      <c r="T257" s="1">
        <v>3</v>
      </c>
      <c r="U257" s="3" t="s">
        <v>48</v>
      </c>
      <c r="V257" s="4">
        <v>4898</v>
      </c>
      <c r="W257" s="1">
        <v>7505</v>
      </c>
      <c r="X257" s="1">
        <v>0</v>
      </c>
      <c r="Y257" s="3" t="s">
        <v>42</v>
      </c>
      <c r="Z257" s="3" t="s">
        <v>43</v>
      </c>
      <c r="AA257" s="5">
        <v>0.12</v>
      </c>
      <c r="AB257" s="10" t="str" cm="1">
        <f t="array" ref="AB257">_xlfn.IFS(AA257 &lt;= 15%, "Low Hike[11-15%]", AA257 &lt;= 20%, "Moderate Hike[16-20%]", AA257 &lt;= 25%,"High Hike[21-25%]")</f>
        <v>Low Hike[11-15%]</v>
      </c>
      <c r="AC257" s="1">
        <v>3</v>
      </c>
      <c r="AD257" s="1">
        <v>4</v>
      </c>
      <c r="AE257" s="1">
        <v>80</v>
      </c>
      <c r="AF257" s="1">
        <v>2</v>
      </c>
      <c r="AG257" s="1">
        <v>5</v>
      </c>
      <c r="AH257" s="9" t="str" cm="1">
        <f t="array" ref="AH257">_xlfn.IFS(AG257 &lt;= 5, "New[1-5]", AG257 &lt;= 10, "Early Career[6-10]", AG257 &lt;= 20, "Established[11-20]", AG257 &lt;= 30, "Veteran[21-30]", AG257 &lt;= 40, "Late Career[31-40]")</f>
        <v>New[1-5]</v>
      </c>
      <c r="AI257" s="1">
        <v>3</v>
      </c>
      <c r="AJ257" s="1">
        <v>3</v>
      </c>
      <c r="AK257" s="1">
        <v>4</v>
      </c>
      <c r="AL257" s="9" t="str" cm="1">
        <f t="array" ref="AL257">_xlfn.IFS(AK257 &lt;= 5, "New[1-5]", AK257 &lt;= 10, "Early Career[6-10]", AK257 &lt;= 20, "Established[11-20]", AK257 &lt;= 30, "Veteran[21-30]", AK257 &lt;= 40, "Late Career[31-40]")</f>
        <v>New[1-5]</v>
      </c>
      <c r="AM257" s="1">
        <v>2</v>
      </c>
      <c r="AN257" s="9" t="str" cm="1">
        <f t="array" ref="AN257">_xlfn.IFS(AM257 &lt;= 3, "New to Role[1-3]", AM257 &lt;= 7, "Settled[4-7]", AM257 &lt;= 12, "Experienced[[8-12]", AM257 &lt;= 18, "Long Tenured[13-18]")</f>
        <v>New to Role[1-3]</v>
      </c>
      <c r="AO257" s="1">
        <v>1</v>
      </c>
      <c r="AP257" s="9" t="str" cm="1">
        <f t="array" ref="AP257">_xlfn.IFS(AO257 &lt;= 3, "Recently[1-3]", AO257 &lt;= 6, "Due Soon[4-6]", AO257 &lt;= 10, "Overdue[7-10]", AO257 &lt;= 15, "Long Overdue[11-15]")</f>
        <v>Recently[1-3]</v>
      </c>
      <c r="AQ257" s="9" t="str" cm="1">
        <f t="array" ref="AQ257">_xlfn.IFS(AR257 &lt;= 3, "New Relationship[1-3]", AR257 &lt;= 7, "Established Relationship[4-7]", AR257 &lt;= 12, "Long Term Relationship[8-12]", AR257 &lt;= 17, "Very Long Term Relationship[13-17]")</f>
        <v>New Relationship[1-3]</v>
      </c>
      <c r="AR257" s="1">
        <v>2</v>
      </c>
    </row>
    <row r="258" spans="1:44" x14ac:dyDescent="0.25">
      <c r="A258" s="1">
        <v>42</v>
      </c>
      <c r="B258" s="8" t="str" cm="1">
        <f t="array" ref="B258">_xlfn.IFS(A258 &lt;= 25, "[18-25]", A258 &lt;= 35, "[26-35]", A258 &lt;=45, "[36-45]", A258 &lt;= 60, "[46- 60]")</f>
        <v>[36-45]</v>
      </c>
      <c r="C258" s="3" t="s">
        <v>43</v>
      </c>
      <c r="D258">
        <f t="shared" ref="D258:D321" si="4">IF(C258 = "Yes",1, 0)</f>
        <v>0</v>
      </c>
      <c r="E258" t="s">
        <v>36</v>
      </c>
      <c r="F258" s="1">
        <v>269</v>
      </c>
      <c r="G258" s="3" t="s">
        <v>45</v>
      </c>
      <c r="H258" s="1">
        <v>2</v>
      </c>
      <c r="I258" s="9" t="str" cm="1">
        <f t="array" ref="I258">_xlfn.IFS(H258 &lt;= 2, "[1-2] very close", H258 &lt;= 10, "[3-10] close", H258 &lt;= 20, "[11-20] moderate", H258 &lt;= 30, "[21-30] far")</f>
        <v>[1-2] very close</v>
      </c>
      <c r="J258" s="1">
        <v>3</v>
      </c>
      <c r="K258" s="3" t="s">
        <v>51</v>
      </c>
      <c r="L258" s="1">
        <v>1</v>
      </c>
      <c r="M258" s="1">
        <v>351</v>
      </c>
      <c r="N258" s="1">
        <v>4</v>
      </c>
      <c r="O258" s="3" t="s">
        <v>39</v>
      </c>
      <c r="P258" s="1">
        <v>56</v>
      </c>
      <c r="Q258" s="1">
        <v>2</v>
      </c>
      <c r="R258" s="1">
        <v>1</v>
      </c>
      <c r="S258" s="3" t="s">
        <v>50</v>
      </c>
      <c r="T258" s="1">
        <v>1</v>
      </c>
      <c r="U258" s="3" t="s">
        <v>52</v>
      </c>
      <c r="V258" s="4">
        <v>2593</v>
      </c>
      <c r="W258" s="1">
        <v>8007</v>
      </c>
      <c r="X258" s="1">
        <v>0</v>
      </c>
      <c r="Y258" s="3" t="s">
        <v>42</v>
      </c>
      <c r="Z258" s="3" t="s">
        <v>35</v>
      </c>
      <c r="AA258" s="5">
        <v>0.11</v>
      </c>
      <c r="AB258" s="10" t="str" cm="1">
        <f t="array" ref="AB258">_xlfn.IFS(AA258 &lt;= 15%, "Low Hike[11-15%]", AA258 &lt;= 20%, "Moderate Hike[16-20%]", AA258 &lt;= 25%,"High Hike[21-25%]")</f>
        <v>Low Hike[11-15%]</v>
      </c>
      <c r="AC258" s="1">
        <v>3</v>
      </c>
      <c r="AD258" s="1">
        <v>3</v>
      </c>
      <c r="AE258" s="1">
        <v>80</v>
      </c>
      <c r="AF258" s="1">
        <v>1</v>
      </c>
      <c r="AG258" s="1">
        <v>10</v>
      </c>
      <c r="AH258" s="9" t="str" cm="1">
        <f t="array" ref="AH258">_xlfn.IFS(AG258 &lt;= 5, "New[1-5]", AG258 &lt;= 10, "Early Career[6-10]", AG258 &lt;= 20, "Established[11-20]", AG258 &lt;= 30, "Veteran[21-30]", AG258 &lt;= 40, "Late Career[31-40]")</f>
        <v>Early Career[6-10]</v>
      </c>
      <c r="AI258" s="1">
        <v>4</v>
      </c>
      <c r="AJ258" s="1">
        <v>3</v>
      </c>
      <c r="AK258" s="1">
        <v>9</v>
      </c>
      <c r="AL258" s="9" t="str" cm="1">
        <f t="array" ref="AL258">_xlfn.IFS(AK258 &lt;= 5, "New[1-5]", AK258 &lt;= 10, "Early Career[6-10]", AK258 &lt;= 20, "Established[11-20]", AK258 &lt;= 30, "Veteran[21-30]", AK258 &lt;= 40, "Late Career[31-40]")</f>
        <v>Early Career[6-10]</v>
      </c>
      <c r="AM258" s="1">
        <v>6</v>
      </c>
      <c r="AN258" s="9" t="str" cm="1">
        <f t="array" ref="AN258">_xlfn.IFS(AM258 &lt;= 3, "New to Role[1-3]", AM258 &lt;= 7, "Settled[4-7]", AM258 &lt;= 12, "Experienced[[8-12]", AM258 &lt;= 18, "Long Tenured[13-18]")</f>
        <v>Settled[4-7]</v>
      </c>
      <c r="AO258" s="1">
        <v>7</v>
      </c>
      <c r="AP258" s="9" t="str" cm="1">
        <f t="array" ref="AP258">_xlfn.IFS(AO258 &lt;= 3, "Recently[1-3]", AO258 &lt;= 6, "Due Soon[4-6]", AO258 &lt;= 10, "Overdue[7-10]", AO258 &lt;= 15, "Long Overdue[11-15]")</f>
        <v>Overdue[7-10]</v>
      </c>
      <c r="AQ258" s="9" t="str" cm="1">
        <f t="array" ref="AQ258">_xlfn.IFS(AR258 &lt;= 3, "New Relationship[1-3]", AR258 &lt;= 7, "Established Relationship[4-7]", AR258 &lt;= 12, "Long Term Relationship[8-12]", AR258 &lt;= 17, "Very Long Term Relationship[13-17]")</f>
        <v>Long Term Relationship[8-12]</v>
      </c>
      <c r="AR258" s="1">
        <v>8</v>
      </c>
    </row>
    <row r="259" spans="1:44" x14ac:dyDescent="0.25">
      <c r="A259" s="1">
        <v>40</v>
      </c>
      <c r="B259" s="8" t="str" cm="1">
        <f t="array" ref="B259">_xlfn.IFS(A259 &lt;= 25, "[18-25]", A259 &lt;= 35, "[26-35]", A259 &lt;=45, "[36-45]", A259 &lt;= 60, "[46- 60]")</f>
        <v>[36-45]</v>
      </c>
      <c r="C259" s="3" t="s">
        <v>43</v>
      </c>
      <c r="D259">
        <f t="shared" si="4"/>
        <v>0</v>
      </c>
      <c r="E259" t="s">
        <v>36</v>
      </c>
      <c r="F259" s="1">
        <v>1416</v>
      </c>
      <c r="G259" s="3" t="s">
        <v>45</v>
      </c>
      <c r="H259" s="1">
        <v>2</v>
      </c>
      <c r="I259" s="9" t="str" cm="1">
        <f t="array" ref="I259">_xlfn.IFS(H259 &lt;= 2, "[1-2] very close", H259 &lt;= 10, "[3-10] close", H259 &lt;= 20, "[11-20] moderate", H259 &lt;= 30, "[21-30] far")</f>
        <v>[1-2] very close</v>
      </c>
      <c r="J259" s="1">
        <v>2</v>
      </c>
      <c r="K259" s="3" t="s">
        <v>51</v>
      </c>
      <c r="L259" s="1">
        <v>1</v>
      </c>
      <c r="M259" s="1">
        <v>352</v>
      </c>
      <c r="N259" s="1">
        <v>1</v>
      </c>
      <c r="O259" s="3" t="s">
        <v>46</v>
      </c>
      <c r="P259" s="1">
        <v>49</v>
      </c>
      <c r="Q259" s="1">
        <v>3</v>
      </c>
      <c r="R259" s="1">
        <v>5</v>
      </c>
      <c r="S259" s="3" t="s">
        <v>58</v>
      </c>
      <c r="T259" s="1">
        <v>3</v>
      </c>
      <c r="U259" s="3" t="s">
        <v>52</v>
      </c>
      <c r="V259" s="4">
        <v>19436</v>
      </c>
      <c r="W259" s="1">
        <v>5949</v>
      </c>
      <c r="X259" s="1">
        <v>0</v>
      </c>
      <c r="Y259" s="3" t="s">
        <v>42</v>
      </c>
      <c r="Z259" s="3" t="s">
        <v>43</v>
      </c>
      <c r="AA259" s="5">
        <v>0.19</v>
      </c>
      <c r="AB259" s="10" t="str" cm="1">
        <f t="array" ref="AB259">_xlfn.IFS(AA259 &lt;= 15%, "Low Hike[11-15%]", AA259 &lt;= 20%, "Moderate Hike[16-20%]", AA259 &lt;= 25%,"High Hike[21-25%]")</f>
        <v>Moderate Hike[16-20%]</v>
      </c>
      <c r="AC259" s="1">
        <v>3</v>
      </c>
      <c r="AD259" s="1">
        <v>4</v>
      </c>
      <c r="AE259" s="1">
        <v>80</v>
      </c>
      <c r="AF259" s="1">
        <v>1</v>
      </c>
      <c r="AG259" s="1">
        <v>22</v>
      </c>
      <c r="AH259" s="9" t="str" cm="1">
        <f t="array" ref="AH259">_xlfn.IFS(AG259 &lt;= 5, "New[1-5]", AG259 &lt;= 10, "Early Career[6-10]", AG259 &lt;= 20, "Established[11-20]", AG259 &lt;= 30, "Veteran[21-30]", AG259 &lt;= 40, "Late Career[31-40]")</f>
        <v>Veteran[21-30]</v>
      </c>
      <c r="AI259" s="1">
        <v>5</v>
      </c>
      <c r="AJ259" s="1">
        <v>3</v>
      </c>
      <c r="AK259" s="1">
        <v>21</v>
      </c>
      <c r="AL259" s="9" t="str" cm="1">
        <f t="array" ref="AL259">_xlfn.IFS(AK259 &lt;= 5, "New[1-5]", AK259 &lt;= 10, "Early Career[6-10]", AK259 &lt;= 20, "Established[11-20]", AK259 &lt;= 30, "Veteran[21-30]", AK259 &lt;= 40, "Late Career[31-40]")</f>
        <v>Veteran[21-30]</v>
      </c>
      <c r="AM259" s="1">
        <v>7</v>
      </c>
      <c r="AN259" s="9" t="str" cm="1">
        <f t="array" ref="AN259">_xlfn.IFS(AM259 &lt;= 3, "New to Role[1-3]", AM259 &lt;= 7, "Settled[4-7]", AM259 &lt;= 12, "Experienced[[8-12]", AM259 &lt;= 18, "Long Tenured[13-18]")</f>
        <v>Settled[4-7]</v>
      </c>
      <c r="AO259" s="1">
        <v>3</v>
      </c>
      <c r="AP259" s="9" t="str" cm="1">
        <f t="array" ref="AP259">_xlfn.IFS(AO259 &lt;= 3, "Recently[1-3]", AO259 &lt;= 6, "Due Soon[4-6]", AO259 &lt;= 10, "Overdue[7-10]", AO259 &lt;= 15, "Long Overdue[11-15]")</f>
        <v>Recently[1-3]</v>
      </c>
      <c r="AQ259" s="9" t="str" cm="1">
        <f t="array" ref="AQ259">_xlfn.IFS(AR259 &lt;= 3, "New Relationship[1-3]", AR259 &lt;= 7, "Established Relationship[4-7]", AR259 &lt;= 12, "Long Term Relationship[8-12]", AR259 &lt;= 17, "Very Long Term Relationship[13-17]")</f>
        <v>Long Term Relationship[8-12]</v>
      </c>
      <c r="AR259" s="1">
        <v>9</v>
      </c>
    </row>
    <row r="260" spans="1:44" x14ac:dyDescent="0.25">
      <c r="A260" s="1">
        <v>51</v>
      </c>
      <c r="B260" s="8" t="str" cm="1">
        <f t="array" ref="B260">_xlfn.IFS(A260 &lt;= 25, "[18-25]", A260 &lt;= 35, "[26-35]", A260 &lt;=45, "[36-45]", A260 &lt;= 60, "[46- 60]")</f>
        <v>[46- 60]</v>
      </c>
      <c r="C260" s="3" t="s">
        <v>43</v>
      </c>
      <c r="D260">
        <f t="shared" si="4"/>
        <v>0</v>
      </c>
      <c r="E260" t="s">
        <v>36</v>
      </c>
      <c r="F260" s="1">
        <v>833</v>
      </c>
      <c r="G260" s="3" t="s">
        <v>45</v>
      </c>
      <c r="H260" s="1">
        <v>1</v>
      </c>
      <c r="I260" s="9" t="str" cm="1">
        <f t="array" ref="I260">_xlfn.IFS(H260 &lt;= 2, "[1-2] very close", H260 &lt;= 10, "[3-10] close", H260 &lt;= 20, "[11-20] moderate", H260 &lt;= 30, "[21-30] far")</f>
        <v>[1-2] very close</v>
      </c>
      <c r="J260" s="1">
        <v>3</v>
      </c>
      <c r="K260" s="3" t="s">
        <v>38</v>
      </c>
      <c r="L260" s="1">
        <v>1</v>
      </c>
      <c r="M260" s="1">
        <v>353</v>
      </c>
      <c r="N260" s="1">
        <v>3</v>
      </c>
      <c r="O260" s="3" t="s">
        <v>46</v>
      </c>
      <c r="P260" s="1">
        <v>96</v>
      </c>
      <c r="Q260" s="1">
        <v>3</v>
      </c>
      <c r="R260" s="1">
        <v>1</v>
      </c>
      <c r="S260" s="3" t="s">
        <v>47</v>
      </c>
      <c r="T260" s="1">
        <v>4</v>
      </c>
      <c r="U260" s="3" t="s">
        <v>48</v>
      </c>
      <c r="V260" s="4">
        <v>2723</v>
      </c>
      <c r="W260" s="1">
        <v>23231</v>
      </c>
      <c r="X260" s="1">
        <v>1</v>
      </c>
      <c r="Y260" s="3" t="s">
        <v>42</v>
      </c>
      <c r="Z260" s="3" t="s">
        <v>43</v>
      </c>
      <c r="AA260" s="5">
        <v>0.11</v>
      </c>
      <c r="AB260" s="10" t="str" cm="1">
        <f t="array" ref="AB260">_xlfn.IFS(AA260 &lt;= 15%, "Low Hike[11-15%]", AA260 &lt;= 20%, "Moderate Hike[16-20%]", AA260 &lt;= 25%,"High Hike[21-25%]")</f>
        <v>Low Hike[11-15%]</v>
      </c>
      <c r="AC260" s="1">
        <v>3</v>
      </c>
      <c r="AD260" s="1">
        <v>2</v>
      </c>
      <c r="AE260" s="1">
        <v>80</v>
      </c>
      <c r="AF260" s="1">
        <v>0</v>
      </c>
      <c r="AG260" s="1">
        <v>1</v>
      </c>
      <c r="AH260" s="9" t="str" cm="1">
        <f t="array" ref="AH260">_xlfn.IFS(AG260 &lt;= 5, "New[1-5]", AG260 &lt;= 10, "Early Career[6-10]", AG260 &lt;= 20, "Established[11-20]", AG260 &lt;= 30, "Veteran[21-30]", AG260 &lt;= 40, "Late Career[31-40]")</f>
        <v>New[1-5]</v>
      </c>
      <c r="AI260" s="1">
        <v>0</v>
      </c>
      <c r="AJ260" s="1">
        <v>2</v>
      </c>
      <c r="AK260" s="1">
        <v>1</v>
      </c>
      <c r="AL260" s="9" t="str" cm="1">
        <f t="array" ref="AL260">_xlfn.IFS(AK260 &lt;= 5, "New[1-5]", AK260 &lt;= 10, "Early Career[6-10]", AK260 &lt;= 20, "Established[11-20]", AK260 &lt;= 30, "Veteran[21-30]", AK260 &lt;= 40, "Late Career[31-40]")</f>
        <v>New[1-5]</v>
      </c>
      <c r="AM260" s="1">
        <v>0</v>
      </c>
      <c r="AN260" s="9" t="str" cm="1">
        <f t="array" ref="AN260">_xlfn.IFS(AM260 &lt;= 3, "New to Role[1-3]", AM260 &lt;= 7, "Settled[4-7]", AM260 &lt;= 12, "Experienced[[8-12]", AM260 &lt;= 18, "Long Tenured[13-18]")</f>
        <v>New to Role[1-3]</v>
      </c>
      <c r="AO260" s="1">
        <v>0</v>
      </c>
      <c r="AP260" s="9" t="str" cm="1">
        <f t="array" ref="AP260">_xlfn.IFS(AO260 &lt;= 3, "Recently[1-3]", AO260 &lt;= 6, "Due Soon[4-6]", AO260 &lt;= 10, "Overdue[7-10]", AO260 &lt;= 15, "Long Overdue[11-15]")</f>
        <v>Recently[1-3]</v>
      </c>
      <c r="AQ260" s="9" t="str" cm="1">
        <f t="array" ref="AQ260">_xlfn.IFS(AR260 &lt;= 3, "New Relationship[1-3]", AR260 &lt;= 7, "Established Relationship[4-7]", AR260 &lt;= 12, "Long Term Relationship[8-12]", AR260 &lt;= 17, "Very Long Term Relationship[13-17]")</f>
        <v>New Relationship[1-3]</v>
      </c>
      <c r="AR260" s="1">
        <v>0</v>
      </c>
    </row>
    <row r="261" spans="1:44" x14ac:dyDescent="0.25">
      <c r="A261" s="1">
        <v>31</v>
      </c>
      <c r="B261" s="8" t="str" cm="1">
        <f t="array" ref="B261">_xlfn.IFS(A261 &lt;= 25, "[18-25]", A261 &lt;= 35, "[26-35]", A261 &lt;=45, "[36-45]", A261 &lt;= 60, "[46- 60]")</f>
        <v>[26-35]</v>
      </c>
      <c r="C261" s="3" t="s">
        <v>35</v>
      </c>
      <c r="D261">
        <f t="shared" si="4"/>
        <v>1</v>
      </c>
      <c r="E261" t="s">
        <v>44</v>
      </c>
      <c r="F261" s="1">
        <v>307</v>
      </c>
      <c r="G261" s="3" t="s">
        <v>45</v>
      </c>
      <c r="H261" s="1">
        <v>29</v>
      </c>
      <c r="I261" s="9" t="str" cm="1">
        <f t="array" ref="I261">_xlfn.IFS(H261 &lt;= 2, "[1-2] very close", H261 &lt;= 10, "[3-10] close", H261 &lt;= 20, "[11-20] moderate", H261 &lt;= 30, "[21-30] far")</f>
        <v>[21-30] far</v>
      </c>
      <c r="J261" s="1">
        <v>2</v>
      </c>
      <c r="K261" s="3" t="s">
        <v>51</v>
      </c>
      <c r="L261" s="1">
        <v>1</v>
      </c>
      <c r="M261" s="1">
        <v>355</v>
      </c>
      <c r="N261" s="1">
        <v>3</v>
      </c>
      <c r="O261" s="3" t="s">
        <v>46</v>
      </c>
      <c r="P261" s="1">
        <v>71</v>
      </c>
      <c r="Q261" s="1">
        <v>2</v>
      </c>
      <c r="R261" s="1">
        <v>1</v>
      </c>
      <c r="S261" s="3" t="s">
        <v>50</v>
      </c>
      <c r="T261" s="1">
        <v>2</v>
      </c>
      <c r="U261" s="3" t="s">
        <v>41</v>
      </c>
      <c r="V261" s="4">
        <v>3479</v>
      </c>
      <c r="W261" s="1">
        <v>11652</v>
      </c>
      <c r="X261" s="1">
        <v>0</v>
      </c>
      <c r="Y261" s="3" t="s">
        <v>42</v>
      </c>
      <c r="Z261" s="3" t="s">
        <v>43</v>
      </c>
      <c r="AA261" s="5">
        <v>0.11</v>
      </c>
      <c r="AB261" s="10" t="str" cm="1">
        <f t="array" ref="AB261">_xlfn.IFS(AA261 &lt;= 15%, "Low Hike[11-15%]", AA261 &lt;= 20%, "Moderate Hike[16-20%]", AA261 &lt;= 25%,"High Hike[21-25%]")</f>
        <v>Low Hike[11-15%]</v>
      </c>
      <c r="AC261" s="1">
        <v>3</v>
      </c>
      <c r="AD261" s="1">
        <v>2</v>
      </c>
      <c r="AE261" s="1">
        <v>80</v>
      </c>
      <c r="AF261" s="1">
        <v>0</v>
      </c>
      <c r="AG261" s="1">
        <v>6</v>
      </c>
      <c r="AH261" s="9" t="str" cm="1">
        <f t="array" ref="AH261">_xlfn.IFS(AG261 &lt;= 5, "New[1-5]", AG261 &lt;= 10, "Early Career[6-10]", AG261 &lt;= 20, "Established[11-20]", AG261 &lt;= 30, "Veteran[21-30]", AG261 &lt;= 40, "Late Career[31-40]")</f>
        <v>Early Career[6-10]</v>
      </c>
      <c r="AI261" s="1">
        <v>2</v>
      </c>
      <c r="AJ261" s="1">
        <v>4</v>
      </c>
      <c r="AK261" s="1">
        <v>5</v>
      </c>
      <c r="AL261" s="9" t="str" cm="1">
        <f t="array" ref="AL261">_xlfn.IFS(AK261 &lt;= 5, "New[1-5]", AK261 &lt;= 10, "Early Career[6-10]", AK261 &lt;= 20, "Established[11-20]", AK261 &lt;= 30, "Veteran[21-30]", AK261 &lt;= 40, "Late Career[31-40]")</f>
        <v>New[1-5]</v>
      </c>
      <c r="AM261" s="1">
        <v>4</v>
      </c>
      <c r="AN261" s="9" t="str" cm="1">
        <f t="array" ref="AN261">_xlfn.IFS(AM261 &lt;= 3, "New to Role[1-3]", AM261 &lt;= 7, "Settled[4-7]", AM261 &lt;= 12, "Experienced[[8-12]", AM261 &lt;= 18, "Long Tenured[13-18]")</f>
        <v>Settled[4-7]</v>
      </c>
      <c r="AO261" s="1">
        <v>1</v>
      </c>
      <c r="AP261" s="9" t="str" cm="1">
        <f t="array" ref="AP261">_xlfn.IFS(AO261 &lt;= 3, "Recently[1-3]", AO261 &lt;= 6, "Due Soon[4-6]", AO261 &lt;= 10, "Overdue[7-10]", AO261 &lt;= 15, "Long Overdue[11-15]")</f>
        <v>Recently[1-3]</v>
      </c>
      <c r="AQ261" s="9" t="str" cm="1">
        <f t="array" ref="AQ261">_xlfn.IFS(AR261 &lt;= 3, "New Relationship[1-3]", AR261 &lt;= 7, "Established Relationship[4-7]", AR261 &lt;= 12, "Long Term Relationship[8-12]", AR261 &lt;= 17, "Very Long Term Relationship[13-17]")</f>
        <v>Established Relationship[4-7]</v>
      </c>
      <c r="AR261" s="1">
        <v>4</v>
      </c>
    </row>
    <row r="262" spans="1:44" x14ac:dyDescent="0.25">
      <c r="A262" s="1">
        <v>32</v>
      </c>
      <c r="B262" s="8" t="str" cm="1">
        <f t="array" ref="B262">_xlfn.IFS(A262 &lt;= 25, "[18-25]", A262 &lt;= 35, "[26-35]", A262 &lt;=45, "[36-45]", A262 &lt;= 60, "[46- 60]")</f>
        <v>[26-35]</v>
      </c>
      <c r="C262" s="3" t="s">
        <v>43</v>
      </c>
      <c r="D262">
        <f t="shared" si="4"/>
        <v>0</v>
      </c>
      <c r="E262" t="s">
        <v>44</v>
      </c>
      <c r="F262" s="1">
        <v>1311</v>
      </c>
      <c r="G262" s="3" t="s">
        <v>45</v>
      </c>
      <c r="H262" s="1">
        <v>7</v>
      </c>
      <c r="I262" s="9" t="str" cm="1">
        <f t="array" ref="I262">_xlfn.IFS(H262 &lt;= 2, "[1-2] very close", H262 &lt;= 10, "[3-10] close", H262 &lt;= 20, "[11-20] moderate", H262 &lt;= 30, "[21-30] far")</f>
        <v>[3-10] close</v>
      </c>
      <c r="J262" s="1">
        <v>3</v>
      </c>
      <c r="K262" s="3" t="s">
        <v>38</v>
      </c>
      <c r="L262" s="1">
        <v>1</v>
      </c>
      <c r="M262" s="1">
        <v>359</v>
      </c>
      <c r="N262" s="1">
        <v>2</v>
      </c>
      <c r="O262" s="3" t="s">
        <v>46</v>
      </c>
      <c r="P262" s="1">
        <v>100</v>
      </c>
      <c r="Q262" s="1">
        <v>4</v>
      </c>
      <c r="R262" s="1">
        <v>1</v>
      </c>
      <c r="S262" s="3" t="s">
        <v>50</v>
      </c>
      <c r="T262" s="1">
        <v>2</v>
      </c>
      <c r="U262" s="3" t="s">
        <v>48</v>
      </c>
      <c r="V262" s="4">
        <v>2794</v>
      </c>
      <c r="W262" s="1">
        <v>26062</v>
      </c>
      <c r="X262" s="1">
        <v>1</v>
      </c>
      <c r="Y262" s="3" t="s">
        <v>42</v>
      </c>
      <c r="Z262" s="3" t="s">
        <v>43</v>
      </c>
      <c r="AA262" s="5">
        <v>0.2</v>
      </c>
      <c r="AB262" s="10" t="str" cm="1">
        <f t="array" ref="AB262">_xlfn.IFS(AA262 &lt;= 15%, "Low Hike[11-15%]", AA262 &lt;= 20%, "Moderate Hike[16-20%]", AA262 &lt;= 25%,"High Hike[21-25%]")</f>
        <v>Moderate Hike[16-20%]</v>
      </c>
      <c r="AC262" s="1">
        <v>4</v>
      </c>
      <c r="AD262" s="1">
        <v>3</v>
      </c>
      <c r="AE262" s="1">
        <v>80</v>
      </c>
      <c r="AF262" s="1">
        <v>0</v>
      </c>
      <c r="AG262" s="1">
        <v>5</v>
      </c>
      <c r="AH262" s="9" t="str" cm="1">
        <f t="array" ref="AH262">_xlfn.IFS(AG262 &lt;= 5, "New[1-5]", AG262 &lt;= 10, "Early Career[6-10]", AG262 &lt;= 20, "Established[11-20]", AG262 &lt;= 30, "Veteran[21-30]", AG262 &lt;= 40, "Late Career[31-40]")</f>
        <v>New[1-5]</v>
      </c>
      <c r="AI262" s="1">
        <v>3</v>
      </c>
      <c r="AJ262" s="1">
        <v>1</v>
      </c>
      <c r="AK262" s="1">
        <v>5</v>
      </c>
      <c r="AL262" s="9" t="str" cm="1">
        <f t="array" ref="AL262">_xlfn.IFS(AK262 &lt;= 5, "New[1-5]", AK262 &lt;= 10, "Early Career[6-10]", AK262 &lt;= 20, "Established[11-20]", AK262 &lt;= 30, "Veteran[21-30]", AK262 &lt;= 40, "Late Career[31-40]")</f>
        <v>New[1-5]</v>
      </c>
      <c r="AM262" s="1">
        <v>1</v>
      </c>
      <c r="AN262" s="9" t="str" cm="1">
        <f t="array" ref="AN262">_xlfn.IFS(AM262 &lt;= 3, "New to Role[1-3]", AM262 &lt;= 7, "Settled[4-7]", AM262 &lt;= 12, "Experienced[[8-12]", AM262 &lt;= 18, "Long Tenured[13-18]")</f>
        <v>New to Role[1-3]</v>
      </c>
      <c r="AO262" s="1">
        <v>0</v>
      </c>
      <c r="AP262" s="9" t="str" cm="1">
        <f t="array" ref="AP262">_xlfn.IFS(AO262 &lt;= 3, "Recently[1-3]", AO262 &lt;= 6, "Due Soon[4-6]", AO262 &lt;= 10, "Overdue[7-10]", AO262 &lt;= 15, "Long Overdue[11-15]")</f>
        <v>Recently[1-3]</v>
      </c>
      <c r="AQ262" s="9" t="str" cm="1">
        <f t="array" ref="AQ262">_xlfn.IFS(AR262 &lt;= 3, "New Relationship[1-3]", AR262 &lt;= 7, "Established Relationship[4-7]", AR262 &lt;= 12, "Long Term Relationship[8-12]", AR262 &lt;= 17, "Very Long Term Relationship[13-17]")</f>
        <v>New Relationship[1-3]</v>
      </c>
      <c r="AR262" s="1">
        <v>3</v>
      </c>
    </row>
    <row r="263" spans="1:44" x14ac:dyDescent="0.25">
      <c r="A263" s="1">
        <v>38</v>
      </c>
      <c r="B263" s="8" t="str" cm="1">
        <f t="array" ref="B263">_xlfn.IFS(A263 &lt;= 25, "[18-25]", A263 &lt;= 35, "[26-35]", A263 &lt;=45, "[36-45]", A263 &lt;= 60, "[46- 60]")</f>
        <v>[36-45]</v>
      </c>
      <c r="C263" s="3" t="s">
        <v>43</v>
      </c>
      <c r="D263">
        <f t="shared" si="4"/>
        <v>0</v>
      </c>
      <c r="E263" t="s">
        <v>62</v>
      </c>
      <c r="F263" s="1">
        <v>1327</v>
      </c>
      <c r="G263" s="3" t="s">
        <v>37</v>
      </c>
      <c r="H263" s="1">
        <v>2</v>
      </c>
      <c r="I263" s="9" t="str" cm="1">
        <f t="array" ref="I263">_xlfn.IFS(H263 &lt;= 2, "[1-2] very close", H263 &lt;= 10, "[3-10] close", H263 &lt;= 20, "[11-20] moderate", H263 &lt;= 30, "[21-30] far")</f>
        <v>[1-2] very close</v>
      </c>
      <c r="J263" s="1">
        <v>2</v>
      </c>
      <c r="K263" s="3" t="s">
        <v>38</v>
      </c>
      <c r="L263" s="1">
        <v>1</v>
      </c>
      <c r="M263" s="1">
        <v>361</v>
      </c>
      <c r="N263" s="1">
        <v>4</v>
      </c>
      <c r="O263" s="3" t="s">
        <v>46</v>
      </c>
      <c r="P263" s="1">
        <v>39</v>
      </c>
      <c r="Q263" s="1">
        <v>2</v>
      </c>
      <c r="R263" s="1">
        <v>2</v>
      </c>
      <c r="S263" s="3" t="s">
        <v>40</v>
      </c>
      <c r="T263" s="1">
        <v>4</v>
      </c>
      <c r="U263" s="3" t="s">
        <v>48</v>
      </c>
      <c r="V263" s="4">
        <v>5249</v>
      </c>
      <c r="W263" s="1">
        <v>19682</v>
      </c>
      <c r="X263" s="1">
        <v>3</v>
      </c>
      <c r="Y263" s="3" t="s">
        <v>42</v>
      </c>
      <c r="Z263" s="3" t="s">
        <v>43</v>
      </c>
      <c r="AA263" s="5">
        <v>0.18</v>
      </c>
      <c r="AB263" s="10" t="str" cm="1">
        <f t="array" ref="AB263">_xlfn.IFS(AA263 &lt;= 15%, "Low Hike[11-15%]", AA263 &lt;= 20%, "Moderate Hike[16-20%]", AA263 &lt;= 25%,"High Hike[21-25%]")</f>
        <v>Moderate Hike[16-20%]</v>
      </c>
      <c r="AC263" s="1">
        <v>3</v>
      </c>
      <c r="AD263" s="1">
        <v>4</v>
      </c>
      <c r="AE263" s="1">
        <v>80</v>
      </c>
      <c r="AF263" s="1">
        <v>1</v>
      </c>
      <c r="AG263" s="1">
        <v>13</v>
      </c>
      <c r="AH263" s="9" t="str" cm="1">
        <f t="array" ref="AH263">_xlfn.IFS(AG263 &lt;= 5, "New[1-5]", AG263 &lt;= 10, "Early Career[6-10]", AG263 &lt;= 20, "Established[11-20]", AG263 &lt;= 30, "Veteran[21-30]", AG263 &lt;= 40, "Late Career[31-40]")</f>
        <v>Established[11-20]</v>
      </c>
      <c r="AI263" s="1">
        <v>0</v>
      </c>
      <c r="AJ263" s="1">
        <v>3</v>
      </c>
      <c r="AK263" s="1">
        <v>8</v>
      </c>
      <c r="AL263" s="9" t="str" cm="1">
        <f t="array" ref="AL263">_xlfn.IFS(AK263 &lt;= 5, "New[1-5]", AK263 &lt;= 10, "Early Career[6-10]", AK263 &lt;= 20, "Established[11-20]", AK263 &lt;= 30, "Veteran[21-30]", AK263 &lt;= 40, "Late Career[31-40]")</f>
        <v>Early Career[6-10]</v>
      </c>
      <c r="AM263" s="1">
        <v>7</v>
      </c>
      <c r="AN263" s="9" t="str" cm="1">
        <f t="array" ref="AN263">_xlfn.IFS(AM263 &lt;= 3, "New to Role[1-3]", AM263 &lt;= 7, "Settled[4-7]", AM263 &lt;= 12, "Experienced[[8-12]", AM263 &lt;= 18, "Long Tenured[13-18]")</f>
        <v>Settled[4-7]</v>
      </c>
      <c r="AO263" s="1">
        <v>7</v>
      </c>
      <c r="AP263" s="9" t="str" cm="1">
        <f t="array" ref="AP263">_xlfn.IFS(AO263 &lt;= 3, "Recently[1-3]", AO263 &lt;= 6, "Due Soon[4-6]", AO263 &lt;= 10, "Overdue[7-10]", AO263 &lt;= 15, "Long Overdue[11-15]")</f>
        <v>Overdue[7-10]</v>
      </c>
      <c r="AQ263" s="9" t="str" cm="1">
        <f t="array" ref="AQ263">_xlfn.IFS(AR263 &lt;= 3, "New Relationship[1-3]", AR263 &lt;= 7, "Established Relationship[4-7]", AR263 &lt;= 12, "Long Term Relationship[8-12]", AR263 &lt;= 17, "Very Long Term Relationship[13-17]")</f>
        <v>Established Relationship[4-7]</v>
      </c>
      <c r="AR263" s="1">
        <v>5</v>
      </c>
    </row>
    <row r="264" spans="1:44" x14ac:dyDescent="0.25">
      <c r="A264" s="1">
        <v>32</v>
      </c>
      <c r="B264" s="8" t="str" cm="1">
        <f t="array" ref="B264">_xlfn.IFS(A264 &lt;= 25, "[18-25]", A264 &lt;= 35, "[26-35]", A264 &lt;=45, "[36-45]", A264 &lt;= 60, "[46- 60]")</f>
        <v>[26-35]</v>
      </c>
      <c r="C264" s="3" t="s">
        <v>43</v>
      </c>
      <c r="D264">
        <f t="shared" si="4"/>
        <v>0</v>
      </c>
      <c r="E264" t="s">
        <v>36</v>
      </c>
      <c r="F264" s="1">
        <v>128</v>
      </c>
      <c r="G264" s="3" t="s">
        <v>45</v>
      </c>
      <c r="H264" s="1">
        <v>2</v>
      </c>
      <c r="I264" s="9" t="str" cm="1">
        <f t="array" ref="I264">_xlfn.IFS(H264 &lt;= 2, "[1-2] very close", H264 &lt;= 10, "[3-10] close", H264 &lt;= 20, "[11-20] moderate", H264 &lt;= 30, "[21-30] far")</f>
        <v>[1-2] very close</v>
      </c>
      <c r="J264" s="1">
        <v>1</v>
      </c>
      <c r="K264" s="3" t="s">
        <v>60</v>
      </c>
      <c r="L264" s="1">
        <v>1</v>
      </c>
      <c r="M264" s="1">
        <v>362</v>
      </c>
      <c r="N264" s="1">
        <v>4</v>
      </c>
      <c r="O264" s="3" t="s">
        <v>46</v>
      </c>
      <c r="P264" s="1">
        <v>84</v>
      </c>
      <c r="Q264" s="1">
        <v>2</v>
      </c>
      <c r="R264" s="1">
        <v>2</v>
      </c>
      <c r="S264" s="3" t="s">
        <v>50</v>
      </c>
      <c r="T264" s="1">
        <v>1</v>
      </c>
      <c r="U264" s="3" t="s">
        <v>41</v>
      </c>
      <c r="V264" s="4">
        <v>2176</v>
      </c>
      <c r="W264" s="1">
        <v>19737</v>
      </c>
      <c r="X264" s="1">
        <v>4</v>
      </c>
      <c r="Y264" s="3" t="s">
        <v>42</v>
      </c>
      <c r="Z264" s="3" t="s">
        <v>43</v>
      </c>
      <c r="AA264" s="5">
        <v>0.13</v>
      </c>
      <c r="AB264" s="10" t="str" cm="1">
        <f t="array" ref="AB264">_xlfn.IFS(AA264 &lt;= 15%, "Low Hike[11-15%]", AA264 &lt;= 20%, "Moderate Hike[16-20%]", AA264 &lt;= 25%,"High Hike[21-25%]")</f>
        <v>Low Hike[11-15%]</v>
      </c>
      <c r="AC264" s="1">
        <v>3</v>
      </c>
      <c r="AD264" s="1">
        <v>4</v>
      </c>
      <c r="AE264" s="1">
        <v>80</v>
      </c>
      <c r="AF264" s="1">
        <v>0</v>
      </c>
      <c r="AG264" s="1">
        <v>9</v>
      </c>
      <c r="AH264" s="9" t="str" cm="1">
        <f t="array" ref="AH264">_xlfn.IFS(AG264 &lt;= 5, "New[1-5]", AG264 &lt;= 10, "Early Career[6-10]", AG264 &lt;= 20, "Established[11-20]", AG264 &lt;= 30, "Veteran[21-30]", AG264 &lt;= 40, "Late Career[31-40]")</f>
        <v>Early Career[6-10]</v>
      </c>
      <c r="AI264" s="1">
        <v>5</v>
      </c>
      <c r="AJ264" s="1">
        <v>3</v>
      </c>
      <c r="AK264" s="1">
        <v>6</v>
      </c>
      <c r="AL264" s="9" t="str" cm="1">
        <f t="array" ref="AL264">_xlfn.IFS(AK264 &lt;= 5, "New[1-5]", AK264 &lt;= 10, "Early Career[6-10]", AK264 &lt;= 20, "Established[11-20]", AK264 &lt;= 30, "Veteran[21-30]", AK264 &lt;= 40, "Late Career[31-40]")</f>
        <v>Early Career[6-10]</v>
      </c>
      <c r="AM264" s="1">
        <v>2</v>
      </c>
      <c r="AN264" s="9" t="str" cm="1">
        <f t="array" ref="AN264">_xlfn.IFS(AM264 &lt;= 3, "New to Role[1-3]", AM264 &lt;= 7, "Settled[4-7]", AM264 &lt;= 12, "Experienced[[8-12]", AM264 &lt;= 18, "Long Tenured[13-18]")</f>
        <v>New to Role[1-3]</v>
      </c>
      <c r="AO264" s="1">
        <v>0</v>
      </c>
      <c r="AP264" s="9" t="str" cm="1">
        <f t="array" ref="AP264">_xlfn.IFS(AO264 &lt;= 3, "Recently[1-3]", AO264 &lt;= 6, "Due Soon[4-6]", AO264 &lt;= 10, "Overdue[7-10]", AO264 &lt;= 15, "Long Overdue[11-15]")</f>
        <v>Recently[1-3]</v>
      </c>
      <c r="AQ264" s="9" t="str" cm="1">
        <f t="array" ref="AQ264">_xlfn.IFS(AR264 &lt;= 3, "New Relationship[1-3]", AR264 &lt;= 7, "Established Relationship[4-7]", AR264 &lt;= 12, "Long Term Relationship[8-12]", AR264 &lt;= 17, "Very Long Term Relationship[13-17]")</f>
        <v>Established Relationship[4-7]</v>
      </c>
      <c r="AR264" s="1">
        <v>4</v>
      </c>
    </row>
    <row r="265" spans="1:44" x14ac:dyDescent="0.25">
      <c r="A265" s="1">
        <v>46</v>
      </c>
      <c r="B265" s="8" t="str" cm="1">
        <f t="array" ref="B265">_xlfn.IFS(A265 &lt;= 25, "[18-25]", A265 &lt;= 35, "[26-35]", A265 &lt;=45, "[36-45]", A265 &lt;= 60, "[46- 60]")</f>
        <v>[46- 60]</v>
      </c>
      <c r="C265" s="3" t="s">
        <v>43</v>
      </c>
      <c r="D265">
        <f t="shared" si="4"/>
        <v>0</v>
      </c>
      <c r="E265" t="s">
        <v>36</v>
      </c>
      <c r="F265" s="1">
        <v>488</v>
      </c>
      <c r="G265" s="3" t="s">
        <v>37</v>
      </c>
      <c r="H265" s="1">
        <v>2</v>
      </c>
      <c r="I265" s="9" t="str" cm="1">
        <f t="array" ref="I265">_xlfn.IFS(H265 &lt;= 2, "[1-2] very close", H265 &lt;= 10, "[3-10] close", H265 &lt;= 20, "[11-20] moderate", H265 &lt;= 30, "[21-30] far")</f>
        <v>[1-2] very close</v>
      </c>
      <c r="J265" s="1">
        <v>3</v>
      </c>
      <c r="K265" s="3" t="s">
        <v>60</v>
      </c>
      <c r="L265" s="1">
        <v>1</v>
      </c>
      <c r="M265" s="1">
        <v>363</v>
      </c>
      <c r="N265" s="1">
        <v>3</v>
      </c>
      <c r="O265" s="3" t="s">
        <v>39</v>
      </c>
      <c r="P265" s="1">
        <v>75</v>
      </c>
      <c r="Q265" s="1">
        <v>1</v>
      </c>
      <c r="R265" s="1">
        <v>4</v>
      </c>
      <c r="S265" s="3" t="s">
        <v>56</v>
      </c>
      <c r="T265" s="1">
        <v>2</v>
      </c>
      <c r="U265" s="3" t="s">
        <v>48</v>
      </c>
      <c r="V265" s="4">
        <v>16872</v>
      </c>
      <c r="W265" s="1">
        <v>14977</v>
      </c>
      <c r="X265" s="1">
        <v>3</v>
      </c>
      <c r="Y265" s="3" t="s">
        <v>42</v>
      </c>
      <c r="Z265" s="3" t="s">
        <v>35</v>
      </c>
      <c r="AA265" s="5">
        <v>0.12</v>
      </c>
      <c r="AB265" s="10" t="str" cm="1">
        <f t="array" ref="AB265">_xlfn.IFS(AA265 &lt;= 15%, "Low Hike[11-15%]", AA265 &lt;= 20%, "Moderate Hike[16-20%]", AA265 &lt;= 25%,"High Hike[21-25%]")</f>
        <v>Low Hike[11-15%]</v>
      </c>
      <c r="AC265" s="1">
        <v>3</v>
      </c>
      <c r="AD265" s="1">
        <v>2</v>
      </c>
      <c r="AE265" s="1">
        <v>80</v>
      </c>
      <c r="AF265" s="1">
        <v>1</v>
      </c>
      <c r="AG265" s="1">
        <v>28</v>
      </c>
      <c r="AH265" s="9" t="str" cm="1">
        <f t="array" ref="AH265">_xlfn.IFS(AG265 &lt;= 5, "New[1-5]", AG265 &lt;= 10, "Early Career[6-10]", AG265 &lt;= 20, "Established[11-20]", AG265 &lt;= 30, "Veteran[21-30]", AG265 &lt;= 40, "Late Career[31-40]")</f>
        <v>Veteran[21-30]</v>
      </c>
      <c r="AI265" s="1">
        <v>2</v>
      </c>
      <c r="AJ265" s="1">
        <v>2</v>
      </c>
      <c r="AK265" s="1">
        <v>7</v>
      </c>
      <c r="AL265" s="9" t="str" cm="1">
        <f t="array" ref="AL265">_xlfn.IFS(AK265 &lt;= 5, "New[1-5]", AK265 &lt;= 10, "Early Career[6-10]", AK265 &lt;= 20, "Established[11-20]", AK265 &lt;= 30, "Veteran[21-30]", AK265 &lt;= 40, "Late Career[31-40]")</f>
        <v>Early Career[6-10]</v>
      </c>
      <c r="AM265" s="1">
        <v>7</v>
      </c>
      <c r="AN265" s="9" t="str" cm="1">
        <f t="array" ref="AN265">_xlfn.IFS(AM265 &lt;= 3, "New to Role[1-3]", AM265 &lt;= 7, "Settled[4-7]", AM265 &lt;= 12, "Experienced[[8-12]", AM265 &lt;= 18, "Long Tenured[13-18]")</f>
        <v>Settled[4-7]</v>
      </c>
      <c r="AO265" s="1">
        <v>7</v>
      </c>
      <c r="AP265" s="9" t="str" cm="1">
        <f t="array" ref="AP265">_xlfn.IFS(AO265 &lt;= 3, "Recently[1-3]", AO265 &lt;= 6, "Due Soon[4-6]", AO265 &lt;= 10, "Overdue[7-10]", AO265 &lt;= 15, "Long Overdue[11-15]")</f>
        <v>Overdue[7-10]</v>
      </c>
      <c r="AQ265" s="9" t="str" cm="1">
        <f t="array" ref="AQ265">_xlfn.IFS(AR265 &lt;= 3, "New Relationship[1-3]", AR265 &lt;= 7, "Established Relationship[4-7]", AR265 &lt;= 12, "Long Term Relationship[8-12]", AR265 &lt;= 17, "Very Long Term Relationship[13-17]")</f>
        <v>Established Relationship[4-7]</v>
      </c>
      <c r="AR265" s="1">
        <v>7</v>
      </c>
    </row>
    <row r="266" spans="1:44" x14ac:dyDescent="0.25">
      <c r="A266" s="1">
        <v>28</v>
      </c>
      <c r="B266" s="8" t="str" cm="1">
        <f t="array" ref="B266">_xlfn.IFS(A266 &lt;= 25, "[18-25]", A266 &lt;= 35, "[26-35]", A266 &lt;=45, "[36-45]", A266 &lt;= 60, "[46- 60]")</f>
        <v>[26-35]</v>
      </c>
      <c r="C266" s="3" t="s">
        <v>35</v>
      </c>
      <c r="D266">
        <f t="shared" si="4"/>
        <v>1</v>
      </c>
      <c r="E266" t="s">
        <v>36</v>
      </c>
      <c r="F266" s="1">
        <v>529</v>
      </c>
      <c r="G266" s="3" t="s">
        <v>45</v>
      </c>
      <c r="H266" s="1">
        <v>2</v>
      </c>
      <c r="I266" s="9" t="str" cm="1">
        <f t="array" ref="I266">_xlfn.IFS(H266 &lt;= 2, "[1-2] very close", H266 &lt;= 10, "[3-10] close", H266 &lt;= 20, "[11-20] moderate", H266 &lt;= 30, "[21-30] far")</f>
        <v>[1-2] very close</v>
      </c>
      <c r="J266" s="1">
        <v>4</v>
      </c>
      <c r="K266" s="3" t="s">
        <v>38</v>
      </c>
      <c r="L266" s="1">
        <v>1</v>
      </c>
      <c r="M266" s="1">
        <v>364</v>
      </c>
      <c r="N266" s="1">
        <v>1</v>
      </c>
      <c r="O266" s="3" t="s">
        <v>46</v>
      </c>
      <c r="P266" s="1">
        <v>79</v>
      </c>
      <c r="Q266" s="1">
        <v>3</v>
      </c>
      <c r="R266" s="1">
        <v>1</v>
      </c>
      <c r="S266" s="3" t="s">
        <v>50</v>
      </c>
      <c r="T266" s="1">
        <v>3</v>
      </c>
      <c r="U266" s="3" t="s">
        <v>41</v>
      </c>
      <c r="V266" s="4">
        <v>3485</v>
      </c>
      <c r="W266" s="1">
        <v>14935</v>
      </c>
      <c r="X266" s="1">
        <v>2</v>
      </c>
      <c r="Y266" s="3" t="s">
        <v>42</v>
      </c>
      <c r="Z266" s="3" t="s">
        <v>43</v>
      </c>
      <c r="AA266" s="5">
        <v>0.11</v>
      </c>
      <c r="AB266" s="10" t="str" cm="1">
        <f t="array" ref="AB266">_xlfn.IFS(AA266 &lt;= 15%, "Low Hike[11-15%]", AA266 &lt;= 20%, "Moderate Hike[16-20%]", AA266 &lt;= 25%,"High Hike[21-25%]")</f>
        <v>Low Hike[11-15%]</v>
      </c>
      <c r="AC266" s="1">
        <v>3</v>
      </c>
      <c r="AD266" s="1">
        <v>3</v>
      </c>
      <c r="AE266" s="1">
        <v>80</v>
      </c>
      <c r="AF266" s="1">
        <v>0</v>
      </c>
      <c r="AG266" s="1">
        <v>5</v>
      </c>
      <c r="AH266" s="9" t="str" cm="1">
        <f t="array" ref="AH266">_xlfn.IFS(AG266 &lt;= 5, "New[1-5]", AG266 &lt;= 10, "Early Career[6-10]", AG266 &lt;= 20, "Established[11-20]", AG266 &lt;= 30, "Veteran[21-30]", AG266 &lt;= 40, "Late Career[31-40]")</f>
        <v>New[1-5]</v>
      </c>
      <c r="AI266" s="1">
        <v>5</v>
      </c>
      <c r="AJ266" s="1">
        <v>1</v>
      </c>
      <c r="AK266" s="1">
        <v>0</v>
      </c>
      <c r="AL266" s="9" t="str" cm="1">
        <f t="array" ref="AL266">_xlfn.IFS(AK266 &lt;= 5, "New[1-5]", AK266 &lt;= 10, "Early Career[6-10]", AK266 &lt;= 20, "Established[11-20]", AK266 &lt;= 30, "Veteran[21-30]", AK266 &lt;= 40, "Late Career[31-40]")</f>
        <v>New[1-5]</v>
      </c>
      <c r="AM266" s="1">
        <v>0</v>
      </c>
      <c r="AN266" s="9" t="str" cm="1">
        <f t="array" ref="AN266">_xlfn.IFS(AM266 &lt;= 3, "New to Role[1-3]", AM266 &lt;= 7, "Settled[4-7]", AM266 &lt;= 12, "Experienced[[8-12]", AM266 &lt;= 18, "Long Tenured[13-18]")</f>
        <v>New to Role[1-3]</v>
      </c>
      <c r="AO266" s="1">
        <v>0</v>
      </c>
      <c r="AP266" s="9" t="str" cm="1">
        <f t="array" ref="AP266">_xlfn.IFS(AO266 &lt;= 3, "Recently[1-3]", AO266 &lt;= 6, "Due Soon[4-6]", AO266 &lt;= 10, "Overdue[7-10]", AO266 &lt;= 15, "Long Overdue[11-15]")</f>
        <v>Recently[1-3]</v>
      </c>
      <c r="AQ266" s="9" t="str" cm="1">
        <f t="array" ref="AQ266">_xlfn.IFS(AR266 &lt;= 3, "New Relationship[1-3]", AR266 &lt;= 7, "Established Relationship[4-7]", AR266 &lt;= 12, "Long Term Relationship[8-12]", AR266 &lt;= 17, "Very Long Term Relationship[13-17]")</f>
        <v>New Relationship[1-3]</v>
      </c>
      <c r="AR266" s="1">
        <v>0</v>
      </c>
    </row>
    <row r="267" spans="1:44" x14ac:dyDescent="0.25">
      <c r="A267" s="1">
        <v>29</v>
      </c>
      <c r="B267" s="8" t="str" cm="1">
        <f t="array" ref="B267">_xlfn.IFS(A267 &lt;= 25, "[18-25]", A267 &lt;= 35, "[26-35]", A267 &lt;=45, "[36-45]", A267 &lt;= 60, "[46- 60]")</f>
        <v>[26-35]</v>
      </c>
      <c r="C267" s="3" t="s">
        <v>43</v>
      </c>
      <c r="D267">
        <f t="shared" si="4"/>
        <v>0</v>
      </c>
      <c r="E267" t="s">
        <v>36</v>
      </c>
      <c r="F267" s="1">
        <v>1210</v>
      </c>
      <c r="G267" s="3" t="s">
        <v>37</v>
      </c>
      <c r="H267" s="1">
        <v>2</v>
      </c>
      <c r="I267" s="9" t="str" cm="1">
        <f t="array" ref="I267">_xlfn.IFS(H267 &lt;= 2, "[1-2] very close", H267 &lt;= 10, "[3-10] close", H267 &lt;= 20, "[11-20] moderate", H267 &lt;= 30, "[21-30] far")</f>
        <v>[1-2] very close</v>
      </c>
      <c r="J267" s="1">
        <v>3</v>
      </c>
      <c r="K267" s="3" t="s">
        <v>51</v>
      </c>
      <c r="L267" s="1">
        <v>1</v>
      </c>
      <c r="M267" s="1">
        <v>366</v>
      </c>
      <c r="N267" s="1">
        <v>1</v>
      </c>
      <c r="O267" s="3" t="s">
        <v>46</v>
      </c>
      <c r="P267" s="1">
        <v>78</v>
      </c>
      <c r="Q267" s="1">
        <v>2</v>
      </c>
      <c r="R267" s="1">
        <v>2</v>
      </c>
      <c r="S267" s="3" t="s">
        <v>40</v>
      </c>
      <c r="T267" s="1">
        <v>2</v>
      </c>
      <c r="U267" s="3" t="s">
        <v>48</v>
      </c>
      <c r="V267" s="4">
        <v>6644</v>
      </c>
      <c r="W267" s="1">
        <v>3687</v>
      </c>
      <c r="X267" s="1">
        <v>2</v>
      </c>
      <c r="Y267" s="3" t="s">
        <v>42</v>
      </c>
      <c r="Z267" s="3" t="s">
        <v>43</v>
      </c>
      <c r="AA267" s="5">
        <v>0.19</v>
      </c>
      <c r="AB267" s="10" t="str" cm="1">
        <f t="array" ref="AB267">_xlfn.IFS(AA267 &lt;= 15%, "Low Hike[11-15%]", AA267 &lt;= 20%, "Moderate Hike[16-20%]", AA267 &lt;= 25%,"High Hike[21-25%]")</f>
        <v>Moderate Hike[16-20%]</v>
      </c>
      <c r="AC267" s="1">
        <v>3</v>
      </c>
      <c r="AD267" s="1">
        <v>2</v>
      </c>
      <c r="AE267" s="1">
        <v>80</v>
      </c>
      <c r="AF267" s="1">
        <v>2</v>
      </c>
      <c r="AG267" s="1">
        <v>10</v>
      </c>
      <c r="AH267" s="9" t="str" cm="1">
        <f t="array" ref="AH267">_xlfn.IFS(AG267 &lt;= 5, "New[1-5]", AG267 &lt;= 10, "Early Career[6-10]", AG267 &lt;= 20, "Established[11-20]", AG267 &lt;= 30, "Veteran[21-30]", AG267 &lt;= 40, "Late Career[31-40]")</f>
        <v>Early Career[6-10]</v>
      </c>
      <c r="AI267" s="1">
        <v>2</v>
      </c>
      <c r="AJ267" s="1">
        <v>3</v>
      </c>
      <c r="AK267" s="1">
        <v>0</v>
      </c>
      <c r="AL267" s="9" t="str" cm="1">
        <f t="array" ref="AL267">_xlfn.IFS(AK267 &lt;= 5, "New[1-5]", AK267 &lt;= 10, "Early Career[6-10]", AK267 &lt;= 20, "Established[11-20]", AK267 &lt;= 30, "Veteran[21-30]", AK267 &lt;= 40, "Late Career[31-40]")</f>
        <v>New[1-5]</v>
      </c>
      <c r="AM267" s="1">
        <v>0</v>
      </c>
      <c r="AN267" s="9" t="str" cm="1">
        <f t="array" ref="AN267">_xlfn.IFS(AM267 &lt;= 3, "New to Role[1-3]", AM267 &lt;= 7, "Settled[4-7]", AM267 &lt;= 12, "Experienced[[8-12]", AM267 &lt;= 18, "Long Tenured[13-18]")</f>
        <v>New to Role[1-3]</v>
      </c>
      <c r="AO267" s="1">
        <v>0</v>
      </c>
      <c r="AP267" s="9" t="str" cm="1">
        <f t="array" ref="AP267">_xlfn.IFS(AO267 &lt;= 3, "Recently[1-3]", AO267 &lt;= 6, "Due Soon[4-6]", AO267 &lt;= 10, "Overdue[7-10]", AO267 &lt;= 15, "Long Overdue[11-15]")</f>
        <v>Recently[1-3]</v>
      </c>
      <c r="AQ267" s="9" t="str" cm="1">
        <f t="array" ref="AQ267">_xlfn.IFS(AR267 &lt;= 3, "New Relationship[1-3]", AR267 &lt;= 7, "Established Relationship[4-7]", AR267 &lt;= 12, "Long Term Relationship[8-12]", AR267 &lt;= 17, "Very Long Term Relationship[13-17]")</f>
        <v>New Relationship[1-3]</v>
      </c>
      <c r="AR267" s="1">
        <v>0</v>
      </c>
    </row>
    <row r="268" spans="1:44" x14ac:dyDescent="0.25">
      <c r="A268" s="1">
        <v>31</v>
      </c>
      <c r="B268" s="8" t="str" cm="1">
        <f t="array" ref="B268">_xlfn.IFS(A268 &lt;= 25, "[18-25]", A268 &lt;= 35, "[26-35]", A268 &lt;=45, "[36-45]", A268 &lt;= 60, "[46- 60]")</f>
        <v>[26-35]</v>
      </c>
      <c r="C268" s="3" t="s">
        <v>43</v>
      </c>
      <c r="D268">
        <f t="shared" si="4"/>
        <v>0</v>
      </c>
      <c r="E268" t="s">
        <v>36</v>
      </c>
      <c r="F268" s="1">
        <v>1463</v>
      </c>
      <c r="G268" s="3" t="s">
        <v>45</v>
      </c>
      <c r="H268" s="1">
        <v>23</v>
      </c>
      <c r="I268" s="9" t="str" cm="1">
        <f t="array" ref="I268">_xlfn.IFS(H268 &lt;= 2, "[1-2] very close", H268 &lt;= 10, "[3-10] close", H268 &lt;= 20, "[11-20] moderate", H268 &lt;= 30, "[21-30] far")</f>
        <v>[21-30] far</v>
      </c>
      <c r="J268" s="1">
        <v>3</v>
      </c>
      <c r="K268" s="3" t="s">
        <v>51</v>
      </c>
      <c r="L268" s="1">
        <v>1</v>
      </c>
      <c r="M268" s="1">
        <v>367</v>
      </c>
      <c r="N268" s="1">
        <v>2</v>
      </c>
      <c r="O268" s="3" t="s">
        <v>46</v>
      </c>
      <c r="P268" s="1">
        <v>64</v>
      </c>
      <c r="Q268" s="1">
        <v>2</v>
      </c>
      <c r="R268" s="1">
        <v>2</v>
      </c>
      <c r="S268" s="3" t="s">
        <v>54</v>
      </c>
      <c r="T268" s="1">
        <v>4</v>
      </c>
      <c r="U268" s="3" t="s">
        <v>48</v>
      </c>
      <c r="V268" s="4">
        <v>5582</v>
      </c>
      <c r="W268" s="1">
        <v>14408</v>
      </c>
      <c r="X268" s="1">
        <v>0</v>
      </c>
      <c r="Y268" s="3" t="s">
        <v>42</v>
      </c>
      <c r="Z268" s="3" t="s">
        <v>43</v>
      </c>
      <c r="AA268" s="5">
        <v>0.21</v>
      </c>
      <c r="AB268" s="10" t="str" cm="1">
        <f t="array" ref="AB268">_xlfn.IFS(AA268 &lt;= 15%, "Low Hike[11-15%]", AA268 &lt;= 20%, "Moderate Hike[16-20%]", AA268 &lt;= 25%,"High Hike[21-25%]")</f>
        <v>High Hike[21-25%]</v>
      </c>
      <c r="AC268" s="1">
        <v>4</v>
      </c>
      <c r="AD268" s="1">
        <v>2</v>
      </c>
      <c r="AE268" s="1">
        <v>80</v>
      </c>
      <c r="AF268" s="1">
        <v>1</v>
      </c>
      <c r="AG268" s="1">
        <v>10</v>
      </c>
      <c r="AH268" s="9" t="str" cm="1">
        <f t="array" ref="AH268">_xlfn.IFS(AG268 &lt;= 5, "New[1-5]", AG268 &lt;= 10, "Early Career[6-10]", AG268 &lt;= 20, "Established[11-20]", AG268 &lt;= 30, "Veteran[21-30]", AG268 &lt;= 40, "Late Career[31-40]")</f>
        <v>Early Career[6-10]</v>
      </c>
      <c r="AI268" s="1">
        <v>2</v>
      </c>
      <c r="AJ268" s="1">
        <v>3</v>
      </c>
      <c r="AK268" s="1">
        <v>9</v>
      </c>
      <c r="AL268" s="9" t="str" cm="1">
        <f t="array" ref="AL268">_xlfn.IFS(AK268 &lt;= 5, "New[1-5]", AK268 &lt;= 10, "Early Career[6-10]", AK268 &lt;= 20, "Established[11-20]", AK268 &lt;= 30, "Veteran[21-30]", AK268 &lt;= 40, "Late Career[31-40]")</f>
        <v>Early Career[6-10]</v>
      </c>
      <c r="AM268" s="1">
        <v>0</v>
      </c>
      <c r="AN268" s="9" t="str" cm="1">
        <f t="array" ref="AN268">_xlfn.IFS(AM268 &lt;= 3, "New to Role[1-3]", AM268 &lt;= 7, "Settled[4-7]", AM268 &lt;= 12, "Experienced[[8-12]", AM268 &lt;= 18, "Long Tenured[13-18]")</f>
        <v>New to Role[1-3]</v>
      </c>
      <c r="AO268" s="1">
        <v>7</v>
      </c>
      <c r="AP268" s="9" t="str" cm="1">
        <f t="array" ref="AP268">_xlfn.IFS(AO268 &lt;= 3, "Recently[1-3]", AO268 &lt;= 6, "Due Soon[4-6]", AO268 &lt;= 10, "Overdue[7-10]", AO268 &lt;= 15, "Long Overdue[11-15]")</f>
        <v>Overdue[7-10]</v>
      </c>
      <c r="AQ268" s="9" t="str" cm="1">
        <f t="array" ref="AQ268">_xlfn.IFS(AR268 &lt;= 3, "New Relationship[1-3]", AR268 &lt;= 7, "Established Relationship[4-7]", AR268 &lt;= 12, "Long Term Relationship[8-12]", AR268 &lt;= 17, "Very Long Term Relationship[13-17]")</f>
        <v>Long Term Relationship[8-12]</v>
      </c>
      <c r="AR268" s="1">
        <v>8</v>
      </c>
    </row>
    <row r="269" spans="1:44" x14ac:dyDescent="0.25">
      <c r="A269" s="1">
        <v>25</v>
      </c>
      <c r="B269" s="8" t="str" cm="1">
        <f t="array" ref="B269">_xlfn.IFS(A269 &lt;= 25, "[18-25]", A269 &lt;= 35, "[26-35]", A269 &lt;=45, "[36-45]", A269 &lt;= 60, "[46- 60]")</f>
        <v>[18-25]</v>
      </c>
      <c r="C269" s="3" t="s">
        <v>43</v>
      </c>
      <c r="D269">
        <f t="shared" si="4"/>
        <v>0</v>
      </c>
      <c r="E269" t="s">
        <v>62</v>
      </c>
      <c r="F269" s="1">
        <v>675</v>
      </c>
      <c r="G269" s="3" t="s">
        <v>45</v>
      </c>
      <c r="H269" s="1">
        <v>5</v>
      </c>
      <c r="I269" s="9" t="str" cm="1">
        <f t="array" ref="I269">_xlfn.IFS(H269 &lt;= 2, "[1-2] very close", H269 &lt;= 10, "[3-10] close", H269 &lt;= 20, "[11-20] moderate", H269 &lt;= 30, "[21-30] far")</f>
        <v>[3-10] close</v>
      </c>
      <c r="J269" s="1">
        <v>2</v>
      </c>
      <c r="K269" s="3" t="s">
        <v>38</v>
      </c>
      <c r="L269" s="1">
        <v>1</v>
      </c>
      <c r="M269" s="1">
        <v>369</v>
      </c>
      <c r="N269" s="1">
        <v>2</v>
      </c>
      <c r="O269" s="3" t="s">
        <v>46</v>
      </c>
      <c r="P269" s="1">
        <v>85</v>
      </c>
      <c r="Q269" s="1">
        <v>4</v>
      </c>
      <c r="R269" s="1">
        <v>2</v>
      </c>
      <c r="S269" s="3" t="s">
        <v>54</v>
      </c>
      <c r="T269" s="1">
        <v>1</v>
      </c>
      <c r="U269" s="3" t="s">
        <v>52</v>
      </c>
      <c r="V269" s="4">
        <v>4000</v>
      </c>
      <c r="W269" s="1">
        <v>18384</v>
      </c>
      <c r="X269" s="1">
        <v>1</v>
      </c>
      <c r="Y269" s="3" t="s">
        <v>42</v>
      </c>
      <c r="Z269" s="3" t="s">
        <v>43</v>
      </c>
      <c r="AA269" s="5">
        <v>0.12</v>
      </c>
      <c r="AB269" s="10" t="str" cm="1">
        <f t="array" ref="AB269">_xlfn.IFS(AA269 &lt;= 15%, "Low Hike[11-15%]", AA269 &lt;= 20%, "Moderate Hike[16-20%]", AA269 &lt;= 25%,"High Hike[21-25%]")</f>
        <v>Low Hike[11-15%]</v>
      </c>
      <c r="AC269" s="1">
        <v>3</v>
      </c>
      <c r="AD269" s="1">
        <v>4</v>
      </c>
      <c r="AE269" s="1">
        <v>80</v>
      </c>
      <c r="AF269" s="1">
        <v>2</v>
      </c>
      <c r="AG269" s="1">
        <v>6</v>
      </c>
      <c r="AH269" s="9" t="str" cm="1">
        <f t="array" ref="AH269">_xlfn.IFS(AG269 &lt;= 5, "New[1-5]", AG269 &lt;= 10, "Early Career[6-10]", AG269 &lt;= 20, "Established[11-20]", AG269 &lt;= 30, "Veteran[21-30]", AG269 &lt;= 40, "Late Career[31-40]")</f>
        <v>Early Career[6-10]</v>
      </c>
      <c r="AI269" s="1">
        <v>2</v>
      </c>
      <c r="AJ269" s="1">
        <v>3</v>
      </c>
      <c r="AK269" s="1">
        <v>6</v>
      </c>
      <c r="AL269" s="9" t="str" cm="1">
        <f t="array" ref="AL269">_xlfn.IFS(AK269 &lt;= 5, "New[1-5]", AK269 &lt;= 10, "Early Career[6-10]", AK269 &lt;= 20, "Established[11-20]", AK269 &lt;= 30, "Veteran[21-30]", AK269 &lt;= 40, "Late Career[31-40]")</f>
        <v>Early Career[6-10]</v>
      </c>
      <c r="AM269" s="1">
        <v>3</v>
      </c>
      <c r="AN269" s="9" t="str" cm="1">
        <f t="array" ref="AN269">_xlfn.IFS(AM269 &lt;= 3, "New to Role[1-3]", AM269 &lt;= 7, "Settled[4-7]", AM269 &lt;= 12, "Experienced[[8-12]", AM269 &lt;= 18, "Long Tenured[13-18]")</f>
        <v>New to Role[1-3]</v>
      </c>
      <c r="AO269" s="1">
        <v>1</v>
      </c>
      <c r="AP269" s="9" t="str" cm="1">
        <f t="array" ref="AP269">_xlfn.IFS(AO269 &lt;= 3, "Recently[1-3]", AO269 &lt;= 6, "Due Soon[4-6]", AO269 &lt;= 10, "Overdue[7-10]", AO269 &lt;= 15, "Long Overdue[11-15]")</f>
        <v>Recently[1-3]</v>
      </c>
      <c r="AQ269" s="9" t="str" cm="1">
        <f t="array" ref="AQ269">_xlfn.IFS(AR269 &lt;= 3, "New Relationship[1-3]", AR269 &lt;= 7, "Established Relationship[4-7]", AR269 &lt;= 12, "Long Term Relationship[8-12]", AR269 &lt;= 17, "Very Long Term Relationship[13-17]")</f>
        <v>Established Relationship[4-7]</v>
      </c>
      <c r="AR269" s="1">
        <v>5</v>
      </c>
    </row>
    <row r="270" spans="1:44" x14ac:dyDescent="0.25">
      <c r="A270" s="1">
        <v>45</v>
      </c>
      <c r="B270" s="8" t="str" cm="1">
        <f t="array" ref="B270">_xlfn.IFS(A270 &lt;= 25, "[18-25]", A270 &lt;= 35, "[26-35]", A270 &lt;=45, "[36-45]", A270 &lt;= 60, "[46- 60]")</f>
        <v>[36-45]</v>
      </c>
      <c r="C270" s="3" t="s">
        <v>43</v>
      </c>
      <c r="D270">
        <f t="shared" si="4"/>
        <v>0</v>
      </c>
      <c r="E270" t="s">
        <v>36</v>
      </c>
      <c r="F270" s="1">
        <v>1385</v>
      </c>
      <c r="G270" s="3" t="s">
        <v>45</v>
      </c>
      <c r="H270" s="1">
        <v>20</v>
      </c>
      <c r="I270" s="9" t="str" cm="1">
        <f t="array" ref="I270">_xlfn.IFS(H270 &lt;= 2, "[1-2] very close", H270 &lt;= 10, "[3-10] close", H270 &lt;= 20, "[11-20] moderate", H270 &lt;= 30, "[21-30] far")</f>
        <v>[11-20] moderate</v>
      </c>
      <c r="J270" s="1">
        <v>2</v>
      </c>
      <c r="K270" s="3" t="s">
        <v>51</v>
      </c>
      <c r="L270" s="1">
        <v>1</v>
      </c>
      <c r="M270" s="1">
        <v>372</v>
      </c>
      <c r="N270" s="1">
        <v>3</v>
      </c>
      <c r="O270" s="3" t="s">
        <v>46</v>
      </c>
      <c r="P270" s="1">
        <v>79</v>
      </c>
      <c r="Q270" s="1">
        <v>3</v>
      </c>
      <c r="R270" s="1">
        <v>4</v>
      </c>
      <c r="S270" s="3" t="s">
        <v>54</v>
      </c>
      <c r="T270" s="1">
        <v>4</v>
      </c>
      <c r="U270" s="3" t="s">
        <v>48</v>
      </c>
      <c r="V270" s="4">
        <v>13496</v>
      </c>
      <c r="W270" s="1">
        <v>7501</v>
      </c>
      <c r="X270" s="1">
        <v>0</v>
      </c>
      <c r="Y270" s="3" t="s">
        <v>42</v>
      </c>
      <c r="Z270" s="3" t="s">
        <v>35</v>
      </c>
      <c r="AA270" s="5">
        <v>0.14000000000000001</v>
      </c>
      <c r="AB270" s="10" t="str" cm="1">
        <f t="array" ref="AB270">_xlfn.IFS(AA270 &lt;= 15%, "Low Hike[11-15%]", AA270 &lt;= 20%, "Moderate Hike[16-20%]", AA270 &lt;= 25%,"High Hike[21-25%]")</f>
        <v>Low Hike[11-15%]</v>
      </c>
      <c r="AC270" s="1">
        <v>3</v>
      </c>
      <c r="AD270" s="1">
        <v>2</v>
      </c>
      <c r="AE270" s="1">
        <v>80</v>
      </c>
      <c r="AF270" s="1">
        <v>0</v>
      </c>
      <c r="AG270" s="1">
        <v>21</v>
      </c>
      <c r="AH270" s="9" t="str" cm="1">
        <f t="array" ref="AH270">_xlfn.IFS(AG270 &lt;= 5, "New[1-5]", AG270 &lt;= 10, "Early Career[6-10]", AG270 &lt;= 20, "Established[11-20]", AG270 &lt;= 30, "Veteran[21-30]", AG270 &lt;= 40, "Late Career[31-40]")</f>
        <v>Veteran[21-30]</v>
      </c>
      <c r="AI270" s="1">
        <v>2</v>
      </c>
      <c r="AJ270" s="1">
        <v>3</v>
      </c>
      <c r="AK270" s="1">
        <v>20</v>
      </c>
      <c r="AL270" s="9" t="str" cm="1">
        <f t="array" ref="AL270">_xlfn.IFS(AK270 &lt;= 5, "New[1-5]", AK270 &lt;= 10, "Early Career[6-10]", AK270 &lt;= 20, "Established[11-20]", AK270 &lt;= 30, "Veteran[21-30]", AK270 &lt;= 40, "Late Career[31-40]")</f>
        <v>Established[11-20]</v>
      </c>
      <c r="AM270" s="1">
        <v>7</v>
      </c>
      <c r="AN270" s="9" t="str" cm="1">
        <f t="array" ref="AN270">_xlfn.IFS(AM270 &lt;= 3, "New to Role[1-3]", AM270 &lt;= 7, "Settled[4-7]", AM270 &lt;= 12, "Experienced[[8-12]", AM270 &lt;= 18, "Long Tenured[13-18]")</f>
        <v>Settled[4-7]</v>
      </c>
      <c r="AO270" s="1">
        <v>4</v>
      </c>
      <c r="AP270" s="9" t="str" cm="1">
        <f t="array" ref="AP270">_xlfn.IFS(AO270 &lt;= 3, "Recently[1-3]", AO270 &lt;= 6, "Due Soon[4-6]", AO270 &lt;= 10, "Overdue[7-10]", AO270 &lt;= 15, "Long Overdue[11-15]")</f>
        <v>Due Soon[4-6]</v>
      </c>
      <c r="AQ270" s="9" t="str" cm="1">
        <f t="array" ref="AQ270">_xlfn.IFS(AR270 &lt;= 3, "New Relationship[1-3]", AR270 &lt;= 7, "Established Relationship[4-7]", AR270 &lt;= 12, "Long Term Relationship[8-12]", AR270 &lt;= 17, "Very Long Term Relationship[13-17]")</f>
        <v>Long Term Relationship[8-12]</v>
      </c>
      <c r="AR270" s="1">
        <v>10</v>
      </c>
    </row>
    <row r="271" spans="1:44" x14ac:dyDescent="0.25">
      <c r="A271" s="1">
        <v>36</v>
      </c>
      <c r="B271" s="8" t="str" cm="1">
        <f t="array" ref="B271">_xlfn.IFS(A271 &lt;= 25, "[18-25]", A271 &lt;= 35, "[26-35]", A271 &lt;=45, "[36-45]", A271 &lt;= 60, "[46- 60]")</f>
        <v>[36-45]</v>
      </c>
      <c r="C271" s="3" t="s">
        <v>43</v>
      </c>
      <c r="D271">
        <f t="shared" si="4"/>
        <v>0</v>
      </c>
      <c r="E271" t="s">
        <v>36</v>
      </c>
      <c r="F271" s="1">
        <v>1403</v>
      </c>
      <c r="G271" s="3" t="s">
        <v>45</v>
      </c>
      <c r="H271" s="1">
        <v>6</v>
      </c>
      <c r="I271" s="9" t="str" cm="1">
        <f t="array" ref="I271">_xlfn.IFS(H271 &lt;= 2, "[1-2] very close", H271 &lt;= 10, "[3-10] close", H271 &lt;= 20, "[11-20] moderate", H271 &lt;= 30, "[21-30] far")</f>
        <v>[3-10] close</v>
      </c>
      <c r="J271" s="1">
        <v>3</v>
      </c>
      <c r="K271" s="3" t="s">
        <v>38</v>
      </c>
      <c r="L271" s="1">
        <v>1</v>
      </c>
      <c r="M271" s="1">
        <v>373</v>
      </c>
      <c r="N271" s="1">
        <v>4</v>
      </c>
      <c r="O271" s="3" t="s">
        <v>46</v>
      </c>
      <c r="P271" s="1">
        <v>47</v>
      </c>
      <c r="Q271" s="1">
        <v>3</v>
      </c>
      <c r="R271" s="1">
        <v>1</v>
      </c>
      <c r="S271" s="3" t="s">
        <v>50</v>
      </c>
      <c r="T271" s="1">
        <v>4</v>
      </c>
      <c r="U271" s="3" t="s">
        <v>48</v>
      </c>
      <c r="V271" s="4">
        <v>3210</v>
      </c>
      <c r="W271" s="1">
        <v>20251</v>
      </c>
      <c r="X271" s="1">
        <v>0</v>
      </c>
      <c r="Y271" s="3" t="s">
        <v>42</v>
      </c>
      <c r="Z271" s="3" t="s">
        <v>43</v>
      </c>
      <c r="AA271" s="5">
        <v>0.11</v>
      </c>
      <c r="AB271" s="10" t="str" cm="1">
        <f t="array" ref="AB271">_xlfn.IFS(AA271 &lt;= 15%, "Low Hike[11-15%]", AA271 &lt;= 20%, "Moderate Hike[16-20%]", AA271 &lt;= 25%,"High Hike[21-25%]")</f>
        <v>Low Hike[11-15%]</v>
      </c>
      <c r="AC271" s="1">
        <v>3</v>
      </c>
      <c r="AD271" s="1">
        <v>3</v>
      </c>
      <c r="AE271" s="1">
        <v>80</v>
      </c>
      <c r="AF271" s="1">
        <v>1</v>
      </c>
      <c r="AG271" s="1">
        <v>16</v>
      </c>
      <c r="AH271" s="9" t="str" cm="1">
        <f t="array" ref="AH271">_xlfn.IFS(AG271 &lt;= 5, "New[1-5]", AG271 &lt;= 10, "Early Career[6-10]", AG271 &lt;= 20, "Established[11-20]", AG271 &lt;= 30, "Veteran[21-30]", AG271 &lt;= 40, "Late Career[31-40]")</f>
        <v>Established[11-20]</v>
      </c>
      <c r="AI271" s="1">
        <v>4</v>
      </c>
      <c r="AJ271" s="1">
        <v>3</v>
      </c>
      <c r="AK271" s="1">
        <v>15</v>
      </c>
      <c r="AL271" s="9" t="str" cm="1">
        <f t="array" ref="AL271">_xlfn.IFS(AK271 &lt;= 5, "New[1-5]", AK271 &lt;= 10, "Early Career[6-10]", AK271 &lt;= 20, "Established[11-20]", AK271 &lt;= 30, "Veteran[21-30]", AK271 &lt;= 40, "Late Career[31-40]")</f>
        <v>Established[11-20]</v>
      </c>
      <c r="AM271" s="1">
        <v>13</v>
      </c>
      <c r="AN271" s="9" t="str" cm="1">
        <f t="array" ref="AN271">_xlfn.IFS(AM271 &lt;= 3, "New to Role[1-3]", AM271 &lt;= 7, "Settled[4-7]", AM271 &lt;= 12, "Experienced[[8-12]", AM271 &lt;= 18, "Long Tenured[13-18]")</f>
        <v>Long Tenured[13-18]</v>
      </c>
      <c r="AO271" s="1">
        <v>10</v>
      </c>
      <c r="AP271" s="9" t="str" cm="1">
        <f t="array" ref="AP271">_xlfn.IFS(AO271 &lt;= 3, "Recently[1-3]", AO271 &lt;= 6, "Due Soon[4-6]", AO271 &lt;= 10, "Overdue[7-10]", AO271 &lt;= 15, "Long Overdue[11-15]")</f>
        <v>Overdue[7-10]</v>
      </c>
      <c r="AQ271" s="9" t="str" cm="1">
        <f t="array" ref="AQ271">_xlfn.IFS(AR271 &lt;= 3, "New Relationship[1-3]", AR271 &lt;= 7, "Established Relationship[4-7]", AR271 &lt;= 12, "Long Term Relationship[8-12]", AR271 &lt;= 17, "Very Long Term Relationship[13-17]")</f>
        <v>Long Term Relationship[8-12]</v>
      </c>
      <c r="AR271" s="1">
        <v>11</v>
      </c>
    </row>
    <row r="272" spans="1:44" x14ac:dyDescent="0.25">
      <c r="A272" s="1">
        <v>55</v>
      </c>
      <c r="B272" s="8" t="str" cm="1">
        <f t="array" ref="B272">_xlfn.IFS(A272 &lt;= 25, "[18-25]", A272 &lt;= 35, "[26-35]", A272 &lt;=45, "[36-45]", A272 &lt;= 60, "[46- 60]")</f>
        <v>[46- 60]</v>
      </c>
      <c r="C272" s="3" t="s">
        <v>43</v>
      </c>
      <c r="D272">
        <f t="shared" si="4"/>
        <v>0</v>
      </c>
      <c r="E272" t="s">
        <v>36</v>
      </c>
      <c r="F272" s="1">
        <v>452</v>
      </c>
      <c r="G272" s="3" t="s">
        <v>45</v>
      </c>
      <c r="H272" s="1">
        <v>1</v>
      </c>
      <c r="I272" s="9" t="str" cm="1">
        <f t="array" ref="I272">_xlfn.IFS(H272 &lt;= 2, "[1-2] very close", H272 &lt;= 10, "[3-10] close", H272 &lt;= 20, "[11-20] moderate", H272 &lt;= 30, "[21-30] far")</f>
        <v>[1-2] very close</v>
      </c>
      <c r="J272" s="1">
        <v>3</v>
      </c>
      <c r="K272" s="3" t="s">
        <v>51</v>
      </c>
      <c r="L272" s="1">
        <v>1</v>
      </c>
      <c r="M272" s="1">
        <v>374</v>
      </c>
      <c r="N272" s="1">
        <v>4</v>
      </c>
      <c r="O272" s="3" t="s">
        <v>46</v>
      </c>
      <c r="P272" s="1">
        <v>81</v>
      </c>
      <c r="Q272" s="1">
        <v>3</v>
      </c>
      <c r="R272" s="1">
        <v>5</v>
      </c>
      <c r="S272" s="3" t="s">
        <v>56</v>
      </c>
      <c r="T272" s="1">
        <v>1</v>
      </c>
      <c r="U272" s="3" t="s">
        <v>41</v>
      </c>
      <c r="V272" s="4">
        <v>19045</v>
      </c>
      <c r="W272" s="1">
        <v>18938</v>
      </c>
      <c r="X272" s="1">
        <v>0</v>
      </c>
      <c r="Y272" s="3" t="s">
        <v>42</v>
      </c>
      <c r="Z272" s="3" t="s">
        <v>35</v>
      </c>
      <c r="AA272" s="5">
        <v>0.14000000000000001</v>
      </c>
      <c r="AB272" s="10" t="str" cm="1">
        <f t="array" ref="AB272">_xlfn.IFS(AA272 &lt;= 15%, "Low Hike[11-15%]", AA272 &lt;= 20%, "Moderate Hike[16-20%]", AA272 &lt;= 25%,"High Hike[21-25%]")</f>
        <v>Low Hike[11-15%]</v>
      </c>
      <c r="AC272" s="1">
        <v>3</v>
      </c>
      <c r="AD272" s="1">
        <v>3</v>
      </c>
      <c r="AE272" s="1">
        <v>80</v>
      </c>
      <c r="AF272" s="1">
        <v>0</v>
      </c>
      <c r="AG272" s="1">
        <v>37</v>
      </c>
      <c r="AH272" s="9" t="str" cm="1">
        <f t="array" ref="AH272">_xlfn.IFS(AG272 &lt;= 5, "New[1-5]", AG272 &lt;= 10, "Early Career[6-10]", AG272 &lt;= 20, "Established[11-20]", AG272 &lt;= 30, "Veteran[21-30]", AG272 &lt;= 40, "Late Career[31-40]")</f>
        <v>Late Career[31-40]</v>
      </c>
      <c r="AI272" s="1">
        <v>2</v>
      </c>
      <c r="AJ272" s="1">
        <v>3</v>
      </c>
      <c r="AK272" s="1">
        <v>36</v>
      </c>
      <c r="AL272" s="9" t="str" cm="1">
        <f t="array" ref="AL272">_xlfn.IFS(AK272 &lt;= 5, "New[1-5]", AK272 &lt;= 10, "Early Career[6-10]", AK272 &lt;= 20, "Established[11-20]", AK272 &lt;= 30, "Veteran[21-30]", AK272 &lt;= 40, "Late Career[31-40]")</f>
        <v>Late Career[31-40]</v>
      </c>
      <c r="AM272" s="1">
        <v>10</v>
      </c>
      <c r="AN272" s="9" t="str" cm="1">
        <f t="array" ref="AN272">_xlfn.IFS(AM272 &lt;= 3, "New to Role[1-3]", AM272 &lt;= 7, "Settled[4-7]", AM272 &lt;= 12, "Experienced[[8-12]", AM272 &lt;= 18, "Long Tenured[13-18]")</f>
        <v>Experienced[[8-12]</v>
      </c>
      <c r="AO272" s="1">
        <v>4</v>
      </c>
      <c r="AP272" s="9" t="str" cm="1">
        <f t="array" ref="AP272">_xlfn.IFS(AO272 &lt;= 3, "Recently[1-3]", AO272 &lt;= 6, "Due Soon[4-6]", AO272 &lt;= 10, "Overdue[7-10]", AO272 &lt;= 15, "Long Overdue[11-15]")</f>
        <v>Due Soon[4-6]</v>
      </c>
      <c r="AQ272" s="9" t="str" cm="1">
        <f t="array" ref="AQ272">_xlfn.IFS(AR272 &lt;= 3, "New Relationship[1-3]", AR272 &lt;= 7, "Established Relationship[4-7]", AR272 &lt;= 12, "Long Term Relationship[8-12]", AR272 &lt;= 17, "Very Long Term Relationship[13-17]")</f>
        <v>Very Long Term Relationship[13-17]</v>
      </c>
      <c r="AR272" s="1">
        <v>13</v>
      </c>
    </row>
    <row r="273" spans="1:44" x14ac:dyDescent="0.25">
      <c r="A273" s="1">
        <v>47</v>
      </c>
      <c r="B273" s="8" t="str" cm="1">
        <f t="array" ref="B273">_xlfn.IFS(A273 &lt;= 25, "[18-25]", A273 &lt;= 35, "[26-35]", A273 &lt;=45, "[36-45]", A273 &lt;= 60, "[46- 60]")</f>
        <v>[46- 60]</v>
      </c>
      <c r="C273" s="3" t="s">
        <v>35</v>
      </c>
      <c r="D273">
        <f t="shared" si="4"/>
        <v>1</v>
      </c>
      <c r="E273" t="s">
        <v>62</v>
      </c>
      <c r="F273" s="1">
        <v>666</v>
      </c>
      <c r="G273" s="3" t="s">
        <v>45</v>
      </c>
      <c r="H273" s="1">
        <v>29</v>
      </c>
      <c r="I273" s="9" t="str" cm="1">
        <f t="array" ref="I273">_xlfn.IFS(H273 &lt;= 2, "[1-2] very close", H273 &lt;= 10, "[3-10] close", H273 &lt;= 20, "[11-20] moderate", H273 &lt;= 30, "[21-30] far")</f>
        <v>[21-30] far</v>
      </c>
      <c r="J273" s="1">
        <v>4</v>
      </c>
      <c r="K273" s="3" t="s">
        <v>38</v>
      </c>
      <c r="L273" s="1">
        <v>1</v>
      </c>
      <c r="M273" s="1">
        <v>376</v>
      </c>
      <c r="N273" s="1">
        <v>1</v>
      </c>
      <c r="O273" s="3" t="s">
        <v>46</v>
      </c>
      <c r="P273" s="1">
        <v>88</v>
      </c>
      <c r="Q273" s="1">
        <v>3</v>
      </c>
      <c r="R273" s="1">
        <v>3</v>
      </c>
      <c r="S273" s="3" t="s">
        <v>56</v>
      </c>
      <c r="T273" s="1">
        <v>2</v>
      </c>
      <c r="U273" s="3" t="s">
        <v>48</v>
      </c>
      <c r="V273" s="4">
        <v>11849</v>
      </c>
      <c r="W273" s="1">
        <v>10268</v>
      </c>
      <c r="X273" s="1">
        <v>1</v>
      </c>
      <c r="Y273" s="3" t="s">
        <v>42</v>
      </c>
      <c r="Z273" s="3" t="s">
        <v>35</v>
      </c>
      <c r="AA273" s="5">
        <v>0.12</v>
      </c>
      <c r="AB273" s="10" t="str" cm="1">
        <f t="array" ref="AB273">_xlfn.IFS(AA273 &lt;= 15%, "Low Hike[11-15%]", AA273 &lt;= 20%, "Moderate Hike[16-20%]", AA273 &lt;= 25%,"High Hike[21-25%]")</f>
        <v>Low Hike[11-15%]</v>
      </c>
      <c r="AC273" s="1">
        <v>3</v>
      </c>
      <c r="AD273" s="1">
        <v>4</v>
      </c>
      <c r="AE273" s="1">
        <v>80</v>
      </c>
      <c r="AF273" s="1">
        <v>1</v>
      </c>
      <c r="AG273" s="1">
        <v>10</v>
      </c>
      <c r="AH273" s="9" t="str" cm="1">
        <f t="array" ref="AH273">_xlfn.IFS(AG273 &lt;= 5, "New[1-5]", AG273 &lt;= 10, "Early Career[6-10]", AG273 &lt;= 20, "Established[11-20]", AG273 &lt;= 30, "Veteran[21-30]", AG273 &lt;= 40, "Late Career[31-40]")</f>
        <v>Early Career[6-10]</v>
      </c>
      <c r="AI273" s="1">
        <v>2</v>
      </c>
      <c r="AJ273" s="1">
        <v>2</v>
      </c>
      <c r="AK273" s="1">
        <v>10</v>
      </c>
      <c r="AL273" s="9" t="str" cm="1">
        <f t="array" ref="AL273">_xlfn.IFS(AK273 &lt;= 5, "New[1-5]", AK273 &lt;= 10, "Early Career[6-10]", AK273 &lt;= 20, "Established[11-20]", AK273 &lt;= 30, "Veteran[21-30]", AK273 &lt;= 40, "Late Career[31-40]")</f>
        <v>Early Career[6-10]</v>
      </c>
      <c r="AM273" s="1">
        <v>7</v>
      </c>
      <c r="AN273" s="9" t="str" cm="1">
        <f t="array" ref="AN273">_xlfn.IFS(AM273 &lt;= 3, "New to Role[1-3]", AM273 &lt;= 7, "Settled[4-7]", AM273 &lt;= 12, "Experienced[[8-12]", AM273 &lt;= 18, "Long Tenured[13-18]")</f>
        <v>Settled[4-7]</v>
      </c>
      <c r="AO273" s="1">
        <v>9</v>
      </c>
      <c r="AP273" s="9" t="str" cm="1">
        <f t="array" ref="AP273">_xlfn.IFS(AO273 &lt;= 3, "Recently[1-3]", AO273 &lt;= 6, "Due Soon[4-6]", AO273 &lt;= 10, "Overdue[7-10]", AO273 &lt;= 15, "Long Overdue[11-15]")</f>
        <v>Overdue[7-10]</v>
      </c>
      <c r="AQ273" s="9" t="str" cm="1">
        <f t="array" ref="AQ273">_xlfn.IFS(AR273 &lt;= 3, "New Relationship[1-3]", AR273 &lt;= 7, "Established Relationship[4-7]", AR273 &lt;= 12, "Long Term Relationship[8-12]", AR273 &lt;= 17, "Very Long Term Relationship[13-17]")</f>
        <v>Long Term Relationship[8-12]</v>
      </c>
      <c r="AR273" s="1">
        <v>9</v>
      </c>
    </row>
    <row r="274" spans="1:44" x14ac:dyDescent="0.25">
      <c r="A274" s="1">
        <v>28</v>
      </c>
      <c r="B274" s="8" t="str" cm="1">
        <f t="array" ref="B274">_xlfn.IFS(A274 &lt;= 25, "[18-25]", A274 &lt;= 35, "[26-35]", A274 &lt;=45, "[36-45]", A274 &lt;= 60, "[46- 60]")</f>
        <v>[26-35]</v>
      </c>
      <c r="C274" s="3" t="s">
        <v>43</v>
      </c>
      <c r="D274">
        <f t="shared" si="4"/>
        <v>0</v>
      </c>
      <c r="E274" t="s">
        <v>36</v>
      </c>
      <c r="F274" s="1">
        <v>1158</v>
      </c>
      <c r="G274" s="3" t="s">
        <v>45</v>
      </c>
      <c r="H274" s="1">
        <v>9</v>
      </c>
      <c r="I274" s="9" t="str" cm="1">
        <f t="array" ref="I274">_xlfn.IFS(H274 &lt;= 2, "[1-2] very close", H274 &lt;= 10, "[3-10] close", H274 &lt;= 20, "[11-20] moderate", H274 &lt;= 30, "[21-30] far")</f>
        <v>[3-10] close</v>
      </c>
      <c r="J274" s="1">
        <v>3</v>
      </c>
      <c r="K274" s="3" t="s">
        <v>51</v>
      </c>
      <c r="L274" s="1">
        <v>1</v>
      </c>
      <c r="M274" s="1">
        <v>377</v>
      </c>
      <c r="N274" s="1">
        <v>4</v>
      </c>
      <c r="O274" s="3" t="s">
        <v>46</v>
      </c>
      <c r="P274" s="1">
        <v>94</v>
      </c>
      <c r="Q274" s="1">
        <v>3</v>
      </c>
      <c r="R274" s="1">
        <v>1</v>
      </c>
      <c r="S274" s="3" t="s">
        <v>47</v>
      </c>
      <c r="T274" s="1">
        <v>4</v>
      </c>
      <c r="U274" s="3" t="s">
        <v>48</v>
      </c>
      <c r="V274" s="4">
        <v>2070</v>
      </c>
      <c r="W274" s="1">
        <v>2613</v>
      </c>
      <c r="X274" s="1">
        <v>1</v>
      </c>
      <c r="Y274" s="3" t="s">
        <v>42</v>
      </c>
      <c r="Z274" s="3" t="s">
        <v>43</v>
      </c>
      <c r="AA274" s="5">
        <v>0.23</v>
      </c>
      <c r="AB274" s="10" t="str" cm="1">
        <f t="array" ref="AB274">_xlfn.IFS(AA274 &lt;= 15%, "Low Hike[11-15%]", AA274 &lt;= 20%, "Moderate Hike[16-20%]", AA274 &lt;= 25%,"High Hike[21-25%]")</f>
        <v>High Hike[21-25%]</v>
      </c>
      <c r="AC274" s="1">
        <v>4</v>
      </c>
      <c r="AD274" s="1">
        <v>4</v>
      </c>
      <c r="AE274" s="1">
        <v>80</v>
      </c>
      <c r="AF274" s="1">
        <v>1</v>
      </c>
      <c r="AG274" s="1">
        <v>5</v>
      </c>
      <c r="AH274" s="9" t="str" cm="1">
        <f t="array" ref="AH274">_xlfn.IFS(AG274 &lt;= 5, "New[1-5]", AG274 &lt;= 10, "Early Career[6-10]", AG274 &lt;= 20, "Established[11-20]", AG274 &lt;= 30, "Veteran[21-30]", AG274 &lt;= 40, "Late Career[31-40]")</f>
        <v>New[1-5]</v>
      </c>
      <c r="AI274" s="1">
        <v>3</v>
      </c>
      <c r="AJ274" s="1">
        <v>2</v>
      </c>
      <c r="AK274" s="1">
        <v>5</v>
      </c>
      <c r="AL274" s="9" t="str" cm="1">
        <f t="array" ref="AL274">_xlfn.IFS(AK274 &lt;= 5, "New[1-5]", AK274 &lt;= 10, "Early Career[6-10]", AK274 &lt;= 20, "Established[11-20]", AK274 &lt;= 30, "Veteran[21-30]", AK274 &lt;= 40, "Late Career[31-40]")</f>
        <v>New[1-5]</v>
      </c>
      <c r="AM274" s="1">
        <v>2</v>
      </c>
      <c r="AN274" s="9" t="str" cm="1">
        <f t="array" ref="AN274">_xlfn.IFS(AM274 &lt;= 3, "New to Role[1-3]", AM274 &lt;= 7, "Settled[4-7]", AM274 &lt;= 12, "Experienced[[8-12]", AM274 &lt;= 18, "Long Tenured[13-18]")</f>
        <v>New to Role[1-3]</v>
      </c>
      <c r="AO274" s="1">
        <v>0</v>
      </c>
      <c r="AP274" s="9" t="str" cm="1">
        <f t="array" ref="AP274">_xlfn.IFS(AO274 &lt;= 3, "Recently[1-3]", AO274 &lt;= 6, "Due Soon[4-6]", AO274 &lt;= 10, "Overdue[7-10]", AO274 &lt;= 15, "Long Overdue[11-15]")</f>
        <v>Recently[1-3]</v>
      </c>
      <c r="AQ274" s="9" t="str" cm="1">
        <f t="array" ref="AQ274">_xlfn.IFS(AR274 &lt;= 3, "New Relationship[1-3]", AR274 &lt;= 7, "Established Relationship[4-7]", AR274 &lt;= 12, "Long Term Relationship[8-12]", AR274 &lt;= 17, "Very Long Term Relationship[13-17]")</f>
        <v>Established Relationship[4-7]</v>
      </c>
      <c r="AR274" s="1">
        <v>4</v>
      </c>
    </row>
    <row r="275" spans="1:44" x14ac:dyDescent="0.25">
      <c r="A275" s="1">
        <v>37</v>
      </c>
      <c r="B275" s="8" t="str" cm="1">
        <f t="array" ref="B275">_xlfn.IFS(A275 &lt;= 25, "[18-25]", A275 &lt;= 35, "[26-35]", A275 &lt;=45, "[36-45]", A275 &lt;= 60, "[46- 60]")</f>
        <v>[36-45]</v>
      </c>
      <c r="C275" s="3" t="s">
        <v>43</v>
      </c>
      <c r="D275">
        <f t="shared" si="4"/>
        <v>0</v>
      </c>
      <c r="E275" t="s">
        <v>36</v>
      </c>
      <c r="F275" s="1">
        <v>228</v>
      </c>
      <c r="G275" s="3" t="s">
        <v>37</v>
      </c>
      <c r="H275" s="1">
        <v>6</v>
      </c>
      <c r="I275" s="9" t="str" cm="1">
        <f t="array" ref="I275">_xlfn.IFS(H275 &lt;= 2, "[1-2] very close", H275 &lt;= 10, "[3-10] close", H275 &lt;= 20, "[11-20] moderate", H275 &lt;= 30, "[21-30] far")</f>
        <v>[3-10] close</v>
      </c>
      <c r="J275" s="1">
        <v>4</v>
      </c>
      <c r="K275" s="3" t="s">
        <v>51</v>
      </c>
      <c r="L275" s="1">
        <v>1</v>
      </c>
      <c r="M275" s="1">
        <v>378</v>
      </c>
      <c r="N275" s="1">
        <v>3</v>
      </c>
      <c r="O275" s="3" t="s">
        <v>46</v>
      </c>
      <c r="P275" s="1">
        <v>98</v>
      </c>
      <c r="Q275" s="1">
        <v>3</v>
      </c>
      <c r="R275" s="1">
        <v>2</v>
      </c>
      <c r="S275" s="3" t="s">
        <v>40</v>
      </c>
      <c r="T275" s="1">
        <v>4</v>
      </c>
      <c r="U275" s="3" t="s">
        <v>48</v>
      </c>
      <c r="V275" s="4">
        <v>6502</v>
      </c>
      <c r="W275" s="1">
        <v>22825</v>
      </c>
      <c r="X275" s="1">
        <v>4</v>
      </c>
      <c r="Y275" s="3" t="s">
        <v>42</v>
      </c>
      <c r="Z275" s="3" t="s">
        <v>43</v>
      </c>
      <c r="AA275" s="5">
        <v>0.14000000000000001</v>
      </c>
      <c r="AB275" s="10" t="str" cm="1">
        <f t="array" ref="AB275">_xlfn.IFS(AA275 &lt;= 15%, "Low Hike[11-15%]", AA275 &lt;= 20%, "Moderate Hike[16-20%]", AA275 &lt;= 25%,"High Hike[21-25%]")</f>
        <v>Low Hike[11-15%]</v>
      </c>
      <c r="AC275" s="1">
        <v>3</v>
      </c>
      <c r="AD275" s="1">
        <v>2</v>
      </c>
      <c r="AE275" s="1">
        <v>80</v>
      </c>
      <c r="AF275" s="1">
        <v>1</v>
      </c>
      <c r="AG275" s="1">
        <v>7</v>
      </c>
      <c r="AH275" s="9" t="str" cm="1">
        <f t="array" ref="AH275">_xlfn.IFS(AG275 &lt;= 5, "New[1-5]", AG275 &lt;= 10, "Early Career[6-10]", AG275 &lt;= 20, "Established[11-20]", AG275 &lt;= 30, "Veteran[21-30]", AG275 &lt;= 40, "Late Career[31-40]")</f>
        <v>Early Career[6-10]</v>
      </c>
      <c r="AI275" s="1">
        <v>5</v>
      </c>
      <c r="AJ275" s="1">
        <v>4</v>
      </c>
      <c r="AK275" s="1">
        <v>5</v>
      </c>
      <c r="AL275" s="9" t="str" cm="1">
        <f t="array" ref="AL275">_xlfn.IFS(AK275 &lt;= 5, "New[1-5]", AK275 &lt;= 10, "Early Career[6-10]", AK275 &lt;= 20, "Established[11-20]", AK275 &lt;= 30, "Veteran[21-30]", AK275 &lt;= 40, "Late Career[31-40]")</f>
        <v>New[1-5]</v>
      </c>
      <c r="AM275" s="1">
        <v>4</v>
      </c>
      <c r="AN275" s="9" t="str" cm="1">
        <f t="array" ref="AN275">_xlfn.IFS(AM275 &lt;= 3, "New to Role[1-3]", AM275 &lt;= 7, "Settled[4-7]", AM275 &lt;= 12, "Experienced[[8-12]", AM275 &lt;= 18, "Long Tenured[13-18]")</f>
        <v>Settled[4-7]</v>
      </c>
      <c r="AO275" s="1">
        <v>0</v>
      </c>
      <c r="AP275" s="9" t="str" cm="1">
        <f t="array" ref="AP275">_xlfn.IFS(AO275 &lt;= 3, "Recently[1-3]", AO275 &lt;= 6, "Due Soon[4-6]", AO275 &lt;= 10, "Overdue[7-10]", AO275 &lt;= 15, "Long Overdue[11-15]")</f>
        <v>Recently[1-3]</v>
      </c>
      <c r="AQ275" s="9" t="str" cm="1">
        <f t="array" ref="AQ275">_xlfn.IFS(AR275 &lt;= 3, "New Relationship[1-3]", AR275 &lt;= 7, "Established Relationship[4-7]", AR275 &lt;= 12, "Long Term Relationship[8-12]", AR275 &lt;= 17, "Very Long Term Relationship[13-17]")</f>
        <v>New Relationship[1-3]</v>
      </c>
      <c r="AR275" s="1">
        <v>1</v>
      </c>
    </row>
    <row r="276" spans="1:44" x14ac:dyDescent="0.25">
      <c r="A276" s="1">
        <v>21</v>
      </c>
      <c r="B276" s="8" t="str" cm="1">
        <f t="array" ref="B276">_xlfn.IFS(A276 &lt;= 25, "[18-25]", A276 &lt;= 35, "[26-35]", A276 &lt;=45, "[36-45]", A276 &lt;= 60, "[46- 60]")</f>
        <v>[18-25]</v>
      </c>
      <c r="C276" s="3" t="s">
        <v>43</v>
      </c>
      <c r="D276">
        <f t="shared" si="4"/>
        <v>0</v>
      </c>
      <c r="E276" t="s">
        <v>36</v>
      </c>
      <c r="F276" s="1">
        <v>996</v>
      </c>
      <c r="G276" s="3" t="s">
        <v>45</v>
      </c>
      <c r="H276" s="1">
        <v>3</v>
      </c>
      <c r="I276" s="9" t="str" cm="1">
        <f t="array" ref="I276">_xlfn.IFS(H276 &lt;= 2, "[1-2] very close", H276 &lt;= 10, "[3-10] close", H276 &lt;= 20, "[11-20] moderate", H276 &lt;= 30, "[21-30] far")</f>
        <v>[3-10] close</v>
      </c>
      <c r="J276" s="1">
        <v>2</v>
      </c>
      <c r="K276" s="3" t="s">
        <v>51</v>
      </c>
      <c r="L276" s="1">
        <v>1</v>
      </c>
      <c r="M276" s="1">
        <v>379</v>
      </c>
      <c r="N276" s="1">
        <v>4</v>
      </c>
      <c r="O276" s="3" t="s">
        <v>46</v>
      </c>
      <c r="P276" s="1">
        <v>100</v>
      </c>
      <c r="Q276" s="1">
        <v>2</v>
      </c>
      <c r="R276" s="1">
        <v>1</v>
      </c>
      <c r="S276" s="3" t="s">
        <v>47</v>
      </c>
      <c r="T276" s="1">
        <v>3</v>
      </c>
      <c r="U276" s="3" t="s">
        <v>41</v>
      </c>
      <c r="V276" s="4">
        <v>3230</v>
      </c>
      <c r="W276" s="1">
        <v>10531</v>
      </c>
      <c r="X276" s="1">
        <v>1</v>
      </c>
      <c r="Y276" s="3" t="s">
        <v>42</v>
      </c>
      <c r="Z276" s="3" t="s">
        <v>43</v>
      </c>
      <c r="AA276" s="5">
        <v>0.17</v>
      </c>
      <c r="AB276" s="10" t="str" cm="1">
        <f t="array" ref="AB276">_xlfn.IFS(AA276 &lt;= 15%, "Low Hike[11-15%]", AA276 &lt;= 20%, "Moderate Hike[16-20%]", AA276 &lt;= 25%,"High Hike[21-25%]")</f>
        <v>Moderate Hike[16-20%]</v>
      </c>
      <c r="AC276" s="1">
        <v>3</v>
      </c>
      <c r="AD276" s="1">
        <v>1</v>
      </c>
      <c r="AE276" s="1">
        <v>80</v>
      </c>
      <c r="AF276" s="1">
        <v>0</v>
      </c>
      <c r="AG276" s="1">
        <v>3</v>
      </c>
      <c r="AH276" s="9" t="str" cm="1">
        <f t="array" ref="AH276">_xlfn.IFS(AG276 &lt;= 5, "New[1-5]", AG276 &lt;= 10, "Early Career[6-10]", AG276 &lt;= 20, "Established[11-20]", AG276 &lt;= 30, "Veteran[21-30]", AG276 &lt;= 40, "Late Career[31-40]")</f>
        <v>New[1-5]</v>
      </c>
      <c r="AI276" s="1">
        <v>4</v>
      </c>
      <c r="AJ276" s="1">
        <v>4</v>
      </c>
      <c r="AK276" s="1">
        <v>3</v>
      </c>
      <c r="AL276" s="9" t="str" cm="1">
        <f t="array" ref="AL276">_xlfn.IFS(AK276 &lt;= 5, "New[1-5]", AK276 &lt;= 10, "Early Career[6-10]", AK276 &lt;= 20, "Established[11-20]", AK276 &lt;= 30, "Veteran[21-30]", AK276 &lt;= 40, "Late Career[31-40]")</f>
        <v>New[1-5]</v>
      </c>
      <c r="AM276" s="1">
        <v>2</v>
      </c>
      <c r="AN276" s="9" t="str" cm="1">
        <f t="array" ref="AN276">_xlfn.IFS(AM276 &lt;= 3, "New to Role[1-3]", AM276 &lt;= 7, "Settled[4-7]", AM276 &lt;= 12, "Experienced[[8-12]", AM276 &lt;= 18, "Long Tenured[13-18]")</f>
        <v>New to Role[1-3]</v>
      </c>
      <c r="AO276" s="1">
        <v>1</v>
      </c>
      <c r="AP276" s="9" t="str" cm="1">
        <f t="array" ref="AP276">_xlfn.IFS(AO276 &lt;= 3, "Recently[1-3]", AO276 &lt;= 6, "Due Soon[4-6]", AO276 &lt;= 10, "Overdue[7-10]", AO276 &lt;= 15, "Long Overdue[11-15]")</f>
        <v>Recently[1-3]</v>
      </c>
      <c r="AQ276" s="9" t="str" cm="1">
        <f t="array" ref="AQ276">_xlfn.IFS(AR276 &lt;= 3, "New Relationship[1-3]", AR276 &lt;= 7, "Established Relationship[4-7]", AR276 &lt;= 12, "Long Term Relationship[8-12]", AR276 &lt;= 17, "Very Long Term Relationship[13-17]")</f>
        <v>New Relationship[1-3]</v>
      </c>
      <c r="AR276" s="1">
        <v>0</v>
      </c>
    </row>
    <row r="277" spans="1:44" x14ac:dyDescent="0.25">
      <c r="A277" s="1">
        <v>37</v>
      </c>
      <c r="B277" s="8" t="str" cm="1">
        <f t="array" ref="B277">_xlfn.IFS(A277 &lt;= 25, "[18-25]", A277 &lt;= 35, "[26-35]", A277 &lt;=45, "[36-45]", A277 &lt;= 60, "[46- 60]")</f>
        <v>[36-45]</v>
      </c>
      <c r="C277" s="3" t="s">
        <v>43</v>
      </c>
      <c r="D277">
        <f t="shared" si="4"/>
        <v>0</v>
      </c>
      <c r="E277" t="s">
        <v>62</v>
      </c>
      <c r="F277" s="1">
        <v>728</v>
      </c>
      <c r="G277" s="3" t="s">
        <v>45</v>
      </c>
      <c r="H277" s="1">
        <v>1</v>
      </c>
      <c r="I277" s="9" t="str" cm="1">
        <f t="array" ref="I277">_xlfn.IFS(H277 &lt;= 2, "[1-2] very close", H277 &lt;= 10, "[3-10] close", H277 &lt;= 20, "[11-20] moderate", H277 &lt;= 30, "[21-30] far")</f>
        <v>[1-2] very close</v>
      </c>
      <c r="J277" s="1">
        <v>4</v>
      </c>
      <c r="K277" s="3" t="s">
        <v>51</v>
      </c>
      <c r="L277" s="1">
        <v>1</v>
      </c>
      <c r="M277" s="1">
        <v>380</v>
      </c>
      <c r="N277" s="1">
        <v>1</v>
      </c>
      <c r="O277" s="3" t="s">
        <v>39</v>
      </c>
      <c r="P277" s="1">
        <v>80</v>
      </c>
      <c r="Q277" s="1">
        <v>3</v>
      </c>
      <c r="R277" s="1">
        <v>3</v>
      </c>
      <c r="S277" s="3" t="s">
        <v>58</v>
      </c>
      <c r="T277" s="1">
        <v>4</v>
      </c>
      <c r="U277" s="3" t="s">
        <v>52</v>
      </c>
      <c r="V277" s="4">
        <v>13603</v>
      </c>
      <c r="W277" s="1">
        <v>11677</v>
      </c>
      <c r="X277" s="1">
        <v>2</v>
      </c>
      <c r="Y277" s="3" t="s">
        <v>42</v>
      </c>
      <c r="Z277" s="3" t="s">
        <v>35</v>
      </c>
      <c r="AA277" s="5">
        <v>0.18</v>
      </c>
      <c r="AB277" s="10" t="str" cm="1">
        <f t="array" ref="AB277">_xlfn.IFS(AA277 &lt;= 15%, "Low Hike[11-15%]", AA277 &lt;= 20%, "Moderate Hike[16-20%]", AA277 &lt;= 25%,"High Hike[21-25%]")</f>
        <v>Moderate Hike[16-20%]</v>
      </c>
      <c r="AC277" s="1">
        <v>3</v>
      </c>
      <c r="AD277" s="1">
        <v>1</v>
      </c>
      <c r="AE277" s="1">
        <v>80</v>
      </c>
      <c r="AF277" s="1">
        <v>2</v>
      </c>
      <c r="AG277" s="1">
        <v>15</v>
      </c>
      <c r="AH277" s="9" t="str" cm="1">
        <f t="array" ref="AH277">_xlfn.IFS(AG277 &lt;= 5, "New[1-5]", AG277 &lt;= 10, "Early Career[6-10]", AG277 &lt;= 20, "Established[11-20]", AG277 &lt;= 30, "Veteran[21-30]", AG277 &lt;= 40, "Late Career[31-40]")</f>
        <v>Established[11-20]</v>
      </c>
      <c r="AI277" s="1">
        <v>2</v>
      </c>
      <c r="AJ277" s="1">
        <v>3</v>
      </c>
      <c r="AK277" s="1">
        <v>5</v>
      </c>
      <c r="AL277" s="9" t="str" cm="1">
        <f t="array" ref="AL277">_xlfn.IFS(AK277 &lt;= 5, "New[1-5]", AK277 &lt;= 10, "Early Career[6-10]", AK277 &lt;= 20, "Established[11-20]", AK277 &lt;= 30, "Veteran[21-30]", AK277 &lt;= 40, "Late Career[31-40]")</f>
        <v>New[1-5]</v>
      </c>
      <c r="AM277" s="1">
        <v>2</v>
      </c>
      <c r="AN277" s="9" t="str" cm="1">
        <f t="array" ref="AN277">_xlfn.IFS(AM277 &lt;= 3, "New to Role[1-3]", AM277 &lt;= 7, "Settled[4-7]", AM277 &lt;= 12, "Experienced[[8-12]", AM277 &lt;= 18, "Long Tenured[13-18]")</f>
        <v>New to Role[1-3]</v>
      </c>
      <c r="AO277" s="1">
        <v>0</v>
      </c>
      <c r="AP277" s="9" t="str" cm="1">
        <f t="array" ref="AP277">_xlfn.IFS(AO277 &lt;= 3, "Recently[1-3]", AO277 &lt;= 6, "Due Soon[4-6]", AO277 &lt;= 10, "Overdue[7-10]", AO277 &lt;= 15, "Long Overdue[11-15]")</f>
        <v>Recently[1-3]</v>
      </c>
      <c r="AQ277" s="9" t="str" cm="1">
        <f t="array" ref="AQ277">_xlfn.IFS(AR277 &lt;= 3, "New Relationship[1-3]", AR277 &lt;= 7, "Established Relationship[4-7]", AR277 &lt;= 12, "Long Term Relationship[8-12]", AR277 &lt;= 17, "Very Long Term Relationship[13-17]")</f>
        <v>New Relationship[1-3]</v>
      </c>
      <c r="AR277" s="1">
        <v>2</v>
      </c>
    </row>
    <row r="278" spans="1:44" x14ac:dyDescent="0.25">
      <c r="A278" s="1">
        <v>35</v>
      </c>
      <c r="B278" s="8" t="str" cm="1">
        <f t="array" ref="B278">_xlfn.IFS(A278 &lt;= 25, "[18-25]", A278 &lt;= 35, "[26-35]", A278 &lt;=45, "[36-45]", A278 &lt;= 60, "[46- 60]")</f>
        <v>[26-35]</v>
      </c>
      <c r="C278" s="3" t="s">
        <v>43</v>
      </c>
      <c r="D278">
        <f t="shared" si="4"/>
        <v>0</v>
      </c>
      <c r="E278" t="s">
        <v>36</v>
      </c>
      <c r="F278" s="1">
        <v>1315</v>
      </c>
      <c r="G278" s="3" t="s">
        <v>45</v>
      </c>
      <c r="H278" s="1">
        <v>22</v>
      </c>
      <c r="I278" s="9" t="str" cm="1">
        <f t="array" ref="I278">_xlfn.IFS(H278 &lt;= 2, "[1-2] very close", H278 &lt;= 10, "[3-10] close", H278 &lt;= 20, "[11-20] moderate", H278 &lt;= 30, "[21-30] far")</f>
        <v>[21-30] far</v>
      </c>
      <c r="J278" s="1">
        <v>3</v>
      </c>
      <c r="K278" s="3" t="s">
        <v>38</v>
      </c>
      <c r="L278" s="1">
        <v>1</v>
      </c>
      <c r="M278" s="1">
        <v>381</v>
      </c>
      <c r="N278" s="1">
        <v>2</v>
      </c>
      <c r="O278" s="3" t="s">
        <v>39</v>
      </c>
      <c r="P278" s="1">
        <v>71</v>
      </c>
      <c r="Q278" s="1">
        <v>4</v>
      </c>
      <c r="R278" s="1">
        <v>3</v>
      </c>
      <c r="S278" s="3" t="s">
        <v>56</v>
      </c>
      <c r="T278" s="1">
        <v>2</v>
      </c>
      <c r="U278" s="3" t="s">
        <v>52</v>
      </c>
      <c r="V278" s="4">
        <v>11996</v>
      </c>
      <c r="W278" s="1">
        <v>19100</v>
      </c>
      <c r="X278" s="1">
        <v>7</v>
      </c>
      <c r="Y278" s="3" t="s">
        <v>42</v>
      </c>
      <c r="Z278" s="3" t="s">
        <v>43</v>
      </c>
      <c r="AA278" s="5">
        <v>0.18</v>
      </c>
      <c r="AB278" s="10" t="str" cm="1">
        <f t="array" ref="AB278">_xlfn.IFS(AA278 &lt;= 15%, "Low Hike[11-15%]", AA278 &lt;= 20%, "Moderate Hike[16-20%]", AA278 &lt;= 25%,"High Hike[21-25%]")</f>
        <v>Moderate Hike[16-20%]</v>
      </c>
      <c r="AC278" s="1">
        <v>3</v>
      </c>
      <c r="AD278" s="1">
        <v>2</v>
      </c>
      <c r="AE278" s="1">
        <v>80</v>
      </c>
      <c r="AF278" s="1">
        <v>1</v>
      </c>
      <c r="AG278" s="1">
        <v>10</v>
      </c>
      <c r="AH278" s="9" t="str" cm="1">
        <f t="array" ref="AH278">_xlfn.IFS(AG278 &lt;= 5, "New[1-5]", AG278 &lt;= 10, "Early Career[6-10]", AG278 &lt;= 20, "Established[11-20]", AG278 &lt;= 30, "Veteran[21-30]", AG278 &lt;= 40, "Late Career[31-40]")</f>
        <v>Early Career[6-10]</v>
      </c>
      <c r="AI278" s="1">
        <v>6</v>
      </c>
      <c r="AJ278" s="1">
        <v>2</v>
      </c>
      <c r="AK278" s="1">
        <v>7</v>
      </c>
      <c r="AL278" s="9" t="str" cm="1">
        <f t="array" ref="AL278">_xlfn.IFS(AK278 &lt;= 5, "New[1-5]", AK278 &lt;= 10, "Early Career[6-10]", AK278 &lt;= 20, "Established[11-20]", AK278 &lt;= 30, "Veteran[21-30]", AK278 &lt;= 40, "Late Career[31-40]")</f>
        <v>Early Career[6-10]</v>
      </c>
      <c r="AM278" s="1">
        <v>7</v>
      </c>
      <c r="AN278" s="9" t="str" cm="1">
        <f t="array" ref="AN278">_xlfn.IFS(AM278 &lt;= 3, "New to Role[1-3]", AM278 &lt;= 7, "Settled[4-7]", AM278 &lt;= 12, "Experienced[[8-12]", AM278 &lt;= 18, "Long Tenured[13-18]")</f>
        <v>Settled[4-7]</v>
      </c>
      <c r="AO278" s="1">
        <v>6</v>
      </c>
      <c r="AP278" s="9" t="str" cm="1">
        <f t="array" ref="AP278">_xlfn.IFS(AO278 &lt;= 3, "Recently[1-3]", AO278 &lt;= 6, "Due Soon[4-6]", AO278 &lt;= 10, "Overdue[7-10]", AO278 &lt;= 15, "Long Overdue[11-15]")</f>
        <v>Due Soon[4-6]</v>
      </c>
      <c r="AQ278" s="9" t="str" cm="1">
        <f t="array" ref="AQ278">_xlfn.IFS(AR278 &lt;= 3, "New Relationship[1-3]", AR278 &lt;= 7, "Established Relationship[4-7]", AR278 &lt;= 12, "Long Term Relationship[8-12]", AR278 &lt;= 17, "Very Long Term Relationship[13-17]")</f>
        <v>New Relationship[1-3]</v>
      </c>
      <c r="AR278" s="1">
        <v>2</v>
      </c>
    </row>
    <row r="279" spans="1:44" x14ac:dyDescent="0.25">
      <c r="A279" s="1">
        <v>38</v>
      </c>
      <c r="B279" s="8" t="str" cm="1">
        <f t="array" ref="B279">_xlfn.IFS(A279 &lt;= 25, "[18-25]", A279 &lt;= 35, "[26-35]", A279 &lt;=45, "[36-45]", A279 &lt;= 60, "[46- 60]")</f>
        <v>[36-45]</v>
      </c>
      <c r="C279" s="3" t="s">
        <v>43</v>
      </c>
      <c r="D279">
        <f t="shared" si="4"/>
        <v>0</v>
      </c>
      <c r="E279" t="s">
        <v>36</v>
      </c>
      <c r="F279" s="1">
        <v>322</v>
      </c>
      <c r="G279" s="3" t="s">
        <v>37</v>
      </c>
      <c r="H279" s="1">
        <v>7</v>
      </c>
      <c r="I279" s="9" t="str" cm="1">
        <f t="array" ref="I279">_xlfn.IFS(H279 &lt;= 2, "[1-2] very close", H279 &lt;= 10, "[3-10] close", H279 &lt;= 20, "[11-20] moderate", H279 &lt;= 30, "[21-30] far")</f>
        <v>[3-10] close</v>
      </c>
      <c r="J279" s="1">
        <v>2</v>
      </c>
      <c r="K279" s="3" t="s">
        <v>51</v>
      </c>
      <c r="L279" s="1">
        <v>1</v>
      </c>
      <c r="M279" s="1">
        <v>382</v>
      </c>
      <c r="N279" s="1">
        <v>1</v>
      </c>
      <c r="O279" s="3" t="s">
        <v>39</v>
      </c>
      <c r="P279" s="1">
        <v>44</v>
      </c>
      <c r="Q279" s="1">
        <v>4</v>
      </c>
      <c r="R279" s="1">
        <v>2</v>
      </c>
      <c r="S279" s="3" t="s">
        <v>40</v>
      </c>
      <c r="T279" s="1">
        <v>1</v>
      </c>
      <c r="U279" s="3" t="s">
        <v>52</v>
      </c>
      <c r="V279" s="4">
        <v>5605</v>
      </c>
      <c r="W279" s="1">
        <v>19191</v>
      </c>
      <c r="X279" s="1">
        <v>1</v>
      </c>
      <c r="Y279" s="3" t="s">
        <v>42</v>
      </c>
      <c r="Z279" s="3" t="s">
        <v>35</v>
      </c>
      <c r="AA279" s="5">
        <v>0.24</v>
      </c>
      <c r="AB279" s="10" t="str" cm="1">
        <f t="array" ref="AB279">_xlfn.IFS(AA279 &lt;= 15%, "Low Hike[11-15%]", AA279 &lt;= 20%, "Moderate Hike[16-20%]", AA279 &lt;= 25%,"High Hike[21-25%]")</f>
        <v>High Hike[21-25%]</v>
      </c>
      <c r="AC279" s="1">
        <v>4</v>
      </c>
      <c r="AD279" s="1">
        <v>3</v>
      </c>
      <c r="AE279" s="1">
        <v>80</v>
      </c>
      <c r="AF279" s="1">
        <v>1</v>
      </c>
      <c r="AG279" s="1">
        <v>8</v>
      </c>
      <c r="AH279" s="9" t="str" cm="1">
        <f t="array" ref="AH279">_xlfn.IFS(AG279 &lt;= 5, "New[1-5]", AG279 &lt;= 10, "Early Career[6-10]", AG279 &lt;= 20, "Established[11-20]", AG279 &lt;= 30, "Veteran[21-30]", AG279 &lt;= 40, "Late Career[31-40]")</f>
        <v>Early Career[6-10]</v>
      </c>
      <c r="AI279" s="1">
        <v>3</v>
      </c>
      <c r="AJ279" s="1">
        <v>3</v>
      </c>
      <c r="AK279" s="1">
        <v>8</v>
      </c>
      <c r="AL279" s="9" t="str" cm="1">
        <f t="array" ref="AL279">_xlfn.IFS(AK279 &lt;= 5, "New[1-5]", AK279 &lt;= 10, "Early Career[6-10]", AK279 &lt;= 20, "Established[11-20]", AK279 &lt;= 30, "Veteran[21-30]", AK279 &lt;= 40, "Late Career[31-40]")</f>
        <v>Early Career[6-10]</v>
      </c>
      <c r="AM279" s="1">
        <v>0</v>
      </c>
      <c r="AN279" s="9" t="str" cm="1">
        <f t="array" ref="AN279">_xlfn.IFS(AM279 &lt;= 3, "New to Role[1-3]", AM279 &lt;= 7, "Settled[4-7]", AM279 &lt;= 12, "Experienced[[8-12]", AM279 &lt;= 18, "Long Tenured[13-18]")</f>
        <v>New to Role[1-3]</v>
      </c>
      <c r="AO279" s="1">
        <v>7</v>
      </c>
      <c r="AP279" s="9" t="str" cm="1">
        <f t="array" ref="AP279">_xlfn.IFS(AO279 &lt;= 3, "Recently[1-3]", AO279 &lt;= 6, "Due Soon[4-6]", AO279 &lt;= 10, "Overdue[7-10]", AO279 &lt;= 15, "Long Overdue[11-15]")</f>
        <v>Overdue[7-10]</v>
      </c>
      <c r="AQ279" s="9" t="str" cm="1">
        <f t="array" ref="AQ279">_xlfn.IFS(AR279 &lt;= 3, "New Relationship[1-3]", AR279 &lt;= 7, "Established Relationship[4-7]", AR279 &lt;= 12, "Long Term Relationship[8-12]", AR279 &lt;= 17, "Very Long Term Relationship[13-17]")</f>
        <v>Established Relationship[4-7]</v>
      </c>
      <c r="AR279" s="1">
        <v>7</v>
      </c>
    </row>
    <row r="280" spans="1:44" x14ac:dyDescent="0.25">
      <c r="A280" s="1">
        <v>26</v>
      </c>
      <c r="B280" s="8" t="str" cm="1">
        <f t="array" ref="B280">_xlfn.IFS(A280 &lt;= 25, "[18-25]", A280 &lt;= 35, "[26-35]", A280 &lt;=45, "[36-45]", A280 &lt;= 60, "[46- 60]")</f>
        <v>[26-35]</v>
      </c>
      <c r="C280" s="3" t="s">
        <v>43</v>
      </c>
      <c r="D280">
        <f t="shared" si="4"/>
        <v>0</v>
      </c>
      <c r="E280" t="s">
        <v>44</v>
      </c>
      <c r="F280" s="1">
        <v>1479</v>
      </c>
      <c r="G280" s="3" t="s">
        <v>45</v>
      </c>
      <c r="H280" s="1">
        <v>1</v>
      </c>
      <c r="I280" s="9" t="str" cm="1">
        <f t="array" ref="I280">_xlfn.IFS(H280 &lt;= 2, "[1-2] very close", H280 &lt;= 10, "[3-10] close", H280 &lt;= 20, "[11-20] moderate", H280 &lt;= 30, "[21-30] far")</f>
        <v>[1-2] very close</v>
      </c>
      <c r="J280" s="1">
        <v>3</v>
      </c>
      <c r="K280" s="3" t="s">
        <v>38</v>
      </c>
      <c r="L280" s="1">
        <v>1</v>
      </c>
      <c r="M280" s="1">
        <v>384</v>
      </c>
      <c r="N280" s="1">
        <v>3</v>
      </c>
      <c r="O280" s="3" t="s">
        <v>39</v>
      </c>
      <c r="P280" s="1">
        <v>84</v>
      </c>
      <c r="Q280" s="1">
        <v>3</v>
      </c>
      <c r="R280" s="1">
        <v>2</v>
      </c>
      <c r="S280" s="3" t="s">
        <v>53</v>
      </c>
      <c r="T280" s="1">
        <v>2</v>
      </c>
      <c r="U280" s="3" t="s">
        <v>52</v>
      </c>
      <c r="V280" s="4">
        <v>6397</v>
      </c>
      <c r="W280" s="1">
        <v>26767</v>
      </c>
      <c r="X280" s="1">
        <v>1</v>
      </c>
      <c r="Y280" s="3" t="s">
        <v>42</v>
      </c>
      <c r="Z280" s="3" t="s">
        <v>43</v>
      </c>
      <c r="AA280" s="5">
        <v>0.2</v>
      </c>
      <c r="AB280" s="10" t="str" cm="1">
        <f t="array" ref="AB280">_xlfn.IFS(AA280 &lt;= 15%, "Low Hike[11-15%]", AA280 &lt;= 20%, "Moderate Hike[16-20%]", AA280 &lt;= 25%,"High Hike[21-25%]")</f>
        <v>Moderate Hike[16-20%]</v>
      </c>
      <c r="AC280" s="1">
        <v>4</v>
      </c>
      <c r="AD280" s="1">
        <v>1</v>
      </c>
      <c r="AE280" s="1">
        <v>80</v>
      </c>
      <c r="AF280" s="1">
        <v>1</v>
      </c>
      <c r="AG280" s="1">
        <v>6</v>
      </c>
      <c r="AH280" s="9" t="str" cm="1">
        <f t="array" ref="AH280">_xlfn.IFS(AG280 &lt;= 5, "New[1-5]", AG280 &lt;= 10, "Early Career[6-10]", AG280 &lt;= 20, "Established[11-20]", AG280 &lt;= 30, "Veteran[21-30]", AG280 &lt;= 40, "Late Career[31-40]")</f>
        <v>Early Career[6-10]</v>
      </c>
      <c r="AI280" s="1">
        <v>6</v>
      </c>
      <c r="AJ280" s="1">
        <v>1</v>
      </c>
      <c r="AK280" s="1">
        <v>6</v>
      </c>
      <c r="AL280" s="9" t="str" cm="1">
        <f t="array" ref="AL280">_xlfn.IFS(AK280 &lt;= 5, "New[1-5]", AK280 &lt;= 10, "Early Career[6-10]", AK280 &lt;= 20, "Established[11-20]", AK280 &lt;= 30, "Veteran[21-30]", AK280 &lt;= 40, "Late Career[31-40]")</f>
        <v>Early Career[6-10]</v>
      </c>
      <c r="AM280" s="1">
        <v>5</v>
      </c>
      <c r="AN280" s="9" t="str" cm="1">
        <f t="array" ref="AN280">_xlfn.IFS(AM280 &lt;= 3, "New to Role[1-3]", AM280 &lt;= 7, "Settled[4-7]", AM280 &lt;= 12, "Experienced[[8-12]", AM280 &lt;= 18, "Long Tenured[13-18]")</f>
        <v>Settled[4-7]</v>
      </c>
      <c r="AO280" s="1">
        <v>1</v>
      </c>
      <c r="AP280" s="9" t="str" cm="1">
        <f t="array" ref="AP280">_xlfn.IFS(AO280 &lt;= 3, "Recently[1-3]", AO280 &lt;= 6, "Due Soon[4-6]", AO280 &lt;= 10, "Overdue[7-10]", AO280 &lt;= 15, "Long Overdue[11-15]")</f>
        <v>Recently[1-3]</v>
      </c>
      <c r="AQ280" s="9" t="str" cm="1">
        <f t="array" ref="AQ280">_xlfn.IFS(AR280 &lt;= 3, "New Relationship[1-3]", AR280 &lt;= 7, "Established Relationship[4-7]", AR280 &lt;= 12, "Long Term Relationship[8-12]", AR280 &lt;= 17, "Very Long Term Relationship[13-17]")</f>
        <v>Established Relationship[4-7]</v>
      </c>
      <c r="AR280" s="1">
        <v>4</v>
      </c>
    </row>
    <row r="281" spans="1:44" x14ac:dyDescent="0.25">
      <c r="A281" s="1">
        <v>50</v>
      </c>
      <c r="B281" s="8" t="str" cm="1">
        <f t="array" ref="B281">_xlfn.IFS(A281 &lt;= 25, "[18-25]", A281 &lt;= 35, "[26-35]", A281 &lt;=45, "[36-45]", A281 &lt;= 60, "[46- 60]")</f>
        <v>[46- 60]</v>
      </c>
      <c r="C281" s="3" t="s">
        <v>43</v>
      </c>
      <c r="D281">
        <f t="shared" si="4"/>
        <v>0</v>
      </c>
      <c r="E281" t="s">
        <v>36</v>
      </c>
      <c r="F281" s="1">
        <v>797</v>
      </c>
      <c r="G281" s="3" t="s">
        <v>45</v>
      </c>
      <c r="H281" s="1">
        <v>4</v>
      </c>
      <c r="I281" s="9" t="str" cm="1">
        <f t="array" ref="I281">_xlfn.IFS(H281 &lt;= 2, "[1-2] very close", H281 &lt;= 10, "[3-10] close", H281 &lt;= 20, "[11-20] moderate", H281 &lt;= 30, "[21-30] far")</f>
        <v>[3-10] close</v>
      </c>
      <c r="J281" s="1">
        <v>1</v>
      </c>
      <c r="K281" s="3" t="s">
        <v>38</v>
      </c>
      <c r="L281" s="1">
        <v>1</v>
      </c>
      <c r="M281" s="1">
        <v>385</v>
      </c>
      <c r="N281" s="1">
        <v>1</v>
      </c>
      <c r="O281" s="3" t="s">
        <v>46</v>
      </c>
      <c r="P281" s="1">
        <v>96</v>
      </c>
      <c r="Q281" s="1">
        <v>3</v>
      </c>
      <c r="R281" s="1">
        <v>5</v>
      </c>
      <c r="S281" s="3" t="s">
        <v>58</v>
      </c>
      <c r="T281" s="1">
        <v>2</v>
      </c>
      <c r="U281" s="3" t="s">
        <v>52</v>
      </c>
      <c r="V281" s="4">
        <v>19144</v>
      </c>
      <c r="W281" s="1">
        <v>15815</v>
      </c>
      <c r="X281" s="1">
        <v>3</v>
      </c>
      <c r="Y281" s="3" t="s">
        <v>42</v>
      </c>
      <c r="Z281" s="3" t="s">
        <v>43</v>
      </c>
      <c r="AA281" s="5">
        <v>0.14000000000000001</v>
      </c>
      <c r="AB281" s="10" t="str" cm="1">
        <f t="array" ref="AB281">_xlfn.IFS(AA281 &lt;= 15%, "Low Hike[11-15%]", AA281 &lt;= 20%, "Moderate Hike[16-20%]", AA281 &lt;= 25%,"High Hike[21-25%]")</f>
        <v>Low Hike[11-15%]</v>
      </c>
      <c r="AC281" s="1">
        <v>3</v>
      </c>
      <c r="AD281" s="1">
        <v>1</v>
      </c>
      <c r="AE281" s="1">
        <v>80</v>
      </c>
      <c r="AF281" s="1">
        <v>2</v>
      </c>
      <c r="AG281" s="1">
        <v>28</v>
      </c>
      <c r="AH281" s="9" t="str" cm="1">
        <f t="array" ref="AH281">_xlfn.IFS(AG281 &lt;= 5, "New[1-5]", AG281 &lt;= 10, "Early Career[6-10]", AG281 &lt;= 20, "Established[11-20]", AG281 &lt;= 30, "Veteran[21-30]", AG281 &lt;= 40, "Late Career[31-40]")</f>
        <v>Veteran[21-30]</v>
      </c>
      <c r="AI281" s="1">
        <v>4</v>
      </c>
      <c r="AJ281" s="1">
        <v>2</v>
      </c>
      <c r="AK281" s="1">
        <v>10</v>
      </c>
      <c r="AL281" s="9" t="str" cm="1">
        <f t="array" ref="AL281">_xlfn.IFS(AK281 &lt;= 5, "New[1-5]", AK281 &lt;= 10, "Early Career[6-10]", AK281 &lt;= 20, "Established[11-20]", AK281 &lt;= 30, "Veteran[21-30]", AK281 &lt;= 40, "Late Career[31-40]")</f>
        <v>Early Career[6-10]</v>
      </c>
      <c r="AM281" s="1">
        <v>4</v>
      </c>
      <c r="AN281" s="9" t="str" cm="1">
        <f t="array" ref="AN281">_xlfn.IFS(AM281 &lt;= 3, "New to Role[1-3]", AM281 &lt;= 7, "Settled[4-7]", AM281 &lt;= 12, "Experienced[[8-12]", AM281 &lt;= 18, "Long Tenured[13-18]")</f>
        <v>Settled[4-7]</v>
      </c>
      <c r="AO281" s="1">
        <v>1</v>
      </c>
      <c r="AP281" s="9" t="str" cm="1">
        <f t="array" ref="AP281">_xlfn.IFS(AO281 &lt;= 3, "Recently[1-3]", AO281 &lt;= 6, "Due Soon[4-6]", AO281 &lt;= 10, "Overdue[7-10]", AO281 &lt;= 15, "Long Overdue[11-15]")</f>
        <v>Recently[1-3]</v>
      </c>
      <c r="AQ281" s="9" t="str" cm="1">
        <f t="array" ref="AQ281">_xlfn.IFS(AR281 &lt;= 3, "New Relationship[1-3]", AR281 &lt;= 7, "Established Relationship[4-7]", AR281 &lt;= 12, "Long Term Relationship[8-12]", AR281 &lt;= 17, "Very Long Term Relationship[13-17]")</f>
        <v>Established Relationship[4-7]</v>
      </c>
      <c r="AR281" s="1">
        <v>6</v>
      </c>
    </row>
    <row r="282" spans="1:44" x14ac:dyDescent="0.25">
      <c r="A282" s="1">
        <v>53</v>
      </c>
      <c r="B282" s="8" t="str" cm="1">
        <f t="array" ref="B282">_xlfn.IFS(A282 &lt;= 25, "[18-25]", A282 &lt;= 35, "[26-35]", A282 &lt;=45, "[36-45]", A282 &lt;= 60, "[46- 60]")</f>
        <v>[46- 60]</v>
      </c>
      <c r="C282" s="3" t="s">
        <v>43</v>
      </c>
      <c r="D282">
        <f t="shared" si="4"/>
        <v>0</v>
      </c>
      <c r="E282" t="s">
        <v>36</v>
      </c>
      <c r="F282" s="1">
        <v>1070</v>
      </c>
      <c r="G282" s="3" t="s">
        <v>45</v>
      </c>
      <c r="H282" s="1">
        <v>3</v>
      </c>
      <c r="I282" s="9" t="str" cm="1">
        <f t="array" ref="I282">_xlfn.IFS(H282 &lt;= 2, "[1-2] very close", H282 &lt;= 10, "[3-10] close", H282 &lt;= 20, "[11-20] moderate", H282 &lt;= 30, "[21-30] far")</f>
        <v>[3-10] close</v>
      </c>
      <c r="J282" s="1">
        <v>4</v>
      </c>
      <c r="K282" s="3" t="s">
        <v>51</v>
      </c>
      <c r="L282" s="1">
        <v>1</v>
      </c>
      <c r="M282" s="1">
        <v>386</v>
      </c>
      <c r="N282" s="1">
        <v>3</v>
      </c>
      <c r="O282" s="3" t="s">
        <v>46</v>
      </c>
      <c r="P282" s="1">
        <v>45</v>
      </c>
      <c r="Q282" s="1">
        <v>3</v>
      </c>
      <c r="R282" s="1">
        <v>4</v>
      </c>
      <c r="S282" s="3" t="s">
        <v>58</v>
      </c>
      <c r="T282" s="1">
        <v>3</v>
      </c>
      <c r="U282" s="3" t="s">
        <v>48</v>
      </c>
      <c r="V282" s="4">
        <v>17584</v>
      </c>
      <c r="W282" s="1">
        <v>21016</v>
      </c>
      <c r="X282" s="1">
        <v>3</v>
      </c>
      <c r="Y282" s="3" t="s">
        <v>42</v>
      </c>
      <c r="Z282" s="3" t="s">
        <v>35</v>
      </c>
      <c r="AA282" s="5">
        <v>0.16</v>
      </c>
      <c r="AB282" s="10" t="str" cm="1">
        <f t="array" ref="AB282">_xlfn.IFS(AA282 &lt;= 15%, "Low Hike[11-15%]", AA282 &lt;= 20%, "Moderate Hike[16-20%]", AA282 &lt;= 25%,"High Hike[21-25%]")</f>
        <v>Moderate Hike[16-20%]</v>
      </c>
      <c r="AC282" s="1">
        <v>3</v>
      </c>
      <c r="AD282" s="1">
        <v>4</v>
      </c>
      <c r="AE282" s="1">
        <v>80</v>
      </c>
      <c r="AF282" s="1">
        <v>3</v>
      </c>
      <c r="AG282" s="1">
        <v>21</v>
      </c>
      <c r="AH282" s="9" t="str" cm="1">
        <f t="array" ref="AH282">_xlfn.IFS(AG282 &lt;= 5, "New[1-5]", AG282 &lt;= 10, "Early Career[6-10]", AG282 &lt;= 20, "Established[11-20]", AG282 &lt;= 30, "Veteran[21-30]", AG282 &lt;= 40, "Late Career[31-40]")</f>
        <v>Veteran[21-30]</v>
      </c>
      <c r="AI282" s="1">
        <v>5</v>
      </c>
      <c r="AJ282" s="1">
        <v>2</v>
      </c>
      <c r="AK282" s="1">
        <v>5</v>
      </c>
      <c r="AL282" s="9" t="str" cm="1">
        <f t="array" ref="AL282">_xlfn.IFS(AK282 &lt;= 5, "New[1-5]", AK282 &lt;= 10, "Early Career[6-10]", AK282 &lt;= 20, "Established[11-20]", AK282 &lt;= 30, "Veteran[21-30]", AK282 &lt;= 40, "Late Career[31-40]")</f>
        <v>New[1-5]</v>
      </c>
      <c r="AM282" s="1">
        <v>3</v>
      </c>
      <c r="AN282" s="9" t="str" cm="1">
        <f t="array" ref="AN282">_xlfn.IFS(AM282 &lt;= 3, "New to Role[1-3]", AM282 &lt;= 7, "Settled[4-7]", AM282 &lt;= 12, "Experienced[[8-12]", AM282 &lt;= 18, "Long Tenured[13-18]")</f>
        <v>New to Role[1-3]</v>
      </c>
      <c r="AO282" s="1">
        <v>1</v>
      </c>
      <c r="AP282" s="9" t="str" cm="1">
        <f t="array" ref="AP282">_xlfn.IFS(AO282 &lt;= 3, "Recently[1-3]", AO282 &lt;= 6, "Due Soon[4-6]", AO282 &lt;= 10, "Overdue[7-10]", AO282 &lt;= 15, "Long Overdue[11-15]")</f>
        <v>Recently[1-3]</v>
      </c>
      <c r="AQ282" s="9" t="str" cm="1">
        <f t="array" ref="AQ282">_xlfn.IFS(AR282 &lt;= 3, "New Relationship[1-3]", AR282 &lt;= 7, "Established Relationship[4-7]", AR282 &lt;= 12, "Long Term Relationship[8-12]", AR282 &lt;= 17, "Very Long Term Relationship[13-17]")</f>
        <v>New Relationship[1-3]</v>
      </c>
      <c r="AR282" s="1">
        <v>3</v>
      </c>
    </row>
    <row r="283" spans="1:44" x14ac:dyDescent="0.25">
      <c r="A283" s="1">
        <v>42</v>
      </c>
      <c r="B283" s="8" t="str" cm="1">
        <f t="array" ref="B283">_xlfn.IFS(A283 &lt;= 25, "[18-25]", A283 &lt;= 35, "[26-35]", A283 &lt;=45, "[36-45]", A283 &lt;= 60, "[46- 60]")</f>
        <v>[36-45]</v>
      </c>
      <c r="C283" s="3" t="s">
        <v>43</v>
      </c>
      <c r="D283">
        <f t="shared" si="4"/>
        <v>0</v>
      </c>
      <c r="E283" t="s">
        <v>36</v>
      </c>
      <c r="F283" s="1">
        <v>635</v>
      </c>
      <c r="G283" s="3" t="s">
        <v>37</v>
      </c>
      <c r="H283" s="1">
        <v>1</v>
      </c>
      <c r="I283" s="9" t="str" cm="1">
        <f t="array" ref="I283">_xlfn.IFS(H283 &lt;= 2, "[1-2] very close", H283 &lt;= 10, "[3-10] close", H283 &lt;= 20, "[11-20] moderate", H283 &lt;= 30, "[21-30] far")</f>
        <v>[1-2] very close</v>
      </c>
      <c r="J283" s="1">
        <v>1</v>
      </c>
      <c r="K283" s="3" t="s">
        <v>38</v>
      </c>
      <c r="L283" s="1">
        <v>1</v>
      </c>
      <c r="M283" s="1">
        <v>387</v>
      </c>
      <c r="N283" s="1">
        <v>2</v>
      </c>
      <c r="O283" s="3" t="s">
        <v>46</v>
      </c>
      <c r="P283" s="1">
        <v>99</v>
      </c>
      <c r="Q283" s="1">
        <v>3</v>
      </c>
      <c r="R283" s="1">
        <v>2</v>
      </c>
      <c r="S283" s="3" t="s">
        <v>40</v>
      </c>
      <c r="T283" s="1">
        <v>3</v>
      </c>
      <c r="U283" s="3" t="s">
        <v>48</v>
      </c>
      <c r="V283" s="4">
        <v>4907</v>
      </c>
      <c r="W283" s="1">
        <v>24532</v>
      </c>
      <c r="X283" s="1">
        <v>1</v>
      </c>
      <c r="Y283" s="3" t="s">
        <v>42</v>
      </c>
      <c r="Z283" s="3" t="s">
        <v>43</v>
      </c>
      <c r="AA283" s="5">
        <v>0.25</v>
      </c>
      <c r="AB283" s="10" t="str" cm="1">
        <f t="array" ref="AB283">_xlfn.IFS(AA283 &lt;= 15%, "Low Hike[11-15%]", AA283 &lt;= 20%, "Moderate Hike[16-20%]", AA283 &lt;= 25%,"High Hike[21-25%]")</f>
        <v>High Hike[21-25%]</v>
      </c>
      <c r="AC283" s="1">
        <v>4</v>
      </c>
      <c r="AD283" s="1">
        <v>3</v>
      </c>
      <c r="AE283" s="1">
        <v>80</v>
      </c>
      <c r="AF283" s="1">
        <v>0</v>
      </c>
      <c r="AG283" s="1">
        <v>20</v>
      </c>
      <c r="AH283" s="9" t="str" cm="1">
        <f t="array" ref="AH283">_xlfn.IFS(AG283 &lt;= 5, "New[1-5]", AG283 &lt;= 10, "Early Career[6-10]", AG283 &lt;= 20, "Established[11-20]", AG283 &lt;= 30, "Veteran[21-30]", AG283 &lt;= 40, "Late Career[31-40]")</f>
        <v>Established[11-20]</v>
      </c>
      <c r="AI283" s="1">
        <v>3</v>
      </c>
      <c r="AJ283" s="1">
        <v>3</v>
      </c>
      <c r="AK283" s="1">
        <v>20</v>
      </c>
      <c r="AL283" s="9" t="str" cm="1">
        <f t="array" ref="AL283">_xlfn.IFS(AK283 &lt;= 5, "New[1-5]", AK283 &lt;= 10, "Early Career[6-10]", AK283 &lt;= 20, "Established[11-20]", AK283 &lt;= 30, "Veteran[21-30]", AK283 &lt;= 40, "Late Career[31-40]")</f>
        <v>Established[11-20]</v>
      </c>
      <c r="AM283" s="1">
        <v>16</v>
      </c>
      <c r="AN283" s="9" t="str" cm="1">
        <f t="array" ref="AN283">_xlfn.IFS(AM283 &lt;= 3, "New to Role[1-3]", AM283 &lt;= 7, "Settled[4-7]", AM283 &lt;= 12, "Experienced[[8-12]", AM283 &lt;= 18, "Long Tenured[13-18]")</f>
        <v>Long Tenured[13-18]</v>
      </c>
      <c r="AO283" s="1">
        <v>11</v>
      </c>
      <c r="AP283" s="9" t="str" cm="1">
        <f t="array" ref="AP283">_xlfn.IFS(AO283 &lt;= 3, "Recently[1-3]", AO283 &lt;= 6, "Due Soon[4-6]", AO283 &lt;= 10, "Overdue[7-10]", AO283 &lt;= 15, "Long Overdue[11-15]")</f>
        <v>Long Overdue[11-15]</v>
      </c>
      <c r="AQ283" s="9" t="str" cm="1">
        <f t="array" ref="AQ283">_xlfn.IFS(AR283 &lt;= 3, "New Relationship[1-3]", AR283 &lt;= 7, "Established Relationship[4-7]", AR283 &lt;= 12, "Long Term Relationship[8-12]", AR283 &lt;= 17, "Very Long Term Relationship[13-17]")</f>
        <v>Established Relationship[4-7]</v>
      </c>
      <c r="AR283" s="1">
        <v>6</v>
      </c>
    </row>
    <row r="284" spans="1:44" x14ac:dyDescent="0.25">
      <c r="A284" s="1">
        <v>29</v>
      </c>
      <c r="B284" s="8" t="str" cm="1">
        <f t="array" ref="B284">_xlfn.IFS(A284 &lt;= 25, "[18-25]", A284 &lt;= 35, "[26-35]", A284 &lt;=45, "[36-45]", A284 &lt;= 60, "[46- 60]")</f>
        <v>[26-35]</v>
      </c>
      <c r="C284" s="3" t="s">
        <v>43</v>
      </c>
      <c r="D284">
        <f t="shared" si="4"/>
        <v>0</v>
      </c>
      <c r="E284" t="s">
        <v>44</v>
      </c>
      <c r="F284" s="1">
        <v>442</v>
      </c>
      <c r="G284" s="3" t="s">
        <v>37</v>
      </c>
      <c r="H284" s="1">
        <v>2</v>
      </c>
      <c r="I284" s="9" t="str" cm="1">
        <f t="array" ref="I284">_xlfn.IFS(H284 &lt;= 2, "[1-2] very close", H284 &lt;= 10, "[3-10] close", H284 &lt;= 20, "[11-20] moderate", H284 &lt;= 30, "[21-30] far")</f>
        <v>[1-2] very close</v>
      </c>
      <c r="J284" s="1">
        <v>2</v>
      </c>
      <c r="K284" s="3" t="s">
        <v>38</v>
      </c>
      <c r="L284" s="1">
        <v>1</v>
      </c>
      <c r="M284" s="1">
        <v>388</v>
      </c>
      <c r="N284" s="1">
        <v>2</v>
      </c>
      <c r="O284" s="3" t="s">
        <v>46</v>
      </c>
      <c r="P284" s="1">
        <v>44</v>
      </c>
      <c r="Q284" s="1">
        <v>3</v>
      </c>
      <c r="R284" s="1">
        <v>2</v>
      </c>
      <c r="S284" s="3" t="s">
        <v>40</v>
      </c>
      <c r="T284" s="1">
        <v>4</v>
      </c>
      <c r="U284" s="3" t="s">
        <v>41</v>
      </c>
      <c r="V284" s="4">
        <v>4554</v>
      </c>
      <c r="W284" s="1">
        <v>20260</v>
      </c>
      <c r="X284" s="1">
        <v>1</v>
      </c>
      <c r="Y284" s="3" t="s">
        <v>42</v>
      </c>
      <c r="Z284" s="3" t="s">
        <v>43</v>
      </c>
      <c r="AA284" s="5">
        <v>0.18</v>
      </c>
      <c r="AB284" s="10" t="str" cm="1">
        <f t="array" ref="AB284">_xlfn.IFS(AA284 &lt;= 15%, "Low Hike[11-15%]", AA284 &lt;= 20%, "Moderate Hike[16-20%]", AA284 &lt;= 25%,"High Hike[21-25%]")</f>
        <v>Moderate Hike[16-20%]</v>
      </c>
      <c r="AC284" s="1">
        <v>3</v>
      </c>
      <c r="AD284" s="1">
        <v>1</v>
      </c>
      <c r="AE284" s="1">
        <v>80</v>
      </c>
      <c r="AF284" s="1">
        <v>0</v>
      </c>
      <c r="AG284" s="1">
        <v>10</v>
      </c>
      <c r="AH284" s="9" t="str" cm="1">
        <f t="array" ref="AH284">_xlfn.IFS(AG284 &lt;= 5, "New[1-5]", AG284 &lt;= 10, "Early Career[6-10]", AG284 &lt;= 20, "Established[11-20]", AG284 &lt;= 30, "Veteran[21-30]", AG284 &lt;= 40, "Late Career[31-40]")</f>
        <v>Early Career[6-10]</v>
      </c>
      <c r="AI284" s="1">
        <v>3</v>
      </c>
      <c r="AJ284" s="1">
        <v>2</v>
      </c>
      <c r="AK284" s="1">
        <v>10</v>
      </c>
      <c r="AL284" s="9" t="str" cm="1">
        <f t="array" ref="AL284">_xlfn.IFS(AK284 &lt;= 5, "New[1-5]", AK284 &lt;= 10, "Early Career[6-10]", AK284 &lt;= 20, "Established[11-20]", AK284 &lt;= 30, "Veteran[21-30]", AK284 &lt;= 40, "Late Career[31-40]")</f>
        <v>Early Career[6-10]</v>
      </c>
      <c r="AM284" s="1">
        <v>7</v>
      </c>
      <c r="AN284" s="9" t="str" cm="1">
        <f t="array" ref="AN284">_xlfn.IFS(AM284 &lt;= 3, "New to Role[1-3]", AM284 &lt;= 7, "Settled[4-7]", AM284 &lt;= 12, "Experienced[[8-12]", AM284 &lt;= 18, "Long Tenured[13-18]")</f>
        <v>Settled[4-7]</v>
      </c>
      <c r="AO284" s="1">
        <v>0</v>
      </c>
      <c r="AP284" s="9" t="str" cm="1">
        <f t="array" ref="AP284">_xlfn.IFS(AO284 &lt;= 3, "Recently[1-3]", AO284 &lt;= 6, "Due Soon[4-6]", AO284 &lt;= 10, "Overdue[7-10]", AO284 &lt;= 15, "Long Overdue[11-15]")</f>
        <v>Recently[1-3]</v>
      </c>
      <c r="AQ284" s="9" t="str" cm="1">
        <f t="array" ref="AQ284">_xlfn.IFS(AR284 &lt;= 3, "New Relationship[1-3]", AR284 &lt;= 7, "Established Relationship[4-7]", AR284 &lt;= 12, "Long Term Relationship[8-12]", AR284 &lt;= 17, "Very Long Term Relationship[13-17]")</f>
        <v>Long Term Relationship[8-12]</v>
      </c>
      <c r="AR284" s="1">
        <v>9</v>
      </c>
    </row>
    <row r="285" spans="1:44" x14ac:dyDescent="0.25">
      <c r="A285" s="1">
        <v>55</v>
      </c>
      <c r="B285" s="8" t="str" cm="1">
        <f t="array" ref="B285">_xlfn.IFS(A285 &lt;= 25, "[18-25]", A285 &lt;= 35, "[26-35]", A285 &lt;=45, "[36-45]", A285 &lt;= 60, "[46- 60]")</f>
        <v>[46- 60]</v>
      </c>
      <c r="C285" s="3" t="s">
        <v>43</v>
      </c>
      <c r="D285">
        <f t="shared" si="4"/>
        <v>0</v>
      </c>
      <c r="E285" t="s">
        <v>36</v>
      </c>
      <c r="F285" s="1">
        <v>147</v>
      </c>
      <c r="G285" s="3" t="s">
        <v>45</v>
      </c>
      <c r="H285" s="1">
        <v>20</v>
      </c>
      <c r="I285" s="9" t="str" cm="1">
        <f t="array" ref="I285">_xlfn.IFS(H285 &lt;= 2, "[1-2] very close", H285 &lt;= 10, "[3-10] close", H285 &lt;= 20, "[11-20] moderate", H285 &lt;= 30, "[21-30] far")</f>
        <v>[11-20] moderate</v>
      </c>
      <c r="J285" s="1">
        <v>2</v>
      </c>
      <c r="K285" s="3" t="s">
        <v>60</v>
      </c>
      <c r="L285" s="1">
        <v>1</v>
      </c>
      <c r="M285" s="1">
        <v>389</v>
      </c>
      <c r="N285" s="1">
        <v>2</v>
      </c>
      <c r="O285" s="3" t="s">
        <v>46</v>
      </c>
      <c r="P285" s="1">
        <v>37</v>
      </c>
      <c r="Q285" s="1">
        <v>3</v>
      </c>
      <c r="R285" s="1">
        <v>2</v>
      </c>
      <c r="S285" s="3" t="s">
        <v>50</v>
      </c>
      <c r="T285" s="1">
        <v>4</v>
      </c>
      <c r="U285" s="3" t="s">
        <v>48</v>
      </c>
      <c r="V285" s="4">
        <v>5415</v>
      </c>
      <c r="W285" s="1">
        <v>15972</v>
      </c>
      <c r="X285" s="1">
        <v>3</v>
      </c>
      <c r="Y285" s="3" t="s">
        <v>42</v>
      </c>
      <c r="Z285" s="3" t="s">
        <v>35</v>
      </c>
      <c r="AA285" s="5">
        <v>0.19</v>
      </c>
      <c r="AB285" s="10" t="str" cm="1">
        <f t="array" ref="AB285">_xlfn.IFS(AA285 &lt;= 15%, "Low Hike[11-15%]", AA285 &lt;= 20%, "Moderate Hike[16-20%]", AA285 &lt;= 25%,"High Hike[21-25%]")</f>
        <v>Moderate Hike[16-20%]</v>
      </c>
      <c r="AC285" s="1">
        <v>3</v>
      </c>
      <c r="AD285" s="1">
        <v>4</v>
      </c>
      <c r="AE285" s="1">
        <v>80</v>
      </c>
      <c r="AF285" s="1">
        <v>1</v>
      </c>
      <c r="AG285" s="1">
        <v>12</v>
      </c>
      <c r="AH285" s="9" t="str" cm="1">
        <f t="array" ref="AH285">_xlfn.IFS(AG285 &lt;= 5, "New[1-5]", AG285 &lt;= 10, "Early Career[6-10]", AG285 &lt;= 20, "Established[11-20]", AG285 &lt;= 30, "Veteran[21-30]", AG285 &lt;= 40, "Late Career[31-40]")</f>
        <v>Established[11-20]</v>
      </c>
      <c r="AI285" s="1">
        <v>4</v>
      </c>
      <c r="AJ285" s="1">
        <v>3</v>
      </c>
      <c r="AK285" s="1">
        <v>10</v>
      </c>
      <c r="AL285" s="9" t="str" cm="1">
        <f t="array" ref="AL285">_xlfn.IFS(AK285 &lt;= 5, "New[1-5]", AK285 &lt;= 10, "Early Career[6-10]", AK285 &lt;= 20, "Established[11-20]", AK285 &lt;= 30, "Veteran[21-30]", AK285 &lt;= 40, "Late Career[31-40]")</f>
        <v>Early Career[6-10]</v>
      </c>
      <c r="AM285" s="1">
        <v>7</v>
      </c>
      <c r="AN285" s="9" t="str" cm="1">
        <f t="array" ref="AN285">_xlfn.IFS(AM285 &lt;= 3, "New to Role[1-3]", AM285 &lt;= 7, "Settled[4-7]", AM285 &lt;= 12, "Experienced[[8-12]", AM285 &lt;= 18, "Long Tenured[13-18]")</f>
        <v>Settled[4-7]</v>
      </c>
      <c r="AO285" s="1">
        <v>0</v>
      </c>
      <c r="AP285" s="9" t="str" cm="1">
        <f t="array" ref="AP285">_xlfn.IFS(AO285 &lt;= 3, "Recently[1-3]", AO285 &lt;= 6, "Due Soon[4-6]", AO285 &lt;= 10, "Overdue[7-10]", AO285 &lt;= 15, "Long Overdue[11-15]")</f>
        <v>Recently[1-3]</v>
      </c>
      <c r="AQ285" s="9" t="str" cm="1">
        <f t="array" ref="AQ285">_xlfn.IFS(AR285 &lt;= 3, "New Relationship[1-3]", AR285 &lt;= 7, "Established Relationship[4-7]", AR285 &lt;= 12, "Long Term Relationship[8-12]", AR285 &lt;= 17, "Very Long Term Relationship[13-17]")</f>
        <v>Long Term Relationship[8-12]</v>
      </c>
      <c r="AR285" s="1">
        <v>8</v>
      </c>
    </row>
    <row r="286" spans="1:44" x14ac:dyDescent="0.25">
      <c r="A286" s="1">
        <v>26</v>
      </c>
      <c r="B286" s="8" t="str" cm="1">
        <f t="array" ref="B286">_xlfn.IFS(A286 &lt;= 25, "[18-25]", A286 &lt;= 35, "[26-35]", A286 &lt;=45, "[36-45]", A286 &lt;= 60, "[46- 60]")</f>
        <v>[26-35]</v>
      </c>
      <c r="C286" s="3" t="s">
        <v>43</v>
      </c>
      <c r="D286">
        <f t="shared" si="4"/>
        <v>0</v>
      </c>
      <c r="E286" t="s">
        <v>44</v>
      </c>
      <c r="F286" s="1">
        <v>496</v>
      </c>
      <c r="G286" s="3" t="s">
        <v>45</v>
      </c>
      <c r="H286" s="1">
        <v>11</v>
      </c>
      <c r="I286" s="9" t="str" cm="1">
        <f t="array" ref="I286">_xlfn.IFS(H286 &lt;= 2, "[1-2] very close", H286 &lt;= 10, "[3-10] close", H286 &lt;= 20, "[11-20] moderate", H286 &lt;= 30, "[21-30] far")</f>
        <v>[11-20] moderate</v>
      </c>
      <c r="J286" s="1">
        <v>2</v>
      </c>
      <c r="K286" s="3" t="s">
        <v>51</v>
      </c>
      <c r="L286" s="1">
        <v>1</v>
      </c>
      <c r="M286" s="1">
        <v>390</v>
      </c>
      <c r="N286" s="1">
        <v>1</v>
      </c>
      <c r="O286" s="3" t="s">
        <v>46</v>
      </c>
      <c r="P286" s="1">
        <v>60</v>
      </c>
      <c r="Q286" s="1">
        <v>3</v>
      </c>
      <c r="R286" s="1">
        <v>2</v>
      </c>
      <c r="S286" s="3" t="s">
        <v>54</v>
      </c>
      <c r="T286" s="1">
        <v>1</v>
      </c>
      <c r="U286" s="3" t="s">
        <v>48</v>
      </c>
      <c r="V286" s="4">
        <v>4741</v>
      </c>
      <c r="W286" s="1">
        <v>22722</v>
      </c>
      <c r="X286" s="1">
        <v>1</v>
      </c>
      <c r="Y286" s="3" t="s">
        <v>42</v>
      </c>
      <c r="Z286" s="3" t="s">
        <v>35</v>
      </c>
      <c r="AA286" s="5">
        <v>0.13</v>
      </c>
      <c r="AB286" s="10" t="str" cm="1">
        <f t="array" ref="AB286">_xlfn.IFS(AA286 &lt;= 15%, "Low Hike[11-15%]", AA286 &lt;= 20%, "Moderate Hike[16-20%]", AA286 &lt;= 25%,"High Hike[21-25%]")</f>
        <v>Low Hike[11-15%]</v>
      </c>
      <c r="AC286" s="1">
        <v>3</v>
      </c>
      <c r="AD286" s="1">
        <v>3</v>
      </c>
      <c r="AE286" s="1">
        <v>80</v>
      </c>
      <c r="AF286" s="1">
        <v>1</v>
      </c>
      <c r="AG286" s="1">
        <v>5</v>
      </c>
      <c r="AH286" s="9" t="str" cm="1">
        <f t="array" ref="AH286">_xlfn.IFS(AG286 &lt;= 5, "New[1-5]", AG286 &lt;= 10, "Early Career[6-10]", AG286 &lt;= 20, "Established[11-20]", AG286 &lt;= 30, "Veteran[21-30]", AG286 &lt;= 40, "Late Career[31-40]")</f>
        <v>New[1-5]</v>
      </c>
      <c r="AI286" s="1">
        <v>3</v>
      </c>
      <c r="AJ286" s="1">
        <v>3</v>
      </c>
      <c r="AK286" s="1">
        <v>5</v>
      </c>
      <c r="AL286" s="9" t="str" cm="1">
        <f t="array" ref="AL286">_xlfn.IFS(AK286 &lt;= 5, "New[1-5]", AK286 &lt;= 10, "Early Career[6-10]", AK286 &lt;= 20, "Established[11-20]", AK286 &lt;= 30, "Veteran[21-30]", AK286 &lt;= 40, "Late Career[31-40]")</f>
        <v>New[1-5]</v>
      </c>
      <c r="AM286" s="1">
        <v>3</v>
      </c>
      <c r="AN286" s="9" t="str" cm="1">
        <f t="array" ref="AN286">_xlfn.IFS(AM286 &lt;= 3, "New to Role[1-3]", AM286 &lt;= 7, "Settled[4-7]", AM286 &lt;= 12, "Experienced[[8-12]", AM286 &lt;= 18, "Long Tenured[13-18]")</f>
        <v>New to Role[1-3]</v>
      </c>
      <c r="AO286" s="1">
        <v>3</v>
      </c>
      <c r="AP286" s="9" t="str" cm="1">
        <f t="array" ref="AP286">_xlfn.IFS(AO286 &lt;= 3, "Recently[1-3]", AO286 &lt;= 6, "Due Soon[4-6]", AO286 &lt;= 10, "Overdue[7-10]", AO286 &lt;= 15, "Long Overdue[11-15]")</f>
        <v>Recently[1-3]</v>
      </c>
      <c r="AQ286" s="9" t="str" cm="1">
        <f t="array" ref="AQ286">_xlfn.IFS(AR286 &lt;= 3, "New Relationship[1-3]", AR286 &lt;= 7, "Established Relationship[4-7]", AR286 &lt;= 12, "Long Term Relationship[8-12]", AR286 &lt;= 17, "Very Long Term Relationship[13-17]")</f>
        <v>New Relationship[1-3]</v>
      </c>
      <c r="AR286" s="1">
        <v>3</v>
      </c>
    </row>
    <row r="287" spans="1:44" x14ac:dyDescent="0.25">
      <c r="A287" s="1">
        <v>37</v>
      </c>
      <c r="B287" s="8" t="str" cm="1">
        <f t="array" ref="B287">_xlfn.IFS(A287 &lt;= 25, "[18-25]", A287 &lt;= 35, "[26-35]", A287 &lt;=45, "[36-45]", A287 &lt;= 60, "[46- 60]")</f>
        <v>[36-45]</v>
      </c>
      <c r="C287" s="3" t="s">
        <v>43</v>
      </c>
      <c r="D287">
        <f t="shared" si="4"/>
        <v>0</v>
      </c>
      <c r="E287" t="s">
        <v>36</v>
      </c>
      <c r="F287" s="1">
        <v>1372</v>
      </c>
      <c r="G287" s="3" t="s">
        <v>45</v>
      </c>
      <c r="H287" s="1">
        <v>1</v>
      </c>
      <c r="I287" s="9" t="str" cm="1">
        <f t="array" ref="I287">_xlfn.IFS(H287 &lt;= 2, "[1-2] very close", H287 &lt;= 10, "[3-10] close", H287 &lt;= 20, "[11-20] moderate", H287 &lt;= 30, "[21-30] far")</f>
        <v>[1-2] very close</v>
      </c>
      <c r="J287" s="1">
        <v>3</v>
      </c>
      <c r="K287" s="3" t="s">
        <v>38</v>
      </c>
      <c r="L287" s="1">
        <v>1</v>
      </c>
      <c r="M287" s="1">
        <v>391</v>
      </c>
      <c r="N287" s="1">
        <v>4</v>
      </c>
      <c r="O287" s="3" t="s">
        <v>39</v>
      </c>
      <c r="P287" s="1">
        <v>42</v>
      </c>
      <c r="Q287" s="1">
        <v>3</v>
      </c>
      <c r="R287" s="1">
        <v>1</v>
      </c>
      <c r="S287" s="3" t="s">
        <v>47</v>
      </c>
      <c r="T287" s="1">
        <v>4</v>
      </c>
      <c r="U287" s="3" t="s">
        <v>41</v>
      </c>
      <c r="V287" s="4">
        <v>2115</v>
      </c>
      <c r="W287" s="1">
        <v>15881</v>
      </c>
      <c r="X287" s="1">
        <v>1</v>
      </c>
      <c r="Y287" s="3" t="s">
        <v>42</v>
      </c>
      <c r="Z287" s="3" t="s">
        <v>43</v>
      </c>
      <c r="AA287" s="5">
        <v>0.12</v>
      </c>
      <c r="AB287" s="10" t="str" cm="1">
        <f t="array" ref="AB287">_xlfn.IFS(AA287 &lt;= 15%, "Low Hike[11-15%]", AA287 &lt;= 20%, "Moderate Hike[16-20%]", AA287 &lt;= 25%,"High Hike[21-25%]")</f>
        <v>Low Hike[11-15%]</v>
      </c>
      <c r="AC287" s="1">
        <v>3</v>
      </c>
      <c r="AD287" s="1">
        <v>2</v>
      </c>
      <c r="AE287" s="1">
        <v>80</v>
      </c>
      <c r="AF287" s="1">
        <v>0</v>
      </c>
      <c r="AG287" s="1">
        <v>17</v>
      </c>
      <c r="AH287" s="9" t="str" cm="1">
        <f t="array" ref="AH287">_xlfn.IFS(AG287 &lt;= 5, "New[1-5]", AG287 &lt;= 10, "Early Career[6-10]", AG287 &lt;= 20, "Established[11-20]", AG287 &lt;= 30, "Veteran[21-30]", AG287 &lt;= 40, "Late Career[31-40]")</f>
        <v>Established[11-20]</v>
      </c>
      <c r="AI287" s="1">
        <v>3</v>
      </c>
      <c r="AJ287" s="1">
        <v>3</v>
      </c>
      <c r="AK287" s="1">
        <v>17</v>
      </c>
      <c r="AL287" s="9" t="str" cm="1">
        <f t="array" ref="AL287">_xlfn.IFS(AK287 &lt;= 5, "New[1-5]", AK287 &lt;= 10, "Early Career[6-10]", AK287 &lt;= 20, "Established[11-20]", AK287 &lt;= 30, "Veteran[21-30]", AK287 &lt;= 40, "Late Career[31-40]")</f>
        <v>Established[11-20]</v>
      </c>
      <c r="AM287" s="1">
        <v>12</v>
      </c>
      <c r="AN287" s="9" t="str" cm="1">
        <f t="array" ref="AN287">_xlfn.IFS(AM287 &lt;= 3, "New to Role[1-3]", AM287 &lt;= 7, "Settled[4-7]", AM287 &lt;= 12, "Experienced[[8-12]", AM287 &lt;= 18, "Long Tenured[13-18]")</f>
        <v>Experienced[[8-12]</v>
      </c>
      <c r="AO287" s="1">
        <v>5</v>
      </c>
      <c r="AP287" s="9" t="str" cm="1">
        <f t="array" ref="AP287">_xlfn.IFS(AO287 &lt;= 3, "Recently[1-3]", AO287 &lt;= 6, "Due Soon[4-6]", AO287 &lt;= 10, "Overdue[7-10]", AO287 &lt;= 15, "Long Overdue[11-15]")</f>
        <v>Due Soon[4-6]</v>
      </c>
      <c r="AQ287" s="9" t="str" cm="1">
        <f t="array" ref="AQ287">_xlfn.IFS(AR287 &lt;= 3, "New Relationship[1-3]", AR287 &lt;= 7, "Established Relationship[4-7]", AR287 &lt;= 12, "Long Term Relationship[8-12]", AR287 &lt;= 17, "Very Long Term Relationship[13-17]")</f>
        <v>Established Relationship[4-7]</v>
      </c>
      <c r="AR287" s="1">
        <v>7</v>
      </c>
    </row>
    <row r="288" spans="1:44" x14ac:dyDescent="0.25">
      <c r="A288" s="1">
        <v>44</v>
      </c>
      <c r="B288" s="8" t="str" cm="1">
        <f t="array" ref="B288">_xlfn.IFS(A288 &lt;= 25, "[18-25]", A288 &lt;= 35, "[26-35]", A288 &lt;=45, "[36-45]", A288 &lt;= 60, "[46- 60]")</f>
        <v>[36-45]</v>
      </c>
      <c r="C288" s="3" t="s">
        <v>35</v>
      </c>
      <c r="D288">
        <f t="shared" si="4"/>
        <v>1</v>
      </c>
      <c r="E288" t="s">
        <v>44</v>
      </c>
      <c r="F288" s="1">
        <v>920</v>
      </c>
      <c r="G288" s="3" t="s">
        <v>45</v>
      </c>
      <c r="H288" s="1">
        <v>24</v>
      </c>
      <c r="I288" s="9" t="str" cm="1">
        <f t="array" ref="I288">_xlfn.IFS(H288 &lt;= 2, "[1-2] very close", H288 &lt;= 10, "[3-10] close", H288 &lt;= 20, "[11-20] moderate", H288 &lt;= 30, "[21-30] far")</f>
        <v>[21-30] far</v>
      </c>
      <c r="J288" s="1">
        <v>3</v>
      </c>
      <c r="K288" s="3" t="s">
        <v>38</v>
      </c>
      <c r="L288" s="1">
        <v>1</v>
      </c>
      <c r="M288" s="1">
        <v>392</v>
      </c>
      <c r="N288" s="1">
        <v>4</v>
      </c>
      <c r="O288" s="3" t="s">
        <v>46</v>
      </c>
      <c r="P288" s="1">
        <v>43</v>
      </c>
      <c r="Q288" s="1">
        <v>3</v>
      </c>
      <c r="R288" s="1">
        <v>1</v>
      </c>
      <c r="S288" s="3" t="s">
        <v>50</v>
      </c>
      <c r="T288" s="1">
        <v>3</v>
      </c>
      <c r="U288" s="3" t="s">
        <v>52</v>
      </c>
      <c r="V288" s="4">
        <v>3161</v>
      </c>
      <c r="W288" s="1">
        <v>19920</v>
      </c>
      <c r="X288" s="1">
        <v>3</v>
      </c>
      <c r="Y288" s="3" t="s">
        <v>42</v>
      </c>
      <c r="Z288" s="3" t="s">
        <v>35</v>
      </c>
      <c r="AA288" s="5">
        <v>0.22</v>
      </c>
      <c r="AB288" s="10" t="str" cm="1">
        <f t="array" ref="AB288">_xlfn.IFS(AA288 &lt;= 15%, "Low Hike[11-15%]", AA288 &lt;= 20%, "Moderate Hike[16-20%]", AA288 &lt;= 25%,"High Hike[21-25%]")</f>
        <v>High Hike[21-25%]</v>
      </c>
      <c r="AC288" s="1">
        <v>4</v>
      </c>
      <c r="AD288" s="1">
        <v>4</v>
      </c>
      <c r="AE288" s="1">
        <v>80</v>
      </c>
      <c r="AF288" s="1">
        <v>1</v>
      </c>
      <c r="AG288" s="1">
        <v>19</v>
      </c>
      <c r="AH288" s="9" t="str" cm="1">
        <f t="array" ref="AH288">_xlfn.IFS(AG288 &lt;= 5, "New[1-5]", AG288 &lt;= 10, "Early Career[6-10]", AG288 &lt;= 20, "Established[11-20]", AG288 &lt;= 30, "Veteran[21-30]", AG288 &lt;= 40, "Late Career[31-40]")</f>
        <v>Established[11-20]</v>
      </c>
      <c r="AI288" s="1">
        <v>0</v>
      </c>
      <c r="AJ288" s="1">
        <v>1</v>
      </c>
      <c r="AK288" s="1">
        <v>1</v>
      </c>
      <c r="AL288" s="9" t="str" cm="1">
        <f t="array" ref="AL288">_xlfn.IFS(AK288 &lt;= 5, "New[1-5]", AK288 &lt;= 10, "Early Career[6-10]", AK288 &lt;= 20, "Established[11-20]", AK288 &lt;= 30, "Veteran[21-30]", AK288 &lt;= 40, "Late Career[31-40]")</f>
        <v>New[1-5]</v>
      </c>
      <c r="AM288" s="1">
        <v>0</v>
      </c>
      <c r="AN288" s="9" t="str" cm="1">
        <f t="array" ref="AN288">_xlfn.IFS(AM288 &lt;= 3, "New to Role[1-3]", AM288 &lt;= 7, "Settled[4-7]", AM288 &lt;= 12, "Experienced[[8-12]", AM288 &lt;= 18, "Long Tenured[13-18]")</f>
        <v>New to Role[1-3]</v>
      </c>
      <c r="AO288" s="1">
        <v>0</v>
      </c>
      <c r="AP288" s="9" t="str" cm="1">
        <f t="array" ref="AP288">_xlfn.IFS(AO288 &lt;= 3, "Recently[1-3]", AO288 &lt;= 6, "Due Soon[4-6]", AO288 &lt;= 10, "Overdue[7-10]", AO288 &lt;= 15, "Long Overdue[11-15]")</f>
        <v>Recently[1-3]</v>
      </c>
      <c r="AQ288" s="9" t="str" cm="1">
        <f t="array" ref="AQ288">_xlfn.IFS(AR288 &lt;= 3, "New Relationship[1-3]", AR288 &lt;= 7, "Established Relationship[4-7]", AR288 &lt;= 12, "Long Term Relationship[8-12]", AR288 &lt;= 17, "Very Long Term Relationship[13-17]")</f>
        <v>New Relationship[1-3]</v>
      </c>
      <c r="AR288" s="1">
        <v>0</v>
      </c>
    </row>
    <row r="289" spans="1:44" x14ac:dyDescent="0.25">
      <c r="A289" s="1">
        <v>38</v>
      </c>
      <c r="B289" s="8" t="str" cm="1">
        <f t="array" ref="B289">_xlfn.IFS(A289 &lt;= 25, "[18-25]", A289 &lt;= 35, "[26-35]", A289 &lt;=45, "[36-45]", A289 &lt;= 60, "[46- 60]")</f>
        <v>[36-45]</v>
      </c>
      <c r="C289" s="3" t="s">
        <v>43</v>
      </c>
      <c r="D289">
        <f t="shared" si="4"/>
        <v>0</v>
      </c>
      <c r="E289" t="s">
        <v>36</v>
      </c>
      <c r="F289" s="1">
        <v>688</v>
      </c>
      <c r="G289" s="3" t="s">
        <v>45</v>
      </c>
      <c r="H289" s="1">
        <v>23</v>
      </c>
      <c r="I289" s="9" t="str" cm="1">
        <f t="array" ref="I289">_xlfn.IFS(H289 &lt;= 2, "[1-2] very close", H289 &lt;= 10, "[3-10] close", H289 &lt;= 20, "[11-20] moderate", H289 &lt;= 30, "[21-30] far")</f>
        <v>[21-30] far</v>
      </c>
      <c r="J289" s="1">
        <v>4</v>
      </c>
      <c r="K289" s="3" t="s">
        <v>38</v>
      </c>
      <c r="L289" s="1">
        <v>1</v>
      </c>
      <c r="M289" s="1">
        <v>393</v>
      </c>
      <c r="N289" s="1">
        <v>4</v>
      </c>
      <c r="O289" s="3" t="s">
        <v>46</v>
      </c>
      <c r="P289" s="1">
        <v>82</v>
      </c>
      <c r="Q289" s="1">
        <v>3</v>
      </c>
      <c r="R289" s="1">
        <v>2</v>
      </c>
      <c r="S289" s="3" t="s">
        <v>54</v>
      </c>
      <c r="T289" s="1">
        <v>4</v>
      </c>
      <c r="U289" s="3" t="s">
        <v>52</v>
      </c>
      <c r="V289" s="4">
        <v>5745</v>
      </c>
      <c r="W289" s="1">
        <v>18899</v>
      </c>
      <c r="X289" s="1">
        <v>9</v>
      </c>
      <c r="Y289" s="3" t="s">
        <v>42</v>
      </c>
      <c r="Z289" s="3" t="s">
        <v>43</v>
      </c>
      <c r="AA289" s="5">
        <v>0.14000000000000001</v>
      </c>
      <c r="AB289" s="10" t="str" cm="1">
        <f t="array" ref="AB289">_xlfn.IFS(AA289 &lt;= 15%, "Low Hike[11-15%]", AA289 &lt;= 20%, "Moderate Hike[16-20%]", AA289 &lt;= 25%,"High Hike[21-25%]")</f>
        <v>Low Hike[11-15%]</v>
      </c>
      <c r="AC289" s="1">
        <v>3</v>
      </c>
      <c r="AD289" s="1">
        <v>2</v>
      </c>
      <c r="AE289" s="1">
        <v>80</v>
      </c>
      <c r="AF289" s="1">
        <v>1</v>
      </c>
      <c r="AG289" s="1">
        <v>10</v>
      </c>
      <c r="AH289" s="9" t="str" cm="1">
        <f t="array" ref="AH289">_xlfn.IFS(AG289 &lt;= 5, "New[1-5]", AG289 &lt;= 10, "Early Career[6-10]", AG289 &lt;= 20, "Established[11-20]", AG289 &lt;= 30, "Veteran[21-30]", AG289 &lt;= 40, "Late Career[31-40]")</f>
        <v>Early Career[6-10]</v>
      </c>
      <c r="AI289" s="1">
        <v>2</v>
      </c>
      <c r="AJ289" s="1">
        <v>3</v>
      </c>
      <c r="AK289" s="1">
        <v>2</v>
      </c>
      <c r="AL289" s="9" t="str" cm="1">
        <f t="array" ref="AL289">_xlfn.IFS(AK289 &lt;= 5, "New[1-5]", AK289 &lt;= 10, "Early Career[6-10]", AK289 &lt;= 20, "Established[11-20]", AK289 &lt;= 30, "Veteran[21-30]", AK289 &lt;= 40, "Late Career[31-40]")</f>
        <v>New[1-5]</v>
      </c>
      <c r="AM289" s="1">
        <v>2</v>
      </c>
      <c r="AN289" s="9" t="str" cm="1">
        <f t="array" ref="AN289">_xlfn.IFS(AM289 &lt;= 3, "New to Role[1-3]", AM289 &lt;= 7, "Settled[4-7]", AM289 &lt;= 12, "Experienced[[8-12]", AM289 &lt;= 18, "Long Tenured[13-18]")</f>
        <v>New to Role[1-3]</v>
      </c>
      <c r="AO289" s="1">
        <v>1</v>
      </c>
      <c r="AP289" s="9" t="str" cm="1">
        <f t="array" ref="AP289">_xlfn.IFS(AO289 &lt;= 3, "Recently[1-3]", AO289 &lt;= 6, "Due Soon[4-6]", AO289 &lt;= 10, "Overdue[7-10]", AO289 &lt;= 15, "Long Overdue[11-15]")</f>
        <v>Recently[1-3]</v>
      </c>
      <c r="AQ289" s="9" t="str" cm="1">
        <f t="array" ref="AQ289">_xlfn.IFS(AR289 &lt;= 3, "New Relationship[1-3]", AR289 &lt;= 7, "Established Relationship[4-7]", AR289 &lt;= 12, "Long Term Relationship[8-12]", AR289 &lt;= 17, "Very Long Term Relationship[13-17]")</f>
        <v>New Relationship[1-3]</v>
      </c>
      <c r="AR289" s="1">
        <v>2</v>
      </c>
    </row>
    <row r="290" spans="1:44" x14ac:dyDescent="0.25">
      <c r="A290" s="1">
        <v>26</v>
      </c>
      <c r="B290" s="8" t="str" cm="1">
        <f t="array" ref="B290">_xlfn.IFS(A290 &lt;= 25, "[18-25]", A290 &lt;= 35, "[26-35]", A290 &lt;=45, "[36-45]", A290 &lt;= 60, "[46- 60]")</f>
        <v>[26-35]</v>
      </c>
      <c r="C290" s="3" t="s">
        <v>35</v>
      </c>
      <c r="D290">
        <f t="shared" si="4"/>
        <v>1</v>
      </c>
      <c r="E290" t="s">
        <v>36</v>
      </c>
      <c r="F290" s="1">
        <v>1449</v>
      </c>
      <c r="G290" s="3" t="s">
        <v>45</v>
      </c>
      <c r="H290" s="1">
        <v>16</v>
      </c>
      <c r="I290" s="9" t="str" cm="1">
        <f t="array" ref="I290">_xlfn.IFS(H290 &lt;= 2, "[1-2] very close", H290 &lt;= 10, "[3-10] close", H290 &lt;= 20, "[11-20] moderate", H290 &lt;= 30, "[21-30] far")</f>
        <v>[11-20] moderate</v>
      </c>
      <c r="J290" s="1">
        <v>4</v>
      </c>
      <c r="K290" s="3" t="s">
        <v>51</v>
      </c>
      <c r="L290" s="1">
        <v>1</v>
      </c>
      <c r="M290" s="1">
        <v>394</v>
      </c>
      <c r="N290" s="1">
        <v>1</v>
      </c>
      <c r="O290" s="3" t="s">
        <v>46</v>
      </c>
      <c r="P290" s="1">
        <v>45</v>
      </c>
      <c r="Q290" s="1">
        <v>3</v>
      </c>
      <c r="R290" s="1">
        <v>1</v>
      </c>
      <c r="S290" s="3" t="s">
        <v>50</v>
      </c>
      <c r="T290" s="1">
        <v>2</v>
      </c>
      <c r="U290" s="3" t="s">
        <v>52</v>
      </c>
      <c r="V290" s="4">
        <v>2373</v>
      </c>
      <c r="W290" s="1">
        <v>14180</v>
      </c>
      <c r="X290" s="1">
        <v>2</v>
      </c>
      <c r="Y290" s="3" t="s">
        <v>42</v>
      </c>
      <c r="Z290" s="3" t="s">
        <v>35</v>
      </c>
      <c r="AA290" s="5">
        <v>0.13</v>
      </c>
      <c r="AB290" s="10" t="str" cm="1">
        <f t="array" ref="AB290">_xlfn.IFS(AA290 &lt;= 15%, "Low Hike[11-15%]", AA290 &lt;= 20%, "Moderate Hike[16-20%]", AA290 &lt;= 25%,"High Hike[21-25%]")</f>
        <v>Low Hike[11-15%]</v>
      </c>
      <c r="AC290" s="1">
        <v>3</v>
      </c>
      <c r="AD290" s="1">
        <v>4</v>
      </c>
      <c r="AE290" s="1">
        <v>80</v>
      </c>
      <c r="AF290" s="1">
        <v>1</v>
      </c>
      <c r="AG290" s="1">
        <v>5</v>
      </c>
      <c r="AH290" s="9" t="str" cm="1">
        <f t="array" ref="AH290">_xlfn.IFS(AG290 &lt;= 5, "New[1-5]", AG290 &lt;= 10, "Early Career[6-10]", AG290 &lt;= 20, "Established[11-20]", AG290 &lt;= 30, "Veteran[21-30]", AG290 &lt;= 40, "Late Career[31-40]")</f>
        <v>New[1-5]</v>
      </c>
      <c r="AI290" s="1">
        <v>2</v>
      </c>
      <c r="AJ290" s="1">
        <v>3</v>
      </c>
      <c r="AK290" s="1">
        <v>3</v>
      </c>
      <c r="AL290" s="9" t="str" cm="1">
        <f t="array" ref="AL290">_xlfn.IFS(AK290 &lt;= 5, "New[1-5]", AK290 &lt;= 10, "Early Career[6-10]", AK290 &lt;= 20, "Established[11-20]", AK290 &lt;= 30, "Veteran[21-30]", AK290 &lt;= 40, "Late Career[31-40]")</f>
        <v>New[1-5]</v>
      </c>
      <c r="AM290" s="1">
        <v>2</v>
      </c>
      <c r="AN290" s="9" t="str" cm="1">
        <f t="array" ref="AN290">_xlfn.IFS(AM290 &lt;= 3, "New to Role[1-3]", AM290 &lt;= 7, "Settled[4-7]", AM290 &lt;= 12, "Experienced[[8-12]", AM290 &lt;= 18, "Long Tenured[13-18]")</f>
        <v>New to Role[1-3]</v>
      </c>
      <c r="AO290" s="1">
        <v>0</v>
      </c>
      <c r="AP290" s="9" t="str" cm="1">
        <f t="array" ref="AP290">_xlfn.IFS(AO290 &lt;= 3, "Recently[1-3]", AO290 &lt;= 6, "Due Soon[4-6]", AO290 &lt;= 10, "Overdue[7-10]", AO290 &lt;= 15, "Long Overdue[11-15]")</f>
        <v>Recently[1-3]</v>
      </c>
      <c r="AQ290" s="9" t="str" cm="1">
        <f t="array" ref="AQ290">_xlfn.IFS(AR290 &lt;= 3, "New Relationship[1-3]", AR290 &lt;= 7, "Established Relationship[4-7]", AR290 &lt;= 12, "Long Term Relationship[8-12]", AR290 &lt;= 17, "Very Long Term Relationship[13-17]")</f>
        <v>New Relationship[1-3]</v>
      </c>
      <c r="AR290" s="1">
        <v>2</v>
      </c>
    </row>
    <row r="291" spans="1:44" x14ac:dyDescent="0.25">
      <c r="A291" s="1">
        <v>28</v>
      </c>
      <c r="B291" s="8" t="str" cm="1">
        <f t="array" ref="B291">_xlfn.IFS(A291 &lt;= 25, "[18-25]", A291 &lt;= 35, "[26-35]", A291 &lt;=45, "[36-45]", A291 &lt;= 60, "[46- 60]")</f>
        <v>[26-35]</v>
      </c>
      <c r="C291" s="3" t="s">
        <v>43</v>
      </c>
      <c r="D291">
        <f t="shared" si="4"/>
        <v>0</v>
      </c>
      <c r="E291" t="s">
        <v>36</v>
      </c>
      <c r="F291" s="1">
        <v>1117</v>
      </c>
      <c r="G291" s="3" t="s">
        <v>45</v>
      </c>
      <c r="H291" s="1">
        <v>8</v>
      </c>
      <c r="I291" s="9" t="str" cm="1">
        <f t="array" ref="I291">_xlfn.IFS(H291 &lt;= 2, "[1-2] very close", H291 &lt;= 10, "[3-10] close", H291 &lt;= 20, "[11-20] moderate", H291 &lt;= 30, "[21-30] far")</f>
        <v>[3-10] close</v>
      </c>
      <c r="J291" s="1">
        <v>2</v>
      </c>
      <c r="K291" s="3" t="s">
        <v>38</v>
      </c>
      <c r="L291" s="1">
        <v>1</v>
      </c>
      <c r="M291" s="1">
        <v>395</v>
      </c>
      <c r="N291" s="1">
        <v>4</v>
      </c>
      <c r="O291" s="3" t="s">
        <v>39</v>
      </c>
      <c r="P291" s="1">
        <v>66</v>
      </c>
      <c r="Q291" s="1">
        <v>3</v>
      </c>
      <c r="R291" s="1">
        <v>1</v>
      </c>
      <c r="S291" s="3" t="s">
        <v>47</v>
      </c>
      <c r="T291" s="1">
        <v>4</v>
      </c>
      <c r="U291" s="3" t="s">
        <v>41</v>
      </c>
      <c r="V291" s="4">
        <v>3310</v>
      </c>
      <c r="W291" s="1">
        <v>4488</v>
      </c>
      <c r="X291" s="1">
        <v>1</v>
      </c>
      <c r="Y291" s="3" t="s">
        <v>42</v>
      </c>
      <c r="Z291" s="3" t="s">
        <v>43</v>
      </c>
      <c r="AA291" s="5">
        <v>0.21</v>
      </c>
      <c r="AB291" s="10" t="str" cm="1">
        <f t="array" ref="AB291">_xlfn.IFS(AA291 &lt;= 15%, "Low Hike[11-15%]", AA291 &lt;= 20%, "Moderate Hike[16-20%]", AA291 &lt;= 25%,"High Hike[21-25%]")</f>
        <v>High Hike[21-25%]</v>
      </c>
      <c r="AC291" s="1">
        <v>4</v>
      </c>
      <c r="AD291" s="1">
        <v>4</v>
      </c>
      <c r="AE291" s="1">
        <v>80</v>
      </c>
      <c r="AF291" s="1">
        <v>0</v>
      </c>
      <c r="AG291" s="1">
        <v>5</v>
      </c>
      <c r="AH291" s="9" t="str" cm="1">
        <f t="array" ref="AH291">_xlfn.IFS(AG291 &lt;= 5, "New[1-5]", AG291 &lt;= 10, "Early Career[6-10]", AG291 &lt;= 20, "Established[11-20]", AG291 &lt;= 30, "Veteran[21-30]", AG291 &lt;= 40, "Late Career[31-40]")</f>
        <v>New[1-5]</v>
      </c>
      <c r="AI291" s="1">
        <v>3</v>
      </c>
      <c r="AJ291" s="1">
        <v>3</v>
      </c>
      <c r="AK291" s="1">
        <v>5</v>
      </c>
      <c r="AL291" s="9" t="str" cm="1">
        <f t="array" ref="AL291">_xlfn.IFS(AK291 &lt;= 5, "New[1-5]", AK291 &lt;= 10, "Early Career[6-10]", AK291 &lt;= 20, "Established[11-20]", AK291 &lt;= 30, "Veteran[21-30]", AK291 &lt;= 40, "Late Career[31-40]")</f>
        <v>New[1-5]</v>
      </c>
      <c r="AM291" s="1">
        <v>3</v>
      </c>
      <c r="AN291" s="9" t="str" cm="1">
        <f t="array" ref="AN291">_xlfn.IFS(AM291 &lt;= 3, "New to Role[1-3]", AM291 &lt;= 7, "Settled[4-7]", AM291 &lt;= 12, "Experienced[[8-12]", AM291 &lt;= 18, "Long Tenured[13-18]")</f>
        <v>New to Role[1-3]</v>
      </c>
      <c r="AO291" s="1">
        <v>0</v>
      </c>
      <c r="AP291" s="9" t="str" cm="1">
        <f t="array" ref="AP291">_xlfn.IFS(AO291 &lt;= 3, "Recently[1-3]", AO291 &lt;= 6, "Due Soon[4-6]", AO291 &lt;= 10, "Overdue[7-10]", AO291 &lt;= 15, "Long Overdue[11-15]")</f>
        <v>Recently[1-3]</v>
      </c>
      <c r="AQ291" s="9" t="str" cm="1">
        <f t="array" ref="AQ291">_xlfn.IFS(AR291 &lt;= 3, "New Relationship[1-3]", AR291 &lt;= 7, "Established Relationship[4-7]", AR291 &lt;= 12, "Long Term Relationship[8-12]", AR291 &lt;= 17, "Very Long Term Relationship[13-17]")</f>
        <v>New Relationship[1-3]</v>
      </c>
      <c r="AR291" s="1">
        <v>2</v>
      </c>
    </row>
    <row r="292" spans="1:44" x14ac:dyDescent="0.25">
      <c r="A292" s="1">
        <v>49</v>
      </c>
      <c r="B292" s="8" t="str" cm="1">
        <f t="array" ref="B292">_xlfn.IFS(A292 &lt;= 25, "[18-25]", A292 &lt;= 35, "[26-35]", A292 &lt;=45, "[36-45]", A292 &lt;= 60, "[46- 60]")</f>
        <v>[46- 60]</v>
      </c>
      <c r="C292" s="3" t="s">
        <v>43</v>
      </c>
      <c r="D292">
        <f t="shared" si="4"/>
        <v>0</v>
      </c>
      <c r="E292" t="s">
        <v>44</v>
      </c>
      <c r="F292" s="1">
        <v>636</v>
      </c>
      <c r="G292" s="3" t="s">
        <v>45</v>
      </c>
      <c r="H292" s="1">
        <v>10</v>
      </c>
      <c r="I292" s="9" t="str" cm="1">
        <f t="array" ref="I292">_xlfn.IFS(H292 &lt;= 2, "[1-2] very close", H292 &lt;= 10, "[3-10] close", H292 &lt;= 20, "[11-20] moderate", H292 &lt;= 30, "[21-30] far")</f>
        <v>[3-10] close</v>
      </c>
      <c r="J292" s="1">
        <v>4</v>
      </c>
      <c r="K292" s="3" t="s">
        <v>38</v>
      </c>
      <c r="L292" s="1">
        <v>1</v>
      </c>
      <c r="M292" s="1">
        <v>396</v>
      </c>
      <c r="N292" s="1">
        <v>3</v>
      </c>
      <c r="O292" s="3" t="s">
        <v>39</v>
      </c>
      <c r="P292" s="1">
        <v>35</v>
      </c>
      <c r="Q292" s="1">
        <v>3</v>
      </c>
      <c r="R292" s="1">
        <v>5</v>
      </c>
      <c r="S292" s="3" t="s">
        <v>58</v>
      </c>
      <c r="T292" s="1">
        <v>1</v>
      </c>
      <c r="U292" s="3" t="s">
        <v>41</v>
      </c>
      <c r="V292" s="4">
        <v>18665</v>
      </c>
      <c r="W292" s="1">
        <v>25594</v>
      </c>
      <c r="X292" s="1">
        <v>9</v>
      </c>
      <c r="Y292" s="3" t="s">
        <v>42</v>
      </c>
      <c r="Z292" s="3" t="s">
        <v>35</v>
      </c>
      <c r="AA292" s="5">
        <v>0.11</v>
      </c>
      <c r="AB292" s="10" t="str" cm="1">
        <f t="array" ref="AB292">_xlfn.IFS(AA292 &lt;= 15%, "Low Hike[11-15%]", AA292 &lt;= 20%, "Moderate Hike[16-20%]", AA292 &lt;= 25%,"High Hike[21-25%]")</f>
        <v>Low Hike[11-15%]</v>
      </c>
      <c r="AC292" s="1">
        <v>3</v>
      </c>
      <c r="AD292" s="1">
        <v>4</v>
      </c>
      <c r="AE292" s="1">
        <v>80</v>
      </c>
      <c r="AF292" s="1">
        <v>0</v>
      </c>
      <c r="AG292" s="1">
        <v>22</v>
      </c>
      <c r="AH292" s="9" t="str" cm="1">
        <f t="array" ref="AH292">_xlfn.IFS(AG292 &lt;= 5, "New[1-5]", AG292 &lt;= 10, "Early Career[6-10]", AG292 &lt;= 20, "Established[11-20]", AG292 &lt;= 30, "Veteran[21-30]", AG292 &lt;= 40, "Late Career[31-40]")</f>
        <v>Veteran[21-30]</v>
      </c>
      <c r="AI292" s="1">
        <v>4</v>
      </c>
      <c r="AJ292" s="1">
        <v>3</v>
      </c>
      <c r="AK292" s="1">
        <v>3</v>
      </c>
      <c r="AL292" s="9" t="str" cm="1">
        <f t="array" ref="AL292">_xlfn.IFS(AK292 &lt;= 5, "New[1-5]", AK292 &lt;= 10, "Early Career[6-10]", AK292 &lt;= 20, "Established[11-20]", AK292 &lt;= 30, "Veteran[21-30]", AK292 &lt;= 40, "Late Career[31-40]")</f>
        <v>New[1-5]</v>
      </c>
      <c r="AM292" s="1">
        <v>2</v>
      </c>
      <c r="AN292" s="9" t="str" cm="1">
        <f t="array" ref="AN292">_xlfn.IFS(AM292 &lt;= 3, "New to Role[1-3]", AM292 &lt;= 7, "Settled[4-7]", AM292 &lt;= 12, "Experienced[[8-12]", AM292 &lt;= 18, "Long Tenured[13-18]")</f>
        <v>New to Role[1-3]</v>
      </c>
      <c r="AO292" s="1">
        <v>1</v>
      </c>
      <c r="AP292" s="9" t="str" cm="1">
        <f t="array" ref="AP292">_xlfn.IFS(AO292 &lt;= 3, "Recently[1-3]", AO292 &lt;= 6, "Due Soon[4-6]", AO292 &lt;= 10, "Overdue[7-10]", AO292 &lt;= 15, "Long Overdue[11-15]")</f>
        <v>Recently[1-3]</v>
      </c>
      <c r="AQ292" s="9" t="str" cm="1">
        <f t="array" ref="AQ292">_xlfn.IFS(AR292 &lt;= 3, "New Relationship[1-3]", AR292 &lt;= 7, "Established Relationship[4-7]", AR292 &lt;= 12, "Long Term Relationship[8-12]", AR292 &lt;= 17, "Very Long Term Relationship[13-17]")</f>
        <v>New Relationship[1-3]</v>
      </c>
      <c r="AR292" s="1">
        <v>2</v>
      </c>
    </row>
    <row r="293" spans="1:44" x14ac:dyDescent="0.25">
      <c r="A293" s="1">
        <v>36</v>
      </c>
      <c r="B293" s="8" t="str" cm="1">
        <f t="array" ref="B293">_xlfn.IFS(A293 &lt;= 25, "[18-25]", A293 &lt;= 35, "[26-35]", A293 &lt;=45, "[36-45]", A293 &lt;= 60, "[46- 60]")</f>
        <v>[36-45]</v>
      </c>
      <c r="C293" s="3" t="s">
        <v>43</v>
      </c>
      <c r="D293">
        <f t="shared" si="4"/>
        <v>0</v>
      </c>
      <c r="E293" t="s">
        <v>36</v>
      </c>
      <c r="F293" s="1">
        <v>506</v>
      </c>
      <c r="G293" s="3" t="s">
        <v>45</v>
      </c>
      <c r="H293" s="1">
        <v>3</v>
      </c>
      <c r="I293" s="9" t="str" cm="1">
        <f t="array" ref="I293">_xlfn.IFS(H293 &lt;= 2, "[1-2] very close", H293 &lt;= 10, "[3-10] close", H293 &lt;= 20, "[11-20] moderate", H293 &lt;= 30, "[21-30] far")</f>
        <v>[3-10] close</v>
      </c>
      <c r="J293" s="1">
        <v>3</v>
      </c>
      <c r="K293" s="3" t="s">
        <v>60</v>
      </c>
      <c r="L293" s="1">
        <v>1</v>
      </c>
      <c r="M293" s="1">
        <v>397</v>
      </c>
      <c r="N293" s="1">
        <v>3</v>
      </c>
      <c r="O293" s="3" t="s">
        <v>46</v>
      </c>
      <c r="P293" s="1">
        <v>30</v>
      </c>
      <c r="Q293" s="1">
        <v>3</v>
      </c>
      <c r="R293" s="1">
        <v>2</v>
      </c>
      <c r="S293" s="3" t="s">
        <v>47</v>
      </c>
      <c r="T293" s="1">
        <v>2</v>
      </c>
      <c r="U293" s="3" t="s">
        <v>41</v>
      </c>
      <c r="V293" s="4">
        <v>4485</v>
      </c>
      <c r="W293" s="1">
        <v>26285</v>
      </c>
      <c r="X293" s="1">
        <v>4</v>
      </c>
      <c r="Y293" s="3" t="s">
        <v>42</v>
      </c>
      <c r="Z293" s="3" t="s">
        <v>43</v>
      </c>
      <c r="AA293" s="5">
        <v>0.12</v>
      </c>
      <c r="AB293" s="10" t="str" cm="1">
        <f t="array" ref="AB293">_xlfn.IFS(AA293 &lt;= 15%, "Low Hike[11-15%]", AA293 &lt;= 20%, "Moderate Hike[16-20%]", AA293 &lt;= 25%,"High Hike[21-25%]")</f>
        <v>Low Hike[11-15%]</v>
      </c>
      <c r="AC293" s="1">
        <v>3</v>
      </c>
      <c r="AD293" s="1">
        <v>4</v>
      </c>
      <c r="AE293" s="1">
        <v>80</v>
      </c>
      <c r="AF293" s="1">
        <v>0</v>
      </c>
      <c r="AG293" s="1">
        <v>10</v>
      </c>
      <c r="AH293" s="9" t="str" cm="1">
        <f t="array" ref="AH293">_xlfn.IFS(AG293 &lt;= 5, "New[1-5]", AG293 &lt;= 10, "Early Career[6-10]", AG293 &lt;= 20, "Established[11-20]", AG293 &lt;= 30, "Veteran[21-30]", AG293 &lt;= 40, "Late Career[31-40]")</f>
        <v>Early Career[6-10]</v>
      </c>
      <c r="AI293" s="1">
        <v>2</v>
      </c>
      <c r="AJ293" s="1">
        <v>3</v>
      </c>
      <c r="AK293" s="1">
        <v>8</v>
      </c>
      <c r="AL293" s="9" t="str" cm="1">
        <f t="array" ref="AL293">_xlfn.IFS(AK293 &lt;= 5, "New[1-5]", AK293 &lt;= 10, "Early Career[6-10]", AK293 &lt;= 20, "Established[11-20]", AK293 &lt;= 30, "Veteran[21-30]", AK293 &lt;= 40, "Late Career[31-40]")</f>
        <v>Early Career[6-10]</v>
      </c>
      <c r="AM293" s="1">
        <v>0</v>
      </c>
      <c r="AN293" s="9" t="str" cm="1">
        <f t="array" ref="AN293">_xlfn.IFS(AM293 &lt;= 3, "New to Role[1-3]", AM293 &lt;= 7, "Settled[4-7]", AM293 &lt;= 12, "Experienced[[8-12]", AM293 &lt;= 18, "Long Tenured[13-18]")</f>
        <v>New to Role[1-3]</v>
      </c>
      <c r="AO293" s="1">
        <v>7</v>
      </c>
      <c r="AP293" s="9" t="str" cm="1">
        <f t="array" ref="AP293">_xlfn.IFS(AO293 &lt;= 3, "Recently[1-3]", AO293 &lt;= 6, "Due Soon[4-6]", AO293 &lt;= 10, "Overdue[7-10]", AO293 &lt;= 15, "Long Overdue[11-15]")</f>
        <v>Overdue[7-10]</v>
      </c>
      <c r="AQ293" s="9" t="str" cm="1">
        <f t="array" ref="AQ293">_xlfn.IFS(AR293 &lt;= 3, "New Relationship[1-3]", AR293 &lt;= 7, "Established Relationship[4-7]", AR293 &lt;= 12, "Long Term Relationship[8-12]", AR293 &lt;= 17, "Very Long Term Relationship[13-17]")</f>
        <v>Established Relationship[4-7]</v>
      </c>
      <c r="AR293" s="1">
        <v>7</v>
      </c>
    </row>
    <row r="294" spans="1:44" x14ac:dyDescent="0.25">
      <c r="A294" s="1">
        <v>31</v>
      </c>
      <c r="B294" s="8" t="str" cm="1">
        <f t="array" ref="B294">_xlfn.IFS(A294 &lt;= 25, "[18-25]", A294 &lt;= 35, "[26-35]", A294 &lt;=45, "[36-45]", A294 &lt;= 60, "[46- 60]")</f>
        <v>[26-35]</v>
      </c>
      <c r="C294" s="3" t="s">
        <v>43</v>
      </c>
      <c r="D294">
        <f t="shared" si="4"/>
        <v>0</v>
      </c>
      <c r="E294" t="s">
        <v>44</v>
      </c>
      <c r="F294" s="1">
        <v>444</v>
      </c>
      <c r="G294" s="3" t="s">
        <v>37</v>
      </c>
      <c r="H294" s="1">
        <v>5</v>
      </c>
      <c r="I294" s="9" t="str" cm="1">
        <f t="array" ref="I294">_xlfn.IFS(H294 &lt;= 2, "[1-2] very close", H294 &lt;= 10, "[3-10] close", H294 &lt;= 20, "[11-20] moderate", H294 &lt;= 30, "[21-30] far")</f>
        <v>[3-10] close</v>
      </c>
      <c r="J294" s="1">
        <v>3</v>
      </c>
      <c r="K294" s="3" t="s">
        <v>59</v>
      </c>
      <c r="L294" s="1">
        <v>1</v>
      </c>
      <c r="M294" s="1">
        <v>399</v>
      </c>
      <c r="N294" s="1">
        <v>4</v>
      </c>
      <c r="O294" s="3" t="s">
        <v>39</v>
      </c>
      <c r="P294" s="1">
        <v>84</v>
      </c>
      <c r="Q294" s="1">
        <v>3</v>
      </c>
      <c r="R294" s="1">
        <v>1</v>
      </c>
      <c r="S294" s="3" t="s">
        <v>57</v>
      </c>
      <c r="T294" s="1">
        <v>2</v>
      </c>
      <c r="U294" s="3" t="s">
        <v>52</v>
      </c>
      <c r="V294" s="4">
        <v>2789</v>
      </c>
      <c r="W294" s="1">
        <v>3909</v>
      </c>
      <c r="X294" s="1">
        <v>1</v>
      </c>
      <c r="Y294" s="3" t="s">
        <v>42</v>
      </c>
      <c r="Z294" s="3" t="s">
        <v>43</v>
      </c>
      <c r="AA294" s="5">
        <v>0.11</v>
      </c>
      <c r="AB294" s="10" t="str" cm="1">
        <f t="array" ref="AB294">_xlfn.IFS(AA294 &lt;= 15%, "Low Hike[11-15%]", AA294 &lt;= 20%, "Moderate Hike[16-20%]", AA294 &lt;= 25%,"High Hike[21-25%]")</f>
        <v>Low Hike[11-15%]</v>
      </c>
      <c r="AC294" s="1">
        <v>3</v>
      </c>
      <c r="AD294" s="1">
        <v>3</v>
      </c>
      <c r="AE294" s="1">
        <v>80</v>
      </c>
      <c r="AF294" s="1">
        <v>1</v>
      </c>
      <c r="AG294" s="1">
        <v>2</v>
      </c>
      <c r="AH294" s="9" t="str" cm="1">
        <f t="array" ref="AH294">_xlfn.IFS(AG294 &lt;= 5, "New[1-5]", AG294 &lt;= 10, "Early Career[6-10]", AG294 &lt;= 20, "Established[11-20]", AG294 &lt;= 30, "Veteran[21-30]", AG294 &lt;= 40, "Late Career[31-40]")</f>
        <v>New[1-5]</v>
      </c>
      <c r="AI294" s="1">
        <v>5</v>
      </c>
      <c r="AJ294" s="1">
        <v>2</v>
      </c>
      <c r="AK294" s="1">
        <v>2</v>
      </c>
      <c r="AL294" s="9" t="str" cm="1">
        <f t="array" ref="AL294">_xlfn.IFS(AK294 &lt;= 5, "New[1-5]", AK294 &lt;= 10, "Early Career[6-10]", AK294 &lt;= 20, "Established[11-20]", AK294 &lt;= 30, "Veteran[21-30]", AK294 &lt;= 40, "Late Career[31-40]")</f>
        <v>New[1-5]</v>
      </c>
      <c r="AM294" s="1">
        <v>2</v>
      </c>
      <c r="AN294" s="9" t="str" cm="1">
        <f t="array" ref="AN294">_xlfn.IFS(AM294 &lt;= 3, "New to Role[1-3]", AM294 &lt;= 7, "Settled[4-7]", AM294 &lt;= 12, "Experienced[[8-12]", AM294 &lt;= 18, "Long Tenured[13-18]")</f>
        <v>New to Role[1-3]</v>
      </c>
      <c r="AO294" s="1">
        <v>2</v>
      </c>
      <c r="AP294" s="9" t="str" cm="1">
        <f t="array" ref="AP294">_xlfn.IFS(AO294 &lt;= 3, "Recently[1-3]", AO294 &lt;= 6, "Due Soon[4-6]", AO294 &lt;= 10, "Overdue[7-10]", AO294 &lt;= 15, "Long Overdue[11-15]")</f>
        <v>Recently[1-3]</v>
      </c>
      <c r="AQ294" s="9" t="str" cm="1">
        <f t="array" ref="AQ294">_xlfn.IFS(AR294 &lt;= 3, "New Relationship[1-3]", AR294 &lt;= 7, "Established Relationship[4-7]", AR294 &lt;= 12, "Long Term Relationship[8-12]", AR294 &lt;= 17, "Very Long Term Relationship[13-17]")</f>
        <v>New Relationship[1-3]</v>
      </c>
      <c r="AR294" s="1">
        <v>2</v>
      </c>
    </row>
    <row r="295" spans="1:44" x14ac:dyDescent="0.25">
      <c r="A295" s="1">
        <v>26</v>
      </c>
      <c r="B295" s="8" t="str" cm="1">
        <f t="array" ref="B295">_xlfn.IFS(A295 &lt;= 25, "[18-25]", A295 &lt;= 35, "[26-35]", A295 &lt;=45, "[36-45]", A295 &lt;= 60, "[46- 60]")</f>
        <v>[26-35]</v>
      </c>
      <c r="C295" s="3" t="s">
        <v>35</v>
      </c>
      <c r="D295">
        <f t="shared" si="4"/>
        <v>1</v>
      </c>
      <c r="E295" t="s">
        <v>36</v>
      </c>
      <c r="F295" s="1">
        <v>950</v>
      </c>
      <c r="G295" s="3" t="s">
        <v>37</v>
      </c>
      <c r="H295" s="1">
        <v>4</v>
      </c>
      <c r="I295" s="9" t="str" cm="1">
        <f t="array" ref="I295">_xlfn.IFS(H295 &lt;= 2, "[1-2] very close", H295 &lt;= 10, "[3-10] close", H295 &lt;= 20, "[11-20] moderate", H295 &lt;= 30, "[21-30] far")</f>
        <v>[3-10] close</v>
      </c>
      <c r="J295" s="1">
        <v>4</v>
      </c>
      <c r="K295" s="3" t="s">
        <v>59</v>
      </c>
      <c r="L295" s="1">
        <v>1</v>
      </c>
      <c r="M295" s="1">
        <v>401</v>
      </c>
      <c r="N295" s="1">
        <v>4</v>
      </c>
      <c r="O295" s="3" t="s">
        <v>46</v>
      </c>
      <c r="P295" s="1">
        <v>48</v>
      </c>
      <c r="Q295" s="1">
        <v>2</v>
      </c>
      <c r="R295" s="1">
        <v>2</v>
      </c>
      <c r="S295" s="3" t="s">
        <v>40</v>
      </c>
      <c r="T295" s="1">
        <v>4</v>
      </c>
      <c r="U295" s="3" t="s">
        <v>41</v>
      </c>
      <c r="V295" s="4">
        <v>5828</v>
      </c>
      <c r="W295" s="1">
        <v>8450</v>
      </c>
      <c r="X295" s="1">
        <v>1</v>
      </c>
      <c r="Y295" s="3" t="s">
        <v>42</v>
      </c>
      <c r="Z295" s="3" t="s">
        <v>35</v>
      </c>
      <c r="AA295" s="5">
        <v>0.12</v>
      </c>
      <c r="AB295" s="10" t="str" cm="1">
        <f t="array" ref="AB295">_xlfn.IFS(AA295 &lt;= 15%, "Low Hike[11-15%]", AA295 &lt;= 20%, "Moderate Hike[16-20%]", AA295 &lt;= 25%,"High Hike[21-25%]")</f>
        <v>Low Hike[11-15%]</v>
      </c>
      <c r="AC295" s="1">
        <v>3</v>
      </c>
      <c r="AD295" s="1">
        <v>2</v>
      </c>
      <c r="AE295" s="1">
        <v>80</v>
      </c>
      <c r="AF295" s="1">
        <v>0</v>
      </c>
      <c r="AG295" s="1">
        <v>8</v>
      </c>
      <c r="AH295" s="9" t="str" cm="1">
        <f t="array" ref="AH295">_xlfn.IFS(AG295 &lt;= 5, "New[1-5]", AG295 &lt;= 10, "Early Career[6-10]", AG295 &lt;= 20, "Established[11-20]", AG295 &lt;= 30, "Veteran[21-30]", AG295 &lt;= 40, "Late Career[31-40]")</f>
        <v>Early Career[6-10]</v>
      </c>
      <c r="AI295" s="1">
        <v>0</v>
      </c>
      <c r="AJ295" s="1">
        <v>3</v>
      </c>
      <c r="AK295" s="1">
        <v>8</v>
      </c>
      <c r="AL295" s="9" t="str" cm="1">
        <f t="array" ref="AL295">_xlfn.IFS(AK295 &lt;= 5, "New[1-5]", AK295 &lt;= 10, "Early Career[6-10]", AK295 &lt;= 20, "Established[11-20]", AK295 &lt;= 30, "Veteran[21-30]", AK295 &lt;= 40, "Late Career[31-40]")</f>
        <v>Early Career[6-10]</v>
      </c>
      <c r="AM295" s="1">
        <v>7</v>
      </c>
      <c r="AN295" s="9" t="str" cm="1">
        <f t="array" ref="AN295">_xlfn.IFS(AM295 &lt;= 3, "New to Role[1-3]", AM295 &lt;= 7, "Settled[4-7]", AM295 &lt;= 12, "Experienced[[8-12]", AM295 &lt;= 18, "Long Tenured[13-18]")</f>
        <v>Settled[4-7]</v>
      </c>
      <c r="AO295" s="1">
        <v>7</v>
      </c>
      <c r="AP295" s="9" t="str" cm="1">
        <f t="array" ref="AP295">_xlfn.IFS(AO295 &lt;= 3, "Recently[1-3]", AO295 &lt;= 6, "Due Soon[4-6]", AO295 &lt;= 10, "Overdue[7-10]", AO295 &lt;= 15, "Long Overdue[11-15]")</f>
        <v>Overdue[7-10]</v>
      </c>
      <c r="AQ295" s="9" t="str" cm="1">
        <f t="array" ref="AQ295">_xlfn.IFS(AR295 &lt;= 3, "New Relationship[1-3]", AR295 &lt;= 7, "Established Relationship[4-7]", AR295 &lt;= 12, "Long Term Relationship[8-12]", AR295 &lt;= 17, "Very Long Term Relationship[13-17]")</f>
        <v>Established Relationship[4-7]</v>
      </c>
      <c r="AR295" s="1">
        <v>4</v>
      </c>
    </row>
    <row r="296" spans="1:44" x14ac:dyDescent="0.25">
      <c r="A296" s="1">
        <v>37</v>
      </c>
      <c r="B296" s="8" t="str" cm="1">
        <f t="array" ref="B296">_xlfn.IFS(A296 &lt;= 25, "[18-25]", A296 &lt;= 35, "[26-35]", A296 &lt;=45, "[36-45]", A296 &lt;= 60, "[46- 60]")</f>
        <v>[36-45]</v>
      </c>
      <c r="C296" s="3" t="s">
        <v>43</v>
      </c>
      <c r="D296">
        <f t="shared" si="4"/>
        <v>0</v>
      </c>
      <c r="E296" t="s">
        <v>44</v>
      </c>
      <c r="F296" s="1">
        <v>889</v>
      </c>
      <c r="G296" s="3" t="s">
        <v>45</v>
      </c>
      <c r="H296" s="1">
        <v>9</v>
      </c>
      <c r="I296" s="9" t="str" cm="1">
        <f t="array" ref="I296">_xlfn.IFS(H296 &lt;= 2, "[1-2] very close", H296 &lt;= 10, "[3-10] close", H296 &lt;= 20, "[11-20] moderate", H296 &lt;= 30, "[21-30] far")</f>
        <v>[3-10] close</v>
      </c>
      <c r="J296" s="1">
        <v>3</v>
      </c>
      <c r="K296" s="3" t="s">
        <v>51</v>
      </c>
      <c r="L296" s="1">
        <v>1</v>
      </c>
      <c r="M296" s="1">
        <v>403</v>
      </c>
      <c r="N296" s="1">
        <v>2</v>
      </c>
      <c r="O296" s="3" t="s">
        <v>46</v>
      </c>
      <c r="P296" s="1">
        <v>53</v>
      </c>
      <c r="Q296" s="1">
        <v>3</v>
      </c>
      <c r="R296" s="1">
        <v>1</v>
      </c>
      <c r="S296" s="3" t="s">
        <v>47</v>
      </c>
      <c r="T296" s="1">
        <v>4</v>
      </c>
      <c r="U296" s="3" t="s">
        <v>48</v>
      </c>
      <c r="V296" s="4">
        <v>2326</v>
      </c>
      <c r="W296" s="1">
        <v>11411</v>
      </c>
      <c r="X296" s="1">
        <v>1</v>
      </c>
      <c r="Y296" s="3" t="s">
        <v>42</v>
      </c>
      <c r="Z296" s="3" t="s">
        <v>35</v>
      </c>
      <c r="AA296" s="5">
        <v>0.12</v>
      </c>
      <c r="AB296" s="10" t="str" cm="1">
        <f t="array" ref="AB296">_xlfn.IFS(AA296 &lt;= 15%, "Low Hike[11-15%]", AA296 &lt;= 20%, "Moderate Hike[16-20%]", AA296 &lt;= 25%,"High Hike[21-25%]")</f>
        <v>Low Hike[11-15%]</v>
      </c>
      <c r="AC296" s="1">
        <v>3</v>
      </c>
      <c r="AD296" s="1">
        <v>3</v>
      </c>
      <c r="AE296" s="1">
        <v>80</v>
      </c>
      <c r="AF296" s="1">
        <v>3</v>
      </c>
      <c r="AG296" s="1">
        <v>4</v>
      </c>
      <c r="AH296" s="9" t="str" cm="1">
        <f t="array" ref="AH296">_xlfn.IFS(AG296 &lt;= 5, "New[1-5]", AG296 &lt;= 10, "Early Career[6-10]", AG296 &lt;= 20, "Established[11-20]", AG296 &lt;= 30, "Veteran[21-30]", AG296 &lt;= 40, "Late Career[31-40]")</f>
        <v>New[1-5]</v>
      </c>
      <c r="AI296" s="1">
        <v>3</v>
      </c>
      <c r="AJ296" s="1">
        <v>2</v>
      </c>
      <c r="AK296" s="1">
        <v>4</v>
      </c>
      <c r="AL296" s="9" t="str" cm="1">
        <f t="array" ref="AL296">_xlfn.IFS(AK296 &lt;= 5, "New[1-5]", AK296 &lt;= 10, "Early Career[6-10]", AK296 &lt;= 20, "Established[11-20]", AK296 &lt;= 30, "Veteran[21-30]", AK296 &lt;= 40, "Late Career[31-40]")</f>
        <v>New[1-5]</v>
      </c>
      <c r="AM296" s="1">
        <v>2</v>
      </c>
      <c r="AN296" s="9" t="str" cm="1">
        <f t="array" ref="AN296">_xlfn.IFS(AM296 &lt;= 3, "New to Role[1-3]", AM296 &lt;= 7, "Settled[4-7]", AM296 &lt;= 12, "Experienced[[8-12]", AM296 &lt;= 18, "Long Tenured[13-18]")</f>
        <v>New to Role[1-3]</v>
      </c>
      <c r="AO296" s="1">
        <v>1</v>
      </c>
      <c r="AP296" s="9" t="str" cm="1">
        <f t="array" ref="AP296">_xlfn.IFS(AO296 &lt;= 3, "Recently[1-3]", AO296 &lt;= 6, "Due Soon[4-6]", AO296 &lt;= 10, "Overdue[7-10]", AO296 &lt;= 15, "Long Overdue[11-15]")</f>
        <v>Recently[1-3]</v>
      </c>
      <c r="AQ296" s="9" t="str" cm="1">
        <f t="array" ref="AQ296">_xlfn.IFS(AR296 &lt;= 3, "New Relationship[1-3]", AR296 &lt;= 7, "Established Relationship[4-7]", AR296 &lt;= 12, "Long Term Relationship[8-12]", AR296 &lt;= 17, "Very Long Term Relationship[13-17]")</f>
        <v>New Relationship[1-3]</v>
      </c>
      <c r="AR296" s="1">
        <v>2</v>
      </c>
    </row>
    <row r="297" spans="1:44" x14ac:dyDescent="0.25">
      <c r="A297" s="1">
        <v>42</v>
      </c>
      <c r="B297" s="8" t="str" cm="1">
        <f t="array" ref="B297">_xlfn.IFS(A297 &lt;= 25, "[18-25]", A297 &lt;= 35, "[26-35]", A297 &lt;=45, "[36-45]", A297 &lt;= 60, "[46- 60]")</f>
        <v>[36-45]</v>
      </c>
      <c r="C297" s="3" t="s">
        <v>43</v>
      </c>
      <c r="D297">
        <f t="shared" si="4"/>
        <v>0</v>
      </c>
      <c r="E297" t="s">
        <v>44</v>
      </c>
      <c r="F297" s="1">
        <v>555</v>
      </c>
      <c r="G297" s="3" t="s">
        <v>37</v>
      </c>
      <c r="H297" s="1">
        <v>26</v>
      </c>
      <c r="I297" s="9" t="str" cm="1">
        <f t="array" ref="I297">_xlfn.IFS(H297 &lt;= 2, "[1-2] very close", H297 &lt;= 10, "[3-10] close", H297 &lt;= 20, "[11-20] moderate", H297 &lt;= 30, "[21-30] far")</f>
        <v>[21-30] far</v>
      </c>
      <c r="J297" s="1">
        <v>3</v>
      </c>
      <c r="K297" s="3" t="s">
        <v>59</v>
      </c>
      <c r="L297" s="1">
        <v>1</v>
      </c>
      <c r="M297" s="1">
        <v>404</v>
      </c>
      <c r="N297" s="1">
        <v>3</v>
      </c>
      <c r="O297" s="3" t="s">
        <v>39</v>
      </c>
      <c r="P297" s="1">
        <v>77</v>
      </c>
      <c r="Q297" s="1">
        <v>3</v>
      </c>
      <c r="R297" s="1">
        <v>4</v>
      </c>
      <c r="S297" s="3" t="s">
        <v>40</v>
      </c>
      <c r="T297" s="1">
        <v>2</v>
      </c>
      <c r="U297" s="3" t="s">
        <v>48</v>
      </c>
      <c r="V297" s="4">
        <v>13525</v>
      </c>
      <c r="W297" s="1">
        <v>14864</v>
      </c>
      <c r="X297" s="1">
        <v>5</v>
      </c>
      <c r="Y297" s="3" t="s">
        <v>42</v>
      </c>
      <c r="Z297" s="3" t="s">
        <v>43</v>
      </c>
      <c r="AA297" s="5">
        <v>0.14000000000000001</v>
      </c>
      <c r="AB297" s="10" t="str" cm="1">
        <f t="array" ref="AB297">_xlfn.IFS(AA297 &lt;= 15%, "Low Hike[11-15%]", AA297 &lt;= 20%, "Moderate Hike[16-20%]", AA297 &lt;= 25%,"High Hike[21-25%]")</f>
        <v>Low Hike[11-15%]</v>
      </c>
      <c r="AC297" s="1">
        <v>3</v>
      </c>
      <c r="AD297" s="1">
        <v>4</v>
      </c>
      <c r="AE297" s="1">
        <v>80</v>
      </c>
      <c r="AF297" s="1">
        <v>1</v>
      </c>
      <c r="AG297" s="1">
        <v>23</v>
      </c>
      <c r="AH297" s="9" t="str" cm="1">
        <f t="array" ref="AH297">_xlfn.IFS(AG297 &lt;= 5, "New[1-5]", AG297 &lt;= 10, "Early Career[6-10]", AG297 &lt;= 20, "Established[11-20]", AG297 &lt;= 30, "Veteran[21-30]", AG297 &lt;= 40, "Late Career[31-40]")</f>
        <v>Veteran[21-30]</v>
      </c>
      <c r="AI297" s="1">
        <v>2</v>
      </c>
      <c r="AJ297" s="1">
        <v>4</v>
      </c>
      <c r="AK297" s="1">
        <v>20</v>
      </c>
      <c r="AL297" s="9" t="str" cm="1">
        <f t="array" ref="AL297">_xlfn.IFS(AK297 &lt;= 5, "New[1-5]", AK297 &lt;= 10, "Early Career[6-10]", AK297 &lt;= 20, "Established[11-20]", AK297 &lt;= 30, "Veteran[21-30]", AK297 &lt;= 40, "Late Career[31-40]")</f>
        <v>Established[11-20]</v>
      </c>
      <c r="AM297" s="1">
        <v>4</v>
      </c>
      <c r="AN297" s="9" t="str" cm="1">
        <f t="array" ref="AN297">_xlfn.IFS(AM297 &lt;= 3, "New to Role[1-3]", AM297 &lt;= 7, "Settled[4-7]", AM297 &lt;= 12, "Experienced[[8-12]", AM297 &lt;= 18, "Long Tenured[13-18]")</f>
        <v>Settled[4-7]</v>
      </c>
      <c r="AO297" s="1">
        <v>4</v>
      </c>
      <c r="AP297" s="9" t="str" cm="1">
        <f t="array" ref="AP297">_xlfn.IFS(AO297 &lt;= 3, "Recently[1-3]", AO297 &lt;= 6, "Due Soon[4-6]", AO297 &lt;= 10, "Overdue[7-10]", AO297 &lt;= 15, "Long Overdue[11-15]")</f>
        <v>Due Soon[4-6]</v>
      </c>
      <c r="AQ297" s="9" t="str" cm="1">
        <f t="array" ref="AQ297">_xlfn.IFS(AR297 &lt;= 3, "New Relationship[1-3]", AR297 &lt;= 7, "Established Relationship[4-7]", AR297 &lt;= 12, "Long Term Relationship[8-12]", AR297 &lt;= 17, "Very Long Term Relationship[13-17]")</f>
        <v>Long Term Relationship[8-12]</v>
      </c>
      <c r="AR297" s="1">
        <v>8</v>
      </c>
    </row>
    <row r="298" spans="1:44" x14ac:dyDescent="0.25">
      <c r="A298" s="1">
        <v>18</v>
      </c>
      <c r="B298" s="8" t="str" cm="1">
        <f t="array" ref="B298">_xlfn.IFS(A298 &lt;= 25, "[18-25]", A298 &lt;= 35, "[26-35]", A298 &lt;=45, "[36-45]", A298 &lt;= 60, "[46- 60]")</f>
        <v>[18-25]</v>
      </c>
      <c r="C298" s="3" t="s">
        <v>35</v>
      </c>
      <c r="D298">
        <f t="shared" si="4"/>
        <v>1</v>
      </c>
      <c r="E298" t="s">
        <v>36</v>
      </c>
      <c r="F298" s="1">
        <v>230</v>
      </c>
      <c r="G298" s="3" t="s">
        <v>45</v>
      </c>
      <c r="H298" s="1">
        <v>3</v>
      </c>
      <c r="I298" s="9" t="str" cm="1">
        <f t="array" ref="I298">_xlfn.IFS(H298 &lt;= 2, "[1-2] very close", H298 &lt;= 10, "[3-10] close", H298 &lt;= 20, "[11-20] moderate", H298 &lt;= 30, "[21-30] far")</f>
        <v>[3-10] close</v>
      </c>
      <c r="J298" s="1">
        <v>3</v>
      </c>
      <c r="K298" s="3" t="s">
        <v>38</v>
      </c>
      <c r="L298" s="1">
        <v>1</v>
      </c>
      <c r="M298" s="1">
        <v>405</v>
      </c>
      <c r="N298" s="1">
        <v>3</v>
      </c>
      <c r="O298" s="3" t="s">
        <v>46</v>
      </c>
      <c r="P298" s="1">
        <v>54</v>
      </c>
      <c r="Q298" s="1">
        <v>3</v>
      </c>
      <c r="R298" s="1">
        <v>1</v>
      </c>
      <c r="S298" s="3" t="s">
        <v>50</v>
      </c>
      <c r="T298" s="1">
        <v>3</v>
      </c>
      <c r="U298" s="3" t="s">
        <v>41</v>
      </c>
      <c r="V298" s="4">
        <v>1420</v>
      </c>
      <c r="W298" s="1">
        <v>25233</v>
      </c>
      <c r="X298" s="1">
        <v>1</v>
      </c>
      <c r="Y298" s="3" t="s">
        <v>42</v>
      </c>
      <c r="Z298" s="3" t="s">
        <v>43</v>
      </c>
      <c r="AA298" s="5">
        <v>0.13</v>
      </c>
      <c r="AB298" s="10" t="str" cm="1">
        <f t="array" ref="AB298">_xlfn.IFS(AA298 &lt;= 15%, "Low Hike[11-15%]", AA298 &lt;= 20%, "Moderate Hike[16-20%]", AA298 &lt;= 25%,"High Hike[21-25%]")</f>
        <v>Low Hike[11-15%]</v>
      </c>
      <c r="AC298" s="1">
        <v>3</v>
      </c>
      <c r="AD298" s="1">
        <v>3</v>
      </c>
      <c r="AE298" s="1">
        <v>80</v>
      </c>
      <c r="AF298" s="1">
        <v>0</v>
      </c>
      <c r="AG298" s="1">
        <v>0</v>
      </c>
      <c r="AH298" s="9" t="str" cm="1">
        <f t="array" ref="AH298">_xlfn.IFS(AG298 &lt;= 5, "New[1-5]", AG298 &lt;= 10, "Early Career[6-10]", AG298 &lt;= 20, "Established[11-20]", AG298 &lt;= 30, "Veteran[21-30]", AG298 &lt;= 40, "Late Career[31-40]")</f>
        <v>New[1-5]</v>
      </c>
      <c r="AI298" s="1">
        <v>2</v>
      </c>
      <c r="AJ298" s="1">
        <v>3</v>
      </c>
      <c r="AK298" s="1">
        <v>0</v>
      </c>
      <c r="AL298" s="9" t="str" cm="1">
        <f t="array" ref="AL298">_xlfn.IFS(AK298 &lt;= 5, "New[1-5]", AK298 &lt;= 10, "Early Career[6-10]", AK298 &lt;= 20, "Established[11-20]", AK298 &lt;= 30, "Veteran[21-30]", AK298 &lt;= 40, "Late Career[31-40]")</f>
        <v>New[1-5]</v>
      </c>
      <c r="AM298" s="1">
        <v>0</v>
      </c>
      <c r="AN298" s="9" t="str" cm="1">
        <f t="array" ref="AN298">_xlfn.IFS(AM298 &lt;= 3, "New to Role[1-3]", AM298 &lt;= 7, "Settled[4-7]", AM298 &lt;= 12, "Experienced[[8-12]", AM298 &lt;= 18, "Long Tenured[13-18]")</f>
        <v>New to Role[1-3]</v>
      </c>
      <c r="AO298" s="1">
        <v>0</v>
      </c>
      <c r="AP298" s="9" t="str" cm="1">
        <f t="array" ref="AP298">_xlfn.IFS(AO298 &lt;= 3, "Recently[1-3]", AO298 &lt;= 6, "Due Soon[4-6]", AO298 &lt;= 10, "Overdue[7-10]", AO298 &lt;= 15, "Long Overdue[11-15]")</f>
        <v>Recently[1-3]</v>
      </c>
      <c r="AQ298" s="9" t="str" cm="1">
        <f t="array" ref="AQ298">_xlfn.IFS(AR298 &lt;= 3, "New Relationship[1-3]", AR298 &lt;= 7, "Established Relationship[4-7]", AR298 &lt;= 12, "Long Term Relationship[8-12]", AR298 &lt;= 17, "Very Long Term Relationship[13-17]")</f>
        <v>New Relationship[1-3]</v>
      </c>
      <c r="AR298" s="1">
        <v>0</v>
      </c>
    </row>
    <row r="299" spans="1:44" x14ac:dyDescent="0.25">
      <c r="A299" s="1">
        <v>35</v>
      </c>
      <c r="B299" s="8" t="str" cm="1">
        <f t="array" ref="B299">_xlfn.IFS(A299 &lt;= 25, "[18-25]", A299 &lt;= 35, "[26-35]", A299 &lt;=45, "[36-45]", A299 &lt;= 60, "[46- 60]")</f>
        <v>[26-35]</v>
      </c>
      <c r="C299" s="3" t="s">
        <v>43</v>
      </c>
      <c r="D299">
        <f t="shared" si="4"/>
        <v>0</v>
      </c>
      <c r="E299" t="s">
        <v>36</v>
      </c>
      <c r="F299" s="1">
        <v>1232</v>
      </c>
      <c r="G299" s="3" t="s">
        <v>37</v>
      </c>
      <c r="H299" s="1">
        <v>16</v>
      </c>
      <c r="I299" s="9" t="str" cm="1">
        <f t="array" ref="I299">_xlfn.IFS(H299 &lt;= 2, "[1-2] very close", H299 &lt;= 10, "[3-10] close", H299 &lt;= 20, "[11-20] moderate", H299 &lt;= 30, "[21-30] far")</f>
        <v>[11-20] moderate</v>
      </c>
      <c r="J299" s="1">
        <v>3</v>
      </c>
      <c r="K299" s="3" t="s">
        <v>59</v>
      </c>
      <c r="L299" s="1">
        <v>1</v>
      </c>
      <c r="M299" s="1">
        <v>406</v>
      </c>
      <c r="N299" s="1">
        <v>3</v>
      </c>
      <c r="O299" s="3" t="s">
        <v>46</v>
      </c>
      <c r="P299" s="1">
        <v>96</v>
      </c>
      <c r="Q299" s="1">
        <v>3</v>
      </c>
      <c r="R299" s="1">
        <v>3</v>
      </c>
      <c r="S299" s="3" t="s">
        <v>40</v>
      </c>
      <c r="T299" s="1">
        <v>2</v>
      </c>
      <c r="U299" s="3" t="s">
        <v>48</v>
      </c>
      <c r="V299" s="4">
        <v>8020</v>
      </c>
      <c r="W299" s="1">
        <v>5100</v>
      </c>
      <c r="X299" s="1">
        <v>0</v>
      </c>
      <c r="Y299" s="3" t="s">
        <v>42</v>
      </c>
      <c r="Z299" s="3" t="s">
        <v>43</v>
      </c>
      <c r="AA299" s="5">
        <v>0.15</v>
      </c>
      <c r="AB299" s="10" t="str" cm="1">
        <f t="array" ref="AB299">_xlfn.IFS(AA299 &lt;= 15%, "Low Hike[11-15%]", AA299 &lt;= 20%, "Moderate Hike[16-20%]", AA299 &lt;= 25%,"High Hike[21-25%]")</f>
        <v>Low Hike[11-15%]</v>
      </c>
      <c r="AC299" s="1">
        <v>3</v>
      </c>
      <c r="AD299" s="1">
        <v>3</v>
      </c>
      <c r="AE299" s="1">
        <v>80</v>
      </c>
      <c r="AF299" s="1">
        <v>2</v>
      </c>
      <c r="AG299" s="1">
        <v>12</v>
      </c>
      <c r="AH299" s="9" t="str" cm="1">
        <f t="array" ref="AH299">_xlfn.IFS(AG299 &lt;= 5, "New[1-5]", AG299 &lt;= 10, "Early Career[6-10]", AG299 &lt;= 20, "Established[11-20]", AG299 &lt;= 30, "Veteran[21-30]", AG299 &lt;= 40, "Late Career[31-40]")</f>
        <v>Established[11-20]</v>
      </c>
      <c r="AI299" s="1">
        <v>3</v>
      </c>
      <c r="AJ299" s="1">
        <v>2</v>
      </c>
      <c r="AK299" s="1">
        <v>11</v>
      </c>
      <c r="AL299" s="9" t="str" cm="1">
        <f t="array" ref="AL299">_xlfn.IFS(AK299 &lt;= 5, "New[1-5]", AK299 &lt;= 10, "Early Career[6-10]", AK299 &lt;= 20, "Established[11-20]", AK299 &lt;= 30, "Veteran[21-30]", AK299 &lt;= 40, "Late Career[31-40]")</f>
        <v>Established[11-20]</v>
      </c>
      <c r="AM299" s="1">
        <v>9</v>
      </c>
      <c r="AN299" s="9" t="str" cm="1">
        <f t="array" ref="AN299">_xlfn.IFS(AM299 &lt;= 3, "New to Role[1-3]", AM299 &lt;= 7, "Settled[4-7]", AM299 &lt;= 12, "Experienced[[8-12]", AM299 &lt;= 18, "Long Tenured[13-18]")</f>
        <v>Experienced[[8-12]</v>
      </c>
      <c r="AO299" s="1">
        <v>6</v>
      </c>
      <c r="AP299" s="9" t="str" cm="1">
        <f t="array" ref="AP299">_xlfn.IFS(AO299 &lt;= 3, "Recently[1-3]", AO299 &lt;= 6, "Due Soon[4-6]", AO299 &lt;= 10, "Overdue[7-10]", AO299 &lt;= 15, "Long Overdue[11-15]")</f>
        <v>Due Soon[4-6]</v>
      </c>
      <c r="AQ299" s="9" t="str" cm="1">
        <f t="array" ref="AQ299">_xlfn.IFS(AR299 &lt;= 3, "New Relationship[1-3]", AR299 &lt;= 7, "Established Relationship[4-7]", AR299 &lt;= 12, "Long Term Relationship[8-12]", AR299 &lt;= 17, "Very Long Term Relationship[13-17]")</f>
        <v>Long Term Relationship[8-12]</v>
      </c>
      <c r="AR299" s="1">
        <v>9</v>
      </c>
    </row>
    <row r="300" spans="1:44" x14ac:dyDescent="0.25">
      <c r="A300" s="1">
        <v>36</v>
      </c>
      <c r="B300" s="8" t="str" cm="1">
        <f t="array" ref="B300">_xlfn.IFS(A300 &lt;= 25, "[18-25]", A300 &lt;= 35, "[26-35]", A300 &lt;=45, "[36-45]", A300 &lt;= 60, "[46- 60]")</f>
        <v>[36-45]</v>
      </c>
      <c r="C300" s="3" t="s">
        <v>43</v>
      </c>
      <c r="D300">
        <f t="shared" si="4"/>
        <v>0</v>
      </c>
      <c r="E300" t="s">
        <v>44</v>
      </c>
      <c r="F300" s="1">
        <v>566</v>
      </c>
      <c r="G300" s="3" t="s">
        <v>45</v>
      </c>
      <c r="H300" s="1">
        <v>18</v>
      </c>
      <c r="I300" s="9" t="str" cm="1">
        <f t="array" ref="I300">_xlfn.IFS(H300 &lt;= 2, "[1-2] very close", H300 &lt;= 10, "[3-10] close", H300 &lt;= 20, "[11-20] moderate", H300 &lt;= 30, "[21-30] far")</f>
        <v>[11-20] moderate</v>
      </c>
      <c r="J300" s="1">
        <v>4</v>
      </c>
      <c r="K300" s="3" t="s">
        <v>38</v>
      </c>
      <c r="L300" s="1">
        <v>1</v>
      </c>
      <c r="M300" s="1">
        <v>407</v>
      </c>
      <c r="N300" s="1">
        <v>3</v>
      </c>
      <c r="O300" s="3" t="s">
        <v>46</v>
      </c>
      <c r="P300" s="1">
        <v>81</v>
      </c>
      <c r="Q300" s="1">
        <v>4</v>
      </c>
      <c r="R300" s="1">
        <v>1</v>
      </c>
      <c r="S300" s="3" t="s">
        <v>50</v>
      </c>
      <c r="T300" s="1">
        <v>4</v>
      </c>
      <c r="U300" s="3" t="s">
        <v>48</v>
      </c>
      <c r="V300" s="4">
        <v>3688</v>
      </c>
      <c r="W300" s="1">
        <v>7122</v>
      </c>
      <c r="X300" s="1">
        <v>4</v>
      </c>
      <c r="Y300" s="3" t="s">
        <v>42</v>
      </c>
      <c r="Z300" s="3" t="s">
        <v>43</v>
      </c>
      <c r="AA300" s="5">
        <v>0.18</v>
      </c>
      <c r="AB300" s="10" t="str" cm="1">
        <f t="array" ref="AB300">_xlfn.IFS(AA300 &lt;= 15%, "Low Hike[11-15%]", AA300 &lt;= 20%, "Moderate Hike[16-20%]", AA300 &lt;= 25%,"High Hike[21-25%]")</f>
        <v>Moderate Hike[16-20%]</v>
      </c>
      <c r="AC300" s="1">
        <v>3</v>
      </c>
      <c r="AD300" s="1">
        <v>4</v>
      </c>
      <c r="AE300" s="1">
        <v>80</v>
      </c>
      <c r="AF300" s="1">
        <v>2</v>
      </c>
      <c r="AG300" s="1">
        <v>4</v>
      </c>
      <c r="AH300" s="9" t="str" cm="1">
        <f t="array" ref="AH300">_xlfn.IFS(AG300 &lt;= 5, "New[1-5]", AG300 &lt;= 10, "Early Career[6-10]", AG300 &lt;= 20, "Established[11-20]", AG300 &lt;= 30, "Veteran[21-30]", AG300 &lt;= 40, "Late Career[31-40]")</f>
        <v>New[1-5]</v>
      </c>
      <c r="AI300" s="1">
        <v>2</v>
      </c>
      <c r="AJ300" s="1">
        <v>3</v>
      </c>
      <c r="AK300" s="1">
        <v>1</v>
      </c>
      <c r="AL300" s="9" t="str" cm="1">
        <f t="array" ref="AL300">_xlfn.IFS(AK300 &lt;= 5, "New[1-5]", AK300 &lt;= 10, "Early Career[6-10]", AK300 &lt;= 20, "Established[11-20]", AK300 &lt;= 30, "Veteran[21-30]", AK300 &lt;= 40, "Late Career[31-40]")</f>
        <v>New[1-5]</v>
      </c>
      <c r="AM300" s="1">
        <v>0</v>
      </c>
      <c r="AN300" s="9" t="str" cm="1">
        <f t="array" ref="AN300">_xlfn.IFS(AM300 &lt;= 3, "New to Role[1-3]", AM300 &lt;= 7, "Settled[4-7]", AM300 &lt;= 12, "Experienced[[8-12]", AM300 &lt;= 18, "Long Tenured[13-18]")</f>
        <v>New to Role[1-3]</v>
      </c>
      <c r="AO300" s="1">
        <v>0</v>
      </c>
      <c r="AP300" s="9" t="str" cm="1">
        <f t="array" ref="AP300">_xlfn.IFS(AO300 &lt;= 3, "Recently[1-3]", AO300 &lt;= 6, "Due Soon[4-6]", AO300 &lt;= 10, "Overdue[7-10]", AO300 &lt;= 15, "Long Overdue[11-15]")</f>
        <v>Recently[1-3]</v>
      </c>
      <c r="AQ300" s="9" t="str" cm="1">
        <f t="array" ref="AQ300">_xlfn.IFS(AR300 &lt;= 3, "New Relationship[1-3]", AR300 &lt;= 7, "Established Relationship[4-7]", AR300 &lt;= 12, "Long Term Relationship[8-12]", AR300 &lt;= 17, "Very Long Term Relationship[13-17]")</f>
        <v>New Relationship[1-3]</v>
      </c>
      <c r="AR300" s="1">
        <v>0</v>
      </c>
    </row>
    <row r="301" spans="1:44" x14ac:dyDescent="0.25">
      <c r="A301" s="1">
        <v>51</v>
      </c>
      <c r="B301" s="8" t="str" cm="1">
        <f t="array" ref="B301">_xlfn.IFS(A301 &lt;= 25, "[18-25]", A301 &lt;= 35, "[26-35]", A301 &lt;=45, "[36-45]", A301 &lt;= 60, "[46- 60]")</f>
        <v>[46- 60]</v>
      </c>
      <c r="C301" s="3" t="s">
        <v>43</v>
      </c>
      <c r="D301">
        <f t="shared" si="4"/>
        <v>0</v>
      </c>
      <c r="E301" t="s">
        <v>36</v>
      </c>
      <c r="F301" s="1">
        <v>1302</v>
      </c>
      <c r="G301" s="3" t="s">
        <v>45</v>
      </c>
      <c r="H301" s="1">
        <v>2</v>
      </c>
      <c r="I301" s="9" t="str" cm="1">
        <f t="array" ref="I301">_xlfn.IFS(H301 &lt;= 2, "[1-2] very close", H301 &lt;= 10, "[3-10] close", H301 &lt;= 20, "[11-20] moderate", H301 &lt;= 30, "[21-30] far")</f>
        <v>[1-2] very close</v>
      </c>
      <c r="J301" s="1">
        <v>3</v>
      </c>
      <c r="K301" s="3" t="s">
        <v>51</v>
      </c>
      <c r="L301" s="1">
        <v>1</v>
      </c>
      <c r="M301" s="1">
        <v>408</v>
      </c>
      <c r="N301" s="1">
        <v>4</v>
      </c>
      <c r="O301" s="3" t="s">
        <v>46</v>
      </c>
      <c r="P301" s="1">
        <v>84</v>
      </c>
      <c r="Q301" s="1">
        <v>1</v>
      </c>
      <c r="R301" s="1">
        <v>2</v>
      </c>
      <c r="S301" s="3" t="s">
        <v>53</v>
      </c>
      <c r="T301" s="1">
        <v>2</v>
      </c>
      <c r="U301" s="3" t="s">
        <v>52</v>
      </c>
      <c r="V301" s="4">
        <v>5482</v>
      </c>
      <c r="W301" s="1">
        <v>16321</v>
      </c>
      <c r="X301" s="1">
        <v>5</v>
      </c>
      <c r="Y301" s="3" t="s">
        <v>42</v>
      </c>
      <c r="Z301" s="3" t="s">
        <v>43</v>
      </c>
      <c r="AA301" s="5">
        <v>0.18</v>
      </c>
      <c r="AB301" s="10" t="str" cm="1">
        <f t="array" ref="AB301">_xlfn.IFS(AA301 &lt;= 15%, "Low Hike[11-15%]", AA301 &lt;= 20%, "Moderate Hike[16-20%]", AA301 &lt;= 25%,"High Hike[21-25%]")</f>
        <v>Moderate Hike[16-20%]</v>
      </c>
      <c r="AC301" s="1">
        <v>3</v>
      </c>
      <c r="AD301" s="1">
        <v>4</v>
      </c>
      <c r="AE301" s="1">
        <v>80</v>
      </c>
      <c r="AF301" s="1">
        <v>1</v>
      </c>
      <c r="AG301" s="1">
        <v>13</v>
      </c>
      <c r="AH301" s="9" t="str" cm="1">
        <f t="array" ref="AH301">_xlfn.IFS(AG301 &lt;= 5, "New[1-5]", AG301 &lt;= 10, "Early Career[6-10]", AG301 &lt;= 20, "Established[11-20]", AG301 &lt;= 30, "Veteran[21-30]", AG301 &lt;= 40, "Late Career[31-40]")</f>
        <v>Established[11-20]</v>
      </c>
      <c r="AI301" s="1">
        <v>3</v>
      </c>
      <c r="AJ301" s="1">
        <v>3</v>
      </c>
      <c r="AK301" s="1">
        <v>4</v>
      </c>
      <c r="AL301" s="9" t="str" cm="1">
        <f t="array" ref="AL301">_xlfn.IFS(AK301 &lt;= 5, "New[1-5]", AK301 &lt;= 10, "Early Career[6-10]", AK301 &lt;= 20, "Established[11-20]", AK301 &lt;= 30, "Veteran[21-30]", AK301 &lt;= 40, "Late Career[31-40]")</f>
        <v>New[1-5]</v>
      </c>
      <c r="AM301" s="1">
        <v>1</v>
      </c>
      <c r="AN301" s="9" t="str" cm="1">
        <f t="array" ref="AN301">_xlfn.IFS(AM301 &lt;= 3, "New to Role[1-3]", AM301 &lt;= 7, "Settled[4-7]", AM301 &lt;= 12, "Experienced[[8-12]", AM301 &lt;= 18, "Long Tenured[13-18]")</f>
        <v>New to Role[1-3]</v>
      </c>
      <c r="AO301" s="1">
        <v>1</v>
      </c>
      <c r="AP301" s="9" t="str" cm="1">
        <f t="array" ref="AP301">_xlfn.IFS(AO301 &lt;= 3, "Recently[1-3]", AO301 &lt;= 6, "Due Soon[4-6]", AO301 &lt;= 10, "Overdue[7-10]", AO301 &lt;= 15, "Long Overdue[11-15]")</f>
        <v>Recently[1-3]</v>
      </c>
      <c r="AQ301" s="9" t="str" cm="1">
        <f t="array" ref="AQ301">_xlfn.IFS(AR301 &lt;= 3, "New Relationship[1-3]", AR301 &lt;= 7, "Established Relationship[4-7]", AR301 &lt;= 12, "Long Term Relationship[8-12]", AR301 &lt;= 17, "Very Long Term Relationship[13-17]")</f>
        <v>New Relationship[1-3]</v>
      </c>
      <c r="AR301" s="1">
        <v>2</v>
      </c>
    </row>
    <row r="302" spans="1:44" x14ac:dyDescent="0.25">
      <c r="A302" s="1">
        <v>41</v>
      </c>
      <c r="B302" s="8" t="str" cm="1">
        <f t="array" ref="B302">_xlfn.IFS(A302 &lt;= 25, "[18-25]", A302 &lt;= 35, "[26-35]", A302 &lt;=45, "[36-45]", A302 &lt;= 60, "[46- 60]")</f>
        <v>[36-45]</v>
      </c>
      <c r="C302" s="3" t="s">
        <v>43</v>
      </c>
      <c r="D302">
        <f t="shared" si="4"/>
        <v>0</v>
      </c>
      <c r="E302" t="s">
        <v>36</v>
      </c>
      <c r="F302" s="1">
        <v>334</v>
      </c>
      <c r="G302" s="3" t="s">
        <v>37</v>
      </c>
      <c r="H302" s="1">
        <v>2</v>
      </c>
      <c r="I302" s="9" t="str" cm="1">
        <f t="array" ref="I302">_xlfn.IFS(H302 &lt;= 2, "[1-2] very close", H302 &lt;= 10, "[3-10] close", H302 &lt;= 20, "[11-20] moderate", H302 &lt;= 30, "[21-30] far")</f>
        <v>[1-2] very close</v>
      </c>
      <c r="J302" s="1">
        <v>4</v>
      </c>
      <c r="K302" s="3" t="s">
        <v>38</v>
      </c>
      <c r="L302" s="1">
        <v>1</v>
      </c>
      <c r="M302" s="1">
        <v>410</v>
      </c>
      <c r="N302" s="1">
        <v>4</v>
      </c>
      <c r="O302" s="3" t="s">
        <v>46</v>
      </c>
      <c r="P302" s="1">
        <v>88</v>
      </c>
      <c r="Q302" s="1">
        <v>3</v>
      </c>
      <c r="R302" s="1">
        <v>4</v>
      </c>
      <c r="S302" s="3" t="s">
        <v>56</v>
      </c>
      <c r="T302" s="1">
        <v>2</v>
      </c>
      <c r="U302" s="3" t="s">
        <v>41</v>
      </c>
      <c r="V302" s="4">
        <v>16015</v>
      </c>
      <c r="W302" s="1">
        <v>15896</v>
      </c>
      <c r="X302" s="1">
        <v>1</v>
      </c>
      <c r="Y302" s="3" t="s">
        <v>42</v>
      </c>
      <c r="Z302" s="3" t="s">
        <v>43</v>
      </c>
      <c r="AA302" s="5">
        <v>0.19</v>
      </c>
      <c r="AB302" s="10" t="str" cm="1">
        <f t="array" ref="AB302">_xlfn.IFS(AA302 &lt;= 15%, "Low Hike[11-15%]", AA302 &lt;= 20%, "Moderate Hike[16-20%]", AA302 &lt;= 25%,"High Hike[21-25%]")</f>
        <v>Moderate Hike[16-20%]</v>
      </c>
      <c r="AC302" s="1">
        <v>3</v>
      </c>
      <c r="AD302" s="1">
        <v>2</v>
      </c>
      <c r="AE302" s="1">
        <v>80</v>
      </c>
      <c r="AF302" s="1">
        <v>0</v>
      </c>
      <c r="AG302" s="1">
        <v>22</v>
      </c>
      <c r="AH302" s="9" t="str" cm="1">
        <f t="array" ref="AH302">_xlfn.IFS(AG302 &lt;= 5, "New[1-5]", AG302 &lt;= 10, "Early Career[6-10]", AG302 &lt;= 20, "Established[11-20]", AG302 &lt;= 30, "Veteran[21-30]", AG302 &lt;= 40, "Late Career[31-40]")</f>
        <v>Veteran[21-30]</v>
      </c>
      <c r="AI302" s="1">
        <v>2</v>
      </c>
      <c r="AJ302" s="1">
        <v>3</v>
      </c>
      <c r="AK302" s="1">
        <v>22</v>
      </c>
      <c r="AL302" s="9" t="str" cm="1">
        <f t="array" ref="AL302">_xlfn.IFS(AK302 &lt;= 5, "New[1-5]", AK302 &lt;= 10, "Early Career[6-10]", AK302 &lt;= 20, "Established[11-20]", AK302 &lt;= 30, "Veteran[21-30]", AK302 &lt;= 40, "Late Career[31-40]")</f>
        <v>Veteran[21-30]</v>
      </c>
      <c r="AM302" s="1">
        <v>10</v>
      </c>
      <c r="AN302" s="9" t="str" cm="1">
        <f t="array" ref="AN302">_xlfn.IFS(AM302 &lt;= 3, "New to Role[1-3]", AM302 &lt;= 7, "Settled[4-7]", AM302 &lt;= 12, "Experienced[[8-12]", AM302 &lt;= 18, "Long Tenured[13-18]")</f>
        <v>Experienced[[8-12]</v>
      </c>
      <c r="AO302" s="1">
        <v>0</v>
      </c>
      <c r="AP302" s="9" t="str" cm="1">
        <f t="array" ref="AP302">_xlfn.IFS(AO302 &lt;= 3, "Recently[1-3]", AO302 &lt;= 6, "Due Soon[4-6]", AO302 &lt;= 10, "Overdue[7-10]", AO302 &lt;= 15, "Long Overdue[11-15]")</f>
        <v>Recently[1-3]</v>
      </c>
      <c r="AQ302" s="9" t="str" cm="1">
        <f t="array" ref="AQ302">_xlfn.IFS(AR302 &lt;= 3, "New Relationship[1-3]", AR302 &lt;= 7, "Established Relationship[4-7]", AR302 &lt;= 12, "Long Term Relationship[8-12]", AR302 &lt;= 17, "Very Long Term Relationship[13-17]")</f>
        <v>Established Relationship[4-7]</v>
      </c>
      <c r="AR302" s="1">
        <v>4</v>
      </c>
    </row>
    <row r="303" spans="1:44" x14ac:dyDescent="0.25">
      <c r="A303" s="1">
        <v>18</v>
      </c>
      <c r="B303" s="8" t="str" cm="1">
        <f t="array" ref="B303">_xlfn.IFS(A303 &lt;= 25, "[18-25]", A303 &lt;= 35, "[26-35]", A303 &lt;=45, "[36-45]", A303 &lt;= 60, "[46- 60]")</f>
        <v>[18-25]</v>
      </c>
      <c r="C303" s="3" t="s">
        <v>43</v>
      </c>
      <c r="D303">
        <f t="shared" si="4"/>
        <v>0</v>
      </c>
      <c r="E303" t="s">
        <v>36</v>
      </c>
      <c r="F303" s="1">
        <v>812</v>
      </c>
      <c r="G303" s="3" t="s">
        <v>37</v>
      </c>
      <c r="H303" s="1">
        <v>10</v>
      </c>
      <c r="I303" s="9" t="str" cm="1">
        <f t="array" ref="I303">_xlfn.IFS(H303 &lt;= 2, "[1-2] very close", H303 &lt;= 10, "[3-10] close", H303 &lt;= 20, "[11-20] moderate", H303 &lt;= 30, "[21-30] far")</f>
        <v>[3-10] close</v>
      </c>
      <c r="J303" s="1">
        <v>3</v>
      </c>
      <c r="K303" s="3" t="s">
        <v>51</v>
      </c>
      <c r="L303" s="1">
        <v>1</v>
      </c>
      <c r="M303" s="1">
        <v>411</v>
      </c>
      <c r="N303" s="1">
        <v>4</v>
      </c>
      <c r="O303" s="3" t="s">
        <v>39</v>
      </c>
      <c r="P303" s="1">
        <v>69</v>
      </c>
      <c r="Q303" s="1">
        <v>2</v>
      </c>
      <c r="R303" s="1">
        <v>1</v>
      </c>
      <c r="S303" s="3" t="s">
        <v>57</v>
      </c>
      <c r="T303" s="1">
        <v>3</v>
      </c>
      <c r="U303" s="3" t="s">
        <v>41</v>
      </c>
      <c r="V303" s="4">
        <v>1200</v>
      </c>
      <c r="W303" s="1">
        <v>9724</v>
      </c>
      <c r="X303" s="1">
        <v>1</v>
      </c>
      <c r="Y303" s="3" t="s">
        <v>42</v>
      </c>
      <c r="Z303" s="3" t="s">
        <v>43</v>
      </c>
      <c r="AA303" s="5">
        <v>0.12</v>
      </c>
      <c r="AB303" s="10" t="str" cm="1">
        <f t="array" ref="AB303">_xlfn.IFS(AA303 &lt;= 15%, "Low Hike[11-15%]", AA303 &lt;= 20%, "Moderate Hike[16-20%]", AA303 &lt;= 25%,"High Hike[21-25%]")</f>
        <v>Low Hike[11-15%]</v>
      </c>
      <c r="AC303" s="1">
        <v>3</v>
      </c>
      <c r="AD303" s="1">
        <v>1</v>
      </c>
      <c r="AE303" s="1">
        <v>80</v>
      </c>
      <c r="AF303" s="1">
        <v>0</v>
      </c>
      <c r="AG303" s="1">
        <v>0</v>
      </c>
      <c r="AH303" s="9" t="str" cm="1">
        <f t="array" ref="AH303">_xlfn.IFS(AG303 &lt;= 5, "New[1-5]", AG303 &lt;= 10, "Early Career[6-10]", AG303 &lt;= 20, "Established[11-20]", AG303 &lt;= 30, "Veteran[21-30]", AG303 &lt;= 40, "Late Career[31-40]")</f>
        <v>New[1-5]</v>
      </c>
      <c r="AI303" s="1">
        <v>2</v>
      </c>
      <c r="AJ303" s="1">
        <v>3</v>
      </c>
      <c r="AK303" s="1">
        <v>0</v>
      </c>
      <c r="AL303" s="9" t="str" cm="1">
        <f t="array" ref="AL303">_xlfn.IFS(AK303 &lt;= 5, "New[1-5]", AK303 &lt;= 10, "Early Career[6-10]", AK303 &lt;= 20, "Established[11-20]", AK303 &lt;= 30, "Veteran[21-30]", AK303 &lt;= 40, "Late Career[31-40]")</f>
        <v>New[1-5]</v>
      </c>
      <c r="AM303" s="1">
        <v>0</v>
      </c>
      <c r="AN303" s="9" t="str" cm="1">
        <f t="array" ref="AN303">_xlfn.IFS(AM303 &lt;= 3, "New to Role[1-3]", AM303 &lt;= 7, "Settled[4-7]", AM303 &lt;= 12, "Experienced[[8-12]", AM303 &lt;= 18, "Long Tenured[13-18]")</f>
        <v>New to Role[1-3]</v>
      </c>
      <c r="AO303" s="1">
        <v>0</v>
      </c>
      <c r="AP303" s="9" t="str" cm="1">
        <f t="array" ref="AP303">_xlfn.IFS(AO303 &lt;= 3, "Recently[1-3]", AO303 &lt;= 6, "Due Soon[4-6]", AO303 &lt;= 10, "Overdue[7-10]", AO303 &lt;= 15, "Long Overdue[11-15]")</f>
        <v>Recently[1-3]</v>
      </c>
      <c r="AQ303" s="9" t="str" cm="1">
        <f t="array" ref="AQ303">_xlfn.IFS(AR303 &lt;= 3, "New Relationship[1-3]", AR303 &lt;= 7, "Established Relationship[4-7]", AR303 &lt;= 12, "Long Term Relationship[8-12]", AR303 &lt;= 17, "Very Long Term Relationship[13-17]")</f>
        <v>New Relationship[1-3]</v>
      </c>
      <c r="AR303" s="1">
        <v>0</v>
      </c>
    </row>
    <row r="304" spans="1:44" x14ac:dyDescent="0.25">
      <c r="A304" s="1">
        <v>28</v>
      </c>
      <c r="B304" s="8" t="str" cm="1">
        <f t="array" ref="B304">_xlfn.IFS(A304 &lt;= 25, "[18-25]", A304 &lt;= 35, "[26-35]", A304 &lt;=45, "[36-45]", A304 &lt;= 60, "[46- 60]")</f>
        <v>[26-35]</v>
      </c>
      <c r="C304" s="3" t="s">
        <v>43</v>
      </c>
      <c r="D304">
        <f t="shared" si="4"/>
        <v>0</v>
      </c>
      <c r="E304" t="s">
        <v>36</v>
      </c>
      <c r="F304" s="1">
        <v>1476</v>
      </c>
      <c r="G304" s="3" t="s">
        <v>45</v>
      </c>
      <c r="H304" s="1">
        <v>16</v>
      </c>
      <c r="I304" s="9" t="str" cm="1">
        <f t="array" ref="I304">_xlfn.IFS(H304 &lt;= 2, "[1-2] very close", H304 &lt;= 10, "[3-10] close", H304 &lt;= 20, "[11-20] moderate", H304 &lt;= 30, "[21-30] far")</f>
        <v>[11-20] moderate</v>
      </c>
      <c r="J304" s="1">
        <v>2</v>
      </c>
      <c r="K304" s="3" t="s">
        <v>51</v>
      </c>
      <c r="L304" s="1">
        <v>1</v>
      </c>
      <c r="M304" s="1">
        <v>412</v>
      </c>
      <c r="N304" s="1">
        <v>2</v>
      </c>
      <c r="O304" s="3" t="s">
        <v>46</v>
      </c>
      <c r="P304" s="1">
        <v>68</v>
      </c>
      <c r="Q304" s="1">
        <v>4</v>
      </c>
      <c r="R304" s="1">
        <v>2</v>
      </c>
      <c r="S304" s="3" t="s">
        <v>54</v>
      </c>
      <c r="T304" s="1">
        <v>1</v>
      </c>
      <c r="U304" s="3" t="s">
        <v>41</v>
      </c>
      <c r="V304" s="4">
        <v>5661</v>
      </c>
      <c r="W304" s="1">
        <v>4824</v>
      </c>
      <c r="X304" s="1">
        <v>0</v>
      </c>
      <c r="Y304" s="3" t="s">
        <v>42</v>
      </c>
      <c r="Z304" s="3" t="s">
        <v>43</v>
      </c>
      <c r="AA304" s="5">
        <v>0.19</v>
      </c>
      <c r="AB304" s="10" t="str" cm="1">
        <f t="array" ref="AB304">_xlfn.IFS(AA304 &lt;= 15%, "Low Hike[11-15%]", AA304 &lt;= 20%, "Moderate Hike[16-20%]", AA304 &lt;= 25%,"High Hike[21-25%]")</f>
        <v>Moderate Hike[16-20%]</v>
      </c>
      <c r="AC304" s="1">
        <v>3</v>
      </c>
      <c r="AD304" s="1">
        <v>3</v>
      </c>
      <c r="AE304" s="1">
        <v>80</v>
      </c>
      <c r="AF304" s="1">
        <v>0</v>
      </c>
      <c r="AG304" s="1">
        <v>9</v>
      </c>
      <c r="AH304" s="9" t="str" cm="1">
        <f t="array" ref="AH304">_xlfn.IFS(AG304 &lt;= 5, "New[1-5]", AG304 &lt;= 10, "Early Career[6-10]", AG304 &lt;= 20, "Established[11-20]", AG304 &lt;= 30, "Veteran[21-30]", AG304 &lt;= 40, "Late Career[31-40]")</f>
        <v>Early Career[6-10]</v>
      </c>
      <c r="AI304" s="1">
        <v>2</v>
      </c>
      <c r="AJ304" s="1">
        <v>3</v>
      </c>
      <c r="AK304" s="1">
        <v>8</v>
      </c>
      <c r="AL304" s="9" t="str" cm="1">
        <f t="array" ref="AL304">_xlfn.IFS(AK304 &lt;= 5, "New[1-5]", AK304 &lt;= 10, "Early Career[6-10]", AK304 &lt;= 20, "Established[11-20]", AK304 &lt;= 30, "Veteran[21-30]", AK304 &lt;= 40, "Late Career[31-40]")</f>
        <v>Early Career[6-10]</v>
      </c>
      <c r="AM304" s="1">
        <v>3</v>
      </c>
      <c r="AN304" s="9" t="str" cm="1">
        <f t="array" ref="AN304">_xlfn.IFS(AM304 &lt;= 3, "New to Role[1-3]", AM304 &lt;= 7, "Settled[4-7]", AM304 &lt;= 12, "Experienced[[8-12]", AM304 &lt;= 18, "Long Tenured[13-18]")</f>
        <v>New to Role[1-3]</v>
      </c>
      <c r="AO304" s="1">
        <v>0</v>
      </c>
      <c r="AP304" s="9" t="str" cm="1">
        <f t="array" ref="AP304">_xlfn.IFS(AO304 &lt;= 3, "Recently[1-3]", AO304 &lt;= 6, "Due Soon[4-6]", AO304 &lt;= 10, "Overdue[7-10]", AO304 &lt;= 15, "Long Overdue[11-15]")</f>
        <v>Recently[1-3]</v>
      </c>
      <c r="AQ304" s="9" t="str" cm="1">
        <f t="array" ref="AQ304">_xlfn.IFS(AR304 &lt;= 3, "New Relationship[1-3]", AR304 &lt;= 7, "Established Relationship[4-7]", AR304 &lt;= 12, "Long Term Relationship[8-12]", AR304 &lt;= 17, "Very Long Term Relationship[13-17]")</f>
        <v>Established Relationship[4-7]</v>
      </c>
      <c r="AR304" s="1">
        <v>7</v>
      </c>
    </row>
    <row r="305" spans="1:44" x14ac:dyDescent="0.25">
      <c r="A305" s="1">
        <v>31</v>
      </c>
      <c r="B305" s="8" t="str" cm="1">
        <f t="array" ref="B305">_xlfn.IFS(A305 &lt;= 25, "[18-25]", A305 &lt;= 35, "[26-35]", A305 &lt;=45, "[36-45]", A305 &lt;= 60, "[46- 60]")</f>
        <v>[26-35]</v>
      </c>
      <c r="C305" s="3" t="s">
        <v>43</v>
      </c>
      <c r="D305">
        <f t="shared" si="4"/>
        <v>0</v>
      </c>
      <c r="E305" t="s">
        <v>36</v>
      </c>
      <c r="F305" s="1">
        <v>218</v>
      </c>
      <c r="G305" s="3" t="s">
        <v>37</v>
      </c>
      <c r="H305" s="1">
        <v>7</v>
      </c>
      <c r="I305" s="9" t="str" cm="1">
        <f t="array" ref="I305">_xlfn.IFS(H305 &lt;= 2, "[1-2] very close", H305 &lt;= 10, "[3-10] close", H305 &lt;= 20, "[11-20] moderate", H305 &lt;= 30, "[21-30] far")</f>
        <v>[3-10] close</v>
      </c>
      <c r="J305" s="1">
        <v>3</v>
      </c>
      <c r="K305" s="3" t="s">
        <v>60</v>
      </c>
      <c r="L305" s="1">
        <v>1</v>
      </c>
      <c r="M305" s="1">
        <v>416</v>
      </c>
      <c r="N305" s="1">
        <v>2</v>
      </c>
      <c r="O305" s="3" t="s">
        <v>46</v>
      </c>
      <c r="P305" s="1">
        <v>100</v>
      </c>
      <c r="Q305" s="1">
        <v>4</v>
      </c>
      <c r="R305" s="1">
        <v>2</v>
      </c>
      <c r="S305" s="3" t="s">
        <v>40</v>
      </c>
      <c r="T305" s="1">
        <v>4</v>
      </c>
      <c r="U305" s="3" t="s">
        <v>48</v>
      </c>
      <c r="V305" s="4">
        <v>6929</v>
      </c>
      <c r="W305" s="1">
        <v>12241</v>
      </c>
      <c r="X305" s="1">
        <v>4</v>
      </c>
      <c r="Y305" s="3" t="s">
        <v>42</v>
      </c>
      <c r="Z305" s="3" t="s">
        <v>43</v>
      </c>
      <c r="AA305" s="5">
        <v>0.11</v>
      </c>
      <c r="AB305" s="10" t="str" cm="1">
        <f t="array" ref="AB305">_xlfn.IFS(AA305 &lt;= 15%, "Low Hike[11-15%]", AA305 &lt;= 20%, "Moderate Hike[16-20%]", AA305 &lt;= 25%,"High Hike[21-25%]")</f>
        <v>Low Hike[11-15%]</v>
      </c>
      <c r="AC305" s="1">
        <v>3</v>
      </c>
      <c r="AD305" s="1">
        <v>2</v>
      </c>
      <c r="AE305" s="1">
        <v>80</v>
      </c>
      <c r="AF305" s="1">
        <v>1</v>
      </c>
      <c r="AG305" s="1">
        <v>10</v>
      </c>
      <c r="AH305" s="9" t="str" cm="1">
        <f t="array" ref="AH305">_xlfn.IFS(AG305 &lt;= 5, "New[1-5]", AG305 &lt;= 10, "Early Career[6-10]", AG305 &lt;= 20, "Established[11-20]", AG305 &lt;= 30, "Veteran[21-30]", AG305 &lt;= 40, "Late Career[31-40]")</f>
        <v>Early Career[6-10]</v>
      </c>
      <c r="AI305" s="1">
        <v>3</v>
      </c>
      <c r="AJ305" s="1">
        <v>2</v>
      </c>
      <c r="AK305" s="1">
        <v>8</v>
      </c>
      <c r="AL305" s="9" t="str" cm="1">
        <f t="array" ref="AL305">_xlfn.IFS(AK305 &lt;= 5, "New[1-5]", AK305 &lt;= 10, "Early Career[6-10]", AK305 &lt;= 20, "Established[11-20]", AK305 &lt;= 30, "Veteran[21-30]", AK305 &lt;= 40, "Late Career[31-40]")</f>
        <v>Early Career[6-10]</v>
      </c>
      <c r="AM305" s="1">
        <v>7</v>
      </c>
      <c r="AN305" s="9" t="str" cm="1">
        <f t="array" ref="AN305">_xlfn.IFS(AM305 &lt;= 3, "New to Role[1-3]", AM305 &lt;= 7, "Settled[4-7]", AM305 &lt;= 12, "Experienced[[8-12]", AM305 &lt;= 18, "Long Tenured[13-18]")</f>
        <v>Settled[4-7]</v>
      </c>
      <c r="AO305" s="1">
        <v>7</v>
      </c>
      <c r="AP305" s="9" t="str" cm="1">
        <f t="array" ref="AP305">_xlfn.IFS(AO305 &lt;= 3, "Recently[1-3]", AO305 &lt;= 6, "Due Soon[4-6]", AO305 &lt;= 10, "Overdue[7-10]", AO305 &lt;= 15, "Long Overdue[11-15]")</f>
        <v>Overdue[7-10]</v>
      </c>
      <c r="AQ305" s="9" t="str" cm="1">
        <f t="array" ref="AQ305">_xlfn.IFS(AR305 &lt;= 3, "New Relationship[1-3]", AR305 &lt;= 7, "Established Relationship[4-7]", AR305 &lt;= 12, "Long Term Relationship[8-12]", AR305 &lt;= 17, "Very Long Term Relationship[13-17]")</f>
        <v>Established Relationship[4-7]</v>
      </c>
      <c r="AR305" s="1">
        <v>7</v>
      </c>
    </row>
    <row r="306" spans="1:44" x14ac:dyDescent="0.25">
      <c r="A306" s="1">
        <v>39</v>
      </c>
      <c r="B306" s="8" t="str" cm="1">
        <f t="array" ref="B306">_xlfn.IFS(A306 &lt;= 25, "[18-25]", A306 &lt;= 35, "[26-35]", A306 &lt;=45, "[36-45]", A306 &lt;= 60, "[46- 60]")</f>
        <v>[36-45]</v>
      </c>
      <c r="C306" s="3" t="s">
        <v>43</v>
      </c>
      <c r="D306">
        <f t="shared" si="4"/>
        <v>0</v>
      </c>
      <c r="E306" t="s">
        <v>36</v>
      </c>
      <c r="F306" s="1">
        <v>1132</v>
      </c>
      <c r="G306" s="3" t="s">
        <v>45</v>
      </c>
      <c r="H306" s="1">
        <v>1</v>
      </c>
      <c r="I306" s="9" t="str" cm="1">
        <f t="array" ref="I306">_xlfn.IFS(H306 &lt;= 2, "[1-2] very close", H306 &lt;= 10, "[3-10] close", H306 &lt;= 20, "[11-20] moderate", H306 &lt;= 30, "[21-30] far")</f>
        <v>[1-2] very close</v>
      </c>
      <c r="J306" s="1">
        <v>3</v>
      </c>
      <c r="K306" s="3" t="s">
        <v>51</v>
      </c>
      <c r="L306" s="1">
        <v>1</v>
      </c>
      <c r="M306" s="1">
        <v>417</v>
      </c>
      <c r="N306" s="1">
        <v>3</v>
      </c>
      <c r="O306" s="3" t="s">
        <v>46</v>
      </c>
      <c r="P306" s="1">
        <v>48</v>
      </c>
      <c r="Q306" s="1">
        <v>4</v>
      </c>
      <c r="R306" s="1">
        <v>3</v>
      </c>
      <c r="S306" s="3" t="s">
        <v>54</v>
      </c>
      <c r="T306" s="1">
        <v>4</v>
      </c>
      <c r="U306" s="3" t="s">
        <v>52</v>
      </c>
      <c r="V306" s="4">
        <v>9613</v>
      </c>
      <c r="W306" s="1">
        <v>10942</v>
      </c>
      <c r="X306" s="1">
        <v>0</v>
      </c>
      <c r="Y306" s="3" t="s">
        <v>42</v>
      </c>
      <c r="Z306" s="3" t="s">
        <v>43</v>
      </c>
      <c r="AA306" s="5">
        <v>0.17</v>
      </c>
      <c r="AB306" s="10" t="str" cm="1">
        <f t="array" ref="AB306">_xlfn.IFS(AA306 &lt;= 15%, "Low Hike[11-15%]", AA306 &lt;= 20%, "Moderate Hike[16-20%]", AA306 &lt;= 25%,"High Hike[21-25%]")</f>
        <v>Moderate Hike[16-20%]</v>
      </c>
      <c r="AC306" s="1">
        <v>3</v>
      </c>
      <c r="AD306" s="1">
        <v>1</v>
      </c>
      <c r="AE306" s="1">
        <v>80</v>
      </c>
      <c r="AF306" s="1">
        <v>3</v>
      </c>
      <c r="AG306" s="1">
        <v>19</v>
      </c>
      <c r="AH306" s="9" t="str" cm="1">
        <f t="array" ref="AH306">_xlfn.IFS(AG306 &lt;= 5, "New[1-5]", AG306 &lt;= 10, "Early Career[6-10]", AG306 &lt;= 20, "Established[11-20]", AG306 &lt;= 30, "Veteran[21-30]", AG306 &lt;= 40, "Late Career[31-40]")</f>
        <v>Established[11-20]</v>
      </c>
      <c r="AI306" s="1">
        <v>5</v>
      </c>
      <c r="AJ306" s="1">
        <v>2</v>
      </c>
      <c r="AK306" s="1">
        <v>18</v>
      </c>
      <c r="AL306" s="9" t="str" cm="1">
        <f t="array" ref="AL306">_xlfn.IFS(AK306 &lt;= 5, "New[1-5]", AK306 &lt;= 10, "Early Career[6-10]", AK306 &lt;= 20, "Established[11-20]", AK306 &lt;= 30, "Veteran[21-30]", AK306 &lt;= 40, "Late Career[31-40]")</f>
        <v>Established[11-20]</v>
      </c>
      <c r="AM306" s="1">
        <v>10</v>
      </c>
      <c r="AN306" s="9" t="str" cm="1">
        <f t="array" ref="AN306">_xlfn.IFS(AM306 &lt;= 3, "New to Role[1-3]", AM306 &lt;= 7, "Settled[4-7]", AM306 &lt;= 12, "Experienced[[8-12]", AM306 &lt;= 18, "Long Tenured[13-18]")</f>
        <v>Experienced[[8-12]</v>
      </c>
      <c r="AO306" s="1">
        <v>3</v>
      </c>
      <c r="AP306" s="9" t="str" cm="1">
        <f t="array" ref="AP306">_xlfn.IFS(AO306 &lt;= 3, "Recently[1-3]", AO306 &lt;= 6, "Due Soon[4-6]", AO306 &lt;= 10, "Overdue[7-10]", AO306 &lt;= 15, "Long Overdue[11-15]")</f>
        <v>Recently[1-3]</v>
      </c>
      <c r="AQ306" s="9" t="str" cm="1">
        <f t="array" ref="AQ306">_xlfn.IFS(AR306 &lt;= 3, "New Relationship[1-3]", AR306 &lt;= 7, "Established Relationship[4-7]", AR306 &lt;= 12, "Long Term Relationship[8-12]", AR306 &lt;= 17, "Very Long Term Relationship[13-17]")</f>
        <v>Established Relationship[4-7]</v>
      </c>
      <c r="AR306" s="1">
        <v>7</v>
      </c>
    </row>
    <row r="307" spans="1:44" x14ac:dyDescent="0.25">
      <c r="A307" s="1">
        <v>36</v>
      </c>
      <c r="B307" s="8" t="str" cm="1">
        <f t="array" ref="B307">_xlfn.IFS(A307 &lt;= 25, "[18-25]", A307 &lt;= 35, "[26-35]", A307 &lt;=45, "[36-45]", A307 &lt;= 60, "[46- 60]")</f>
        <v>[36-45]</v>
      </c>
      <c r="C307" s="3" t="s">
        <v>43</v>
      </c>
      <c r="D307">
        <f t="shared" si="4"/>
        <v>0</v>
      </c>
      <c r="E307" t="s">
        <v>62</v>
      </c>
      <c r="F307" s="1">
        <v>1105</v>
      </c>
      <c r="G307" s="3" t="s">
        <v>45</v>
      </c>
      <c r="H307" s="1">
        <v>24</v>
      </c>
      <c r="I307" s="9" t="str" cm="1">
        <f t="array" ref="I307">_xlfn.IFS(H307 &lt;= 2, "[1-2] very close", H307 &lt;= 10, "[3-10] close", H307 &lt;= 20, "[11-20] moderate", H307 &lt;= 30, "[21-30] far")</f>
        <v>[21-30] far</v>
      </c>
      <c r="J307" s="1">
        <v>4</v>
      </c>
      <c r="K307" s="3" t="s">
        <v>38</v>
      </c>
      <c r="L307" s="1">
        <v>1</v>
      </c>
      <c r="M307" s="1">
        <v>419</v>
      </c>
      <c r="N307" s="1">
        <v>2</v>
      </c>
      <c r="O307" s="3" t="s">
        <v>39</v>
      </c>
      <c r="P307" s="1">
        <v>47</v>
      </c>
      <c r="Q307" s="1">
        <v>3</v>
      </c>
      <c r="R307" s="1">
        <v>2</v>
      </c>
      <c r="S307" s="3" t="s">
        <v>50</v>
      </c>
      <c r="T307" s="1">
        <v>2</v>
      </c>
      <c r="U307" s="3" t="s">
        <v>48</v>
      </c>
      <c r="V307" s="4">
        <v>5674</v>
      </c>
      <c r="W307" s="1">
        <v>6927</v>
      </c>
      <c r="X307" s="1">
        <v>7</v>
      </c>
      <c r="Y307" s="3" t="s">
        <v>42</v>
      </c>
      <c r="Z307" s="3" t="s">
        <v>43</v>
      </c>
      <c r="AA307" s="5">
        <v>0.15</v>
      </c>
      <c r="AB307" s="10" t="str" cm="1">
        <f t="array" ref="AB307">_xlfn.IFS(AA307 &lt;= 15%, "Low Hike[11-15%]", AA307 &lt;= 20%, "Moderate Hike[16-20%]", AA307 &lt;= 25%,"High Hike[21-25%]")</f>
        <v>Low Hike[11-15%]</v>
      </c>
      <c r="AC307" s="1">
        <v>3</v>
      </c>
      <c r="AD307" s="1">
        <v>3</v>
      </c>
      <c r="AE307" s="1">
        <v>80</v>
      </c>
      <c r="AF307" s="1">
        <v>1</v>
      </c>
      <c r="AG307" s="1">
        <v>11</v>
      </c>
      <c r="AH307" s="9" t="str" cm="1">
        <f t="array" ref="AH307">_xlfn.IFS(AG307 &lt;= 5, "New[1-5]", AG307 &lt;= 10, "Early Career[6-10]", AG307 &lt;= 20, "Established[11-20]", AG307 &lt;= 30, "Veteran[21-30]", AG307 &lt;= 40, "Late Career[31-40]")</f>
        <v>Established[11-20]</v>
      </c>
      <c r="AI307" s="1">
        <v>3</v>
      </c>
      <c r="AJ307" s="1">
        <v>3</v>
      </c>
      <c r="AK307" s="1">
        <v>9</v>
      </c>
      <c r="AL307" s="9" t="str" cm="1">
        <f t="array" ref="AL307">_xlfn.IFS(AK307 &lt;= 5, "New[1-5]", AK307 &lt;= 10, "Early Career[6-10]", AK307 &lt;= 20, "Established[11-20]", AK307 &lt;= 30, "Veteran[21-30]", AK307 &lt;= 40, "Late Career[31-40]")</f>
        <v>Early Career[6-10]</v>
      </c>
      <c r="AM307" s="1">
        <v>8</v>
      </c>
      <c r="AN307" s="9" t="str" cm="1">
        <f t="array" ref="AN307">_xlfn.IFS(AM307 &lt;= 3, "New to Role[1-3]", AM307 &lt;= 7, "Settled[4-7]", AM307 &lt;= 12, "Experienced[[8-12]", AM307 &lt;= 18, "Long Tenured[13-18]")</f>
        <v>Experienced[[8-12]</v>
      </c>
      <c r="AO307" s="1">
        <v>0</v>
      </c>
      <c r="AP307" s="9" t="str" cm="1">
        <f t="array" ref="AP307">_xlfn.IFS(AO307 &lt;= 3, "Recently[1-3]", AO307 &lt;= 6, "Due Soon[4-6]", AO307 &lt;= 10, "Overdue[7-10]", AO307 &lt;= 15, "Long Overdue[11-15]")</f>
        <v>Recently[1-3]</v>
      </c>
      <c r="AQ307" s="9" t="str" cm="1">
        <f t="array" ref="AQ307">_xlfn.IFS(AR307 &lt;= 3, "New Relationship[1-3]", AR307 &lt;= 7, "Established Relationship[4-7]", AR307 &lt;= 12, "Long Term Relationship[8-12]", AR307 &lt;= 17, "Very Long Term Relationship[13-17]")</f>
        <v>Long Term Relationship[8-12]</v>
      </c>
      <c r="AR307" s="1">
        <v>8</v>
      </c>
    </row>
    <row r="308" spans="1:44" x14ac:dyDescent="0.25">
      <c r="A308" s="1">
        <v>32</v>
      </c>
      <c r="B308" s="8" t="str" cm="1">
        <f t="array" ref="B308">_xlfn.IFS(A308 &lt;= 25, "[18-25]", A308 &lt;= 35, "[26-35]", A308 &lt;=45, "[36-45]", A308 &lt;= 60, "[46- 60]")</f>
        <v>[26-35]</v>
      </c>
      <c r="C308" s="3" t="s">
        <v>43</v>
      </c>
      <c r="D308">
        <f t="shared" si="4"/>
        <v>0</v>
      </c>
      <c r="E308" t="s">
        <v>36</v>
      </c>
      <c r="F308" s="1">
        <v>906</v>
      </c>
      <c r="G308" s="3" t="s">
        <v>37</v>
      </c>
      <c r="H308" s="1">
        <v>7</v>
      </c>
      <c r="I308" s="9" t="str" cm="1">
        <f t="array" ref="I308">_xlfn.IFS(H308 &lt;= 2, "[1-2] very close", H308 &lt;= 10, "[3-10] close", H308 &lt;= 20, "[11-20] moderate", H308 &lt;= 30, "[21-30] far")</f>
        <v>[3-10] close</v>
      </c>
      <c r="J308" s="1">
        <v>3</v>
      </c>
      <c r="K308" s="3" t="s">
        <v>38</v>
      </c>
      <c r="L308" s="1">
        <v>1</v>
      </c>
      <c r="M308" s="1">
        <v>420</v>
      </c>
      <c r="N308" s="1">
        <v>4</v>
      </c>
      <c r="O308" s="3" t="s">
        <v>46</v>
      </c>
      <c r="P308" s="1">
        <v>91</v>
      </c>
      <c r="Q308" s="1">
        <v>2</v>
      </c>
      <c r="R308" s="1">
        <v>2</v>
      </c>
      <c r="S308" s="3" t="s">
        <v>40</v>
      </c>
      <c r="T308" s="1">
        <v>3</v>
      </c>
      <c r="U308" s="3" t="s">
        <v>48</v>
      </c>
      <c r="V308" s="4">
        <v>5484</v>
      </c>
      <c r="W308" s="1">
        <v>16985</v>
      </c>
      <c r="X308" s="1">
        <v>1</v>
      </c>
      <c r="Y308" s="3" t="s">
        <v>42</v>
      </c>
      <c r="Z308" s="3" t="s">
        <v>43</v>
      </c>
      <c r="AA308" s="5">
        <v>0.14000000000000001</v>
      </c>
      <c r="AB308" s="10" t="str" cm="1">
        <f t="array" ref="AB308">_xlfn.IFS(AA308 &lt;= 15%, "Low Hike[11-15%]", AA308 &lt;= 20%, "Moderate Hike[16-20%]", AA308 &lt;= 25%,"High Hike[21-25%]")</f>
        <v>Low Hike[11-15%]</v>
      </c>
      <c r="AC308" s="1">
        <v>3</v>
      </c>
      <c r="AD308" s="1">
        <v>3</v>
      </c>
      <c r="AE308" s="1">
        <v>80</v>
      </c>
      <c r="AF308" s="1">
        <v>1</v>
      </c>
      <c r="AG308" s="1">
        <v>13</v>
      </c>
      <c r="AH308" s="9" t="str" cm="1">
        <f t="array" ref="AH308">_xlfn.IFS(AG308 &lt;= 5, "New[1-5]", AG308 &lt;= 10, "Early Career[6-10]", AG308 &lt;= 20, "Established[11-20]", AG308 &lt;= 30, "Veteran[21-30]", AG308 &lt;= 40, "Late Career[31-40]")</f>
        <v>Established[11-20]</v>
      </c>
      <c r="AI308" s="1">
        <v>3</v>
      </c>
      <c r="AJ308" s="1">
        <v>2</v>
      </c>
      <c r="AK308" s="1">
        <v>13</v>
      </c>
      <c r="AL308" s="9" t="str" cm="1">
        <f t="array" ref="AL308">_xlfn.IFS(AK308 &lt;= 5, "New[1-5]", AK308 &lt;= 10, "Early Career[6-10]", AK308 &lt;= 20, "Established[11-20]", AK308 &lt;= 30, "Veteran[21-30]", AK308 &lt;= 40, "Late Career[31-40]")</f>
        <v>Established[11-20]</v>
      </c>
      <c r="AM308" s="1">
        <v>8</v>
      </c>
      <c r="AN308" s="9" t="str" cm="1">
        <f t="array" ref="AN308">_xlfn.IFS(AM308 &lt;= 3, "New to Role[1-3]", AM308 &lt;= 7, "Settled[4-7]", AM308 &lt;= 12, "Experienced[[8-12]", AM308 &lt;= 18, "Long Tenured[13-18]")</f>
        <v>Experienced[[8-12]</v>
      </c>
      <c r="AO308" s="1">
        <v>4</v>
      </c>
      <c r="AP308" s="9" t="str" cm="1">
        <f t="array" ref="AP308">_xlfn.IFS(AO308 &lt;= 3, "Recently[1-3]", AO308 &lt;= 6, "Due Soon[4-6]", AO308 &lt;= 10, "Overdue[7-10]", AO308 &lt;= 15, "Long Overdue[11-15]")</f>
        <v>Due Soon[4-6]</v>
      </c>
      <c r="AQ308" s="9" t="str" cm="1">
        <f t="array" ref="AQ308">_xlfn.IFS(AR308 &lt;= 3, "New Relationship[1-3]", AR308 &lt;= 7, "Established Relationship[4-7]", AR308 &lt;= 12, "Long Term Relationship[8-12]", AR308 &lt;= 17, "Very Long Term Relationship[13-17]")</f>
        <v>Long Term Relationship[8-12]</v>
      </c>
      <c r="AR308" s="1">
        <v>8</v>
      </c>
    </row>
    <row r="309" spans="1:44" x14ac:dyDescent="0.25">
      <c r="A309" s="1">
        <v>38</v>
      </c>
      <c r="B309" s="8" t="str" cm="1">
        <f t="array" ref="B309">_xlfn.IFS(A309 &lt;= 25, "[18-25]", A309 &lt;= 35, "[26-35]", A309 &lt;=45, "[36-45]", A309 &lt;= 60, "[46- 60]")</f>
        <v>[36-45]</v>
      </c>
      <c r="C309" s="3" t="s">
        <v>43</v>
      </c>
      <c r="D309">
        <f t="shared" si="4"/>
        <v>0</v>
      </c>
      <c r="E309" t="s">
        <v>36</v>
      </c>
      <c r="F309" s="1">
        <v>849</v>
      </c>
      <c r="G309" s="3" t="s">
        <v>45</v>
      </c>
      <c r="H309" s="1">
        <v>25</v>
      </c>
      <c r="I309" s="9" t="str" cm="1">
        <f t="array" ref="I309">_xlfn.IFS(H309 &lt;= 2, "[1-2] very close", H309 &lt;= 10, "[3-10] close", H309 &lt;= 20, "[11-20] moderate", H309 &lt;= 30, "[21-30] far")</f>
        <v>[21-30] far</v>
      </c>
      <c r="J309" s="1">
        <v>2</v>
      </c>
      <c r="K309" s="3" t="s">
        <v>38</v>
      </c>
      <c r="L309" s="1">
        <v>1</v>
      </c>
      <c r="M309" s="1">
        <v>421</v>
      </c>
      <c r="N309" s="1">
        <v>1</v>
      </c>
      <c r="O309" s="3" t="s">
        <v>39</v>
      </c>
      <c r="P309" s="1">
        <v>81</v>
      </c>
      <c r="Q309" s="1">
        <v>2</v>
      </c>
      <c r="R309" s="1">
        <v>3</v>
      </c>
      <c r="S309" s="3" t="s">
        <v>58</v>
      </c>
      <c r="T309" s="1">
        <v>2</v>
      </c>
      <c r="U309" s="3" t="s">
        <v>48</v>
      </c>
      <c r="V309" s="4">
        <v>12061</v>
      </c>
      <c r="W309" s="1">
        <v>26707</v>
      </c>
      <c r="X309" s="1">
        <v>3</v>
      </c>
      <c r="Y309" s="3" t="s">
        <v>42</v>
      </c>
      <c r="Z309" s="3" t="s">
        <v>43</v>
      </c>
      <c r="AA309" s="5">
        <v>0.17</v>
      </c>
      <c r="AB309" s="10" t="str" cm="1">
        <f t="array" ref="AB309">_xlfn.IFS(AA309 &lt;= 15%, "Low Hike[11-15%]", AA309 &lt;= 20%, "Moderate Hike[16-20%]", AA309 &lt;= 25%,"High Hike[21-25%]")</f>
        <v>Moderate Hike[16-20%]</v>
      </c>
      <c r="AC309" s="1">
        <v>3</v>
      </c>
      <c r="AD309" s="1">
        <v>3</v>
      </c>
      <c r="AE309" s="1">
        <v>80</v>
      </c>
      <c r="AF309" s="1">
        <v>1</v>
      </c>
      <c r="AG309" s="1">
        <v>19</v>
      </c>
      <c r="AH309" s="9" t="str" cm="1">
        <f t="array" ref="AH309">_xlfn.IFS(AG309 &lt;= 5, "New[1-5]", AG309 &lt;= 10, "Early Career[6-10]", AG309 &lt;= 20, "Established[11-20]", AG309 &lt;= 30, "Veteran[21-30]", AG309 &lt;= 40, "Late Career[31-40]")</f>
        <v>Established[11-20]</v>
      </c>
      <c r="AI309" s="1">
        <v>2</v>
      </c>
      <c r="AJ309" s="1">
        <v>3</v>
      </c>
      <c r="AK309" s="1">
        <v>10</v>
      </c>
      <c r="AL309" s="9" t="str" cm="1">
        <f t="array" ref="AL309">_xlfn.IFS(AK309 &lt;= 5, "New[1-5]", AK309 &lt;= 10, "Early Career[6-10]", AK309 &lt;= 20, "Established[11-20]", AK309 &lt;= 30, "Veteran[21-30]", AK309 &lt;= 40, "Late Career[31-40]")</f>
        <v>Early Career[6-10]</v>
      </c>
      <c r="AM309" s="1">
        <v>8</v>
      </c>
      <c r="AN309" s="9" t="str" cm="1">
        <f t="array" ref="AN309">_xlfn.IFS(AM309 &lt;= 3, "New to Role[1-3]", AM309 &lt;= 7, "Settled[4-7]", AM309 &lt;= 12, "Experienced[[8-12]", AM309 &lt;= 18, "Long Tenured[13-18]")</f>
        <v>Experienced[[8-12]</v>
      </c>
      <c r="AO309" s="1">
        <v>0</v>
      </c>
      <c r="AP309" s="9" t="str" cm="1">
        <f t="array" ref="AP309">_xlfn.IFS(AO309 &lt;= 3, "Recently[1-3]", AO309 &lt;= 6, "Due Soon[4-6]", AO309 &lt;= 10, "Overdue[7-10]", AO309 &lt;= 15, "Long Overdue[11-15]")</f>
        <v>Recently[1-3]</v>
      </c>
      <c r="AQ309" s="9" t="str" cm="1">
        <f t="array" ref="AQ309">_xlfn.IFS(AR309 &lt;= 3, "New Relationship[1-3]", AR309 &lt;= 7, "Established Relationship[4-7]", AR309 &lt;= 12, "Long Term Relationship[8-12]", AR309 &lt;= 17, "Very Long Term Relationship[13-17]")</f>
        <v>New Relationship[1-3]</v>
      </c>
      <c r="AR309" s="1">
        <v>1</v>
      </c>
    </row>
    <row r="310" spans="1:44" x14ac:dyDescent="0.25">
      <c r="A310" s="1">
        <v>58</v>
      </c>
      <c r="B310" s="8" t="str" cm="1">
        <f t="array" ref="B310">_xlfn.IFS(A310 &lt;= 25, "[18-25]", A310 &lt;= 35, "[26-35]", A310 &lt;=45, "[36-45]", A310 &lt;= 60, "[46- 60]")</f>
        <v>[46- 60]</v>
      </c>
      <c r="C310" s="3" t="s">
        <v>43</v>
      </c>
      <c r="D310">
        <f t="shared" si="4"/>
        <v>0</v>
      </c>
      <c r="E310" t="s">
        <v>62</v>
      </c>
      <c r="F310" s="1">
        <v>390</v>
      </c>
      <c r="G310" s="3" t="s">
        <v>45</v>
      </c>
      <c r="H310" s="1">
        <v>1</v>
      </c>
      <c r="I310" s="9" t="str" cm="1">
        <f t="array" ref="I310">_xlfn.IFS(H310 &lt;= 2, "[1-2] very close", H310 &lt;= 10, "[3-10] close", H310 &lt;= 20, "[11-20] moderate", H310 &lt;= 30, "[21-30] far")</f>
        <v>[1-2] very close</v>
      </c>
      <c r="J310" s="1">
        <v>4</v>
      </c>
      <c r="K310" s="3" t="s">
        <v>38</v>
      </c>
      <c r="L310" s="1">
        <v>1</v>
      </c>
      <c r="M310" s="1">
        <v>422</v>
      </c>
      <c r="N310" s="1">
        <v>4</v>
      </c>
      <c r="O310" s="3" t="s">
        <v>46</v>
      </c>
      <c r="P310" s="1">
        <v>32</v>
      </c>
      <c r="Q310" s="1">
        <v>1</v>
      </c>
      <c r="R310" s="1">
        <v>2</v>
      </c>
      <c r="S310" s="3" t="s">
        <v>54</v>
      </c>
      <c r="T310" s="1">
        <v>3</v>
      </c>
      <c r="U310" s="3" t="s">
        <v>52</v>
      </c>
      <c r="V310" s="4">
        <v>5660</v>
      </c>
      <c r="W310" s="1">
        <v>17056</v>
      </c>
      <c r="X310" s="1">
        <v>2</v>
      </c>
      <c r="Y310" s="3" t="s">
        <v>42</v>
      </c>
      <c r="Z310" s="3" t="s">
        <v>35</v>
      </c>
      <c r="AA310" s="5">
        <v>0.13</v>
      </c>
      <c r="AB310" s="10" t="str" cm="1">
        <f t="array" ref="AB310">_xlfn.IFS(AA310 &lt;= 15%, "Low Hike[11-15%]", AA310 &lt;= 20%, "Moderate Hike[16-20%]", AA310 &lt;= 25%,"High Hike[21-25%]")</f>
        <v>Low Hike[11-15%]</v>
      </c>
      <c r="AC310" s="1">
        <v>3</v>
      </c>
      <c r="AD310" s="1">
        <v>4</v>
      </c>
      <c r="AE310" s="1">
        <v>80</v>
      </c>
      <c r="AF310" s="1">
        <v>1</v>
      </c>
      <c r="AG310" s="1">
        <v>12</v>
      </c>
      <c r="AH310" s="9" t="str" cm="1">
        <f t="array" ref="AH310">_xlfn.IFS(AG310 &lt;= 5, "New[1-5]", AG310 &lt;= 10, "Early Career[6-10]", AG310 &lt;= 20, "Established[11-20]", AG310 &lt;= 30, "Veteran[21-30]", AG310 &lt;= 40, "Late Career[31-40]")</f>
        <v>Established[11-20]</v>
      </c>
      <c r="AI310" s="1">
        <v>2</v>
      </c>
      <c r="AJ310" s="1">
        <v>3</v>
      </c>
      <c r="AK310" s="1">
        <v>5</v>
      </c>
      <c r="AL310" s="9" t="str" cm="1">
        <f t="array" ref="AL310">_xlfn.IFS(AK310 &lt;= 5, "New[1-5]", AK310 &lt;= 10, "Early Career[6-10]", AK310 &lt;= 20, "Established[11-20]", AK310 &lt;= 30, "Veteran[21-30]", AK310 &lt;= 40, "Late Career[31-40]")</f>
        <v>New[1-5]</v>
      </c>
      <c r="AM310" s="1">
        <v>3</v>
      </c>
      <c r="AN310" s="9" t="str" cm="1">
        <f t="array" ref="AN310">_xlfn.IFS(AM310 &lt;= 3, "New to Role[1-3]", AM310 &lt;= 7, "Settled[4-7]", AM310 &lt;= 12, "Experienced[[8-12]", AM310 &lt;= 18, "Long Tenured[13-18]")</f>
        <v>New to Role[1-3]</v>
      </c>
      <c r="AO310" s="1">
        <v>1</v>
      </c>
      <c r="AP310" s="9" t="str" cm="1">
        <f t="array" ref="AP310">_xlfn.IFS(AO310 &lt;= 3, "Recently[1-3]", AO310 &lt;= 6, "Due Soon[4-6]", AO310 &lt;= 10, "Overdue[7-10]", AO310 &lt;= 15, "Long Overdue[11-15]")</f>
        <v>Recently[1-3]</v>
      </c>
      <c r="AQ310" s="9" t="str" cm="1">
        <f t="array" ref="AQ310">_xlfn.IFS(AR310 &lt;= 3, "New Relationship[1-3]", AR310 &lt;= 7, "Established Relationship[4-7]", AR310 &lt;= 12, "Long Term Relationship[8-12]", AR310 &lt;= 17, "Very Long Term Relationship[13-17]")</f>
        <v>New Relationship[1-3]</v>
      </c>
      <c r="AR310" s="1">
        <v>2</v>
      </c>
    </row>
    <row r="311" spans="1:44" x14ac:dyDescent="0.25">
      <c r="A311" s="1">
        <v>31</v>
      </c>
      <c r="B311" s="8" t="str" cm="1">
        <f t="array" ref="B311">_xlfn.IFS(A311 &lt;= 25, "[18-25]", A311 &lt;= 35, "[26-35]", A311 &lt;=45, "[36-45]", A311 &lt;= 60, "[46- 60]")</f>
        <v>[26-35]</v>
      </c>
      <c r="C311" s="3" t="s">
        <v>43</v>
      </c>
      <c r="D311">
        <f t="shared" si="4"/>
        <v>0</v>
      </c>
      <c r="E311" t="s">
        <v>36</v>
      </c>
      <c r="F311" s="1">
        <v>691</v>
      </c>
      <c r="G311" s="3" t="s">
        <v>45</v>
      </c>
      <c r="H311" s="1">
        <v>5</v>
      </c>
      <c r="I311" s="9" t="str" cm="1">
        <f t="array" ref="I311">_xlfn.IFS(H311 &lt;= 2, "[1-2] very close", H311 &lt;= 10, "[3-10] close", H311 &lt;= 20, "[11-20] moderate", H311 &lt;= 30, "[21-30] far")</f>
        <v>[3-10] close</v>
      </c>
      <c r="J311" s="1">
        <v>4</v>
      </c>
      <c r="K311" s="3" t="s">
        <v>60</v>
      </c>
      <c r="L311" s="1">
        <v>1</v>
      </c>
      <c r="M311" s="1">
        <v>423</v>
      </c>
      <c r="N311" s="1">
        <v>3</v>
      </c>
      <c r="O311" s="3" t="s">
        <v>46</v>
      </c>
      <c r="P311" s="1">
        <v>86</v>
      </c>
      <c r="Q311" s="1">
        <v>3</v>
      </c>
      <c r="R311" s="1">
        <v>1</v>
      </c>
      <c r="S311" s="3" t="s">
        <v>47</v>
      </c>
      <c r="T311" s="1">
        <v>4</v>
      </c>
      <c r="U311" s="3" t="s">
        <v>48</v>
      </c>
      <c r="V311" s="4">
        <v>4821</v>
      </c>
      <c r="W311" s="1">
        <v>10077</v>
      </c>
      <c r="X311" s="1">
        <v>0</v>
      </c>
      <c r="Y311" s="3" t="s">
        <v>42</v>
      </c>
      <c r="Z311" s="3" t="s">
        <v>35</v>
      </c>
      <c r="AA311" s="5">
        <v>0.12</v>
      </c>
      <c r="AB311" s="10" t="str" cm="1">
        <f t="array" ref="AB311">_xlfn.IFS(AA311 &lt;= 15%, "Low Hike[11-15%]", AA311 &lt;= 20%, "Moderate Hike[16-20%]", AA311 &lt;= 25%,"High Hike[21-25%]")</f>
        <v>Low Hike[11-15%]</v>
      </c>
      <c r="AC311" s="1">
        <v>3</v>
      </c>
      <c r="AD311" s="1">
        <v>3</v>
      </c>
      <c r="AE311" s="1">
        <v>80</v>
      </c>
      <c r="AF311" s="1">
        <v>1</v>
      </c>
      <c r="AG311" s="1">
        <v>6</v>
      </c>
      <c r="AH311" s="9" t="str" cm="1">
        <f t="array" ref="AH311">_xlfn.IFS(AG311 &lt;= 5, "New[1-5]", AG311 &lt;= 10, "Early Career[6-10]", AG311 &lt;= 20, "Established[11-20]", AG311 &lt;= 30, "Veteran[21-30]", AG311 &lt;= 40, "Late Career[31-40]")</f>
        <v>Early Career[6-10]</v>
      </c>
      <c r="AI311" s="1">
        <v>4</v>
      </c>
      <c r="AJ311" s="1">
        <v>3</v>
      </c>
      <c r="AK311" s="1">
        <v>5</v>
      </c>
      <c r="AL311" s="9" t="str" cm="1">
        <f t="array" ref="AL311">_xlfn.IFS(AK311 &lt;= 5, "New[1-5]", AK311 &lt;= 10, "Early Career[6-10]", AK311 &lt;= 20, "Established[11-20]", AK311 &lt;= 30, "Veteran[21-30]", AK311 &lt;= 40, "Late Career[31-40]")</f>
        <v>New[1-5]</v>
      </c>
      <c r="AM311" s="1">
        <v>2</v>
      </c>
      <c r="AN311" s="9" t="str" cm="1">
        <f t="array" ref="AN311">_xlfn.IFS(AM311 &lt;= 3, "New to Role[1-3]", AM311 &lt;= 7, "Settled[4-7]", AM311 &lt;= 12, "Experienced[[8-12]", AM311 &lt;= 18, "Long Tenured[13-18]")</f>
        <v>New to Role[1-3]</v>
      </c>
      <c r="AO311" s="1">
        <v>0</v>
      </c>
      <c r="AP311" s="9" t="str" cm="1">
        <f t="array" ref="AP311">_xlfn.IFS(AO311 &lt;= 3, "Recently[1-3]", AO311 &lt;= 6, "Due Soon[4-6]", AO311 &lt;= 10, "Overdue[7-10]", AO311 &lt;= 15, "Long Overdue[11-15]")</f>
        <v>Recently[1-3]</v>
      </c>
      <c r="AQ311" s="9" t="str" cm="1">
        <f t="array" ref="AQ311">_xlfn.IFS(AR311 &lt;= 3, "New Relationship[1-3]", AR311 &lt;= 7, "Established Relationship[4-7]", AR311 &lt;= 12, "Long Term Relationship[8-12]", AR311 &lt;= 17, "Very Long Term Relationship[13-17]")</f>
        <v>New Relationship[1-3]</v>
      </c>
      <c r="AR311" s="1">
        <v>3</v>
      </c>
    </row>
    <row r="312" spans="1:44" x14ac:dyDescent="0.25">
      <c r="A312" s="1">
        <v>31</v>
      </c>
      <c r="B312" s="8" t="str" cm="1">
        <f t="array" ref="B312">_xlfn.IFS(A312 &lt;= 25, "[18-25]", A312 &lt;= 35, "[26-35]", A312 &lt;=45, "[36-45]", A312 &lt;= 60, "[46- 60]")</f>
        <v>[26-35]</v>
      </c>
      <c r="C312" s="3" t="s">
        <v>43</v>
      </c>
      <c r="D312">
        <f t="shared" si="4"/>
        <v>0</v>
      </c>
      <c r="E312" t="s">
        <v>36</v>
      </c>
      <c r="F312" s="1">
        <v>106</v>
      </c>
      <c r="G312" s="3" t="s">
        <v>61</v>
      </c>
      <c r="H312" s="1">
        <v>2</v>
      </c>
      <c r="I312" s="9" t="str" cm="1">
        <f t="array" ref="I312">_xlfn.IFS(H312 &lt;= 2, "[1-2] very close", H312 &lt;= 10, "[3-10] close", H312 &lt;= 20, "[11-20] moderate", H312 &lt;= 30, "[21-30] far")</f>
        <v>[1-2] very close</v>
      </c>
      <c r="J312" s="1">
        <v>3</v>
      </c>
      <c r="K312" s="3" t="s">
        <v>61</v>
      </c>
      <c r="L312" s="1">
        <v>1</v>
      </c>
      <c r="M312" s="1">
        <v>424</v>
      </c>
      <c r="N312" s="1">
        <v>1</v>
      </c>
      <c r="O312" s="3" t="s">
        <v>46</v>
      </c>
      <c r="P312" s="1">
        <v>62</v>
      </c>
      <c r="Q312" s="1">
        <v>2</v>
      </c>
      <c r="R312" s="1">
        <v>2</v>
      </c>
      <c r="S312" s="3" t="s">
        <v>61</v>
      </c>
      <c r="T312" s="1">
        <v>1</v>
      </c>
      <c r="U312" s="3" t="s">
        <v>48</v>
      </c>
      <c r="V312" s="4">
        <v>6410</v>
      </c>
      <c r="W312" s="1">
        <v>17822</v>
      </c>
      <c r="X312" s="1">
        <v>3</v>
      </c>
      <c r="Y312" s="3" t="s">
        <v>42</v>
      </c>
      <c r="Z312" s="3" t="s">
        <v>43</v>
      </c>
      <c r="AA312" s="5">
        <v>0.12</v>
      </c>
      <c r="AB312" s="10" t="str" cm="1">
        <f t="array" ref="AB312">_xlfn.IFS(AA312 &lt;= 15%, "Low Hike[11-15%]", AA312 &lt;= 20%, "Moderate Hike[16-20%]", AA312 &lt;= 25%,"High Hike[21-25%]")</f>
        <v>Low Hike[11-15%]</v>
      </c>
      <c r="AC312" s="1">
        <v>3</v>
      </c>
      <c r="AD312" s="1">
        <v>4</v>
      </c>
      <c r="AE312" s="1">
        <v>80</v>
      </c>
      <c r="AF312" s="1">
        <v>0</v>
      </c>
      <c r="AG312" s="1">
        <v>9</v>
      </c>
      <c r="AH312" s="9" t="str" cm="1">
        <f t="array" ref="AH312">_xlfn.IFS(AG312 &lt;= 5, "New[1-5]", AG312 &lt;= 10, "Early Career[6-10]", AG312 &lt;= 20, "Established[11-20]", AG312 &lt;= 30, "Veteran[21-30]", AG312 &lt;= 40, "Late Career[31-40]")</f>
        <v>Early Career[6-10]</v>
      </c>
      <c r="AI312" s="1">
        <v>1</v>
      </c>
      <c r="AJ312" s="1">
        <v>3</v>
      </c>
      <c r="AK312" s="1">
        <v>2</v>
      </c>
      <c r="AL312" s="9" t="str" cm="1">
        <f t="array" ref="AL312">_xlfn.IFS(AK312 &lt;= 5, "New[1-5]", AK312 &lt;= 10, "Early Career[6-10]", AK312 &lt;= 20, "Established[11-20]", AK312 &lt;= 30, "Veteran[21-30]", AK312 &lt;= 40, "Late Career[31-40]")</f>
        <v>New[1-5]</v>
      </c>
      <c r="AM312" s="1">
        <v>2</v>
      </c>
      <c r="AN312" s="9" t="str" cm="1">
        <f t="array" ref="AN312">_xlfn.IFS(AM312 &lt;= 3, "New to Role[1-3]", AM312 &lt;= 7, "Settled[4-7]", AM312 &lt;= 12, "Experienced[[8-12]", AM312 &lt;= 18, "Long Tenured[13-18]")</f>
        <v>New to Role[1-3]</v>
      </c>
      <c r="AO312" s="1">
        <v>1</v>
      </c>
      <c r="AP312" s="9" t="str" cm="1">
        <f t="array" ref="AP312">_xlfn.IFS(AO312 &lt;= 3, "Recently[1-3]", AO312 &lt;= 6, "Due Soon[4-6]", AO312 &lt;= 10, "Overdue[7-10]", AO312 &lt;= 15, "Long Overdue[11-15]")</f>
        <v>Recently[1-3]</v>
      </c>
      <c r="AQ312" s="9" t="str" cm="1">
        <f t="array" ref="AQ312">_xlfn.IFS(AR312 &lt;= 3, "New Relationship[1-3]", AR312 &lt;= 7, "Established Relationship[4-7]", AR312 &lt;= 12, "Long Term Relationship[8-12]", AR312 &lt;= 17, "Very Long Term Relationship[13-17]")</f>
        <v>New Relationship[1-3]</v>
      </c>
      <c r="AR312" s="1">
        <v>0</v>
      </c>
    </row>
    <row r="313" spans="1:44" x14ac:dyDescent="0.25">
      <c r="A313" s="1">
        <v>45</v>
      </c>
      <c r="B313" s="8" t="str" cm="1">
        <f t="array" ref="B313">_xlfn.IFS(A313 &lt;= 25, "[18-25]", A313 &lt;= 35, "[26-35]", A313 &lt;=45, "[36-45]", A313 &lt;= 60, "[46- 60]")</f>
        <v>[36-45]</v>
      </c>
      <c r="C313" s="3" t="s">
        <v>43</v>
      </c>
      <c r="D313">
        <f t="shared" si="4"/>
        <v>0</v>
      </c>
      <c r="E313" t="s">
        <v>44</v>
      </c>
      <c r="F313" s="1">
        <v>1249</v>
      </c>
      <c r="G313" s="3" t="s">
        <v>45</v>
      </c>
      <c r="H313" s="1">
        <v>7</v>
      </c>
      <c r="I313" s="9" t="str" cm="1">
        <f t="array" ref="I313">_xlfn.IFS(H313 &lt;= 2, "[1-2] very close", H313 &lt;= 10, "[3-10] close", H313 &lt;= 20, "[11-20] moderate", H313 &lt;= 30, "[21-30] far")</f>
        <v>[3-10] close</v>
      </c>
      <c r="J313" s="1">
        <v>3</v>
      </c>
      <c r="K313" s="3" t="s">
        <v>38</v>
      </c>
      <c r="L313" s="1">
        <v>1</v>
      </c>
      <c r="M313" s="1">
        <v>425</v>
      </c>
      <c r="N313" s="1">
        <v>1</v>
      </c>
      <c r="O313" s="3" t="s">
        <v>46</v>
      </c>
      <c r="P313" s="1">
        <v>97</v>
      </c>
      <c r="Q313" s="1">
        <v>3</v>
      </c>
      <c r="R313" s="1">
        <v>3</v>
      </c>
      <c r="S313" s="3" t="s">
        <v>50</v>
      </c>
      <c r="T313" s="1">
        <v>1</v>
      </c>
      <c r="U313" s="3" t="s">
        <v>52</v>
      </c>
      <c r="V313" s="4">
        <v>5210</v>
      </c>
      <c r="W313" s="1">
        <v>20308</v>
      </c>
      <c r="X313" s="1">
        <v>1</v>
      </c>
      <c r="Y313" s="3" t="s">
        <v>42</v>
      </c>
      <c r="Z313" s="3" t="s">
        <v>43</v>
      </c>
      <c r="AA313" s="5">
        <v>0.18</v>
      </c>
      <c r="AB313" s="10" t="str" cm="1">
        <f t="array" ref="AB313">_xlfn.IFS(AA313 &lt;= 15%, "Low Hike[11-15%]", AA313 &lt;= 20%, "Moderate Hike[16-20%]", AA313 &lt;= 25%,"High Hike[21-25%]")</f>
        <v>Moderate Hike[16-20%]</v>
      </c>
      <c r="AC313" s="1">
        <v>3</v>
      </c>
      <c r="AD313" s="1">
        <v>1</v>
      </c>
      <c r="AE313" s="1">
        <v>80</v>
      </c>
      <c r="AF313" s="1">
        <v>1</v>
      </c>
      <c r="AG313" s="1">
        <v>24</v>
      </c>
      <c r="AH313" s="9" t="str" cm="1">
        <f t="array" ref="AH313">_xlfn.IFS(AG313 &lt;= 5, "New[1-5]", AG313 &lt;= 10, "Early Career[6-10]", AG313 &lt;= 20, "Established[11-20]", AG313 &lt;= 30, "Veteran[21-30]", AG313 &lt;= 40, "Late Career[31-40]")</f>
        <v>Veteran[21-30]</v>
      </c>
      <c r="AI313" s="1">
        <v>2</v>
      </c>
      <c r="AJ313" s="1">
        <v>3</v>
      </c>
      <c r="AK313" s="1">
        <v>24</v>
      </c>
      <c r="AL313" s="9" t="str" cm="1">
        <f t="array" ref="AL313">_xlfn.IFS(AK313 &lt;= 5, "New[1-5]", AK313 &lt;= 10, "Early Career[6-10]", AK313 &lt;= 20, "Established[11-20]", AK313 &lt;= 30, "Veteran[21-30]", AK313 &lt;= 40, "Late Career[31-40]")</f>
        <v>Veteran[21-30]</v>
      </c>
      <c r="AM313" s="1">
        <v>9</v>
      </c>
      <c r="AN313" s="9" t="str" cm="1">
        <f t="array" ref="AN313">_xlfn.IFS(AM313 &lt;= 3, "New to Role[1-3]", AM313 &lt;= 7, "Settled[4-7]", AM313 &lt;= 12, "Experienced[[8-12]", AM313 &lt;= 18, "Long Tenured[13-18]")</f>
        <v>Experienced[[8-12]</v>
      </c>
      <c r="AO313" s="1">
        <v>9</v>
      </c>
      <c r="AP313" s="9" t="str" cm="1">
        <f t="array" ref="AP313">_xlfn.IFS(AO313 &lt;= 3, "Recently[1-3]", AO313 &lt;= 6, "Due Soon[4-6]", AO313 &lt;= 10, "Overdue[7-10]", AO313 &lt;= 15, "Long Overdue[11-15]")</f>
        <v>Overdue[7-10]</v>
      </c>
      <c r="AQ313" s="9" t="str" cm="1">
        <f t="array" ref="AQ313">_xlfn.IFS(AR313 &lt;= 3, "New Relationship[1-3]", AR313 &lt;= 7, "Established Relationship[4-7]", AR313 &lt;= 12, "Long Term Relationship[8-12]", AR313 &lt;= 17, "Very Long Term Relationship[13-17]")</f>
        <v>Long Term Relationship[8-12]</v>
      </c>
      <c r="AR313" s="1">
        <v>11</v>
      </c>
    </row>
    <row r="314" spans="1:44" x14ac:dyDescent="0.25">
      <c r="A314" s="1">
        <v>31</v>
      </c>
      <c r="B314" s="8" t="str" cm="1">
        <f t="array" ref="B314">_xlfn.IFS(A314 &lt;= 25, "[18-25]", A314 &lt;= 35, "[26-35]", A314 &lt;=45, "[36-45]", A314 &lt;= 60, "[46- 60]")</f>
        <v>[26-35]</v>
      </c>
      <c r="C314" s="3" t="s">
        <v>43</v>
      </c>
      <c r="D314">
        <f t="shared" si="4"/>
        <v>0</v>
      </c>
      <c r="E314" t="s">
        <v>36</v>
      </c>
      <c r="F314" s="1">
        <v>192</v>
      </c>
      <c r="G314" s="3" t="s">
        <v>45</v>
      </c>
      <c r="H314" s="1">
        <v>2</v>
      </c>
      <c r="I314" s="9" t="str" cm="1">
        <f t="array" ref="I314">_xlfn.IFS(H314 &lt;= 2, "[1-2] very close", H314 &lt;= 10, "[3-10] close", H314 &lt;= 20, "[11-20] moderate", H314 &lt;= 30, "[21-30] far")</f>
        <v>[1-2] very close</v>
      </c>
      <c r="J314" s="1">
        <v>4</v>
      </c>
      <c r="K314" s="3" t="s">
        <v>38</v>
      </c>
      <c r="L314" s="1">
        <v>1</v>
      </c>
      <c r="M314" s="1">
        <v>426</v>
      </c>
      <c r="N314" s="1">
        <v>3</v>
      </c>
      <c r="O314" s="3" t="s">
        <v>46</v>
      </c>
      <c r="P314" s="1">
        <v>32</v>
      </c>
      <c r="Q314" s="1">
        <v>3</v>
      </c>
      <c r="R314" s="1">
        <v>1</v>
      </c>
      <c r="S314" s="3" t="s">
        <v>47</v>
      </c>
      <c r="T314" s="1">
        <v>4</v>
      </c>
      <c r="U314" s="3" t="s">
        <v>52</v>
      </c>
      <c r="V314" s="4">
        <v>2695</v>
      </c>
      <c r="W314" s="1">
        <v>7747</v>
      </c>
      <c r="X314" s="1">
        <v>0</v>
      </c>
      <c r="Y314" s="3" t="s">
        <v>42</v>
      </c>
      <c r="Z314" s="3" t="s">
        <v>35</v>
      </c>
      <c r="AA314" s="5">
        <v>0.18</v>
      </c>
      <c r="AB314" s="10" t="str" cm="1">
        <f t="array" ref="AB314">_xlfn.IFS(AA314 &lt;= 15%, "Low Hike[11-15%]", AA314 &lt;= 20%, "Moderate Hike[16-20%]", AA314 &lt;= 25%,"High Hike[21-25%]")</f>
        <v>Moderate Hike[16-20%]</v>
      </c>
      <c r="AC314" s="1">
        <v>3</v>
      </c>
      <c r="AD314" s="1">
        <v>2</v>
      </c>
      <c r="AE314" s="1">
        <v>80</v>
      </c>
      <c r="AF314" s="1">
        <v>1</v>
      </c>
      <c r="AG314" s="1">
        <v>3</v>
      </c>
      <c r="AH314" s="9" t="str" cm="1">
        <f t="array" ref="AH314">_xlfn.IFS(AG314 &lt;= 5, "New[1-5]", AG314 &lt;= 10, "Early Career[6-10]", AG314 &lt;= 20, "Established[11-20]", AG314 &lt;= 30, "Veteran[21-30]", AG314 &lt;= 40, "Late Career[31-40]")</f>
        <v>New[1-5]</v>
      </c>
      <c r="AI314" s="1">
        <v>2</v>
      </c>
      <c r="AJ314" s="1">
        <v>1</v>
      </c>
      <c r="AK314" s="1">
        <v>2</v>
      </c>
      <c r="AL314" s="9" t="str" cm="1">
        <f t="array" ref="AL314">_xlfn.IFS(AK314 &lt;= 5, "New[1-5]", AK314 &lt;= 10, "Early Career[6-10]", AK314 &lt;= 20, "Established[11-20]", AK314 &lt;= 30, "Veteran[21-30]", AK314 &lt;= 40, "Late Career[31-40]")</f>
        <v>New[1-5]</v>
      </c>
      <c r="AM314" s="1">
        <v>2</v>
      </c>
      <c r="AN314" s="9" t="str" cm="1">
        <f t="array" ref="AN314">_xlfn.IFS(AM314 &lt;= 3, "New to Role[1-3]", AM314 &lt;= 7, "Settled[4-7]", AM314 &lt;= 12, "Experienced[[8-12]", AM314 &lt;= 18, "Long Tenured[13-18]")</f>
        <v>New to Role[1-3]</v>
      </c>
      <c r="AO314" s="1">
        <v>2</v>
      </c>
      <c r="AP314" s="9" t="str" cm="1">
        <f t="array" ref="AP314">_xlfn.IFS(AO314 &lt;= 3, "Recently[1-3]", AO314 &lt;= 6, "Due Soon[4-6]", AO314 &lt;= 10, "Overdue[7-10]", AO314 &lt;= 15, "Long Overdue[11-15]")</f>
        <v>Recently[1-3]</v>
      </c>
      <c r="AQ314" s="9" t="str" cm="1">
        <f t="array" ref="AQ314">_xlfn.IFS(AR314 &lt;= 3, "New Relationship[1-3]", AR314 &lt;= 7, "Established Relationship[4-7]", AR314 &lt;= 12, "Long Term Relationship[8-12]", AR314 &lt;= 17, "Very Long Term Relationship[13-17]")</f>
        <v>New Relationship[1-3]</v>
      </c>
      <c r="AR314" s="1">
        <v>2</v>
      </c>
    </row>
    <row r="315" spans="1:44" x14ac:dyDescent="0.25">
      <c r="A315" s="1">
        <v>33</v>
      </c>
      <c r="B315" s="8" t="str" cm="1">
        <f t="array" ref="B315">_xlfn.IFS(A315 &lt;= 25, "[18-25]", A315 &lt;= 35, "[26-35]", A315 &lt;=45, "[36-45]", A315 &lt;= 60, "[46- 60]")</f>
        <v>[26-35]</v>
      </c>
      <c r="C315" s="3" t="s">
        <v>43</v>
      </c>
      <c r="D315">
        <f t="shared" si="4"/>
        <v>0</v>
      </c>
      <c r="E315" t="s">
        <v>44</v>
      </c>
      <c r="F315" s="1">
        <v>553</v>
      </c>
      <c r="G315" s="3" t="s">
        <v>45</v>
      </c>
      <c r="H315" s="1">
        <v>5</v>
      </c>
      <c r="I315" s="9" t="str" cm="1">
        <f t="array" ref="I315">_xlfn.IFS(H315 &lt;= 2, "[1-2] very close", H315 &lt;= 10, "[3-10] close", H315 &lt;= 20, "[11-20] moderate", H315 &lt;= 30, "[21-30] far")</f>
        <v>[3-10] close</v>
      </c>
      <c r="J315" s="1">
        <v>4</v>
      </c>
      <c r="K315" s="3" t="s">
        <v>38</v>
      </c>
      <c r="L315" s="1">
        <v>1</v>
      </c>
      <c r="M315" s="1">
        <v>428</v>
      </c>
      <c r="N315" s="1">
        <v>4</v>
      </c>
      <c r="O315" s="3" t="s">
        <v>39</v>
      </c>
      <c r="P315" s="1">
        <v>74</v>
      </c>
      <c r="Q315" s="1">
        <v>3</v>
      </c>
      <c r="R315" s="1">
        <v>3</v>
      </c>
      <c r="S315" s="3" t="s">
        <v>56</v>
      </c>
      <c r="T315" s="1">
        <v>2</v>
      </c>
      <c r="U315" s="3" t="s">
        <v>48</v>
      </c>
      <c r="V315" s="4">
        <v>11878</v>
      </c>
      <c r="W315" s="1">
        <v>23364</v>
      </c>
      <c r="X315" s="1">
        <v>6</v>
      </c>
      <c r="Y315" s="3" t="s">
        <v>42</v>
      </c>
      <c r="Z315" s="3" t="s">
        <v>43</v>
      </c>
      <c r="AA315" s="5">
        <v>0.11</v>
      </c>
      <c r="AB315" s="10" t="str" cm="1">
        <f t="array" ref="AB315">_xlfn.IFS(AA315 &lt;= 15%, "Low Hike[11-15%]", AA315 &lt;= 20%, "Moderate Hike[16-20%]", AA315 &lt;= 25%,"High Hike[21-25%]")</f>
        <v>Low Hike[11-15%]</v>
      </c>
      <c r="AC315" s="1">
        <v>3</v>
      </c>
      <c r="AD315" s="1">
        <v>2</v>
      </c>
      <c r="AE315" s="1">
        <v>80</v>
      </c>
      <c r="AF315" s="1">
        <v>2</v>
      </c>
      <c r="AG315" s="1">
        <v>12</v>
      </c>
      <c r="AH315" s="9" t="str" cm="1">
        <f t="array" ref="AH315">_xlfn.IFS(AG315 &lt;= 5, "New[1-5]", AG315 &lt;= 10, "Early Career[6-10]", AG315 &lt;= 20, "Established[11-20]", AG315 &lt;= 30, "Veteran[21-30]", AG315 &lt;= 40, "Late Career[31-40]")</f>
        <v>Established[11-20]</v>
      </c>
      <c r="AI315" s="1">
        <v>2</v>
      </c>
      <c r="AJ315" s="1">
        <v>3</v>
      </c>
      <c r="AK315" s="1">
        <v>10</v>
      </c>
      <c r="AL315" s="9" t="str" cm="1">
        <f t="array" ref="AL315">_xlfn.IFS(AK315 &lt;= 5, "New[1-5]", AK315 &lt;= 10, "Early Career[6-10]", AK315 &lt;= 20, "Established[11-20]", AK315 &lt;= 30, "Veteran[21-30]", AK315 &lt;= 40, "Late Career[31-40]")</f>
        <v>Early Career[6-10]</v>
      </c>
      <c r="AM315" s="1">
        <v>6</v>
      </c>
      <c r="AN315" s="9" t="str" cm="1">
        <f t="array" ref="AN315">_xlfn.IFS(AM315 &lt;= 3, "New to Role[1-3]", AM315 &lt;= 7, "Settled[4-7]", AM315 &lt;= 12, "Experienced[[8-12]", AM315 &lt;= 18, "Long Tenured[13-18]")</f>
        <v>Settled[4-7]</v>
      </c>
      <c r="AO315" s="1">
        <v>8</v>
      </c>
      <c r="AP315" s="9" t="str" cm="1">
        <f t="array" ref="AP315">_xlfn.IFS(AO315 &lt;= 3, "Recently[1-3]", AO315 &lt;= 6, "Due Soon[4-6]", AO315 &lt;= 10, "Overdue[7-10]", AO315 &lt;= 15, "Long Overdue[11-15]")</f>
        <v>Overdue[7-10]</v>
      </c>
      <c r="AQ315" s="9" t="str" cm="1">
        <f t="array" ref="AQ315">_xlfn.IFS(AR315 &lt;= 3, "New Relationship[1-3]", AR315 &lt;= 7, "Established Relationship[4-7]", AR315 &lt;= 12, "Long Term Relationship[8-12]", AR315 &lt;= 17, "Very Long Term Relationship[13-17]")</f>
        <v>Long Term Relationship[8-12]</v>
      </c>
      <c r="AR315" s="1">
        <v>8</v>
      </c>
    </row>
    <row r="316" spans="1:44" x14ac:dyDescent="0.25">
      <c r="A316" s="1">
        <v>39</v>
      </c>
      <c r="B316" s="8" t="str" cm="1">
        <f t="array" ref="B316">_xlfn.IFS(A316 &lt;= 25, "[18-25]", A316 &lt;= 35, "[26-35]", A316 &lt;=45, "[36-45]", A316 &lt;= 60, "[46- 60]")</f>
        <v>[36-45]</v>
      </c>
      <c r="C316" s="3" t="s">
        <v>43</v>
      </c>
      <c r="D316">
        <f t="shared" si="4"/>
        <v>0</v>
      </c>
      <c r="E316" t="s">
        <v>36</v>
      </c>
      <c r="F316" s="1">
        <v>117</v>
      </c>
      <c r="G316" s="3" t="s">
        <v>45</v>
      </c>
      <c r="H316" s="1">
        <v>10</v>
      </c>
      <c r="I316" s="9" t="str" cm="1">
        <f t="array" ref="I316">_xlfn.IFS(H316 &lt;= 2, "[1-2] very close", H316 &lt;= 10, "[3-10] close", H316 &lt;= 20, "[11-20] moderate", H316 &lt;= 30, "[21-30] far")</f>
        <v>[3-10] close</v>
      </c>
      <c r="J316" s="1">
        <v>1</v>
      </c>
      <c r="K316" s="3" t="s">
        <v>51</v>
      </c>
      <c r="L316" s="1">
        <v>1</v>
      </c>
      <c r="M316" s="1">
        <v>429</v>
      </c>
      <c r="N316" s="1">
        <v>3</v>
      </c>
      <c r="O316" s="3" t="s">
        <v>46</v>
      </c>
      <c r="P316" s="1">
        <v>99</v>
      </c>
      <c r="Q316" s="1">
        <v>3</v>
      </c>
      <c r="R316" s="1">
        <v>4</v>
      </c>
      <c r="S316" s="3" t="s">
        <v>56</v>
      </c>
      <c r="T316" s="1">
        <v>1</v>
      </c>
      <c r="U316" s="3" t="s">
        <v>48</v>
      </c>
      <c r="V316" s="4">
        <v>17068</v>
      </c>
      <c r="W316" s="1">
        <v>5355</v>
      </c>
      <c r="X316" s="1">
        <v>1</v>
      </c>
      <c r="Y316" s="3" t="s">
        <v>42</v>
      </c>
      <c r="Z316" s="3" t="s">
        <v>35</v>
      </c>
      <c r="AA316" s="5">
        <v>0.14000000000000001</v>
      </c>
      <c r="AB316" s="10" t="str" cm="1">
        <f t="array" ref="AB316">_xlfn.IFS(AA316 &lt;= 15%, "Low Hike[11-15%]", AA316 &lt;= 20%, "Moderate Hike[16-20%]", AA316 &lt;= 25%,"High Hike[21-25%]")</f>
        <v>Low Hike[11-15%]</v>
      </c>
      <c r="AC316" s="1">
        <v>3</v>
      </c>
      <c r="AD316" s="1">
        <v>4</v>
      </c>
      <c r="AE316" s="1">
        <v>80</v>
      </c>
      <c r="AF316" s="1">
        <v>0</v>
      </c>
      <c r="AG316" s="1">
        <v>21</v>
      </c>
      <c r="AH316" s="9" t="str" cm="1">
        <f t="array" ref="AH316">_xlfn.IFS(AG316 &lt;= 5, "New[1-5]", AG316 &lt;= 10, "Early Career[6-10]", AG316 &lt;= 20, "Established[11-20]", AG316 &lt;= 30, "Veteran[21-30]", AG316 &lt;= 40, "Late Career[31-40]")</f>
        <v>Veteran[21-30]</v>
      </c>
      <c r="AI316" s="1">
        <v>3</v>
      </c>
      <c r="AJ316" s="1">
        <v>3</v>
      </c>
      <c r="AK316" s="1">
        <v>21</v>
      </c>
      <c r="AL316" s="9" t="str" cm="1">
        <f t="array" ref="AL316">_xlfn.IFS(AK316 &lt;= 5, "New[1-5]", AK316 &lt;= 10, "Early Career[6-10]", AK316 &lt;= 20, "Established[11-20]", AK316 &lt;= 30, "Veteran[21-30]", AK316 &lt;= 40, "Late Career[31-40]")</f>
        <v>Veteran[21-30]</v>
      </c>
      <c r="AM316" s="1">
        <v>9</v>
      </c>
      <c r="AN316" s="9" t="str" cm="1">
        <f t="array" ref="AN316">_xlfn.IFS(AM316 &lt;= 3, "New to Role[1-3]", AM316 &lt;= 7, "Settled[4-7]", AM316 &lt;= 12, "Experienced[[8-12]", AM316 &lt;= 18, "Long Tenured[13-18]")</f>
        <v>Experienced[[8-12]</v>
      </c>
      <c r="AO316" s="1">
        <v>11</v>
      </c>
      <c r="AP316" s="9" t="str" cm="1">
        <f t="array" ref="AP316">_xlfn.IFS(AO316 &lt;= 3, "Recently[1-3]", AO316 &lt;= 6, "Due Soon[4-6]", AO316 &lt;= 10, "Overdue[7-10]", AO316 &lt;= 15, "Long Overdue[11-15]")</f>
        <v>Long Overdue[11-15]</v>
      </c>
      <c r="AQ316" s="9" t="str" cm="1">
        <f t="array" ref="AQ316">_xlfn.IFS(AR316 &lt;= 3, "New Relationship[1-3]", AR316 &lt;= 7, "Established Relationship[4-7]", AR316 &lt;= 12, "Long Term Relationship[8-12]", AR316 &lt;= 17, "Very Long Term Relationship[13-17]")</f>
        <v>Long Term Relationship[8-12]</v>
      </c>
      <c r="AR316" s="1">
        <v>10</v>
      </c>
    </row>
    <row r="317" spans="1:44" x14ac:dyDescent="0.25">
      <c r="A317" s="1">
        <v>43</v>
      </c>
      <c r="B317" s="8" t="str" cm="1">
        <f t="array" ref="B317">_xlfn.IFS(A317 &lt;= 25, "[18-25]", A317 &lt;= 35, "[26-35]", A317 &lt;=45, "[36-45]", A317 &lt;= 60, "[46- 60]")</f>
        <v>[36-45]</v>
      </c>
      <c r="C317" s="3" t="s">
        <v>43</v>
      </c>
      <c r="D317">
        <f t="shared" si="4"/>
        <v>0</v>
      </c>
      <c r="E317" t="s">
        <v>44</v>
      </c>
      <c r="F317" s="1">
        <v>185</v>
      </c>
      <c r="G317" s="3" t="s">
        <v>45</v>
      </c>
      <c r="H317" s="1">
        <v>10</v>
      </c>
      <c r="I317" s="9" t="str" cm="1">
        <f t="array" ref="I317">_xlfn.IFS(H317 &lt;= 2, "[1-2] very close", H317 &lt;= 10, "[3-10] close", H317 &lt;= 20, "[11-20] moderate", H317 &lt;= 30, "[21-30] far")</f>
        <v>[3-10] close</v>
      </c>
      <c r="J317" s="1">
        <v>4</v>
      </c>
      <c r="K317" s="3" t="s">
        <v>38</v>
      </c>
      <c r="L317" s="1">
        <v>1</v>
      </c>
      <c r="M317" s="1">
        <v>430</v>
      </c>
      <c r="N317" s="1">
        <v>3</v>
      </c>
      <c r="O317" s="3" t="s">
        <v>39</v>
      </c>
      <c r="P317" s="1">
        <v>33</v>
      </c>
      <c r="Q317" s="1">
        <v>3</v>
      </c>
      <c r="R317" s="1">
        <v>1</v>
      </c>
      <c r="S317" s="3" t="s">
        <v>50</v>
      </c>
      <c r="T317" s="1">
        <v>4</v>
      </c>
      <c r="U317" s="3" t="s">
        <v>41</v>
      </c>
      <c r="V317" s="4">
        <v>2455</v>
      </c>
      <c r="W317" s="1">
        <v>10675</v>
      </c>
      <c r="X317" s="1">
        <v>0</v>
      </c>
      <c r="Y317" s="3" t="s">
        <v>42</v>
      </c>
      <c r="Z317" s="3" t="s">
        <v>43</v>
      </c>
      <c r="AA317" s="5">
        <v>0.19</v>
      </c>
      <c r="AB317" s="10" t="str" cm="1">
        <f t="array" ref="AB317">_xlfn.IFS(AA317 &lt;= 15%, "Low Hike[11-15%]", AA317 &lt;= 20%, "Moderate Hike[16-20%]", AA317 &lt;= 25%,"High Hike[21-25%]")</f>
        <v>Moderate Hike[16-20%]</v>
      </c>
      <c r="AC317" s="1">
        <v>3</v>
      </c>
      <c r="AD317" s="1">
        <v>1</v>
      </c>
      <c r="AE317" s="1">
        <v>80</v>
      </c>
      <c r="AF317" s="1">
        <v>0</v>
      </c>
      <c r="AG317" s="1">
        <v>9</v>
      </c>
      <c r="AH317" s="9" t="str" cm="1">
        <f t="array" ref="AH317">_xlfn.IFS(AG317 &lt;= 5, "New[1-5]", AG317 &lt;= 10, "Early Career[6-10]", AG317 &lt;= 20, "Established[11-20]", AG317 &lt;= 30, "Veteran[21-30]", AG317 &lt;= 40, "Late Career[31-40]")</f>
        <v>Early Career[6-10]</v>
      </c>
      <c r="AI317" s="1">
        <v>5</v>
      </c>
      <c r="AJ317" s="1">
        <v>3</v>
      </c>
      <c r="AK317" s="1">
        <v>8</v>
      </c>
      <c r="AL317" s="9" t="str" cm="1">
        <f t="array" ref="AL317">_xlfn.IFS(AK317 &lt;= 5, "New[1-5]", AK317 &lt;= 10, "Early Career[6-10]", AK317 &lt;= 20, "Established[11-20]", AK317 &lt;= 30, "Veteran[21-30]", AK317 &lt;= 40, "Late Career[31-40]")</f>
        <v>Early Career[6-10]</v>
      </c>
      <c r="AM317" s="1">
        <v>7</v>
      </c>
      <c r="AN317" s="9" t="str" cm="1">
        <f t="array" ref="AN317">_xlfn.IFS(AM317 &lt;= 3, "New to Role[1-3]", AM317 &lt;= 7, "Settled[4-7]", AM317 &lt;= 12, "Experienced[[8-12]", AM317 &lt;= 18, "Long Tenured[13-18]")</f>
        <v>Settled[4-7]</v>
      </c>
      <c r="AO317" s="1">
        <v>1</v>
      </c>
      <c r="AP317" s="9" t="str" cm="1">
        <f t="array" ref="AP317">_xlfn.IFS(AO317 &lt;= 3, "Recently[1-3]", AO317 &lt;= 6, "Due Soon[4-6]", AO317 &lt;= 10, "Overdue[7-10]", AO317 &lt;= 15, "Long Overdue[11-15]")</f>
        <v>Recently[1-3]</v>
      </c>
      <c r="AQ317" s="9" t="str" cm="1">
        <f t="array" ref="AQ317">_xlfn.IFS(AR317 &lt;= 3, "New Relationship[1-3]", AR317 &lt;= 7, "Established Relationship[4-7]", AR317 &lt;= 12, "Long Term Relationship[8-12]", AR317 &lt;= 17, "Very Long Term Relationship[13-17]")</f>
        <v>Established Relationship[4-7]</v>
      </c>
      <c r="AR317" s="1">
        <v>7</v>
      </c>
    </row>
    <row r="318" spans="1:44" x14ac:dyDescent="0.25">
      <c r="A318" s="1">
        <v>49</v>
      </c>
      <c r="B318" s="8" t="str" cm="1">
        <f t="array" ref="B318">_xlfn.IFS(A318 &lt;= 25, "[18-25]", A318 &lt;= 35, "[26-35]", A318 &lt;=45, "[36-45]", A318 &lt;= 60, "[46- 60]")</f>
        <v>[46- 60]</v>
      </c>
      <c r="C318" s="3" t="s">
        <v>43</v>
      </c>
      <c r="D318">
        <f t="shared" si="4"/>
        <v>0</v>
      </c>
      <c r="E318" t="s">
        <v>36</v>
      </c>
      <c r="F318" s="1">
        <v>1091</v>
      </c>
      <c r="G318" s="3" t="s">
        <v>45</v>
      </c>
      <c r="H318" s="1">
        <v>1</v>
      </c>
      <c r="I318" s="9" t="str" cm="1">
        <f t="array" ref="I318">_xlfn.IFS(H318 &lt;= 2, "[1-2] very close", H318 &lt;= 10, "[3-10] close", H318 &lt;= 20, "[11-20] moderate", H318 &lt;= 30, "[21-30] far")</f>
        <v>[1-2] very close</v>
      </c>
      <c r="J318" s="1">
        <v>2</v>
      </c>
      <c r="K318" s="3" t="s">
        <v>60</v>
      </c>
      <c r="L318" s="1">
        <v>1</v>
      </c>
      <c r="M318" s="1">
        <v>431</v>
      </c>
      <c r="N318" s="1">
        <v>3</v>
      </c>
      <c r="O318" s="3" t="s">
        <v>39</v>
      </c>
      <c r="P318" s="1">
        <v>90</v>
      </c>
      <c r="Q318" s="1">
        <v>2</v>
      </c>
      <c r="R318" s="1">
        <v>4</v>
      </c>
      <c r="S318" s="3" t="s">
        <v>54</v>
      </c>
      <c r="T318" s="1">
        <v>3</v>
      </c>
      <c r="U318" s="3" t="s">
        <v>41</v>
      </c>
      <c r="V318" s="4">
        <v>13964</v>
      </c>
      <c r="W318" s="1">
        <v>17810</v>
      </c>
      <c r="X318" s="1">
        <v>7</v>
      </c>
      <c r="Y318" s="3" t="s">
        <v>42</v>
      </c>
      <c r="Z318" s="3" t="s">
        <v>35</v>
      </c>
      <c r="AA318" s="5">
        <v>0.12</v>
      </c>
      <c r="AB318" s="10" t="str" cm="1">
        <f t="array" ref="AB318">_xlfn.IFS(AA318 &lt;= 15%, "Low Hike[11-15%]", AA318 &lt;= 20%, "Moderate Hike[16-20%]", AA318 &lt;= 25%,"High Hike[21-25%]")</f>
        <v>Low Hike[11-15%]</v>
      </c>
      <c r="AC318" s="1">
        <v>3</v>
      </c>
      <c r="AD318" s="1">
        <v>4</v>
      </c>
      <c r="AE318" s="1">
        <v>80</v>
      </c>
      <c r="AF318" s="1">
        <v>0</v>
      </c>
      <c r="AG318" s="1">
        <v>25</v>
      </c>
      <c r="AH318" s="9" t="str" cm="1">
        <f t="array" ref="AH318">_xlfn.IFS(AG318 &lt;= 5, "New[1-5]", AG318 &lt;= 10, "Early Career[6-10]", AG318 &lt;= 20, "Established[11-20]", AG318 &lt;= 30, "Veteran[21-30]", AG318 &lt;= 40, "Late Career[31-40]")</f>
        <v>Veteran[21-30]</v>
      </c>
      <c r="AI318" s="1">
        <v>2</v>
      </c>
      <c r="AJ318" s="1">
        <v>3</v>
      </c>
      <c r="AK318" s="1">
        <v>7</v>
      </c>
      <c r="AL318" s="9" t="str" cm="1">
        <f t="array" ref="AL318">_xlfn.IFS(AK318 &lt;= 5, "New[1-5]", AK318 &lt;= 10, "Early Career[6-10]", AK318 &lt;= 20, "Established[11-20]", AK318 &lt;= 30, "Veteran[21-30]", AK318 &lt;= 40, "Late Career[31-40]")</f>
        <v>Early Career[6-10]</v>
      </c>
      <c r="AM318" s="1">
        <v>1</v>
      </c>
      <c r="AN318" s="9" t="str" cm="1">
        <f t="array" ref="AN318">_xlfn.IFS(AM318 &lt;= 3, "New to Role[1-3]", AM318 &lt;= 7, "Settled[4-7]", AM318 &lt;= 12, "Experienced[[8-12]", AM318 &lt;= 18, "Long Tenured[13-18]")</f>
        <v>New to Role[1-3]</v>
      </c>
      <c r="AO318" s="1">
        <v>0</v>
      </c>
      <c r="AP318" s="9" t="str" cm="1">
        <f t="array" ref="AP318">_xlfn.IFS(AO318 &lt;= 3, "Recently[1-3]", AO318 &lt;= 6, "Due Soon[4-6]", AO318 &lt;= 10, "Overdue[7-10]", AO318 &lt;= 15, "Long Overdue[11-15]")</f>
        <v>Recently[1-3]</v>
      </c>
      <c r="AQ318" s="9" t="str" cm="1">
        <f t="array" ref="AQ318">_xlfn.IFS(AR318 &lt;= 3, "New Relationship[1-3]", AR318 &lt;= 7, "Established Relationship[4-7]", AR318 &lt;= 12, "Long Term Relationship[8-12]", AR318 &lt;= 17, "Very Long Term Relationship[13-17]")</f>
        <v>Established Relationship[4-7]</v>
      </c>
      <c r="AR318" s="1">
        <v>7</v>
      </c>
    </row>
    <row r="319" spans="1:44" x14ac:dyDescent="0.25">
      <c r="A319" s="1">
        <v>52</v>
      </c>
      <c r="B319" s="8" t="str" cm="1">
        <f t="array" ref="B319">_xlfn.IFS(A319 &lt;= 25, "[18-25]", A319 &lt;= 35, "[26-35]", A319 &lt;=45, "[36-45]", A319 &lt;= 60, "[46- 60]")</f>
        <v>[46- 60]</v>
      </c>
      <c r="C319" s="3" t="s">
        <v>35</v>
      </c>
      <c r="D319">
        <f t="shared" si="4"/>
        <v>1</v>
      </c>
      <c r="E319" t="s">
        <v>36</v>
      </c>
      <c r="F319" s="1">
        <v>723</v>
      </c>
      <c r="G319" s="3" t="s">
        <v>45</v>
      </c>
      <c r="H319" s="1">
        <v>8</v>
      </c>
      <c r="I319" s="9" t="str" cm="1">
        <f t="array" ref="I319">_xlfn.IFS(H319 &lt;= 2, "[1-2] very close", H319 &lt;= 10, "[3-10] close", H319 &lt;= 20, "[11-20] moderate", H319 &lt;= 30, "[21-30] far")</f>
        <v>[3-10] close</v>
      </c>
      <c r="J319" s="1">
        <v>4</v>
      </c>
      <c r="K319" s="3" t="s">
        <v>51</v>
      </c>
      <c r="L319" s="1">
        <v>1</v>
      </c>
      <c r="M319" s="1">
        <v>433</v>
      </c>
      <c r="N319" s="1">
        <v>3</v>
      </c>
      <c r="O319" s="3" t="s">
        <v>46</v>
      </c>
      <c r="P319" s="1">
        <v>85</v>
      </c>
      <c r="Q319" s="1">
        <v>2</v>
      </c>
      <c r="R319" s="1">
        <v>2</v>
      </c>
      <c r="S319" s="3" t="s">
        <v>47</v>
      </c>
      <c r="T319" s="1">
        <v>2</v>
      </c>
      <c r="U319" s="3" t="s">
        <v>48</v>
      </c>
      <c r="V319" s="4">
        <v>4941</v>
      </c>
      <c r="W319" s="1">
        <v>17747</v>
      </c>
      <c r="X319" s="1">
        <v>2</v>
      </c>
      <c r="Y319" s="3" t="s">
        <v>42</v>
      </c>
      <c r="Z319" s="3" t="s">
        <v>43</v>
      </c>
      <c r="AA319" s="5">
        <v>0.15</v>
      </c>
      <c r="AB319" s="10" t="str" cm="1">
        <f t="array" ref="AB319">_xlfn.IFS(AA319 &lt;= 15%, "Low Hike[11-15%]", AA319 &lt;= 20%, "Moderate Hike[16-20%]", AA319 &lt;= 25%,"High Hike[21-25%]")</f>
        <v>Low Hike[11-15%]</v>
      </c>
      <c r="AC319" s="1">
        <v>3</v>
      </c>
      <c r="AD319" s="1">
        <v>1</v>
      </c>
      <c r="AE319" s="1">
        <v>80</v>
      </c>
      <c r="AF319" s="1">
        <v>0</v>
      </c>
      <c r="AG319" s="1">
        <v>11</v>
      </c>
      <c r="AH319" s="9" t="str" cm="1">
        <f t="array" ref="AH319">_xlfn.IFS(AG319 &lt;= 5, "New[1-5]", AG319 &lt;= 10, "Early Career[6-10]", AG319 &lt;= 20, "Established[11-20]", AG319 &lt;= 30, "Veteran[21-30]", AG319 &lt;= 40, "Late Career[31-40]")</f>
        <v>Established[11-20]</v>
      </c>
      <c r="AI319" s="1">
        <v>3</v>
      </c>
      <c r="AJ319" s="1">
        <v>2</v>
      </c>
      <c r="AK319" s="1">
        <v>8</v>
      </c>
      <c r="AL319" s="9" t="str" cm="1">
        <f t="array" ref="AL319">_xlfn.IFS(AK319 &lt;= 5, "New[1-5]", AK319 &lt;= 10, "Early Career[6-10]", AK319 &lt;= 20, "Established[11-20]", AK319 &lt;= 30, "Veteran[21-30]", AK319 &lt;= 40, "Late Career[31-40]")</f>
        <v>Early Career[6-10]</v>
      </c>
      <c r="AM319" s="1">
        <v>2</v>
      </c>
      <c r="AN319" s="9" t="str" cm="1">
        <f t="array" ref="AN319">_xlfn.IFS(AM319 &lt;= 3, "New to Role[1-3]", AM319 &lt;= 7, "Settled[4-7]", AM319 &lt;= 12, "Experienced[[8-12]", AM319 &lt;= 18, "Long Tenured[13-18]")</f>
        <v>New to Role[1-3]</v>
      </c>
      <c r="AO319" s="1">
        <v>7</v>
      </c>
      <c r="AP319" s="9" t="str" cm="1">
        <f t="array" ref="AP319">_xlfn.IFS(AO319 &lt;= 3, "Recently[1-3]", AO319 &lt;= 6, "Due Soon[4-6]", AO319 &lt;= 10, "Overdue[7-10]", AO319 &lt;= 15, "Long Overdue[11-15]")</f>
        <v>Overdue[7-10]</v>
      </c>
      <c r="AQ319" s="9" t="str" cm="1">
        <f t="array" ref="AQ319">_xlfn.IFS(AR319 &lt;= 3, "New Relationship[1-3]", AR319 &lt;= 7, "Established Relationship[4-7]", AR319 &lt;= 12, "Long Term Relationship[8-12]", AR319 &lt;= 17, "Very Long Term Relationship[13-17]")</f>
        <v>Established Relationship[4-7]</v>
      </c>
      <c r="AR319" s="1">
        <v>7</v>
      </c>
    </row>
    <row r="320" spans="1:44" x14ac:dyDescent="0.25">
      <c r="A320" s="1">
        <v>27</v>
      </c>
      <c r="B320" s="8" t="str" cm="1">
        <f t="array" ref="B320">_xlfn.IFS(A320 &lt;= 25, "[18-25]", A320 &lt;= 35, "[26-35]", A320 &lt;=45, "[36-45]", A320 &lt;= 60, "[46- 60]")</f>
        <v>[26-35]</v>
      </c>
      <c r="C320" s="3" t="s">
        <v>43</v>
      </c>
      <c r="D320">
        <f t="shared" si="4"/>
        <v>0</v>
      </c>
      <c r="E320" t="s">
        <v>36</v>
      </c>
      <c r="F320" s="1">
        <v>1220</v>
      </c>
      <c r="G320" s="3" t="s">
        <v>45</v>
      </c>
      <c r="H320" s="1">
        <v>5</v>
      </c>
      <c r="I320" s="9" t="str" cm="1">
        <f t="array" ref="I320">_xlfn.IFS(H320 &lt;= 2, "[1-2] very close", H320 &lt;= 10, "[3-10] close", H320 &lt;= 20, "[11-20] moderate", H320 &lt;= 30, "[21-30] far")</f>
        <v>[3-10] close</v>
      </c>
      <c r="J320" s="1">
        <v>3</v>
      </c>
      <c r="K320" s="3" t="s">
        <v>38</v>
      </c>
      <c r="L320" s="1">
        <v>1</v>
      </c>
      <c r="M320" s="1">
        <v>434</v>
      </c>
      <c r="N320" s="1">
        <v>3</v>
      </c>
      <c r="O320" s="3" t="s">
        <v>39</v>
      </c>
      <c r="P320" s="1">
        <v>85</v>
      </c>
      <c r="Q320" s="1">
        <v>3</v>
      </c>
      <c r="R320" s="1">
        <v>1</v>
      </c>
      <c r="S320" s="3" t="s">
        <v>47</v>
      </c>
      <c r="T320" s="1">
        <v>2</v>
      </c>
      <c r="U320" s="3" t="s">
        <v>41</v>
      </c>
      <c r="V320" s="4">
        <v>2478</v>
      </c>
      <c r="W320" s="1">
        <v>20938</v>
      </c>
      <c r="X320" s="1">
        <v>1</v>
      </c>
      <c r="Y320" s="3" t="s">
        <v>42</v>
      </c>
      <c r="Z320" s="3" t="s">
        <v>35</v>
      </c>
      <c r="AA320" s="5">
        <v>0.12</v>
      </c>
      <c r="AB320" s="10" t="str" cm="1">
        <f t="array" ref="AB320">_xlfn.IFS(AA320 &lt;= 15%, "Low Hike[11-15%]", AA320 &lt;= 20%, "Moderate Hike[16-20%]", AA320 &lt;= 25%,"High Hike[21-25%]")</f>
        <v>Low Hike[11-15%]</v>
      </c>
      <c r="AC320" s="1">
        <v>3</v>
      </c>
      <c r="AD320" s="1">
        <v>2</v>
      </c>
      <c r="AE320" s="1">
        <v>80</v>
      </c>
      <c r="AF320" s="1">
        <v>0</v>
      </c>
      <c r="AG320" s="1">
        <v>4</v>
      </c>
      <c r="AH320" s="9" t="str" cm="1">
        <f t="array" ref="AH320">_xlfn.IFS(AG320 &lt;= 5, "New[1-5]", AG320 &lt;= 10, "Early Career[6-10]", AG320 &lt;= 20, "Established[11-20]", AG320 &lt;= 30, "Veteran[21-30]", AG320 &lt;= 40, "Late Career[31-40]")</f>
        <v>New[1-5]</v>
      </c>
      <c r="AI320" s="1">
        <v>2</v>
      </c>
      <c r="AJ320" s="1">
        <v>2</v>
      </c>
      <c r="AK320" s="1">
        <v>4</v>
      </c>
      <c r="AL320" s="9" t="str" cm="1">
        <f t="array" ref="AL320">_xlfn.IFS(AK320 &lt;= 5, "New[1-5]", AK320 &lt;= 10, "Early Career[6-10]", AK320 &lt;= 20, "Established[11-20]", AK320 &lt;= 30, "Veteran[21-30]", AK320 &lt;= 40, "Late Career[31-40]")</f>
        <v>New[1-5]</v>
      </c>
      <c r="AM320" s="1">
        <v>3</v>
      </c>
      <c r="AN320" s="9" t="str" cm="1">
        <f t="array" ref="AN320">_xlfn.IFS(AM320 &lt;= 3, "New to Role[1-3]", AM320 &lt;= 7, "Settled[4-7]", AM320 &lt;= 12, "Experienced[[8-12]", AM320 &lt;= 18, "Long Tenured[13-18]")</f>
        <v>New to Role[1-3]</v>
      </c>
      <c r="AO320" s="1">
        <v>1</v>
      </c>
      <c r="AP320" s="9" t="str" cm="1">
        <f t="array" ref="AP320">_xlfn.IFS(AO320 &lt;= 3, "Recently[1-3]", AO320 &lt;= 6, "Due Soon[4-6]", AO320 &lt;= 10, "Overdue[7-10]", AO320 &lt;= 15, "Long Overdue[11-15]")</f>
        <v>Recently[1-3]</v>
      </c>
      <c r="AQ320" s="9" t="str" cm="1">
        <f t="array" ref="AQ320">_xlfn.IFS(AR320 &lt;= 3, "New Relationship[1-3]", AR320 &lt;= 7, "Established Relationship[4-7]", AR320 &lt;= 12, "Long Term Relationship[8-12]", AR320 &lt;= 17, "Very Long Term Relationship[13-17]")</f>
        <v>New Relationship[1-3]</v>
      </c>
      <c r="AR320" s="1">
        <v>2</v>
      </c>
    </row>
    <row r="321" spans="1:44" x14ac:dyDescent="0.25">
      <c r="A321" s="1">
        <v>32</v>
      </c>
      <c r="B321" s="8" t="str" cm="1">
        <f t="array" ref="B321">_xlfn.IFS(A321 &lt;= 25, "[18-25]", A321 &lt;= 35, "[26-35]", A321 &lt;=45, "[36-45]", A321 &lt;= 60, "[46- 60]")</f>
        <v>[26-35]</v>
      </c>
      <c r="C321" s="3" t="s">
        <v>43</v>
      </c>
      <c r="D321">
        <f t="shared" si="4"/>
        <v>0</v>
      </c>
      <c r="E321" t="s">
        <v>36</v>
      </c>
      <c r="F321" s="1">
        <v>588</v>
      </c>
      <c r="G321" s="3" t="s">
        <v>37</v>
      </c>
      <c r="H321" s="1">
        <v>8</v>
      </c>
      <c r="I321" s="9" t="str" cm="1">
        <f t="array" ref="I321">_xlfn.IFS(H321 &lt;= 2, "[1-2] very close", H321 &lt;= 10, "[3-10] close", H321 &lt;= 20, "[11-20] moderate", H321 &lt;= 30, "[21-30] far")</f>
        <v>[3-10] close</v>
      </c>
      <c r="J321" s="1">
        <v>2</v>
      </c>
      <c r="K321" s="3" t="s">
        <v>60</v>
      </c>
      <c r="L321" s="1">
        <v>1</v>
      </c>
      <c r="M321" s="1">
        <v>436</v>
      </c>
      <c r="N321" s="1">
        <v>3</v>
      </c>
      <c r="O321" s="3" t="s">
        <v>39</v>
      </c>
      <c r="P321" s="1">
        <v>65</v>
      </c>
      <c r="Q321" s="1">
        <v>2</v>
      </c>
      <c r="R321" s="1">
        <v>2</v>
      </c>
      <c r="S321" s="3" t="s">
        <v>40</v>
      </c>
      <c r="T321" s="1">
        <v>2</v>
      </c>
      <c r="U321" s="3" t="s">
        <v>48</v>
      </c>
      <c r="V321" s="4">
        <v>5228</v>
      </c>
      <c r="W321" s="1">
        <v>24624</v>
      </c>
      <c r="X321" s="1">
        <v>1</v>
      </c>
      <c r="Y321" s="3" t="s">
        <v>42</v>
      </c>
      <c r="Z321" s="3" t="s">
        <v>35</v>
      </c>
      <c r="AA321" s="5">
        <v>0.11</v>
      </c>
      <c r="AB321" s="10" t="str" cm="1">
        <f t="array" ref="AB321">_xlfn.IFS(AA321 &lt;= 15%, "Low Hike[11-15%]", AA321 &lt;= 20%, "Moderate Hike[16-20%]", AA321 &lt;= 25%,"High Hike[21-25%]")</f>
        <v>Low Hike[11-15%]</v>
      </c>
      <c r="AC321" s="1">
        <v>3</v>
      </c>
      <c r="AD321" s="1">
        <v>4</v>
      </c>
      <c r="AE321" s="1">
        <v>80</v>
      </c>
      <c r="AF321" s="1">
        <v>0</v>
      </c>
      <c r="AG321" s="1">
        <v>13</v>
      </c>
      <c r="AH321" s="9" t="str" cm="1">
        <f t="array" ref="AH321">_xlfn.IFS(AG321 &lt;= 5, "New[1-5]", AG321 &lt;= 10, "Early Career[6-10]", AG321 &lt;= 20, "Established[11-20]", AG321 &lt;= 30, "Veteran[21-30]", AG321 &lt;= 40, "Late Career[31-40]")</f>
        <v>Established[11-20]</v>
      </c>
      <c r="AI321" s="1">
        <v>2</v>
      </c>
      <c r="AJ321" s="1">
        <v>3</v>
      </c>
      <c r="AK321" s="1">
        <v>13</v>
      </c>
      <c r="AL321" s="9" t="str" cm="1">
        <f t="array" ref="AL321">_xlfn.IFS(AK321 &lt;= 5, "New[1-5]", AK321 &lt;= 10, "Early Career[6-10]", AK321 &lt;= 20, "Established[11-20]", AK321 &lt;= 30, "Veteran[21-30]", AK321 &lt;= 40, "Late Career[31-40]")</f>
        <v>Established[11-20]</v>
      </c>
      <c r="AM321" s="1">
        <v>12</v>
      </c>
      <c r="AN321" s="9" t="str" cm="1">
        <f t="array" ref="AN321">_xlfn.IFS(AM321 &lt;= 3, "New to Role[1-3]", AM321 &lt;= 7, "Settled[4-7]", AM321 &lt;= 12, "Experienced[[8-12]", AM321 &lt;= 18, "Long Tenured[13-18]")</f>
        <v>Experienced[[8-12]</v>
      </c>
      <c r="AO321" s="1">
        <v>11</v>
      </c>
      <c r="AP321" s="9" t="str" cm="1">
        <f t="array" ref="AP321">_xlfn.IFS(AO321 &lt;= 3, "Recently[1-3]", AO321 &lt;= 6, "Due Soon[4-6]", AO321 &lt;= 10, "Overdue[7-10]", AO321 &lt;= 15, "Long Overdue[11-15]")</f>
        <v>Long Overdue[11-15]</v>
      </c>
      <c r="AQ321" s="9" t="str" cm="1">
        <f t="array" ref="AQ321">_xlfn.IFS(AR321 &lt;= 3, "New Relationship[1-3]", AR321 &lt;= 7, "Established Relationship[4-7]", AR321 &lt;= 12, "Long Term Relationship[8-12]", AR321 &lt;= 17, "Very Long Term Relationship[13-17]")</f>
        <v>Long Term Relationship[8-12]</v>
      </c>
      <c r="AR321" s="1">
        <v>9</v>
      </c>
    </row>
    <row r="322" spans="1:44" x14ac:dyDescent="0.25">
      <c r="A322" s="1">
        <v>27</v>
      </c>
      <c r="B322" s="8" t="str" cm="1">
        <f t="array" ref="B322">_xlfn.IFS(A322 &lt;= 25, "[18-25]", A322 &lt;= 35, "[26-35]", A322 &lt;=45, "[36-45]", A322 &lt;= 60, "[46- 60]")</f>
        <v>[26-35]</v>
      </c>
      <c r="C322" s="3" t="s">
        <v>43</v>
      </c>
      <c r="D322">
        <f t="shared" ref="D322:D385" si="5">IF(C322 = "Yes",1, 0)</f>
        <v>0</v>
      </c>
      <c r="E322" t="s">
        <v>36</v>
      </c>
      <c r="F322" s="1">
        <v>1377</v>
      </c>
      <c r="G322" s="3" t="s">
        <v>37</v>
      </c>
      <c r="H322" s="1">
        <v>2</v>
      </c>
      <c r="I322" s="9" t="str" cm="1">
        <f t="array" ref="I322">_xlfn.IFS(H322 &lt;= 2, "[1-2] very close", H322 &lt;= 10, "[3-10] close", H322 &lt;= 20, "[11-20] moderate", H322 &lt;= 30, "[21-30] far")</f>
        <v>[1-2] very close</v>
      </c>
      <c r="J322" s="1">
        <v>3</v>
      </c>
      <c r="K322" s="3" t="s">
        <v>38</v>
      </c>
      <c r="L322" s="1">
        <v>1</v>
      </c>
      <c r="M322" s="1">
        <v>437</v>
      </c>
      <c r="N322" s="1">
        <v>4</v>
      </c>
      <c r="O322" s="3" t="s">
        <v>46</v>
      </c>
      <c r="P322" s="1">
        <v>74</v>
      </c>
      <c r="Q322" s="1">
        <v>3</v>
      </c>
      <c r="R322" s="1">
        <v>2</v>
      </c>
      <c r="S322" s="3" t="s">
        <v>40</v>
      </c>
      <c r="T322" s="1">
        <v>3</v>
      </c>
      <c r="U322" s="3" t="s">
        <v>41</v>
      </c>
      <c r="V322" s="4">
        <v>4478</v>
      </c>
      <c r="W322" s="1">
        <v>5242</v>
      </c>
      <c r="X322" s="1">
        <v>1</v>
      </c>
      <c r="Y322" s="3" t="s">
        <v>42</v>
      </c>
      <c r="Z322" s="3" t="s">
        <v>35</v>
      </c>
      <c r="AA322" s="5">
        <v>0.11</v>
      </c>
      <c r="AB322" s="10" t="str" cm="1">
        <f t="array" ref="AB322">_xlfn.IFS(AA322 &lt;= 15%, "Low Hike[11-15%]", AA322 &lt;= 20%, "Moderate Hike[16-20%]", AA322 &lt;= 25%,"High Hike[21-25%]")</f>
        <v>Low Hike[11-15%]</v>
      </c>
      <c r="AC322" s="1">
        <v>3</v>
      </c>
      <c r="AD322" s="1">
        <v>1</v>
      </c>
      <c r="AE322" s="1">
        <v>80</v>
      </c>
      <c r="AF322" s="1">
        <v>0</v>
      </c>
      <c r="AG322" s="1">
        <v>5</v>
      </c>
      <c r="AH322" s="9" t="str" cm="1">
        <f t="array" ref="AH322">_xlfn.IFS(AG322 &lt;= 5, "New[1-5]", AG322 &lt;= 10, "Early Career[6-10]", AG322 &lt;= 20, "Established[11-20]", AG322 &lt;= 30, "Veteran[21-30]", AG322 &lt;= 40, "Late Career[31-40]")</f>
        <v>New[1-5]</v>
      </c>
      <c r="AI322" s="1">
        <v>3</v>
      </c>
      <c r="AJ322" s="1">
        <v>3</v>
      </c>
      <c r="AK322" s="1">
        <v>5</v>
      </c>
      <c r="AL322" s="9" t="str" cm="1">
        <f t="array" ref="AL322">_xlfn.IFS(AK322 &lt;= 5, "New[1-5]", AK322 &lt;= 10, "Early Career[6-10]", AK322 &lt;= 20, "Established[11-20]", AK322 &lt;= 30, "Veteran[21-30]", AK322 &lt;= 40, "Late Career[31-40]")</f>
        <v>New[1-5]</v>
      </c>
      <c r="AM322" s="1">
        <v>4</v>
      </c>
      <c r="AN322" s="9" t="str" cm="1">
        <f t="array" ref="AN322">_xlfn.IFS(AM322 &lt;= 3, "New to Role[1-3]", AM322 &lt;= 7, "Settled[4-7]", AM322 &lt;= 12, "Experienced[[8-12]", AM322 &lt;= 18, "Long Tenured[13-18]")</f>
        <v>Settled[4-7]</v>
      </c>
      <c r="AO322" s="1">
        <v>0</v>
      </c>
      <c r="AP322" s="9" t="str" cm="1">
        <f t="array" ref="AP322">_xlfn.IFS(AO322 &lt;= 3, "Recently[1-3]", AO322 &lt;= 6, "Due Soon[4-6]", AO322 &lt;= 10, "Overdue[7-10]", AO322 &lt;= 15, "Long Overdue[11-15]")</f>
        <v>Recently[1-3]</v>
      </c>
      <c r="AQ322" s="9" t="str" cm="1">
        <f t="array" ref="AQ322">_xlfn.IFS(AR322 &lt;= 3, "New Relationship[1-3]", AR322 &lt;= 7, "Established Relationship[4-7]", AR322 &lt;= 12, "Long Term Relationship[8-12]", AR322 &lt;= 17, "Very Long Term Relationship[13-17]")</f>
        <v>Established Relationship[4-7]</v>
      </c>
      <c r="AR322" s="1">
        <v>4</v>
      </c>
    </row>
    <row r="323" spans="1:44" x14ac:dyDescent="0.25">
      <c r="A323" s="1">
        <v>31</v>
      </c>
      <c r="B323" s="8" t="str" cm="1">
        <f t="array" ref="B323">_xlfn.IFS(A323 &lt;= 25, "[18-25]", A323 &lt;= 35, "[26-35]", A323 &lt;=45, "[36-45]", A323 &lt;= 60, "[46- 60]")</f>
        <v>[26-35]</v>
      </c>
      <c r="C323" s="3" t="s">
        <v>43</v>
      </c>
      <c r="D323">
        <f t="shared" si="5"/>
        <v>0</v>
      </c>
      <c r="E323" t="s">
        <v>36</v>
      </c>
      <c r="F323" s="1">
        <v>691</v>
      </c>
      <c r="G323" s="3" t="s">
        <v>37</v>
      </c>
      <c r="H323" s="1">
        <v>7</v>
      </c>
      <c r="I323" s="9" t="str" cm="1">
        <f t="array" ref="I323">_xlfn.IFS(H323 &lt;= 2, "[1-2] very close", H323 &lt;= 10, "[3-10] close", H323 &lt;= 20, "[11-20] moderate", H323 &lt;= 30, "[21-30] far")</f>
        <v>[3-10] close</v>
      </c>
      <c r="J323" s="1">
        <v>3</v>
      </c>
      <c r="K323" s="3" t="s">
        <v>59</v>
      </c>
      <c r="L323" s="1">
        <v>1</v>
      </c>
      <c r="M323" s="1">
        <v>438</v>
      </c>
      <c r="N323" s="1">
        <v>4</v>
      </c>
      <c r="O323" s="3" t="s">
        <v>46</v>
      </c>
      <c r="P323" s="1">
        <v>73</v>
      </c>
      <c r="Q323" s="1">
        <v>3</v>
      </c>
      <c r="R323" s="1">
        <v>2</v>
      </c>
      <c r="S323" s="3" t="s">
        <v>40</v>
      </c>
      <c r="T323" s="1">
        <v>4</v>
      </c>
      <c r="U323" s="3" t="s">
        <v>52</v>
      </c>
      <c r="V323" s="4">
        <v>7547</v>
      </c>
      <c r="W323" s="1">
        <v>7143</v>
      </c>
      <c r="X323" s="1">
        <v>4</v>
      </c>
      <c r="Y323" s="3" t="s">
        <v>42</v>
      </c>
      <c r="Z323" s="3" t="s">
        <v>43</v>
      </c>
      <c r="AA323" s="5">
        <v>0.12</v>
      </c>
      <c r="AB323" s="10" t="str" cm="1">
        <f t="array" ref="AB323">_xlfn.IFS(AA323 &lt;= 15%, "Low Hike[11-15%]", AA323 &lt;= 20%, "Moderate Hike[16-20%]", AA323 &lt;= 25%,"High Hike[21-25%]")</f>
        <v>Low Hike[11-15%]</v>
      </c>
      <c r="AC323" s="1">
        <v>3</v>
      </c>
      <c r="AD323" s="1">
        <v>4</v>
      </c>
      <c r="AE323" s="1">
        <v>80</v>
      </c>
      <c r="AF323" s="1">
        <v>3</v>
      </c>
      <c r="AG323" s="1">
        <v>13</v>
      </c>
      <c r="AH323" s="9" t="str" cm="1">
        <f t="array" ref="AH323">_xlfn.IFS(AG323 &lt;= 5, "New[1-5]", AG323 &lt;= 10, "Early Career[6-10]", AG323 &lt;= 20, "Established[11-20]", AG323 &lt;= 30, "Veteran[21-30]", AG323 &lt;= 40, "Late Career[31-40]")</f>
        <v>Established[11-20]</v>
      </c>
      <c r="AI323" s="1">
        <v>3</v>
      </c>
      <c r="AJ323" s="1">
        <v>3</v>
      </c>
      <c r="AK323" s="1">
        <v>7</v>
      </c>
      <c r="AL323" s="9" t="str" cm="1">
        <f t="array" ref="AL323">_xlfn.IFS(AK323 &lt;= 5, "New[1-5]", AK323 &lt;= 10, "Early Career[6-10]", AK323 &lt;= 20, "Established[11-20]", AK323 &lt;= 30, "Veteran[21-30]", AK323 &lt;= 40, "Late Career[31-40]")</f>
        <v>Early Career[6-10]</v>
      </c>
      <c r="AM323" s="1">
        <v>7</v>
      </c>
      <c r="AN323" s="9" t="str" cm="1">
        <f t="array" ref="AN323">_xlfn.IFS(AM323 &lt;= 3, "New to Role[1-3]", AM323 &lt;= 7, "Settled[4-7]", AM323 &lt;= 12, "Experienced[[8-12]", AM323 &lt;= 18, "Long Tenured[13-18]")</f>
        <v>Settled[4-7]</v>
      </c>
      <c r="AO323" s="1">
        <v>1</v>
      </c>
      <c r="AP323" s="9" t="str" cm="1">
        <f t="array" ref="AP323">_xlfn.IFS(AO323 &lt;= 3, "Recently[1-3]", AO323 &lt;= 6, "Due Soon[4-6]", AO323 &lt;= 10, "Overdue[7-10]", AO323 &lt;= 15, "Long Overdue[11-15]")</f>
        <v>Recently[1-3]</v>
      </c>
      <c r="AQ323" s="9" t="str" cm="1">
        <f t="array" ref="AQ323">_xlfn.IFS(AR323 &lt;= 3, "New Relationship[1-3]", AR323 &lt;= 7, "Established Relationship[4-7]", AR323 &lt;= 12, "Long Term Relationship[8-12]", AR323 &lt;= 17, "Very Long Term Relationship[13-17]")</f>
        <v>Established Relationship[4-7]</v>
      </c>
      <c r="AR323" s="1">
        <v>7</v>
      </c>
    </row>
    <row r="324" spans="1:44" x14ac:dyDescent="0.25">
      <c r="A324" s="1">
        <v>32</v>
      </c>
      <c r="B324" s="8" t="str" cm="1">
        <f t="array" ref="B324">_xlfn.IFS(A324 &lt;= 25, "[18-25]", A324 &lt;= 35, "[26-35]", A324 &lt;=45, "[36-45]", A324 &lt;= 60, "[46- 60]")</f>
        <v>[26-35]</v>
      </c>
      <c r="C324" s="3" t="s">
        <v>43</v>
      </c>
      <c r="D324">
        <f t="shared" si="5"/>
        <v>0</v>
      </c>
      <c r="E324" t="s">
        <v>36</v>
      </c>
      <c r="F324" s="1">
        <v>1018</v>
      </c>
      <c r="G324" s="3" t="s">
        <v>45</v>
      </c>
      <c r="H324" s="1">
        <v>2</v>
      </c>
      <c r="I324" s="9" t="str" cm="1">
        <f t="array" ref="I324">_xlfn.IFS(H324 &lt;= 2, "[1-2] very close", H324 &lt;= 10, "[3-10] close", H324 &lt;= 20, "[11-20] moderate", H324 &lt;= 30, "[21-30] far")</f>
        <v>[1-2] very close</v>
      </c>
      <c r="J324" s="1">
        <v>4</v>
      </c>
      <c r="K324" s="3" t="s">
        <v>51</v>
      </c>
      <c r="L324" s="1">
        <v>1</v>
      </c>
      <c r="M324" s="1">
        <v>439</v>
      </c>
      <c r="N324" s="1">
        <v>1</v>
      </c>
      <c r="O324" s="3" t="s">
        <v>39</v>
      </c>
      <c r="P324" s="1">
        <v>74</v>
      </c>
      <c r="Q324" s="1">
        <v>4</v>
      </c>
      <c r="R324" s="1">
        <v>2</v>
      </c>
      <c r="S324" s="3" t="s">
        <v>47</v>
      </c>
      <c r="T324" s="1">
        <v>4</v>
      </c>
      <c r="U324" s="3" t="s">
        <v>41</v>
      </c>
      <c r="V324" s="4">
        <v>5055</v>
      </c>
      <c r="W324" s="1">
        <v>10557</v>
      </c>
      <c r="X324" s="1">
        <v>7</v>
      </c>
      <c r="Y324" s="3" t="s">
        <v>42</v>
      </c>
      <c r="Z324" s="3" t="s">
        <v>43</v>
      </c>
      <c r="AA324" s="5">
        <v>0.16</v>
      </c>
      <c r="AB324" s="10" t="str" cm="1">
        <f t="array" ref="AB324">_xlfn.IFS(AA324 &lt;= 15%, "Low Hike[11-15%]", AA324 &lt;= 20%, "Moderate Hike[16-20%]", AA324 &lt;= 25%,"High Hike[21-25%]")</f>
        <v>Moderate Hike[16-20%]</v>
      </c>
      <c r="AC324" s="1">
        <v>3</v>
      </c>
      <c r="AD324" s="1">
        <v>3</v>
      </c>
      <c r="AE324" s="1">
        <v>80</v>
      </c>
      <c r="AF324" s="1">
        <v>0</v>
      </c>
      <c r="AG324" s="1">
        <v>10</v>
      </c>
      <c r="AH324" s="9" t="str" cm="1">
        <f t="array" ref="AH324">_xlfn.IFS(AG324 &lt;= 5, "New[1-5]", AG324 &lt;= 10, "Early Career[6-10]", AG324 &lt;= 20, "Established[11-20]", AG324 &lt;= 30, "Veteran[21-30]", AG324 &lt;= 40, "Late Career[31-40]")</f>
        <v>Early Career[6-10]</v>
      </c>
      <c r="AI324" s="1">
        <v>0</v>
      </c>
      <c r="AJ324" s="1">
        <v>2</v>
      </c>
      <c r="AK324" s="1">
        <v>7</v>
      </c>
      <c r="AL324" s="9" t="str" cm="1">
        <f t="array" ref="AL324">_xlfn.IFS(AK324 &lt;= 5, "New[1-5]", AK324 &lt;= 10, "Early Career[6-10]", AK324 &lt;= 20, "Established[11-20]", AK324 &lt;= 30, "Veteran[21-30]", AK324 &lt;= 40, "Late Career[31-40]")</f>
        <v>Early Career[6-10]</v>
      </c>
      <c r="AM324" s="1">
        <v>7</v>
      </c>
      <c r="AN324" s="9" t="str" cm="1">
        <f t="array" ref="AN324">_xlfn.IFS(AM324 &lt;= 3, "New to Role[1-3]", AM324 &lt;= 7, "Settled[4-7]", AM324 &lt;= 12, "Experienced[[8-12]", AM324 &lt;= 18, "Long Tenured[13-18]")</f>
        <v>Settled[4-7]</v>
      </c>
      <c r="AO324" s="1">
        <v>0</v>
      </c>
      <c r="AP324" s="9" t="str" cm="1">
        <f t="array" ref="AP324">_xlfn.IFS(AO324 &lt;= 3, "Recently[1-3]", AO324 &lt;= 6, "Due Soon[4-6]", AO324 &lt;= 10, "Overdue[7-10]", AO324 &lt;= 15, "Long Overdue[11-15]")</f>
        <v>Recently[1-3]</v>
      </c>
      <c r="AQ324" s="9" t="str" cm="1">
        <f t="array" ref="AQ324">_xlfn.IFS(AR324 &lt;= 3, "New Relationship[1-3]", AR324 &lt;= 7, "Established Relationship[4-7]", AR324 &lt;= 12, "Long Term Relationship[8-12]", AR324 &lt;= 17, "Very Long Term Relationship[13-17]")</f>
        <v>Established Relationship[4-7]</v>
      </c>
      <c r="AR324" s="1">
        <v>7</v>
      </c>
    </row>
    <row r="325" spans="1:44" x14ac:dyDescent="0.25">
      <c r="A325" s="1">
        <v>28</v>
      </c>
      <c r="B325" s="8" t="str" cm="1">
        <f t="array" ref="B325">_xlfn.IFS(A325 &lt;= 25, "[18-25]", A325 &lt;= 35, "[26-35]", A325 &lt;=45, "[36-45]", A325 &lt;= 60, "[46- 60]")</f>
        <v>[26-35]</v>
      </c>
      <c r="C325" s="3" t="s">
        <v>35</v>
      </c>
      <c r="D325">
        <f t="shared" si="5"/>
        <v>1</v>
      </c>
      <c r="E325" t="s">
        <v>36</v>
      </c>
      <c r="F325" s="1">
        <v>1157</v>
      </c>
      <c r="G325" s="3" t="s">
        <v>45</v>
      </c>
      <c r="H325" s="1">
        <v>2</v>
      </c>
      <c r="I325" s="9" t="str" cm="1">
        <f t="array" ref="I325">_xlfn.IFS(H325 &lt;= 2, "[1-2] very close", H325 &lt;= 10, "[3-10] close", H325 &lt;= 20, "[11-20] moderate", H325 &lt;= 30, "[21-30] far")</f>
        <v>[1-2] very close</v>
      </c>
      <c r="J325" s="1">
        <v>4</v>
      </c>
      <c r="K325" s="3" t="s">
        <v>51</v>
      </c>
      <c r="L325" s="1">
        <v>1</v>
      </c>
      <c r="M325" s="1">
        <v>440</v>
      </c>
      <c r="N325" s="1">
        <v>1</v>
      </c>
      <c r="O325" s="3" t="s">
        <v>46</v>
      </c>
      <c r="P325" s="1">
        <v>84</v>
      </c>
      <c r="Q325" s="1">
        <v>1</v>
      </c>
      <c r="R325" s="1">
        <v>1</v>
      </c>
      <c r="S325" s="3" t="s">
        <v>47</v>
      </c>
      <c r="T325" s="1">
        <v>4</v>
      </c>
      <c r="U325" s="3" t="s">
        <v>48</v>
      </c>
      <c r="V325" s="4">
        <v>3464</v>
      </c>
      <c r="W325" s="1">
        <v>24737</v>
      </c>
      <c r="X325" s="1">
        <v>5</v>
      </c>
      <c r="Y325" s="3" t="s">
        <v>42</v>
      </c>
      <c r="Z325" s="3" t="s">
        <v>35</v>
      </c>
      <c r="AA325" s="5">
        <v>0.13</v>
      </c>
      <c r="AB325" s="10" t="str" cm="1">
        <f t="array" ref="AB325">_xlfn.IFS(AA325 &lt;= 15%, "Low Hike[11-15%]", AA325 &lt;= 20%, "Moderate Hike[16-20%]", AA325 &lt;= 25%,"High Hike[21-25%]")</f>
        <v>Low Hike[11-15%]</v>
      </c>
      <c r="AC325" s="1">
        <v>3</v>
      </c>
      <c r="AD325" s="1">
        <v>4</v>
      </c>
      <c r="AE325" s="1">
        <v>80</v>
      </c>
      <c r="AF325" s="1">
        <v>0</v>
      </c>
      <c r="AG325" s="1">
        <v>5</v>
      </c>
      <c r="AH325" s="9" t="str" cm="1">
        <f t="array" ref="AH325">_xlfn.IFS(AG325 &lt;= 5, "New[1-5]", AG325 &lt;= 10, "Early Career[6-10]", AG325 &lt;= 20, "Established[11-20]", AG325 &lt;= 30, "Veteran[21-30]", AG325 &lt;= 40, "Late Career[31-40]")</f>
        <v>New[1-5]</v>
      </c>
      <c r="AI325" s="1">
        <v>4</v>
      </c>
      <c r="AJ325" s="1">
        <v>2</v>
      </c>
      <c r="AK325" s="1">
        <v>3</v>
      </c>
      <c r="AL325" s="9" t="str" cm="1">
        <f t="array" ref="AL325">_xlfn.IFS(AK325 &lt;= 5, "New[1-5]", AK325 &lt;= 10, "Early Career[6-10]", AK325 &lt;= 20, "Established[11-20]", AK325 &lt;= 30, "Veteran[21-30]", AK325 &lt;= 40, "Late Career[31-40]")</f>
        <v>New[1-5]</v>
      </c>
      <c r="AM325" s="1">
        <v>2</v>
      </c>
      <c r="AN325" s="9" t="str" cm="1">
        <f t="array" ref="AN325">_xlfn.IFS(AM325 &lt;= 3, "New to Role[1-3]", AM325 &lt;= 7, "Settled[4-7]", AM325 &lt;= 12, "Experienced[[8-12]", AM325 &lt;= 18, "Long Tenured[13-18]")</f>
        <v>New to Role[1-3]</v>
      </c>
      <c r="AO325" s="1">
        <v>2</v>
      </c>
      <c r="AP325" s="9" t="str" cm="1">
        <f t="array" ref="AP325">_xlfn.IFS(AO325 &lt;= 3, "Recently[1-3]", AO325 &lt;= 6, "Due Soon[4-6]", AO325 &lt;= 10, "Overdue[7-10]", AO325 &lt;= 15, "Long Overdue[11-15]")</f>
        <v>Recently[1-3]</v>
      </c>
      <c r="AQ325" s="9" t="str" cm="1">
        <f t="array" ref="AQ325">_xlfn.IFS(AR325 &lt;= 3, "New Relationship[1-3]", AR325 &lt;= 7, "Established Relationship[4-7]", AR325 &lt;= 12, "Long Term Relationship[8-12]", AR325 &lt;= 17, "Very Long Term Relationship[13-17]")</f>
        <v>New Relationship[1-3]</v>
      </c>
      <c r="AR325" s="1">
        <v>2</v>
      </c>
    </row>
    <row r="326" spans="1:44" x14ac:dyDescent="0.25">
      <c r="A326" s="1">
        <v>30</v>
      </c>
      <c r="B326" s="8" t="str" cm="1">
        <f t="array" ref="B326">_xlfn.IFS(A326 &lt;= 25, "[18-25]", A326 &lt;= 35, "[26-35]", A326 &lt;=45, "[36-45]", A326 &lt;= 60, "[46- 60]")</f>
        <v>[26-35]</v>
      </c>
      <c r="C326" s="3" t="s">
        <v>43</v>
      </c>
      <c r="D326">
        <f t="shared" si="5"/>
        <v>0</v>
      </c>
      <c r="E326" t="s">
        <v>36</v>
      </c>
      <c r="F326" s="1">
        <v>1275</v>
      </c>
      <c r="G326" s="3" t="s">
        <v>45</v>
      </c>
      <c r="H326" s="1">
        <v>28</v>
      </c>
      <c r="I326" s="9" t="str" cm="1">
        <f t="array" ref="I326">_xlfn.IFS(H326 &lt;= 2, "[1-2] very close", H326 &lt;= 10, "[3-10] close", H326 &lt;= 20, "[11-20] moderate", H326 &lt;= 30, "[21-30] far")</f>
        <v>[21-30] far</v>
      </c>
      <c r="J326" s="1">
        <v>2</v>
      </c>
      <c r="K326" s="3" t="s">
        <v>51</v>
      </c>
      <c r="L326" s="1">
        <v>1</v>
      </c>
      <c r="M326" s="1">
        <v>441</v>
      </c>
      <c r="N326" s="1">
        <v>4</v>
      </c>
      <c r="O326" s="3" t="s">
        <v>39</v>
      </c>
      <c r="P326" s="1">
        <v>64</v>
      </c>
      <c r="Q326" s="1">
        <v>3</v>
      </c>
      <c r="R326" s="1">
        <v>2</v>
      </c>
      <c r="S326" s="3" t="s">
        <v>47</v>
      </c>
      <c r="T326" s="1">
        <v>4</v>
      </c>
      <c r="U326" s="3" t="s">
        <v>48</v>
      </c>
      <c r="V326" s="4">
        <v>5775</v>
      </c>
      <c r="W326" s="1">
        <v>11934</v>
      </c>
      <c r="X326" s="1">
        <v>1</v>
      </c>
      <c r="Y326" s="3" t="s">
        <v>42</v>
      </c>
      <c r="Z326" s="3" t="s">
        <v>43</v>
      </c>
      <c r="AA326" s="5">
        <v>0.13</v>
      </c>
      <c r="AB326" s="10" t="str" cm="1">
        <f t="array" ref="AB326">_xlfn.IFS(AA326 &lt;= 15%, "Low Hike[11-15%]", AA326 &lt;= 20%, "Moderate Hike[16-20%]", AA326 &lt;= 25%,"High Hike[21-25%]")</f>
        <v>Low Hike[11-15%]</v>
      </c>
      <c r="AC326" s="1">
        <v>3</v>
      </c>
      <c r="AD326" s="1">
        <v>4</v>
      </c>
      <c r="AE326" s="1">
        <v>80</v>
      </c>
      <c r="AF326" s="1">
        <v>2</v>
      </c>
      <c r="AG326" s="1">
        <v>11</v>
      </c>
      <c r="AH326" s="9" t="str" cm="1">
        <f t="array" ref="AH326">_xlfn.IFS(AG326 &lt;= 5, "New[1-5]", AG326 &lt;= 10, "Early Career[6-10]", AG326 &lt;= 20, "Established[11-20]", AG326 &lt;= 30, "Veteran[21-30]", AG326 &lt;= 40, "Late Career[31-40]")</f>
        <v>Established[11-20]</v>
      </c>
      <c r="AI326" s="1">
        <v>2</v>
      </c>
      <c r="AJ326" s="1">
        <v>3</v>
      </c>
      <c r="AK326" s="1">
        <v>10</v>
      </c>
      <c r="AL326" s="9" t="str" cm="1">
        <f t="array" ref="AL326">_xlfn.IFS(AK326 &lt;= 5, "New[1-5]", AK326 &lt;= 10, "Early Career[6-10]", AK326 &lt;= 20, "Established[11-20]", AK326 &lt;= 30, "Veteran[21-30]", AK326 &lt;= 40, "Late Career[31-40]")</f>
        <v>Early Career[6-10]</v>
      </c>
      <c r="AM326" s="1">
        <v>8</v>
      </c>
      <c r="AN326" s="9" t="str" cm="1">
        <f t="array" ref="AN326">_xlfn.IFS(AM326 &lt;= 3, "New to Role[1-3]", AM326 &lt;= 7, "Settled[4-7]", AM326 &lt;= 12, "Experienced[[8-12]", AM326 &lt;= 18, "Long Tenured[13-18]")</f>
        <v>Experienced[[8-12]</v>
      </c>
      <c r="AO326" s="1">
        <v>1</v>
      </c>
      <c r="AP326" s="9" t="str" cm="1">
        <f t="array" ref="AP326">_xlfn.IFS(AO326 &lt;= 3, "Recently[1-3]", AO326 &lt;= 6, "Due Soon[4-6]", AO326 &lt;= 10, "Overdue[7-10]", AO326 &lt;= 15, "Long Overdue[11-15]")</f>
        <v>Recently[1-3]</v>
      </c>
      <c r="AQ326" s="9" t="str" cm="1">
        <f t="array" ref="AQ326">_xlfn.IFS(AR326 &lt;= 3, "New Relationship[1-3]", AR326 &lt;= 7, "Established Relationship[4-7]", AR326 &lt;= 12, "Long Term Relationship[8-12]", AR326 &lt;= 17, "Very Long Term Relationship[13-17]")</f>
        <v>Long Term Relationship[8-12]</v>
      </c>
      <c r="AR326" s="1">
        <v>9</v>
      </c>
    </row>
    <row r="327" spans="1:44" x14ac:dyDescent="0.25">
      <c r="A327" s="1">
        <v>31</v>
      </c>
      <c r="B327" s="8" t="str" cm="1">
        <f t="array" ref="B327">_xlfn.IFS(A327 &lt;= 25, "[18-25]", A327 &lt;= 35, "[26-35]", A327 &lt;=45, "[36-45]", A327 &lt;= 60, "[46- 60]")</f>
        <v>[26-35]</v>
      </c>
      <c r="C327" s="3" t="s">
        <v>43</v>
      </c>
      <c r="D327">
        <f t="shared" si="5"/>
        <v>0</v>
      </c>
      <c r="E327" t="s">
        <v>44</v>
      </c>
      <c r="F327" s="1">
        <v>798</v>
      </c>
      <c r="G327" s="3" t="s">
        <v>45</v>
      </c>
      <c r="H327" s="1">
        <v>7</v>
      </c>
      <c r="I327" s="9" t="str" cm="1">
        <f t="array" ref="I327">_xlfn.IFS(H327 &lt;= 2, "[1-2] very close", H327 &lt;= 10, "[3-10] close", H327 &lt;= 20, "[11-20] moderate", H327 &lt;= 30, "[21-30] far")</f>
        <v>[3-10] close</v>
      </c>
      <c r="J327" s="1">
        <v>2</v>
      </c>
      <c r="K327" s="3" t="s">
        <v>38</v>
      </c>
      <c r="L327" s="1">
        <v>1</v>
      </c>
      <c r="M327" s="1">
        <v>442</v>
      </c>
      <c r="N327" s="1">
        <v>3</v>
      </c>
      <c r="O327" s="3" t="s">
        <v>39</v>
      </c>
      <c r="P327" s="1">
        <v>48</v>
      </c>
      <c r="Q327" s="1">
        <v>2</v>
      </c>
      <c r="R327" s="1">
        <v>3</v>
      </c>
      <c r="S327" s="3" t="s">
        <v>53</v>
      </c>
      <c r="T327" s="1">
        <v>3</v>
      </c>
      <c r="U327" s="3" t="s">
        <v>48</v>
      </c>
      <c r="V327" s="4">
        <v>8943</v>
      </c>
      <c r="W327" s="1">
        <v>14034</v>
      </c>
      <c r="X327" s="1">
        <v>1</v>
      </c>
      <c r="Y327" s="3" t="s">
        <v>42</v>
      </c>
      <c r="Z327" s="3" t="s">
        <v>43</v>
      </c>
      <c r="AA327" s="5">
        <v>0.24</v>
      </c>
      <c r="AB327" s="10" t="str" cm="1">
        <f t="array" ref="AB327">_xlfn.IFS(AA327 &lt;= 15%, "Low Hike[11-15%]", AA327 &lt;= 20%, "Moderate Hike[16-20%]", AA327 &lt;= 25%,"High Hike[21-25%]")</f>
        <v>High Hike[21-25%]</v>
      </c>
      <c r="AC327" s="1">
        <v>4</v>
      </c>
      <c r="AD327" s="1">
        <v>1</v>
      </c>
      <c r="AE327" s="1">
        <v>80</v>
      </c>
      <c r="AF327" s="1">
        <v>1</v>
      </c>
      <c r="AG327" s="1">
        <v>10</v>
      </c>
      <c r="AH327" s="9" t="str" cm="1">
        <f t="array" ref="AH327">_xlfn.IFS(AG327 &lt;= 5, "New[1-5]", AG327 &lt;= 10, "Early Career[6-10]", AG327 &lt;= 20, "Established[11-20]", AG327 &lt;= 30, "Veteran[21-30]", AG327 &lt;= 40, "Late Career[31-40]")</f>
        <v>Early Career[6-10]</v>
      </c>
      <c r="AI327" s="1">
        <v>2</v>
      </c>
      <c r="AJ327" s="1">
        <v>3</v>
      </c>
      <c r="AK327" s="1">
        <v>10</v>
      </c>
      <c r="AL327" s="9" t="str" cm="1">
        <f t="array" ref="AL327">_xlfn.IFS(AK327 &lt;= 5, "New[1-5]", AK327 &lt;= 10, "Early Career[6-10]", AK327 &lt;= 20, "Established[11-20]", AK327 &lt;= 30, "Veteran[21-30]", AK327 &lt;= 40, "Late Career[31-40]")</f>
        <v>Early Career[6-10]</v>
      </c>
      <c r="AM327" s="1">
        <v>9</v>
      </c>
      <c r="AN327" s="9" t="str" cm="1">
        <f t="array" ref="AN327">_xlfn.IFS(AM327 &lt;= 3, "New to Role[1-3]", AM327 &lt;= 7, "Settled[4-7]", AM327 &lt;= 12, "Experienced[[8-12]", AM327 &lt;= 18, "Long Tenured[13-18]")</f>
        <v>Experienced[[8-12]</v>
      </c>
      <c r="AO327" s="1">
        <v>8</v>
      </c>
      <c r="AP327" s="9" t="str" cm="1">
        <f t="array" ref="AP327">_xlfn.IFS(AO327 &lt;= 3, "Recently[1-3]", AO327 &lt;= 6, "Due Soon[4-6]", AO327 &lt;= 10, "Overdue[7-10]", AO327 &lt;= 15, "Long Overdue[11-15]")</f>
        <v>Overdue[7-10]</v>
      </c>
      <c r="AQ327" s="9" t="str" cm="1">
        <f t="array" ref="AQ327">_xlfn.IFS(AR327 &lt;= 3, "New Relationship[1-3]", AR327 &lt;= 7, "Established Relationship[4-7]", AR327 &lt;= 12, "Long Term Relationship[8-12]", AR327 &lt;= 17, "Very Long Term Relationship[13-17]")</f>
        <v>Long Term Relationship[8-12]</v>
      </c>
      <c r="AR327" s="1">
        <v>9</v>
      </c>
    </row>
    <row r="328" spans="1:44" x14ac:dyDescent="0.25">
      <c r="A328" s="1">
        <v>39</v>
      </c>
      <c r="B328" s="8" t="str" cm="1">
        <f t="array" ref="B328">_xlfn.IFS(A328 &lt;= 25, "[18-25]", A328 &lt;= 35, "[26-35]", A328 &lt;=45, "[36-45]", A328 &lt;= 60, "[46- 60]")</f>
        <v>[36-45]</v>
      </c>
      <c r="C328" s="3" t="s">
        <v>43</v>
      </c>
      <c r="D328">
        <f t="shared" si="5"/>
        <v>0</v>
      </c>
      <c r="E328" t="s">
        <v>44</v>
      </c>
      <c r="F328" s="1">
        <v>672</v>
      </c>
      <c r="G328" s="3" t="s">
        <v>45</v>
      </c>
      <c r="H328" s="1">
        <v>7</v>
      </c>
      <c r="I328" s="9" t="str" cm="1">
        <f t="array" ref="I328">_xlfn.IFS(H328 &lt;= 2, "[1-2] very close", H328 &lt;= 10, "[3-10] close", H328 &lt;= 20, "[11-20] moderate", H328 &lt;= 30, "[21-30] far")</f>
        <v>[3-10] close</v>
      </c>
      <c r="J328" s="1">
        <v>2</v>
      </c>
      <c r="K328" s="3" t="s">
        <v>51</v>
      </c>
      <c r="L328" s="1">
        <v>1</v>
      </c>
      <c r="M328" s="1">
        <v>444</v>
      </c>
      <c r="N328" s="1">
        <v>3</v>
      </c>
      <c r="O328" s="3" t="s">
        <v>46</v>
      </c>
      <c r="P328" s="1">
        <v>54</v>
      </c>
      <c r="Q328" s="1">
        <v>2</v>
      </c>
      <c r="R328" s="1">
        <v>5</v>
      </c>
      <c r="S328" s="3" t="s">
        <v>56</v>
      </c>
      <c r="T328" s="1">
        <v>4</v>
      </c>
      <c r="U328" s="3" t="s">
        <v>48</v>
      </c>
      <c r="V328" s="4">
        <v>19272</v>
      </c>
      <c r="W328" s="1">
        <v>21141</v>
      </c>
      <c r="X328" s="1">
        <v>1</v>
      </c>
      <c r="Y328" s="3" t="s">
        <v>42</v>
      </c>
      <c r="Z328" s="3" t="s">
        <v>43</v>
      </c>
      <c r="AA328" s="5">
        <v>0.15</v>
      </c>
      <c r="AB328" s="10" t="str" cm="1">
        <f t="array" ref="AB328">_xlfn.IFS(AA328 &lt;= 15%, "Low Hike[11-15%]", AA328 &lt;= 20%, "Moderate Hike[16-20%]", AA328 &lt;= 25%,"High Hike[21-25%]")</f>
        <v>Low Hike[11-15%]</v>
      </c>
      <c r="AC328" s="1">
        <v>3</v>
      </c>
      <c r="AD328" s="1">
        <v>1</v>
      </c>
      <c r="AE328" s="1">
        <v>80</v>
      </c>
      <c r="AF328" s="1">
        <v>1</v>
      </c>
      <c r="AG328" s="1">
        <v>21</v>
      </c>
      <c r="AH328" s="9" t="str" cm="1">
        <f t="array" ref="AH328">_xlfn.IFS(AG328 &lt;= 5, "New[1-5]", AG328 &lt;= 10, "Early Career[6-10]", AG328 &lt;= 20, "Established[11-20]", AG328 &lt;= 30, "Veteran[21-30]", AG328 &lt;= 40, "Late Career[31-40]")</f>
        <v>Veteran[21-30]</v>
      </c>
      <c r="AI328" s="1">
        <v>2</v>
      </c>
      <c r="AJ328" s="1">
        <v>3</v>
      </c>
      <c r="AK328" s="1">
        <v>21</v>
      </c>
      <c r="AL328" s="9" t="str" cm="1">
        <f t="array" ref="AL328">_xlfn.IFS(AK328 &lt;= 5, "New[1-5]", AK328 &lt;= 10, "Early Career[6-10]", AK328 &lt;= 20, "Established[11-20]", AK328 &lt;= 30, "Veteran[21-30]", AK328 &lt;= 40, "Late Career[31-40]")</f>
        <v>Veteran[21-30]</v>
      </c>
      <c r="AM328" s="1">
        <v>9</v>
      </c>
      <c r="AN328" s="9" t="str" cm="1">
        <f t="array" ref="AN328">_xlfn.IFS(AM328 &lt;= 3, "New to Role[1-3]", AM328 &lt;= 7, "Settled[4-7]", AM328 &lt;= 12, "Experienced[[8-12]", AM328 &lt;= 18, "Long Tenured[13-18]")</f>
        <v>Experienced[[8-12]</v>
      </c>
      <c r="AO328" s="1">
        <v>13</v>
      </c>
      <c r="AP328" s="9" t="str" cm="1">
        <f t="array" ref="AP328">_xlfn.IFS(AO328 &lt;= 3, "Recently[1-3]", AO328 &lt;= 6, "Due Soon[4-6]", AO328 &lt;= 10, "Overdue[7-10]", AO328 &lt;= 15, "Long Overdue[11-15]")</f>
        <v>Long Overdue[11-15]</v>
      </c>
      <c r="AQ328" s="9" t="str" cm="1">
        <f t="array" ref="AQ328">_xlfn.IFS(AR328 &lt;= 3, "New Relationship[1-3]", AR328 &lt;= 7, "Established Relationship[4-7]", AR328 &lt;= 12, "Long Term Relationship[8-12]", AR328 &lt;= 17, "Very Long Term Relationship[13-17]")</f>
        <v>New Relationship[1-3]</v>
      </c>
      <c r="AR328" s="1">
        <v>3</v>
      </c>
    </row>
    <row r="329" spans="1:44" x14ac:dyDescent="0.25">
      <c r="A329" s="1">
        <v>39</v>
      </c>
      <c r="B329" s="8" t="str" cm="1">
        <f t="array" ref="B329">_xlfn.IFS(A329 &lt;= 25, "[18-25]", A329 &lt;= 35, "[26-35]", A329 &lt;=45, "[36-45]", A329 &lt;= 60, "[46- 60]")</f>
        <v>[36-45]</v>
      </c>
      <c r="C329" s="3" t="s">
        <v>35</v>
      </c>
      <c r="D329">
        <f t="shared" si="5"/>
        <v>1</v>
      </c>
      <c r="E329" t="s">
        <v>36</v>
      </c>
      <c r="F329" s="1">
        <v>1162</v>
      </c>
      <c r="G329" s="3" t="s">
        <v>37</v>
      </c>
      <c r="H329" s="1">
        <v>3</v>
      </c>
      <c r="I329" s="9" t="str" cm="1">
        <f t="array" ref="I329">_xlfn.IFS(H329 &lt;= 2, "[1-2] very close", H329 &lt;= 10, "[3-10] close", H329 &lt;= 20, "[11-20] moderate", H329 &lt;= 30, "[21-30] far")</f>
        <v>[3-10] close</v>
      </c>
      <c r="J329" s="1">
        <v>2</v>
      </c>
      <c r="K329" s="3" t="s">
        <v>51</v>
      </c>
      <c r="L329" s="1">
        <v>1</v>
      </c>
      <c r="M329" s="1">
        <v>445</v>
      </c>
      <c r="N329" s="1">
        <v>4</v>
      </c>
      <c r="O329" s="3" t="s">
        <v>39</v>
      </c>
      <c r="P329" s="1">
        <v>41</v>
      </c>
      <c r="Q329" s="1">
        <v>3</v>
      </c>
      <c r="R329" s="1">
        <v>2</v>
      </c>
      <c r="S329" s="3" t="s">
        <v>40</v>
      </c>
      <c r="T329" s="1">
        <v>3</v>
      </c>
      <c r="U329" s="3" t="s">
        <v>48</v>
      </c>
      <c r="V329" s="4">
        <v>5238</v>
      </c>
      <c r="W329" s="1">
        <v>17778</v>
      </c>
      <c r="X329" s="1">
        <v>4</v>
      </c>
      <c r="Y329" s="3" t="s">
        <v>42</v>
      </c>
      <c r="Z329" s="3" t="s">
        <v>35</v>
      </c>
      <c r="AA329" s="5">
        <v>0.18</v>
      </c>
      <c r="AB329" s="10" t="str" cm="1">
        <f t="array" ref="AB329">_xlfn.IFS(AA329 &lt;= 15%, "Low Hike[11-15%]", AA329 &lt;= 20%, "Moderate Hike[16-20%]", AA329 &lt;= 25%,"High Hike[21-25%]")</f>
        <v>Moderate Hike[16-20%]</v>
      </c>
      <c r="AC329" s="1">
        <v>3</v>
      </c>
      <c r="AD329" s="1">
        <v>1</v>
      </c>
      <c r="AE329" s="1">
        <v>80</v>
      </c>
      <c r="AF329" s="1">
        <v>0</v>
      </c>
      <c r="AG329" s="1">
        <v>12</v>
      </c>
      <c r="AH329" s="9" t="str" cm="1">
        <f t="array" ref="AH329">_xlfn.IFS(AG329 &lt;= 5, "New[1-5]", AG329 &lt;= 10, "Early Career[6-10]", AG329 &lt;= 20, "Established[11-20]", AG329 &lt;= 30, "Veteran[21-30]", AG329 &lt;= 40, "Late Career[31-40]")</f>
        <v>Established[11-20]</v>
      </c>
      <c r="AI329" s="1">
        <v>3</v>
      </c>
      <c r="AJ329" s="1">
        <v>2</v>
      </c>
      <c r="AK329" s="1">
        <v>1</v>
      </c>
      <c r="AL329" s="9" t="str" cm="1">
        <f t="array" ref="AL329">_xlfn.IFS(AK329 &lt;= 5, "New[1-5]", AK329 &lt;= 10, "Early Career[6-10]", AK329 &lt;= 20, "Established[11-20]", AK329 &lt;= 30, "Veteran[21-30]", AK329 &lt;= 40, "Late Career[31-40]")</f>
        <v>New[1-5]</v>
      </c>
      <c r="AM329" s="1">
        <v>0</v>
      </c>
      <c r="AN329" s="9" t="str" cm="1">
        <f t="array" ref="AN329">_xlfn.IFS(AM329 &lt;= 3, "New to Role[1-3]", AM329 &lt;= 7, "Settled[4-7]", AM329 &lt;= 12, "Experienced[[8-12]", AM329 &lt;= 18, "Long Tenured[13-18]")</f>
        <v>New to Role[1-3]</v>
      </c>
      <c r="AO329" s="1">
        <v>0</v>
      </c>
      <c r="AP329" s="9" t="str" cm="1">
        <f t="array" ref="AP329">_xlfn.IFS(AO329 &lt;= 3, "Recently[1-3]", AO329 &lt;= 6, "Due Soon[4-6]", AO329 &lt;= 10, "Overdue[7-10]", AO329 &lt;= 15, "Long Overdue[11-15]")</f>
        <v>Recently[1-3]</v>
      </c>
      <c r="AQ329" s="9" t="str" cm="1">
        <f t="array" ref="AQ329">_xlfn.IFS(AR329 &lt;= 3, "New Relationship[1-3]", AR329 &lt;= 7, "Established Relationship[4-7]", AR329 &lt;= 12, "Long Term Relationship[8-12]", AR329 &lt;= 17, "Very Long Term Relationship[13-17]")</f>
        <v>New Relationship[1-3]</v>
      </c>
      <c r="AR329" s="1">
        <v>0</v>
      </c>
    </row>
    <row r="330" spans="1:44" x14ac:dyDescent="0.25">
      <c r="A330" s="1">
        <v>33</v>
      </c>
      <c r="B330" s="8" t="str" cm="1">
        <f t="array" ref="B330">_xlfn.IFS(A330 &lt;= 25, "[18-25]", A330 &lt;= 35, "[26-35]", A330 &lt;=45, "[36-45]", A330 &lt;= 60, "[46- 60]")</f>
        <v>[26-35]</v>
      </c>
      <c r="C330" s="3" t="s">
        <v>43</v>
      </c>
      <c r="D330">
        <f t="shared" si="5"/>
        <v>0</v>
      </c>
      <c r="E330" t="s">
        <v>44</v>
      </c>
      <c r="F330" s="1">
        <v>508</v>
      </c>
      <c r="G330" s="3" t="s">
        <v>37</v>
      </c>
      <c r="H330" s="1">
        <v>10</v>
      </c>
      <c r="I330" s="9" t="str" cm="1">
        <f t="array" ref="I330">_xlfn.IFS(H330 &lt;= 2, "[1-2] very close", H330 &lt;= 10, "[3-10] close", H330 &lt;= 20, "[11-20] moderate", H330 &lt;= 30, "[21-30] far")</f>
        <v>[3-10] close</v>
      </c>
      <c r="J330" s="1">
        <v>3</v>
      </c>
      <c r="K330" s="3" t="s">
        <v>59</v>
      </c>
      <c r="L330" s="1">
        <v>1</v>
      </c>
      <c r="M330" s="1">
        <v>446</v>
      </c>
      <c r="N330" s="1">
        <v>2</v>
      </c>
      <c r="O330" s="3" t="s">
        <v>46</v>
      </c>
      <c r="P330" s="1">
        <v>46</v>
      </c>
      <c r="Q330" s="1">
        <v>2</v>
      </c>
      <c r="R330" s="1">
        <v>2</v>
      </c>
      <c r="S330" s="3" t="s">
        <v>40</v>
      </c>
      <c r="T330" s="1">
        <v>4</v>
      </c>
      <c r="U330" s="3" t="s">
        <v>41</v>
      </c>
      <c r="V330" s="4">
        <v>4682</v>
      </c>
      <c r="W330" s="1">
        <v>4317</v>
      </c>
      <c r="X330" s="1">
        <v>3</v>
      </c>
      <c r="Y330" s="3" t="s">
        <v>42</v>
      </c>
      <c r="Z330" s="3" t="s">
        <v>43</v>
      </c>
      <c r="AA330" s="5">
        <v>0.14000000000000001</v>
      </c>
      <c r="AB330" s="10" t="str" cm="1">
        <f t="array" ref="AB330">_xlfn.IFS(AA330 &lt;= 15%, "Low Hike[11-15%]", AA330 &lt;= 20%, "Moderate Hike[16-20%]", AA330 &lt;= 25%,"High Hike[21-25%]")</f>
        <v>Low Hike[11-15%]</v>
      </c>
      <c r="AC330" s="1">
        <v>3</v>
      </c>
      <c r="AD330" s="1">
        <v>3</v>
      </c>
      <c r="AE330" s="1">
        <v>80</v>
      </c>
      <c r="AF330" s="1">
        <v>0</v>
      </c>
      <c r="AG330" s="1">
        <v>9</v>
      </c>
      <c r="AH330" s="9" t="str" cm="1">
        <f t="array" ref="AH330">_xlfn.IFS(AG330 &lt;= 5, "New[1-5]", AG330 &lt;= 10, "Early Career[6-10]", AG330 &lt;= 20, "Established[11-20]", AG330 &lt;= 30, "Veteran[21-30]", AG330 &lt;= 40, "Late Career[31-40]")</f>
        <v>Early Career[6-10]</v>
      </c>
      <c r="AI330" s="1">
        <v>6</v>
      </c>
      <c r="AJ330" s="1">
        <v>2</v>
      </c>
      <c r="AK330" s="1">
        <v>7</v>
      </c>
      <c r="AL330" s="9" t="str" cm="1">
        <f t="array" ref="AL330">_xlfn.IFS(AK330 &lt;= 5, "New[1-5]", AK330 &lt;= 10, "Early Career[6-10]", AK330 &lt;= 20, "Established[11-20]", AK330 &lt;= 30, "Veteran[21-30]", AK330 &lt;= 40, "Late Career[31-40]")</f>
        <v>Early Career[6-10]</v>
      </c>
      <c r="AM330" s="1">
        <v>7</v>
      </c>
      <c r="AN330" s="9" t="str" cm="1">
        <f t="array" ref="AN330">_xlfn.IFS(AM330 &lt;= 3, "New to Role[1-3]", AM330 &lt;= 7, "Settled[4-7]", AM330 &lt;= 12, "Experienced[[8-12]", AM330 &lt;= 18, "Long Tenured[13-18]")</f>
        <v>Settled[4-7]</v>
      </c>
      <c r="AO330" s="1">
        <v>0</v>
      </c>
      <c r="AP330" s="9" t="str" cm="1">
        <f t="array" ref="AP330">_xlfn.IFS(AO330 &lt;= 3, "Recently[1-3]", AO330 &lt;= 6, "Due Soon[4-6]", AO330 &lt;= 10, "Overdue[7-10]", AO330 &lt;= 15, "Long Overdue[11-15]")</f>
        <v>Recently[1-3]</v>
      </c>
      <c r="AQ330" s="9" t="str" cm="1">
        <f t="array" ref="AQ330">_xlfn.IFS(AR330 &lt;= 3, "New Relationship[1-3]", AR330 &lt;= 7, "Established Relationship[4-7]", AR330 &lt;= 12, "Long Term Relationship[8-12]", AR330 &lt;= 17, "Very Long Term Relationship[13-17]")</f>
        <v>New Relationship[1-3]</v>
      </c>
      <c r="AR330" s="1">
        <v>1</v>
      </c>
    </row>
    <row r="331" spans="1:44" x14ac:dyDescent="0.25">
      <c r="A331" s="1">
        <v>47</v>
      </c>
      <c r="B331" s="8" t="str" cm="1">
        <f t="array" ref="B331">_xlfn.IFS(A331 &lt;= 25, "[18-25]", A331 &lt;= 35, "[26-35]", A331 &lt;=45, "[36-45]", A331 &lt;= 60, "[46- 60]")</f>
        <v>[46- 60]</v>
      </c>
      <c r="C331" s="3" t="s">
        <v>43</v>
      </c>
      <c r="D331">
        <f t="shared" si="5"/>
        <v>0</v>
      </c>
      <c r="E331" t="s">
        <v>36</v>
      </c>
      <c r="F331" s="1">
        <v>1482</v>
      </c>
      <c r="G331" s="3" t="s">
        <v>45</v>
      </c>
      <c r="H331" s="1">
        <v>5</v>
      </c>
      <c r="I331" s="9" t="str" cm="1">
        <f t="array" ref="I331">_xlfn.IFS(H331 &lt;= 2, "[1-2] very close", H331 &lt;= 10, "[3-10] close", H331 &lt;= 20, "[11-20] moderate", H331 &lt;= 30, "[21-30] far")</f>
        <v>[3-10] close</v>
      </c>
      <c r="J331" s="1">
        <v>5</v>
      </c>
      <c r="K331" s="3" t="s">
        <v>38</v>
      </c>
      <c r="L331" s="1">
        <v>1</v>
      </c>
      <c r="M331" s="1">
        <v>447</v>
      </c>
      <c r="N331" s="1">
        <v>4</v>
      </c>
      <c r="O331" s="3" t="s">
        <v>46</v>
      </c>
      <c r="P331" s="1">
        <v>42</v>
      </c>
      <c r="Q331" s="1">
        <v>3</v>
      </c>
      <c r="R331" s="1">
        <v>5</v>
      </c>
      <c r="S331" s="3" t="s">
        <v>58</v>
      </c>
      <c r="T331" s="1">
        <v>3</v>
      </c>
      <c r="U331" s="3" t="s">
        <v>48</v>
      </c>
      <c r="V331" s="4">
        <v>18300</v>
      </c>
      <c r="W331" s="1">
        <v>16375</v>
      </c>
      <c r="X331" s="1">
        <v>4</v>
      </c>
      <c r="Y331" s="3" t="s">
        <v>42</v>
      </c>
      <c r="Z331" s="3" t="s">
        <v>43</v>
      </c>
      <c r="AA331" s="5">
        <v>0.11</v>
      </c>
      <c r="AB331" s="10" t="str" cm="1">
        <f t="array" ref="AB331">_xlfn.IFS(AA331 &lt;= 15%, "Low Hike[11-15%]", AA331 &lt;= 20%, "Moderate Hike[16-20%]", AA331 &lt;= 25%,"High Hike[21-25%]")</f>
        <v>Low Hike[11-15%]</v>
      </c>
      <c r="AC331" s="1">
        <v>3</v>
      </c>
      <c r="AD331" s="1">
        <v>2</v>
      </c>
      <c r="AE331" s="1">
        <v>80</v>
      </c>
      <c r="AF331" s="1">
        <v>1</v>
      </c>
      <c r="AG331" s="1">
        <v>21</v>
      </c>
      <c r="AH331" s="9" t="str" cm="1">
        <f t="array" ref="AH331">_xlfn.IFS(AG331 &lt;= 5, "New[1-5]", AG331 &lt;= 10, "Early Career[6-10]", AG331 &lt;= 20, "Established[11-20]", AG331 &lt;= 30, "Veteran[21-30]", AG331 &lt;= 40, "Late Career[31-40]")</f>
        <v>Veteran[21-30]</v>
      </c>
      <c r="AI331" s="1">
        <v>2</v>
      </c>
      <c r="AJ331" s="1">
        <v>3</v>
      </c>
      <c r="AK331" s="1">
        <v>3</v>
      </c>
      <c r="AL331" s="9" t="str" cm="1">
        <f t="array" ref="AL331">_xlfn.IFS(AK331 &lt;= 5, "New[1-5]", AK331 &lt;= 10, "Early Career[6-10]", AK331 &lt;= 20, "Established[11-20]", AK331 &lt;= 30, "Veteran[21-30]", AK331 &lt;= 40, "Late Career[31-40]")</f>
        <v>New[1-5]</v>
      </c>
      <c r="AM331" s="1">
        <v>2</v>
      </c>
      <c r="AN331" s="9" t="str" cm="1">
        <f t="array" ref="AN331">_xlfn.IFS(AM331 &lt;= 3, "New to Role[1-3]", AM331 &lt;= 7, "Settled[4-7]", AM331 &lt;= 12, "Experienced[[8-12]", AM331 &lt;= 18, "Long Tenured[13-18]")</f>
        <v>New to Role[1-3]</v>
      </c>
      <c r="AO331" s="1">
        <v>1</v>
      </c>
      <c r="AP331" s="9" t="str" cm="1">
        <f t="array" ref="AP331">_xlfn.IFS(AO331 &lt;= 3, "Recently[1-3]", AO331 &lt;= 6, "Due Soon[4-6]", AO331 &lt;= 10, "Overdue[7-10]", AO331 &lt;= 15, "Long Overdue[11-15]")</f>
        <v>Recently[1-3]</v>
      </c>
      <c r="AQ331" s="9" t="str" cm="1">
        <f t="array" ref="AQ331">_xlfn.IFS(AR331 &lt;= 3, "New Relationship[1-3]", AR331 &lt;= 7, "Established Relationship[4-7]", AR331 &lt;= 12, "Long Term Relationship[8-12]", AR331 &lt;= 17, "Very Long Term Relationship[13-17]")</f>
        <v>New Relationship[1-3]</v>
      </c>
      <c r="AR331" s="1">
        <v>1</v>
      </c>
    </row>
    <row r="332" spans="1:44" x14ac:dyDescent="0.25">
      <c r="A332" s="1">
        <v>43</v>
      </c>
      <c r="B332" s="8" t="str" cm="1">
        <f t="array" ref="B332">_xlfn.IFS(A332 &lt;= 25, "[18-25]", A332 &lt;= 35, "[26-35]", A332 &lt;=45, "[36-45]", A332 &lt;= 60, "[46- 60]")</f>
        <v>[36-45]</v>
      </c>
      <c r="C332" s="3" t="s">
        <v>43</v>
      </c>
      <c r="D332">
        <f t="shared" si="5"/>
        <v>0</v>
      </c>
      <c r="E332" t="s">
        <v>44</v>
      </c>
      <c r="F332" s="1">
        <v>559</v>
      </c>
      <c r="G332" s="3" t="s">
        <v>45</v>
      </c>
      <c r="H332" s="1">
        <v>10</v>
      </c>
      <c r="I332" s="9" t="str" cm="1">
        <f t="array" ref="I332">_xlfn.IFS(H332 &lt;= 2, "[1-2] very close", H332 &lt;= 10, "[3-10] close", H332 &lt;= 20, "[11-20] moderate", H332 &lt;= 30, "[21-30] far")</f>
        <v>[3-10] close</v>
      </c>
      <c r="J332" s="1">
        <v>4</v>
      </c>
      <c r="K332" s="3" t="s">
        <v>38</v>
      </c>
      <c r="L332" s="1">
        <v>1</v>
      </c>
      <c r="M332" s="1">
        <v>448</v>
      </c>
      <c r="N332" s="1">
        <v>3</v>
      </c>
      <c r="O332" s="3" t="s">
        <v>39</v>
      </c>
      <c r="P332" s="1">
        <v>82</v>
      </c>
      <c r="Q332" s="1">
        <v>2</v>
      </c>
      <c r="R332" s="1">
        <v>2</v>
      </c>
      <c r="S332" s="3" t="s">
        <v>50</v>
      </c>
      <c r="T332" s="1">
        <v>3</v>
      </c>
      <c r="U332" s="3" t="s">
        <v>52</v>
      </c>
      <c r="V332" s="4">
        <v>5257</v>
      </c>
      <c r="W332" s="1">
        <v>6227</v>
      </c>
      <c r="X332" s="1">
        <v>1</v>
      </c>
      <c r="Y332" s="3" t="s">
        <v>42</v>
      </c>
      <c r="Z332" s="3" t="s">
        <v>43</v>
      </c>
      <c r="AA332" s="5">
        <v>0.11</v>
      </c>
      <c r="AB332" s="10" t="str" cm="1">
        <f t="array" ref="AB332">_xlfn.IFS(AA332 &lt;= 15%, "Low Hike[11-15%]", AA332 &lt;= 20%, "Moderate Hike[16-20%]", AA332 &lt;= 25%,"High Hike[21-25%]")</f>
        <v>Low Hike[11-15%]</v>
      </c>
      <c r="AC332" s="1">
        <v>3</v>
      </c>
      <c r="AD332" s="1">
        <v>2</v>
      </c>
      <c r="AE332" s="1">
        <v>80</v>
      </c>
      <c r="AF332" s="1">
        <v>1</v>
      </c>
      <c r="AG332" s="1">
        <v>9</v>
      </c>
      <c r="AH332" s="9" t="str" cm="1">
        <f t="array" ref="AH332">_xlfn.IFS(AG332 &lt;= 5, "New[1-5]", AG332 &lt;= 10, "Early Career[6-10]", AG332 &lt;= 20, "Established[11-20]", AG332 &lt;= 30, "Veteran[21-30]", AG332 &lt;= 40, "Late Career[31-40]")</f>
        <v>Early Career[6-10]</v>
      </c>
      <c r="AI332" s="1">
        <v>3</v>
      </c>
      <c r="AJ332" s="1">
        <v>4</v>
      </c>
      <c r="AK332" s="1">
        <v>9</v>
      </c>
      <c r="AL332" s="9" t="str" cm="1">
        <f t="array" ref="AL332">_xlfn.IFS(AK332 &lt;= 5, "New[1-5]", AK332 &lt;= 10, "Early Career[6-10]", AK332 &lt;= 20, "Established[11-20]", AK332 &lt;= 30, "Veteran[21-30]", AK332 &lt;= 40, "Late Career[31-40]")</f>
        <v>Early Career[6-10]</v>
      </c>
      <c r="AM332" s="1">
        <v>7</v>
      </c>
      <c r="AN332" s="9" t="str" cm="1">
        <f t="array" ref="AN332">_xlfn.IFS(AM332 &lt;= 3, "New to Role[1-3]", AM332 &lt;= 7, "Settled[4-7]", AM332 &lt;= 12, "Experienced[[8-12]", AM332 &lt;= 18, "Long Tenured[13-18]")</f>
        <v>Settled[4-7]</v>
      </c>
      <c r="AO332" s="1">
        <v>0</v>
      </c>
      <c r="AP332" s="9" t="str" cm="1">
        <f t="array" ref="AP332">_xlfn.IFS(AO332 &lt;= 3, "Recently[1-3]", AO332 &lt;= 6, "Due Soon[4-6]", AO332 &lt;= 10, "Overdue[7-10]", AO332 &lt;= 15, "Long Overdue[11-15]")</f>
        <v>Recently[1-3]</v>
      </c>
      <c r="AQ332" s="9" t="str" cm="1">
        <f t="array" ref="AQ332">_xlfn.IFS(AR332 &lt;= 3, "New Relationship[1-3]", AR332 &lt;= 7, "Established Relationship[4-7]", AR332 &lt;= 12, "Long Term Relationship[8-12]", AR332 &lt;= 17, "Very Long Term Relationship[13-17]")</f>
        <v>New Relationship[1-3]</v>
      </c>
      <c r="AR332" s="1">
        <v>0</v>
      </c>
    </row>
    <row r="333" spans="1:44" x14ac:dyDescent="0.25">
      <c r="A333" s="1">
        <v>27</v>
      </c>
      <c r="B333" s="8" t="str" cm="1">
        <f t="array" ref="B333">_xlfn.IFS(A333 &lt;= 25, "[18-25]", A333 &lt;= 35, "[26-35]", A333 &lt;=45, "[36-45]", A333 &lt;= 60, "[46- 60]")</f>
        <v>[26-35]</v>
      </c>
      <c r="C333" s="3" t="s">
        <v>43</v>
      </c>
      <c r="D333">
        <f t="shared" si="5"/>
        <v>0</v>
      </c>
      <c r="E333" t="s">
        <v>62</v>
      </c>
      <c r="F333" s="1">
        <v>210</v>
      </c>
      <c r="G333" s="3" t="s">
        <v>37</v>
      </c>
      <c r="H333" s="1">
        <v>1</v>
      </c>
      <c r="I333" s="9" t="str" cm="1">
        <f t="array" ref="I333">_xlfn.IFS(H333 &lt;= 2, "[1-2] very close", H333 &lt;= 10, "[3-10] close", H333 &lt;= 20, "[11-20] moderate", H333 &lt;= 30, "[21-30] far")</f>
        <v>[1-2] very close</v>
      </c>
      <c r="J333" s="1">
        <v>1</v>
      </c>
      <c r="K333" s="3" t="s">
        <v>59</v>
      </c>
      <c r="L333" s="1">
        <v>1</v>
      </c>
      <c r="M333" s="1">
        <v>449</v>
      </c>
      <c r="N333" s="1">
        <v>3</v>
      </c>
      <c r="O333" s="3" t="s">
        <v>46</v>
      </c>
      <c r="P333" s="1">
        <v>73</v>
      </c>
      <c r="Q333" s="1">
        <v>3</v>
      </c>
      <c r="R333" s="1">
        <v>2</v>
      </c>
      <c r="S333" s="3" t="s">
        <v>40</v>
      </c>
      <c r="T333" s="1">
        <v>2</v>
      </c>
      <c r="U333" s="3" t="s">
        <v>48</v>
      </c>
      <c r="V333" s="4">
        <v>6349</v>
      </c>
      <c r="W333" s="1">
        <v>22107</v>
      </c>
      <c r="X333" s="1">
        <v>0</v>
      </c>
      <c r="Y333" s="3" t="s">
        <v>42</v>
      </c>
      <c r="Z333" s="3" t="s">
        <v>35</v>
      </c>
      <c r="AA333" s="5">
        <v>0.13</v>
      </c>
      <c r="AB333" s="10" t="str" cm="1">
        <f t="array" ref="AB333">_xlfn.IFS(AA333 &lt;= 15%, "Low Hike[11-15%]", AA333 &lt;= 20%, "Moderate Hike[16-20%]", AA333 &lt;= 25%,"High Hike[21-25%]")</f>
        <v>Low Hike[11-15%]</v>
      </c>
      <c r="AC333" s="1">
        <v>3</v>
      </c>
      <c r="AD333" s="1">
        <v>4</v>
      </c>
      <c r="AE333" s="1">
        <v>80</v>
      </c>
      <c r="AF333" s="1">
        <v>1</v>
      </c>
      <c r="AG333" s="1">
        <v>6</v>
      </c>
      <c r="AH333" s="9" t="str" cm="1">
        <f t="array" ref="AH333">_xlfn.IFS(AG333 &lt;= 5, "New[1-5]", AG333 &lt;= 10, "Early Career[6-10]", AG333 &lt;= 20, "Established[11-20]", AG333 &lt;= 30, "Veteran[21-30]", AG333 &lt;= 40, "Late Career[31-40]")</f>
        <v>Early Career[6-10]</v>
      </c>
      <c r="AI333" s="1">
        <v>0</v>
      </c>
      <c r="AJ333" s="1">
        <v>3</v>
      </c>
      <c r="AK333" s="1">
        <v>5</v>
      </c>
      <c r="AL333" s="9" t="str" cm="1">
        <f t="array" ref="AL333">_xlfn.IFS(AK333 &lt;= 5, "New[1-5]", AK333 &lt;= 10, "Early Career[6-10]", AK333 &lt;= 20, "Established[11-20]", AK333 &lt;= 30, "Veteran[21-30]", AK333 &lt;= 40, "Late Career[31-40]")</f>
        <v>New[1-5]</v>
      </c>
      <c r="AM333" s="1">
        <v>4</v>
      </c>
      <c r="AN333" s="9" t="str" cm="1">
        <f t="array" ref="AN333">_xlfn.IFS(AM333 &lt;= 3, "New to Role[1-3]", AM333 &lt;= 7, "Settled[4-7]", AM333 &lt;= 12, "Experienced[[8-12]", AM333 &lt;= 18, "Long Tenured[13-18]")</f>
        <v>Settled[4-7]</v>
      </c>
      <c r="AO333" s="1">
        <v>1</v>
      </c>
      <c r="AP333" s="9" t="str" cm="1">
        <f t="array" ref="AP333">_xlfn.IFS(AO333 &lt;= 3, "Recently[1-3]", AO333 &lt;= 6, "Due Soon[4-6]", AO333 &lt;= 10, "Overdue[7-10]", AO333 &lt;= 15, "Long Overdue[11-15]")</f>
        <v>Recently[1-3]</v>
      </c>
      <c r="AQ333" s="9" t="str" cm="1">
        <f t="array" ref="AQ333">_xlfn.IFS(AR333 &lt;= 3, "New Relationship[1-3]", AR333 &lt;= 7, "Established Relationship[4-7]", AR333 &lt;= 12, "Long Term Relationship[8-12]", AR333 &lt;= 17, "Very Long Term Relationship[13-17]")</f>
        <v>Established Relationship[4-7]</v>
      </c>
      <c r="AR333" s="1">
        <v>4</v>
      </c>
    </row>
    <row r="334" spans="1:44" x14ac:dyDescent="0.25">
      <c r="A334" s="1">
        <v>54</v>
      </c>
      <c r="B334" s="8" t="str" cm="1">
        <f t="array" ref="B334">_xlfn.IFS(A334 &lt;= 25, "[18-25]", A334 &lt;= 35, "[26-35]", A334 &lt;=45, "[36-45]", A334 &lt;= 60, "[46- 60]")</f>
        <v>[46- 60]</v>
      </c>
      <c r="C334" s="3" t="s">
        <v>43</v>
      </c>
      <c r="D334">
        <f t="shared" si="5"/>
        <v>0</v>
      </c>
      <c r="E334" t="s">
        <v>44</v>
      </c>
      <c r="F334" s="1">
        <v>928</v>
      </c>
      <c r="G334" s="3" t="s">
        <v>45</v>
      </c>
      <c r="H334" s="1">
        <v>20</v>
      </c>
      <c r="I334" s="9" t="str" cm="1">
        <f t="array" ref="I334">_xlfn.IFS(H334 &lt;= 2, "[1-2] very close", H334 &lt;= 10, "[3-10] close", H334 &lt;= 20, "[11-20] moderate", H334 &lt;= 30, "[21-30] far")</f>
        <v>[11-20] moderate</v>
      </c>
      <c r="J334" s="1">
        <v>4</v>
      </c>
      <c r="K334" s="3" t="s">
        <v>38</v>
      </c>
      <c r="L334" s="1">
        <v>1</v>
      </c>
      <c r="M334" s="1">
        <v>450</v>
      </c>
      <c r="N334" s="1">
        <v>4</v>
      </c>
      <c r="O334" s="3" t="s">
        <v>39</v>
      </c>
      <c r="P334" s="1">
        <v>31</v>
      </c>
      <c r="Q334" s="1">
        <v>3</v>
      </c>
      <c r="R334" s="1">
        <v>2</v>
      </c>
      <c r="S334" s="3" t="s">
        <v>47</v>
      </c>
      <c r="T334" s="1">
        <v>3</v>
      </c>
      <c r="U334" s="3" t="s">
        <v>41</v>
      </c>
      <c r="V334" s="4">
        <v>4869</v>
      </c>
      <c r="W334" s="1">
        <v>16885</v>
      </c>
      <c r="X334" s="1">
        <v>3</v>
      </c>
      <c r="Y334" s="3" t="s">
        <v>42</v>
      </c>
      <c r="Z334" s="3" t="s">
        <v>43</v>
      </c>
      <c r="AA334" s="5">
        <v>0.12</v>
      </c>
      <c r="AB334" s="10" t="str" cm="1">
        <f t="array" ref="AB334">_xlfn.IFS(AA334 &lt;= 15%, "Low Hike[11-15%]", AA334 &lt;= 20%, "Moderate Hike[16-20%]", AA334 &lt;= 25%,"High Hike[21-25%]")</f>
        <v>Low Hike[11-15%]</v>
      </c>
      <c r="AC334" s="1">
        <v>3</v>
      </c>
      <c r="AD334" s="1">
        <v>4</v>
      </c>
      <c r="AE334" s="1">
        <v>80</v>
      </c>
      <c r="AF334" s="1">
        <v>0</v>
      </c>
      <c r="AG334" s="1">
        <v>20</v>
      </c>
      <c r="AH334" s="9" t="str" cm="1">
        <f t="array" ref="AH334">_xlfn.IFS(AG334 &lt;= 5, "New[1-5]", AG334 &lt;= 10, "Early Career[6-10]", AG334 &lt;= 20, "Established[11-20]", AG334 &lt;= 30, "Veteran[21-30]", AG334 &lt;= 40, "Late Career[31-40]")</f>
        <v>Established[11-20]</v>
      </c>
      <c r="AI334" s="1">
        <v>4</v>
      </c>
      <c r="AJ334" s="1">
        <v>2</v>
      </c>
      <c r="AK334" s="1">
        <v>4</v>
      </c>
      <c r="AL334" s="9" t="str" cm="1">
        <f t="array" ref="AL334">_xlfn.IFS(AK334 &lt;= 5, "New[1-5]", AK334 &lt;= 10, "Early Career[6-10]", AK334 &lt;= 20, "Established[11-20]", AK334 &lt;= 30, "Veteran[21-30]", AK334 &lt;= 40, "Late Career[31-40]")</f>
        <v>New[1-5]</v>
      </c>
      <c r="AM334" s="1">
        <v>3</v>
      </c>
      <c r="AN334" s="9" t="str" cm="1">
        <f t="array" ref="AN334">_xlfn.IFS(AM334 &lt;= 3, "New to Role[1-3]", AM334 &lt;= 7, "Settled[4-7]", AM334 &lt;= 12, "Experienced[[8-12]", AM334 &lt;= 18, "Long Tenured[13-18]")</f>
        <v>New to Role[1-3]</v>
      </c>
      <c r="AO334" s="1">
        <v>0</v>
      </c>
      <c r="AP334" s="9" t="str" cm="1">
        <f t="array" ref="AP334">_xlfn.IFS(AO334 &lt;= 3, "Recently[1-3]", AO334 &lt;= 6, "Due Soon[4-6]", AO334 &lt;= 10, "Overdue[7-10]", AO334 &lt;= 15, "Long Overdue[11-15]")</f>
        <v>Recently[1-3]</v>
      </c>
      <c r="AQ334" s="9" t="str" cm="1">
        <f t="array" ref="AQ334">_xlfn.IFS(AR334 &lt;= 3, "New Relationship[1-3]", AR334 &lt;= 7, "Established Relationship[4-7]", AR334 &lt;= 12, "Long Term Relationship[8-12]", AR334 &lt;= 17, "Very Long Term Relationship[13-17]")</f>
        <v>New Relationship[1-3]</v>
      </c>
      <c r="AR334" s="1">
        <v>3</v>
      </c>
    </row>
    <row r="335" spans="1:44" x14ac:dyDescent="0.25">
      <c r="A335" s="1">
        <v>43</v>
      </c>
      <c r="B335" s="8" t="str" cm="1">
        <f t="array" ref="B335">_xlfn.IFS(A335 &lt;= 25, "[18-25]", A335 &lt;= 35, "[26-35]", A335 &lt;=45, "[36-45]", A335 &lt;= 60, "[46- 60]")</f>
        <v>[36-45]</v>
      </c>
      <c r="C335" s="3" t="s">
        <v>43</v>
      </c>
      <c r="D335">
        <f t="shared" si="5"/>
        <v>0</v>
      </c>
      <c r="E335" t="s">
        <v>36</v>
      </c>
      <c r="F335" s="1">
        <v>1001</v>
      </c>
      <c r="G335" s="3" t="s">
        <v>45</v>
      </c>
      <c r="H335" s="1">
        <v>7</v>
      </c>
      <c r="I335" s="9" t="str" cm="1">
        <f t="array" ref="I335">_xlfn.IFS(H335 &lt;= 2, "[1-2] very close", H335 &lt;= 10, "[3-10] close", H335 &lt;= 20, "[11-20] moderate", H335 &lt;= 30, "[21-30] far")</f>
        <v>[3-10] close</v>
      </c>
      <c r="J335" s="1">
        <v>3</v>
      </c>
      <c r="K335" s="3" t="s">
        <v>38</v>
      </c>
      <c r="L335" s="1">
        <v>1</v>
      </c>
      <c r="M335" s="1">
        <v>451</v>
      </c>
      <c r="N335" s="1">
        <v>3</v>
      </c>
      <c r="O335" s="3" t="s">
        <v>39</v>
      </c>
      <c r="P335" s="1">
        <v>43</v>
      </c>
      <c r="Q335" s="1">
        <v>3</v>
      </c>
      <c r="R335" s="1">
        <v>3</v>
      </c>
      <c r="S335" s="3" t="s">
        <v>54</v>
      </c>
      <c r="T335" s="1">
        <v>1</v>
      </c>
      <c r="U335" s="3" t="s">
        <v>48</v>
      </c>
      <c r="V335" s="4">
        <v>9985</v>
      </c>
      <c r="W335" s="1">
        <v>9262</v>
      </c>
      <c r="X335" s="1">
        <v>8</v>
      </c>
      <c r="Y335" s="3" t="s">
        <v>42</v>
      </c>
      <c r="Z335" s="3" t="s">
        <v>43</v>
      </c>
      <c r="AA335" s="5">
        <v>0.16</v>
      </c>
      <c r="AB335" s="10" t="str" cm="1">
        <f t="array" ref="AB335">_xlfn.IFS(AA335 &lt;= 15%, "Low Hike[11-15%]", AA335 &lt;= 20%, "Moderate Hike[16-20%]", AA335 &lt;= 25%,"High Hike[21-25%]")</f>
        <v>Moderate Hike[16-20%]</v>
      </c>
      <c r="AC335" s="1">
        <v>3</v>
      </c>
      <c r="AD335" s="1">
        <v>1</v>
      </c>
      <c r="AE335" s="1">
        <v>80</v>
      </c>
      <c r="AF335" s="1">
        <v>1</v>
      </c>
      <c r="AG335" s="1">
        <v>10</v>
      </c>
      <c r="AH335" s="9" t="str" cm="1">
        <f t="array" ref="AH335">_xlfn.IFS(AG335 &lt;= 5, "New[1-5]", AG335 &lt;= 10, "Early Career[6-10]", AG335 &lt;= 20, "Established[11-20]", AG335 &lt;= 30, "Veteran[21-30]", AG335 &lt;= 40, "Late Career[31-40]")</f>
        <v>Early Career[6-10]</v>
      </c>
      <c r="AI335" s="1">
        <v>1</v>
      </c>
      <c r="AJ335" s="1">
        <v>2</v>
      </c>
      <c r="AK335" s="1">
        <v>1</v>
      </c>
      <c r="AL335" s="9" t="str" cm="1">
        <f t="array" ref="AL335">_xlfn.IFS(AK335 &lt;= 5, "New[1-5]", AK335 &lt;= 10, "Early Career[6-10]", AK335 &lt;= 20, "Established[11-20]", AK335 &lt;= 30, "Veteran[21-30]", AK335 &lt;= 40, "Late Career[31-40]")</f>
        <v>New[1-5]</v>
      </c>
      <c r="AM335" s="1">
        <v>0</v>
      </c>
      <c r="AN335" s="9" t="str" cm="1">
        <f t="array" ref="AN335">_xlfn.IFS(AM335 &lt;= 3, "New to Role[1-3]", AM335 &lt;= 7, "Settled[4-7]", AM335 &lt;= 12, "Experienced[[8-12]", AM335 &lt;= 18, "Long Tenured[13-18]")</f>
        <v>New to Role[1-3]</v>
      </c>
      <c r="AO335" s="1">
        <v>0</v>
      </c>
      <c r="AP335" s="9" t="str" cm="1">
        <f t="array" ref="AP335">_xlfn.IFS(AO335 &lt;= 3, "Recently[1-3]", AO335 &lt;= 6, "Due Soon[4-6]", AO335 &lt;= 10, "Overdue[7-10]", AO335 &lt;= 15, "Long Overdue[11-15]")</f>
        <v>Recently[1-3]</v>
      </c>
      <c r="AQ335" s="9" t="str" cm="1">
        <f t="array" ref="AQ335">_xlfn.IFS(AR335 &lt;= 3, "New Relationship[1-3]", AR335 &lt;= 7, "Established Relationship[4-7]", AR335 &lt;= 12, "Long Term Relationship[8-12]", AR335 &lt;= 17, "Very Long Term Relationship[13-17]")</f>
        <v>New Relationship[1-3]</v>
      </c>
      <c r="AR335" s="1">
        <v>0</v>
      </c>
    </row>
    <row r="336" spans="1:44" x14ac:dyDescent="0.25">
      <c r="A336" s="1">
        <v>45</v>
      </c>
      <c r="B336" s="8" t="str" cm="1">
        <f t="array" ref="B336">_xlfn.IFS(A336 &lt;= 25, "[18-25]", A336 &lt;= 35, "[26-35]", A336 &lt;=45, "[36-45]", A336 &lt;= 60, "[46- 60]")</f>
        <v>[36-45]</v>
      </c>
      <c r="C336" s="3" t="s">
        <v>43</v>
      </c>
      <c r="D336">
        <f t="shared" si="5"/>
        <v>0</v>
      </c>
      <c r="E336" t="s">
        <v>36</v>
      </c>
      <c r="F336" s="1">
        <v>549</v>
      </c>
      <c r="G336" s="3" t="s">
        <v>45</v>
      </c>
      <c r="H336" s="1">
        <v>8</v>
      </c>
      <c r="I336" s="9" t="str" cm="1">
        <f t="array" ref="I336">_xlfn.IFS(H336 &lt;= 2, "[1-2] very close", H336 &lt;= 10, "[3-10] close", H336 &lt;= 20, "[11-20] moderate", H336 &lt;= 30, "[21-30] far")</f>
        <v>[3-10] close</v>
      </c>
      <c r="J336" s="1">
        <v>4</v>
      </c>
      <c r="K336" s="3" t="s">
        <v>49</v>
      </c>
      <c r="L336" s="1">
        <v>1</v>
      </c>
      <c r="M336" s="1">
        <v>452</v>
      </c>
      <c r="N336" s="1">
        <v>4</v>
      </c>
      <c r="O336" s="3" t="s">
        <v>46</v>
      </c>
      <c r="P336" s="1">
        <v>75</v>
      </c>
      <c r="Q336" s="1">
        <v>3</v>
      </c>
      <c r="R336" s="1">
        <v>2</v>
      </c>
      <c r="S336" s="3" t="s">
        <v>47</v>
      </c>
      <c r="T336" s="1">
        <v>4</v>
      </c>
      <c r="U336" s="3" t="s">
        <v>48</v>
      </c>
      <c r="V336" s="4">
        <v>3697</v>
      </c>
      <c r="W336" s="1">
        <v>9278</v>
      </c>
      <c r="X336" s="1">
        <v>9</v>
      </c>
      <c r="Y336" s="3" t="s">
        <v>42</v>
      </c>
      <c r="Z336" s="3" t="s">
        <v>43</v>
      </c>
      <c r="AA336" s="5">
        <v>0.14000000000000001</v>
      </c>
      <c r="AB336" s="10" t="str" cm="1">
        <f t="array" ref="AB336">_xlfn.IFS(AA336 &lt;= 15%, "Low Hike[11-15%]", AA336 &lt;= 20%, "Moderate Hike[16-20%]", AA336 &lt;= 25%,"High Hike[21-25%]")</f>
        <v>Low Hike[11-15%]</v>
      </c>
      <c r="AC336" s="1">
        <v>3</v>
      </c>
      <c r="AD336" s="1">
        <v>1</v>
      </c>
      <c r="AE336" s="1">
        <v>80</v>
      </c>
      <c r="AF336" s="1">
        <v>2</v>
      </c>
      <c r="AG336" s="1">
        <v>12</v>
      </c>
      <c r="AH336" s="9" t="str" cm="1">
        <f t="array" ref="AH336">_xlfn.IFS(AG336 &lt;= 5, "New[1-5]", AG336 &lt;= 10, "Early Career[6-10]", AG336 &lt;= 20, "Established[11-20]", AG336 &lt;= 30, "Veteran[21-30]", AG336 &lt;= 40, "Late Career[31-40]")</f>
        <v>Established[11-20]</v>
      </c>
      <c r="AI336" s="1">
        <v>3</v>
      </c>
      <c r="AJ336" s="1">
        <v>3</v>
      </c>
      <c r="AK336" s="1">
        <v>10</v>
      </c>
      <c r="AL336" s="9" t="str" cm="1">
        <f t="array" ref="AL336">_xlfn.IFS(AK336 &lt;= 5, "New[1-5]", AK336 &lt;= 10, "Early Career[6-10]", AK336 &lt;= 20, "Established[11-20]", AK336 &lt;= 30, "Veteran[21-30]", AK336 &lt;= 40, "Late Career[31-40]")</f>
        <v>Early Career[6-10]</v>
      </c>
      <c r="AM336" s="1">
        <v>9</v>
      </c>
      <c r="AN336" s="9" t="str" cm="1">
        <f t="array" ref="AN336">_xlfn.IFS(AM336 &lt;= 3, "New to Role[1-3]", AM336 &lt;= 7, "Settled[4-7]", AM336 &lt;= 12, "Experienced[[8-12]", AM336 &lt;= 18, "Long Tenured[13-18]")</f>
        <v>Experienced[[8-12]</v>
      </c>
      <c r="AO336" s="1">
        <v>9</v>
      </c>
      <c r="AP336" s="9" t="str" cm="1">
        <f t="array" ref="AP336">_xlfn.IFS(AO336 &lt;= 3, "Recently[1-3]", AO336 &lt;= 6, "Due Soon[4-6]", AO336 &lt;= 10, "Overdue[7-10]", AO336 &lt;= 15, "Long Overdue[11-15]")</f>
        <v>Overdue[7-10]</v>
      </c>
      <c r="AQ336" s="9" t="str" cm="1">
        <f t="array" ref="AQ336">_xlfn.IFS(AR336 &lt;= 3, "New Relationship[1-3]", AR336 &lt;= 7, "Established Relationship[4-7]", AR336 &lt;= 12, "Long Term Relationship[8-12]", AR336 &lt;= 17, "Very Long Term Relationship[13-17]")</f>
        <v>Long Term Relationship[8-12]</v>
      </c>
      <c r="AR336" s="1">
        <v>8</v>
      </c>
    </row>
    <row r="337" spans="1:44" x14ac:dyDescent="0.25">
      <c r="A337" s="1">
        <v>40</v>
      </c>
      <c r="B337" s="8" t="str" cm="1">
        <f t="array" ref="B337">_xlfn.IFS(A337 &lt;= 25, "[18-25]", A337 &lt;= 35, "[26-35]", A337 &lt;=45, "[36-45]", A337 &lt;= 60, "[46- 60]")</f>
        <v>[36-45]</v>
      </c>
      <c r="C337" s="3" t="s">
        <v>43</v>
      </c>
      <c r="D337">
        <f t="shared" si="5"/>
        <v>0</v>
      </c>
      <c r="E337" t="s">
        <v>36</v>
      </c>
      <c r="F337" s="1">
        <v>1124</v>
      </c>
      <c r="G337" s="3" t="s">
        <v>37</v>
      </c>
      <c r="H337" s="1">
        <v>1</v>
      </c>
      <c r="I337" s="9" t="str" cm="1">
        <f t="array" ref="I337">_xlfn.IFS(H337 &lt;= 2, "[1-2] very close", H337 &lt;= 10, "[3-10] close", H337 &lt;= 20, "[11-20] moderate", H337 &lt;= 30, "[21-30] far")</f>
        <v>[1-2] very close</v>
      </c>
      <c r="J337" s="1">
        <v>2</v>
      </c>
      <c r="K337" s="3" t="s">
        <v>51</v>
      </c>
      <c r="L337" s="1">
        <v>1</v>
      </c>
      <c r="M337" s="1">
        <v>453</v>
      </c>
      <c r="N337" s="1">
        <v>2</v>
      </c>
      <c r="O337" s="3" t="s">
        <v>46</v>
      </c>
      <c r="P337" s="1">
        <v>57</v>
      </c>
      <c r="Q337" s="1">
        <v>1</v>
      </c>
      <c r="R337" s="1">
        <v>2</v>
      </c>
      <c r="S337" s="3" t="s">
        <v>40</v>
      </c>
      <c r="T337" s="1">
        <v>4</v>
      </c>
      <c r="U337" s="3" t="s">
        <v>48</v>
      </c>
      <c r="V337" s="4">
        <v>7457</v>
      </c>
      <c r="W337" s="1">
        <v>13273</v>
      </c>
      <c r="X337" s="1">
        <v>2</v>
      </c>
      <c r="Y337" s="3" t="s">
        <v>42</v>
      </c>
      <c r="Z337" s="3" t="s">
        <v>35</v>
      </c>
      <c r="AA337" s="5">
        <v>0.22</v>
      </c>
      <c r="AB337" s="10" t="str" cm="1">
        <f t="array" ref="AB337">_xlfn.IFS(AA337 &lt;= 15%, "Low Hike[11-15%]", AA337 &lt;= 20%, "Moderate Hike[16-20%]", AA337 &lt;= 25%,"High Hike[21-25%]")</f>
        <v>High Hike[21-25%]</v>
      </c>
      <c r="AC337" s="1">
        <v>4</v>
      </c>
      <c r="AD337" s="1">
        <v>3</v>
      </c>
      <c r="AE337" s="1">
        <v>80</v>
      </c>
      <c r="AF337" s="1">
        <v>3</v>
      </c>
      <c r="AG337" s="1">
        <v>6</v>
      </c>
      <c r="AH337" s="9" t="str" cm="1">
        <f t="array" ref="AH337">_xlfn.IFS(AG337 &lt;= 5, "New[1-5]", AG337 &lt;= 10, "Early Career[6-10]", AG337 &lt;= 20, "Established[11-20]", AG337 &lt;= 30, "Veteran[21-30]", AG337 &lt;= 40, "Late Career[31-40]")</f>
        <v>Early Career[6-10]</v>
      </c>
      <c r="AI337" s="1">
        <v>2</v>
      </c>
      <c r="AJ337" s="1">
        <v>2</v>
      </c>
      <c r="AK337" s="1">
        <v>4</v>
      </c>
      <c r="AL337" s="9" t="str" cm="1">
        <f t="array" ref="AL337">_xlfn.IFS(AK337 &lt;= 5, "New[1-5]", AK337 &lt;= 10, "Early Career[6-10]", AK337 &lt;= 20, "Established[11-20]", AK337 &lt;= 30, "Veteran[21-30]", AK337 &lt;= 40, "Late Career[31-40]")</f>
        <v>New[1-5]</v>
      </c>
      <c r="AM337" s="1">
        <v>3</v>
      </c>
      <c r="AN337" s="9" t="str" cm="1">
        <f t="array" ref="AN337">_xlfn.IFS(AM337 &lt;= 3, "New to Role[1-3]", AM337 &lt;= 7, "Settled[4-7]", AM337 &lt;= 12, "Experienced[[8-12]", AM337 &lt;= 18, "Long Tenured[13-18]")</f>
        <v>New to Role[1-3]</v>
      </c>
      <c r="AO337" s="1">
        <v>0</v>
      </c>
      <c r="AP337" s="9" t="str" cm="1">
        <f t="array" ref="AP337">_xlfn.IFS(AO337 &lt;= 3, "Recently[1-3]", AO337 &lt;= 6, "Due Soon[4-6]", AO337 &lt;= 10, "Overdue[7-10]", AO337 &lt;= 15, "Long Overdue[11-15]")</f>
        <v>Recently[1-3]</v>
      </c>
      <c r="AQ337" s="9" t="str" cm="1">
        <f t="array" ref="AQ337">_xlfn.IFS(AR337 &lt;= 3, "New Relationship[1-3]", AR337 &lt;= 7, "Established Relationship[4-7]", AR337 &lt;= 12, "Long Term Relationship[8-12]", AR337 &lt;= 17, "Very Long Term Relationship[13-17]")</f>
        <v>New Relationship[1-3]</v>
      </c>
      <c r="AR337" s="1">
        <v>2</v>
      </c>
    </row>
    <row r="338" spans="1:44" x14ac:dyDescent="0.25">
      <c r="A338" s="1">
        <v>29</v>
      </c>
      <c r="B338" s="8" t="str" cm="1">
        <f t="array" ref="B338">_xlfn.IFS(A338 &lt;= 25, "[18-25]", A338 &lt;= 35, "[26-35]", A338 &lt;=45, "[36-45]", A338 &lt;= 60, "[46- 60]")</f>
        <v>[26-35]</v>
      </c>
      <c r="C338" s="3" t="s">
        <v>35</v>
      </c>
      <c r="D338">
        <f t="shared" si="5"/>
        <v>1</v>
      </c>
      <c r="E338" t="s">
        <v>36</v>
      </c>
      <c r="F338" s="1">
        <v>318</v>
      </c>
      <c r="G338" s="3" t="s">
        <v>45</v>
      </c>
      <c r="H338" s="1">
        <v>8</v>
      </c>
      <c r="I338" s="9" t="str" cm="1">
        <f t="array" ref="I338">_xlfn.IFS(H338 &lt;= 2, "[1-2] very close", H338 &lt;= 10, "[3-10] close", H338 &lt;= 20, "[11-20] moderate", H338 &lt;= 30, "[21-30] far")</f>
        <v>[3-10] close</v>
      </c>
      <c r="J338" s="1">
        <v>4</v>
      </c>
      <c r="K338" s="3" t="s">
        <v>49</v>
      </c>
      <c r="L338" s="1">
        <v>1</v>
      </c>
      <c r="M338" s="1">
        <v>454</v>
      </c>
      <c r="N338" s="1">
        <v>2</v>
      </c>
      <c r="O338" s="3" t="s">
        <v>46</v>
      </c>
      <c r="P338" s="1">
        <v>77</v>
      </c>
      <c r="Q338" s="1">
        <v>1</v>
      </c>
      <c r="R338" s="1">
        <v>1</v>
      </c>
      <c r="S338" s="3" t="s">
        <v>50</v>
      </c>
      <c r="T338" s="1">
        <v>1</v>
      </c>
      <c r="U338" s="3" t="s">
        <v>48</v>
      </c>
      <c r="V338" s="4">
        <v>2119</v>
      </c>
      <c r="W338" s="1">
        <v>4759</v>
      </c>
      <c r="X338" s="1">
        <v>1</v>
      </c>
      <c r="Y338" s="3" t="s">
        <v>42</v>
      </c>
      <c r="Z338" s="3" t="s">
        <v>35</v>
      </c>
      <c r="AA338" s="5">
        <v>0.11</v>
      </c>
      <c r="AB338" s="10" t="str" cm="1">
        <f t="array" ref="AB338">_xlfn.IFS(AA338 &lt;= 15%, "Low Hike[11-15%]", AA338 &lt;= 20%, "Moderate Hike[16-20%]", AA338 &lt;= 25%,"High Hike[21-25%]")</f>
        <v>Low Hike[11-15%]</v>
      </c>
      <c r="AC338" s="1">
        <v>3</v>
      </c>
      <c r="AD338" s="1">
        <v>4</v>
      </c>
      <c r="AE338" s="1">
        <v>80</v>
      </c>
      <c r="AF338" s="1">
        <v>0</v>
      </c>
      <c r="AG338" s="1">
        <v>7</v>
      </c>
      <c r="AH338" s="9" t="str" cm="1">
        <f t="array" ref="AH338">_xlfn.IFS(AG338 &lt;= 5, "New[1-5]", AG338 &lt;= 10, "Early Career[6-10]", AG338 &lt;= 20, "Established[11-20]", AG338 &lt;= 30, "Veteran[21-30]", AG338 &lt;= 40, "Late Career[31-40]")</f>
        <v>Early Career[6-10]</v>
      </c>
      <c r="AI338" s="1">
        <v>4</v>
      </c>
      <c r="AJ338" s="1">
        <v>2</v>
      </c>
      <c r="AK338" s="1">
        <v>7</v>
      </c>
      <c r="AL338" s="9" t="str" cm="1">
        <f t="array" ref="AL338">_xlfn.IFS(AK338 &lt;= 5, "New[1-5]", AK338 &lt;= 10, "Early Career[6-10]", AK338 &lt;= 20, "Established[11-20]", AK338 &lt;= 30, "Veteran[21-30]", AK338 &lt;= 40, "Late Career[31-40]")</f>
        <v>Early Career[6-10]</v>
      </c>
      <c r="AM338" s="1">
        <v>7</v>
      </c>
      <c r="AN338" s="9" t="str" cm="1">
        <f t="array" ref="AN338">_xlfn.IFS(AM338 &lt;= 3, "New to Role[1-3]", AM338 &lt;= 7, "Settled[4-7]", AM338 &lt;= 12, "Experienced[[8-12]", AM338 &lt;= 18, "Long Tenured[13-18]")</f>
        <v>Settled[4-7]</v>
      </c>
      <c r="AO338" s="1">
        <v>0</v>
      </c>
      <c r="AP338" s="9" t="str" cm="1">
        <f t="array" ref="AP338">_xlfn.IFS(AO338 &lt;= 3, "Recently[1-3]", AO338 &lt;= 6, "Due Soon[4-6]", AO338 &lt;= 10, "Overdue[7-10]", AO338 &lt;= 15, "Long Overdue[11-15]")</f>
        <v>Recently[1-3]</v>
      </c>
      <c r="AQ338" s="9" t="str" cm="1">
        <f t="array" ref="AQ338">_xlfn.IFS(AR338 &lt;= 3, "New Relationship[1-3]", AR338 &lt;= 7, "Established Relationship[4-7]", AR338 &lt;= 12, "Long Term Relationship[8-12]", AR338 &lt;= 17, "Very Long Term Relationship[13-17]")</f>
        <v>Established Relationship[4-7]</v>
      </c>
      <c r="AR338" s="1">
        <v>7</v>
      </c>
    </row>
    <row r="339" spans="1:44" x14ac:dyDescent="0.25">
      <c r="A339" s="1">
        <v>29</v>
      </c>
      <c r="B339" s="8" t="str" cm="1">
        <f t="array" ref="B339">_xlfn.IFS(A339 &lt;= 25, "[18-25]", A339 &lt;= 35, "[26-35]", A339 &lt;=45, "[36-45]", A339 &lt;= 60, "[46- 60]")</f>
        <v>[26-35]</v>
      </c>
      <c r="C339" s="3" t="s">
        <v>43</v>
      </c>
      <c r="D339">
        <f t="shared" si="5"/>
        <v>0</v>
      </c>
      <c r="E339" t="s">
        <v>36</v>
      </c>
      <c r="F339" s="1">
        <v>738</v>
      </c>
      <c r="G339" s="3" t="s">
        <v>45</v>
      </c>
      <c r="H339" s="1">
        <v>9</v>
      </c>
      <c r="I339" s="9" t="str" cm="1">
        <f t="array" ref="I339">_xlfn.IFS(H339 &lt;= 2, "[1-2] very close", H339 &lt;= 10, "[3-10] close", H339 &lt;= 20, "[11-20] moderate", H339 &lt;= 30, "[21-30] far")</f>
        <v>[3-10] close</v>
      </c>
      <c r="J339" s="1">
        <v>5</v>
      </c>
      <c r="K339" s="3" t="s">
        <v>49</v>
      </c>
      <c r="L339" s="1">
        <v>1</v>
      </c>
      <c r="M339" s="1">
        <v>455</v>
      </c>
      <c r="N339" s="1">
        <v>2</v>
      </c>
      <c r="O339" s="3" t="s">
        <v>46</v>
      </c>
      <c r="P339" s="1">
        <v>30</v>
      </c>
      <c r="Q339" s="1">
        <v>2</v>
      </c>
      <c r="R339" s="1">
        <v>1</v>
      </c>
      <c r="S339" s="3" t="s">
        <v>50</v>
      </c>
      <c r="T339" s="1">
        <v>4</v>
      </c>
      <c r="U339" s="3" t="s">
        <v>41</v>
      </c>
      <c r="V339" s="4">
        <v>3983</v>
      </c>
      <c r="W339" s="1">
        <v>7621</v>
      </c>
      <c r="X339" s="1">
        <v>0</v>
      </c>
      <c r="Y339" s="3" t="s">
        <v>42</v>
      </c>
      <c r="Z339" s="3" t="s">
        <v>43</v>
      </c>
      <c r="AA339" s="5">
        <v>0.17</v>
      </c>
      <c r="AB339" s="10" t="str" cm="1">
        <f t="array" ref="AB339">_xlfn.IFS(AA339 &lt;= 15%, "Low Hike[11-15%]", AA339 &lt;= 20%, "Moderate Hike[16-20%]", AA339 &lt;= 25%,"High Hike[21-25%]")</f>
        <v>Moderate Hike[16-20%]</v>
      </c>
      <c r="AC339" s="1">
        <v>3</v>
      </c>
      <c r="AD339" s="1">
        <v>3</v>
      </c>
      <c r="AE339" s="1">
        <v>80</v>
      </c>
      <c r="AF339" s="1">
        <v>0</v>
      </c>
      <c r="AG339" s="1">
        <v>4</v>
      </c>
      <c r="AH339" s="9" t="str" cm="1">
        <f t="array" ref="AH339">_xlfn.IFS(AG339 &lt;= 5, "New[1-5]", AG339 &lt;= 10, "Early Career[6-10]", AG339 &lt;= 20, "Established[11-20]", AG339 &lt;= 30, "Veteran[21-30]", AG339 &lt;= 40, "Late Career[31-40]")</f>
        <v>New[1-5]</v>
      </c>
      <c r="AI339" s="1">
        <v>2</v>
      </c>
      <c r="AJ339" s="1">
        <v>3</v>
      </c>
      <c r="AK339" s="1">
        <v>3</v>
      </c>
      <c r="AL339" s="9" t="str" cm="1">
        <f t="array" ref="AL339">_xlfn.IFS(AK339 &lt;= 5, "New[1-5]", AK339 &lt;= 10, "Early Career[6-10]", AK339 &lt;= 20, "Established[11-20]", AK339 &lt;= 30, "Veteran[21-30]", AK339 &lt;= 40, "Late Career[31-40]")</f>
        <v>New[1-5]</v>
      </c>
      <c r="AM339" s="1">
        <v>2</v>
      </c>
      <c r="AN339" s="9" t="str" cm="1">
        <f t="array" ref="AN339">_xlfn.IFS(AM339 &lt;= 3, "New to Role[1-3]", AM339 &lt;= 7, "Settled[4-7]", AM339 &lt;= 12, "Experienced[[8-12]", AM339 &lt;= 18, "Long Tenured[13-18]")</f>
        <v>New to Role[1-3]</v>
      </c>
      <c r="AO339" s="1">
        <v>2</v>
      </c>
      <c r="AP339" s="9" t="str" cm="1">
        <f t="array" ref="AP339">_xlfn.IFS(AO339 &lt;= 3, "Recently[1-3]", AO339 &lt;= 6, "Due Soon[4-6]", AO339 &lt;= 10, "Overdue[7-10]", AO339 &lt;= 15, "Long Overdue[11-15]")</f>
        <v>Recently[1-3]</v>
      </c>
      <c r="AQ339" s="9" t="str" cm="1">
        <f t="array" ref="AQ339">_xlfn.IFS(AR339 &lt;= 3, "New Relationship[1-3]", AR339 &lt;= 7, "Established Relationship[4-7]", AR339 &lt;= 12, "Long Term Relationship[8-12]", AR339 &lt;= 17, "Very Long Term Relationship[13-17]")</f>
        <v>New Relationship[1-3]</v>
      </c>
      <c r="AR339" s="1">
        <v>2</v>
      </c>
    </row>
    <row r="340" spans="1:44" x14ac:dyDescent="0.25">
      <c r="A340" s="1">
        <v>30</v>
      </c>
      <c r="B340" s="8" t="str" cm="1">
        <f t="array" ref="B340">_xlfn.IFS(A340 &lt;= 25, "[18-25]", A340 &lt;= 35, "[26-35]", A340 &lt;=45, "[36-45]", A340 &lt;= 60, "[46- 60]")</f>
        <v>[26-35]</v>
      </c>
      <c r="C340" s="3" t="s">
        <v>43</v>
      </c>
      <c r="D340">
        <f t="shared" si="5"/>
        <v>0</v>
      </c>
      <c r="E340" t="s">
        <v>36</v>
      </c>
      <c r="F340" s="1">
        <v>570</v>
      </c>
      <c r="G340" s="3" t="s">
        <v>37</v>
      </c>
      <c r="H340" s="1">
        <v>5</v>
      </c>
      <c r="I340" s="9" t="str" cm="1">
        <f t="array" ref="I340">_xlfn.IFS(H340 &lt;= 2, "[1-2] very close", H340 &lt;= 10, "[3-10] close", H340 &lt;= 20, "[11-20] moderate", H340 &lt;= 30, "[21-30] far")</f>
        <v>[3-10] close</v>
      </c>
      <c r="J340" s="1">
        <v>3</v>
      </c>
      <c r="K340" s="3" t="s">
        <v>59</v>
      </c>
      <c r="L340" s="1">
        <v>1</v>
      </c>
      <c r="M340" s="1">
        <v>456</v>
      </c>
      <c r="N340" s="1">
        <v>4</v>
      </c>
      <c r="O340" s="3" t="s">
        <v>39</v>
      </c>
      <c r="P340" s="1">
        <v>30</v>
      </c>
      <c r="Q340" s="1">
        <v>2</v>
      </c>
      <c r="R340" s="1">
        <v>2</v>
      </c>
      <c r="S340" s="3" t="s">
        <v>40</v>
      </c>
      <c r="T340" s="1">
        <v>3</v>
      </c>
      <c r="U340" s="3" t="s">
        <v>52</v>
      </c>
      <c r="V340" s="4">
        <v>6118</v>
      </c>
      <c r="W340" s="1">
        <v>5431</v>
      </c>
      <c r="X340" s="1">
        <v>1</v>
      </c>
      <c r="Y340" s="3" t="s">
        <v>42</v>
      </c>
      <c r="Z340" s="3" t="s">
        <v>43</v>
      </c>
      <c r="AA340" s="5">
        <v>0.13</v>
      </c>
      <c r="AB340" s="10" t="str" cm="1">
        <f t="array" ref="AB340">_xlfn.IFS(AA340 &lt;= 15%, "Low Hike[11-15%]", AA340 &lt;= 20%, "Moderate Hike[16-20%]", AA340 &lt;= 25%,"High Hike[21-25%]")</f>
        <v>Low Hike[11-15%]</v>
      </c>
      <c r="AC340" s="1">
        <v>3</v>
      </c>
      <c r="AD340" s="1">
        <v>3</v>
      </c>
      <c r="AE340" s="1">
        <v>80</v>
      </c>
      <c r="AF340" s="1">
        <v>3</v>
      </c>
      <c r="AG340" s="1">
        <v>10</v>
      </c>
      <c r="AH340" s="9" t="str" cm="1">
        <f t="array" ref="AH340">_xlfn.IFS(AG340 &lt;= 5, "New[1-5]", AG340 &lt;= 10, "Early Career[6-10]", AG340 &lt;= 20, "Established[11-20]", AG340 &lt;= 30, "Veteran[21-30]", AG340 &lt;= 40, "Late Career[31-40]")</f>
        <v>Early Career[6-10]</v>
      </c>
      <c r="AI340" s="1">
        <v>2</v>
      </c>
      <c r="AJ340" s="1">
        <v>3</v>
      </c>
      <c r="AK340" s="1">
        <v>10</v>
      </c>
      <c r="AL340" s="9" t="str" cm="1">
        <f t="array" ref="AL340">_xlfn.IFS(AK340 &lt;= 5, "New[1-5]", AK340 &lt;= 10, "Early Career[6-10]", AK340 &lt;= 20, "Established[11-20]", AK340 &lt;= 30, "Veteran[21-30]", AK340 &lt;= 40, "Late Career[31-40]")</f>
        <v>Early Career[6-10]</v>
      </c>
      <c r="AM340" s="1">
        <v>9</v>
      </c>
      <c r="AN340" s="9" t="str" cm="1">
        <f t="array" ref="AN340">_xlfn.IFS(AM340 &lt;= 3, "New to Role[1-3]", AM340 &lt;= 7, "Settled[4-7]", AM340 &lt;= 12, "Experienced[[8-12]", AM340 &lt;= 18, "Long Tenured[13-18]")</f>
        <v>Experienced[[8-12]</v>
      </c>
      <c r="AO340" s="1">
        <v>1</v>
      </c>
      <c r="AP340" s="9" t="str" cm="1">
        <f t="array" ref="AP340">_xlfn.IFS(AO340 &lt;= 3, "Recently[1-3]", AO340 &lt;= 6, "Due Soon[4-6]", AO340 &lt;= 10, "Overdue[7-10]", AO340 &lt;= 15, "Long Overdue[11-15]")</f>
        <v>Recently[1-3]</v>
      </c>
      <c r="AQ340" s="9" t="str" cm="1">
        <f t="array" ref="AQ340">_xlfn.IFS(AR340 &lt;= 3, "New Relationship[1-3]", AR340 &lt;= 7, "Established Relationship[4-7]", AR340 &lt;= 12, "Long Term Relationship[8-12]", AR340 &lt;= 17, "Very Long Term Relationship[13-17]")</f>
        <v>New Relationship[1-3]</v>
      </c>
      <c r="AR340" s="1">
        <v>2</v>
      </c>
    </row>
    <row r="341" spans="1:44" x14ac:dyDescent="0.25">
      <c r="A341" s="1">
        <v>27</v>
      </c>
      <c r="B341" s="8" t="str" cm="1">
        <f t="array" ref="B341">_xlfn.IFS(A341 &lt;= 25, "[18-25]", A341 &lt;= 35, "[26-35]", A341 &lt;=45, "[36-45]", A341 &lt;= 60, "[46- 60]")</f>
        <v>[26-35]</v>
      </c>
      <c r="C341" s="3" t="s">
        <v>43</v>
      </c>
      <c r="D341">
        <f t="shared" si="5"/>
        <v>0</v>
      </c>
      <c r="E341" t="s">
        <v>36</v>
      </c>
      <c r="F341" s="1">
        <v>1130</v>
      </c>
      <c r="G341" s="3" t="s">
        <v>37</v>
      </c>
      <c r="H341" s="1">
        <v>8</v>
      </c>
      <c r="I341" s="9" t="str" cm="1">
        <f t="array" ref="I341">_xlfn.IFS(H341 &lt;= 2, "[1-2] very close", H341 &lt;= 10, "[3-10] close", H341 &lt;= 20, "[11-20] moderate", H341 &lt;= 30, "[21-30] far")</f>
        <v>[3-10] close</v>
      </c>
      <c r="J341" s="1">
        <v>4</v>
      </c>
      <c r="K341" s="3" t="s">
        <v>59</v>
      </c>
      <c r="L341" s="1">
        <v>1</v>
      </c>
      <c r="M341" s="1">
        <v>458</v>
      </c>
      <c r="N341" s="1">
        <v>2</v>
      </c>
      <c r="O341" s="3" t="s">
        <v>39</v>
      </c>
      <c r="P341" s="1">
        <v>56</v>
      </c>
      <c r="Q341" s="1">
        <v>3</v>
      </c>
      <c r="R341" s="1">
        <v>2</v>
      </c>
      <c r="S341" s="3" t="s">
        <v>40</v>
      </c>
      <c r="T341" s="1">
        <v>2</v>
      </c>
      <c r="U341" s="3" t="s">
        <v>48</v>
      </c>
      <c r="V341" s="4">
        <v>6214</v>
      </c>
      <c r="W341" s="1">
        <v>3415</v>
      </c>
      <c r="X341" s="1">
        <v>1</v>
      </c>
      <c r="Y341" s="3" t="s">
        <v>42</v>
      </c>
      <c r="Z341" s="3" t="s">
        <v>43</v>
      </c>
      <c r="AA341" s="5">
        <v>0.18</v>
      </c>
      <c r="AB341" s="10" t="str" cm="1">
        <f t="array" ref="AB341">_xlfn.IFS(AA341 &lt;= 15%, "Low Hike[11-15%]", AA341 &lt;= 20%, "Moderate Hike[16-20%]", AA341 &lt;= 25%,"High Hike[21-25%]")</f>
        <v>Moderate Hike[16-20%]</v>
      </c>
      <c r="AC341" s="1">
        <v>3</v>
      </c>
      <c r="AD341" s="1">
        <v>1</v>
      </c>
      <c r="AE341" s="1">
        <v>80</v>
      </c>
      <c r="AF341" s="1">
        <v>1</v>
      </c>
      <c r="AG341" s="1">
        <v>8</v>
      </c>
      <c r="AH341" s="9" t="str" cm="1">
        <f t="array" ref="AH341">_xlfn.IFS(AG341 &lt;= 5, "New[1-5]", AG341 &lt;= 10, "Early Career[6-10]", AG341 &lt;= 20, "Established[11-20]", AG341 &lt;= 30, "Veteran[21-30]", AG341 &lt;= 40, "Late Career[31-40]")</f>
        <v>Early Career[6-10]</v>
      </c>
      <c r="AI341" s="1">
        <v>3</v>
      </c>
      <c r="AJ341" s="1">
        <v>3</v>
      </c>
      <c r="AK341" s="1">
        <v>8</v>
      </c>
      <c r="AL341" s="9" t="str" cm="1">
        <f t="array" ref="AL341">_xlfn.IFS(AK341 &lt;= 5, "New[1-5]", AK341 &lt;= 10, "Early Career[6-10]", AK341 &lt;= 20, "Established[11-20]", AK341 &lt;= 30, "Veteran[21-30]", AK341 &lt;= 40, "Late Career[31-40]")</f>
        <v>Early Career[6-10]</v>
      </c>
      <c r="AM341" s="1">
        <v>7</v>
      </c>
      <c r="AN341" s="9" t="str" cm="1">
        <f t="array" ref="AN341">_xlfn.IFS(AM341 &lt;= 3, "New to Role[1-3]", AM341 &lt;= 7, "Settled[4-7]", AM341 &lt;= 12, "Experienced[[8-12]", AM341 &lt;= 18, "Long Tenured[13-18]")</f>
        <v>Settled[4-7]</v>
      </c>
      <c r="AO341" s="1">
        <v>0</v>
      </c>
      <c r="AP341" s="9" t="str" cm="1">
        <f t="array" ref="AP341">_xlfn.IFS(AO341 &lt;= 3, "Recently[1-3]", AO341 &lt;= 6, "Due Soon[4-6]", AO341 &lt;= 10, "Overdue[7-10]", AO341 &lt;= 15, "Long Overdue[11-15]")</f>
        <v>Recently[1-3]</v>
      </c>
      <c r="AQ341" s="9" t="str" cm="1">
        <f t="array" ref="AQ341">_xlfn.IFS(AR341 &lt;= 3, "New Relationship[1-3]", AR341 &lt;= 7, "Established Relationship[4-7]", AR341 &lt;= 12, "Long Term Relationship[8-12]", AR341 &lt;= 17, "Very Long Term Relationship[13-17]")</f>
        <v>Established Relationship[4-7]</v>
      </c>
      <c r="AR341" s="1">
        <v>7</v>
      </c>
    </row>
    <row r="342" spans="1:44" x14ac:dyDescent="0.25">
      <c r="A342" s="1">
        <v>37</v>
      </c>
      <c r="B342" s="8" t="str" cm="1">
        <f t="array" ref="B342">_xlfn.IFS(A342 &lt;= 25, "[18-25]", A342 &lt;= 35, "[26-35]", A342 &lt;=45, "[36-45]", A342 &lt;= 60, "[46- 60]")</f>
        <v>[36-45]</v>
      </c>
      <c r="C342" s="3" t="s">
        <v>43</v>
      </c>
      <c r="D342">
        <f t="shared" si="5"/>
        <v>0</v>
      </c>
      <c r="E342" t="s">
        <v>36</v>
      </c>
      <c r="F342" s="1">
        <v>1192</v>
      </c>
      <c r="G342" s="3" t="s">
        <v>45</v>
      </c>
      <c r="H342" s="1">
        <v>5</v>
      </c>
      <c r="I342" s="9" t="str" cm="1">
        <f t="array" ref="I342">_xlfn.IFS(H342 &lt;= 2, "[1-2] very close", H342 &lt;= 10, "[3-10] close", H342 &lt;= 20, "[11-20] moderate", H342 &lt;= 30, "[21-30] far")</f>
        <v>[3-10] close</v>
      </c>
      <c r="J342" s="1">
        <v>2</v>
      </c>
      <c r="K342" s="3" t="s">
        <v>51</v>
      </c>
      <c r="L342" s="1">
        <v>1</v>
      </c>
      <c r="M342" s="1">
        <v>460</v>
      </c>
      <c r="N342" s="1">
        <v>4</v>
      </c>
      <c r="O342" s="3" t="s">
        <v>46</v>
      </c>
      <c r="P342" s="1">
        <v>61</v>
      </c>
      <c r="Q342" s="1">
        <v>3</v>
      </c>
      <c r="R342" s="1">
        <v>2</v>
      </c>
      <c r="S342" s="3" t="s">
        <v>53</v>
      </c>
      <c r="T342" s="1">
        <v>4</v>
      </c>
      <c r="U342" s="3" t="s">
        <v>52</v>
      </c>
      <c r="V342" s="4">
        <v>6347</v>
      </c>
      <c r="W342" s="1">
        <v>23177</v>
      </c>
      <c r="X342" s="1">
        <v>7</v>
      </c>
      <c r="Y342" s="3" t="s">
        <v>42</v>
      </c>
      <c r="Z342" s="3" t="s">
        <v>43</v>
      </c>
      <c r="AA342" s="5">
        <v>0.16</v>
      </c>
      <c r="AB342" s="10" t="str" cm="1">
        <f t="array" ref="AB342">_xlfn.IFS(AA342 &lt;= 15%, "Low Hike[11-15%]", AA342 &lt;= 20%, "Moderate Hike[16-20%]", AA342 &lt;= 25%,"High Hike[21-25%]")</f>
        <v>Moderate Hike[16-20%]</v>
      </c>
      <c r="AC342" s="1">
        <v>3</v>
      </c>
      <c r="AD342" s="1">
        <v>3</v>
      </c>
      <c r="AE342" s="1">
        <v>80</v>
      </c>
      <c r="AF342" s="1">
        <v>2</v>
      </c>
      <c r="AG342" s="1">
        <v>8</v>
      </c>
      <c r="AH342" s="9" t="str" cm="1">
        <f t="array" ref="AH342">_xlfn.IFS(AG342 &lt;= 5, "New[1-5]", AG342 &lt;= 10, "Early Career[6-10]", AG342 &lt;= 20, "Established[11-20]", AG342 &lt;= 30, "Veteran[21-30]", AG342 &lt;= 40, "Late Career[31-40]")</f>
        <v>Early Career[6-10]</v>
      </c>
      <c r="AI342" s="1">
        <v>2</v>
      </c>
      <c r="AJ342" s="1">
        <v>2</v>
      </c>
      <c r="AK342" s="1">
        <v>6</v>
      </c>
      <c r="AL342" s="9" t="str" cm="1">
        <f t="array" ref="AL342">_xlfn.IFS(AK342 &lt;= 5, "New[1-5]", AK342 &lt;= 10, "Early Career[6-10]", AK342 &lt;= 20, "Established[11-20]", AK342 &lt;= 30, "Veteran[21-30]", AK342 &lt;= 40, "Late Career[31-40]")</f>
        <v>Early Career[6-10]</v>
      </c>
      <c r="AM342" s="1">
        <v>2</v>
      </c>
      <c r="AN342" s="9" t="str" cm="1">
        <f t="array" ref="AN342">_xlfn.IFS(AM342 &lt;= 3, "New to Role[1-3]", AM342 &lt;= 7, "Settled[4-7]", AM342 &lt;= 12, "Experienced[[8-12]", AM342 &lt;= 18, "Long Tenured[13-18]")</f>
        <v>New to Role[1-3]</v>
      </c>
      <c r="AO342" s="1">
        <v>0</v>
      </c>
      <c r="AP342" s="9" t="str" cm="1">
        <f t="array" ref="AP342">_xlfn.IFS(AO342 &lt;= 3, "Recently[1-3]", AO342 &lt;= 6, "Due Soon[4-6]", AO342 &lt;= 10, "Overdue[7-10]", AO342 &lt;= 15, "Long Overdue[11-15]")</f>
        <v>Recently[1-3]</v>
      </c>
      <c r="AQ342" s="9" t="str" cm="1">
        <f t="array" ref="AQ342">_xlfn.IFS(AR342 &lt;= 3, "New Relationship[1-3]", AR342 &lt;= 7, "Established Relationship[4-7]", AR342 &lt;= 12, "Long Term Relationship[8-12]", AR342 &lt;= 17, "Very Long Term Relationship[13-17]")</f>
        <v>Established Relationship[4-7]</v>
      </c>
      <c r="AR342" s="1">
        <v>4</v>
      </c>
    </row>
    <row r="343" spans="1:44" x14ac:dyDescent="0.25">
      <c r="A343" s="1">
        <v>38</v>
      </c>
      <c r="B343" s="8" t="str" cm="1">
        <f t="array" ref="B343">_xlfn.IFS(A343 &lt;= 25, "[18-25]", A343 &lt;= 35, "[26-35]", A343 &lt;=45, "[36-45]", A343 &lt;= 60, "[46- 60]")</f>
        <v>[36-45]</v>
      </c>
      <c r="C343" s="3" t="s">
        <v>43</v>
      </c>
      <c r="D343">
        <f t="shared" si="5"/>
        <v>0</v>
      </c>
      <c r="E343" t="s">
        <v>36</v>
      </c>
      <c r="F343" s="1">
        <v>343</v>
      </c>
      <c r="G343" s="3" t="s">
        <v>45</v>
      </c>
      <c r="H343" s="1">
        <v>15</v>
      </c>
      <c r="I343" s="9" t="str" cm="1">
        <f t="array" ref="I343">_xlfn.IFS(H343 &lt;= 2, "[1-2] very close", H343 &lt;= 10, "[3-10] close", H343 &lt;= 20, "[11-20] moderate", H343 &lt;= 30, "[21-30] far")</f>
        <v>[11-20] moderate</v>
      </c>
      <c r="J343" s="1">
        <v>2</v>
      </c>
      <c r="K343" s="3" t="s">
        <v>38</v>
      </c>
      <c r="L343" s="1">
        <v>1</v>
      </c>
      <c r="M343" s="1">
        <v>461</v>
      </c>
      <c r="N343" s="1">
        <v>3</v>
      </c>
      <c r="O343" s="3" t="s">
        <v>46</v>
      </c>
      <c r="P343" s="1">
        <v>92</v>
      </c>
      <c r="Q343" s="1">
        <v>2</v>
      </c>
      <c r="R343" s="1">
        <v>3</v>
      </c>
      <c r="S343" s="3" t="s">
        <v>58</v>
      </c>
      <c r="T343" s="1">
        <v>4</v>
      </c>
      <c r="U343" s="3" t="s">
        <v>52</v>
      </c>
      <c r="V343" s="4">
        <v>11510</v>
      </c>
      <c r="W343" s="1">
        <v>15682</v>
      </c>
      <c r="X343" s="1">
        <v>0</v>
      </c>
      <c r="Y343" s="3" t="s">
        <v>42</v>
      </c>
      <c r="Z343" s="3" t="s">
        <v>35</v>
      </c>
      <c r="AA343" s="5">
        <v>0.14000000000000001</v>
      </c>
      <c r="AB343" s="10" t="str" cm="1">
        <f t="array" ref="AB343">_xlfn.IFS(AA343 &lt;= 15%, "Low Hike[11-15%]", AA343 &lt;= 20%, "Moderate Hike[16-20%]", AA343 &lt;= 25%,"High Hike[21-25%]")</f>
        <v>Low Hike[11-15%]</v>
      </c>
      <c r="AC343" s="1">
        <v>3</v>
      </c>
      <c r="AD343" s="1">
        <v>2</v>
      </c>
      <c r="AE343" s="1">
        <v>80</v>
      </c>
      <c r="AF343" s="1">
        <v>1</v>
      </c>
      <c r="AG343" s="1">
        <v>12</v>
      </c>
      <c r="AH343" s="9" t="str" cm="1">
        <f t="array" ref="AH343">_xlfn.IFS(AG343 &lt;= 5, "New[1-5]", AG343 &lt;= 10, "Early Career[6-10]", AG343 &lt;= 20, "Established[11-20]", AG343 &lt;= 30, "Veteran[21-30]", AG343 &lt;= 40, "Late Career[31-40]")</f>
        <v>Established[11-20]</v>
      </c>
      <c r="AI343" s="1">
        <v>3</v>
      </c>
      <c r="AJ343" s="1">
        <v>3</v>
      </c>
      <c r="AK343" s="1">
        <v>11</v>
      </c>
      <c r="AL343" s="9" t="str" cm="1">
        <f t="array" ref="AL343">_xlfn.IFS(AK343 &lt;= 5, "New[1-5]", AK343 &lt;= 10, "Early Career[6-10]", AK343 &lt;= 20, "Established[11-20]", AK343 &lt;= 30, "Veteran[21-30]", AK343 &lt;= 40, "Late Career[31-40]")</f>
        <v>Established[11-20]</v>
      </c>
      <c r="AM343" s="1">
        <v>10</v>
      </c>
      <c r="AN343" s="9" t="str" cm="1">
        <f t="array" ref="AN343">_xlfn.IFS(AM343 &lt;= 3, "New to Role[1-3]", AM343 &lt;= 7, "Settled[4-7]", AM343 &lt;= 12, "Experienced[[8-12]", AM343 &lt;= 18, "Long Tenured[13-18]")</f>
        <v>Experienced[[8-12]</v>
      </c>
      <c r="AO343" s="1">
        <v>2</v>
      </c>
      <c r="AP343" s="9" t="str" cm="1">
        <f t="array" ref="AP343">_xlfn.IFS(AO343 &lt;= 3, "Recently[1-3]", AO343 &lt;= 6, "Due Soon[4-6]", AO343 &lt;= 10, "Overdue[7-10]", AO343 &lt;= 15, "Long Overdue[11-15]")</f>
        <v>Recently[1-3]</v>
      </c>
      <c r="AQ343" s="9" t="str" cm="1">
        <f t="array" ref="AQ343">_xlfn.IFS(AR343 &lt;= 3, "New Relationship[1-3]", AR343 &lt;= 7, "Established Relationship[4-7]", AR343 &lt;= 12, "Long Term Relationship[8-12]", AR343 &lt;= 17, "Very Long Term Relationship[13-17]")</f>
        <v>Long Term Relationship[8-12]</v>
      </c>
      <c r="AR343" s="1">
        <v>9</v>
      </c>
    </row>
    <row r="344" spans="1:44" x14ac:dyDescent="0.25">
      <c r="A344" s="1">
        <v>31</v>
      </c>
      <c r="B344" s="8" t="str" cm="1">
        <f t="array" ref="B344">_xlfn.IFS(A344 &lt;= 25, "[18-25]", A344 &lt;= 35, "[26-35]", A344 &lt;=45, "[36-45]", A344 &lt;= 60, "[46- 60]")</f>
        <v>[26-35]</v>
      </c>
      <c r="C344" s="3" t="s">
        <v>43</v>
      </c>
      <c r="D344">
        <f t="shared" si="5"/>
        <v>0</v>
      </c>
      <c r="E344" t="s">
        <v>36</v>
      </c>
      <c r="F344" s="1">
        <v>1232</v>
      </c>
      <c r="G344" s="3" t="s">
        <v>45</v>
      </c>
      <c r="H344" s="1">
        <v>7</v>
      </c>
      <c r="I344" s="9" t="str" cm="1">
        <f t="array" ref="I344">_xlfn.IFS(H344 &lt;= 2, "[1-2] very close", H344 &lt;= 10, "[3-10] close", H344 &lt;= 20, "[11-20] moderate", H344 &lt;= 30, "[21-30] far")</f>
        <v>[3-10] close</v>
      </c>
      <c r="J344" s="1">
        <v>4</v>
      </c>
      <c r="K344" s="3" t="s">
        <v>51</v>
      </c>
      <c r="L344" s="1">
        <v>1</v>
      </c>
      <c r="M344" s="1">
        <v>462</v>
      </c>
      <c r="N344" s="1">
        <v>3</v>
      </c>
      <c r="O344" s="3" t="s">
        <v>39</v>
      </c>
      <c r="P344" s="1">
        <v>39</v>
      </c>
      <c r="Q344" s="1">
        <v>3</v>
      </c>
      <c r="R344" s="1">
        <v>3</v>
      </c>
      <c r="S344" s="3" t="s">
        <v>53</v>
      </c>
      <c r="T344" s="1">
        <v>4</v>
      </c>
      <c r="U344" s="3" t="s">
        <v>41</v>
      </c>
      <c r="V344" s="4">
        <v>7143</v>
      </c>
      <c r="W344" s="1">
        <v>25713</v>
      </c>
      <c r="X344" s="1">
        <v>1</v>
      </c>
      <c r="Y344" s="3" t="s">
        <v>42</v>
      </c>
      <c r="Z344" s="3" t="s">
        <v>35</v>
      </c>
      <c r="AA344" s="5">
        <v>0.14000000000000001</v>
      </c>
      <c r="AB344" s="10" t="str" cm="1">
        <f t="array" ref="AB344">_xlfn.IFS(AA344 &lt;= 15%, "Low Hike[11-15%]", AA344 &lt;= 20%, "Moderate Hike[16-20%]", AA344 &lt;= 25%,"High Hike[21-25%]")</f>
        <v>Low Hike[11-15%]</v>
      </c>
      <c r="AC344" s="1">
        <v>3</v>
      </c>
      <c r="AD344" s="1">
        <v>3</v>
      </c>
      <c r="AE344" s="1">
        <v>80</v>
      </c>
      <c r="AF344" s="1">
        <v>0</v>
      </c>
      <c r="AG344" s="1">
        <v>11</v>
      </c>
      <c r="AH344" s="9" t="str" cm="1">
        <f t="array" ref="AH344">_xlfn.IFS(AG344 &lt;= 5, "New[1-5]", AG344 &lt;= 10, "Early Career[6-10]", AG344 &lt;= 20, "Established[11-20]", AG344 &lt;= 30, "Veteran[21-30]", AG344 &lt;= 40, "Late Career[31-40]")</f>
        <v>Established[11-20]</v>
      </c>
      <c r="AI344" s="1">
        <v>2</v>
      </c>
      <c r="AJ344" s="1">
        <v>2</v>
      </c>
      <c r="AK344" s="1">
        <v>11</v>
      </c>
      <c r="AL344" s="9" t="str" cm="1">
        <f t="array" ref="AL344">_xlfn.IFS(AK344 &lt;= 5, "New[1-5]", AK344 &lt;= 10, "Early Career[6-10]", AK344 &lt;= 20, "Established[11-20]", AK344 &lt;= 30, "Veteran[21-30]", AK344 &lt;= 40, "Late Career[31-40]")</f>
        <v>Established[11-20]</v>
      </c>
      <c r="AM344" s="1">
        <v>9</v>
      </c>
      <c r="AN344" s="9" t="str" cm="1">
        <f t="array" ref="AN344">_xlfn.IFS(AM344 &lt;= 3, "New to Role[1-3]", AM344 &lt;= 7, "Settled[4-7]", AM344 &lt;= 12, "Experienced[[8-12]", AM344 &lt;= 18, "Long Tenured[13-18]")</f>
        <v>Experienced[[8-12]</v>
      </c>
      <c r="AO344" s="1">
        <v>4</v>
      </c>
      <c r="AP344" s="9" t="str" cm="1">
        <f t="array" ref="AP344">_xlfn.IFS(AO344 &lt;= 3, "Recently[1-3]", AO344 &lt;= 6, "Due Soon[4-6]", AO344 &lt;= 10, "Overdue[7-10]", AO344 &lt;= 15, "Long Overdue[11-15]")</f>
        <v>Due Soon[4-6]</v>
      </c>
      <c r="AQ344" s="9" t="str" cm="1">
        <f t="array" ref="AQ344">_xlfn.IFS(AR344 &lt;= 3, "New Relationship[1-3]", AR344 &lt;= 7, "Established Relationship[4-7]", AR344 &lt;= 12, "Long Term Relationship[8-12]", AR344 &lt;= 17, "Very Long Term Relationship[13-17]")</f>
        <v>Long Term Relationship[8-12]</v>
      </c>
      <c r="AR344" s="1">
        <v>10</v>
      </c>
    </row>
    <row r="345" spans="1:44" x14ac:dyDescent="0.25">
      <c r="A345" s="1">
        <v>29</v>
      </c>
      <c r="B345" s="8" t="str" cm="1">
        <f t="array" ref="B345">_xlfn.IFS(A345 &lt;= 25, "[18-25]", A345 &lt;= 35, "[26-35]", A345 &lt;=45, "[36-45]", A345 &lt;= 60, "[46- 60]")</f>
        <v>[26-35]</v>
      </c>
      <c r="C345" s="3" t="s">
        <v>43</v>
      </c>
      <c r="D345">
        <f t="shared" si="5"/>
        <v>0</v>
      </c>
      <c r="E345" t="s">
        <v>36</v>
      </c>
      <c r="F345" s="1">
        <v>144</v>
      </c>
      <c r="G345" s="3" t="s">
        <v>37</v>
      </c>
      <c r="H345" s="1">
        <v>10</v>
      </c>
      <c r="I345" s="9" t="str" cm="1">
        <f t="array" ref="I345">_xlfn.IFS(H345 &lt;= 2, "[1-2] very close", H345 &lt;= 10, "[3-10] close", H345 &lt;= 20, "[11-20] moderate", H345 &lt;= 30, "[21-30] far")</f>
        <v>[3-10] close</v>
      </c>
      <c r="J345" s="1">
        <v>1</v>
      </c>
      <c r="K345" s="3" t="s">
        <v>59</v>
      </c>
      <c r="L345" s="1">
        <v>1</v>
      </c>
      <c r="M345" s="1">
        <v>463</v>
      </c>
      <c r="N345" s="1">
        <v>4</v>
      </c>
      <c r="O345" s="3" t="s">
        <v>39</v>
      </c>
      <c r="P345" s="1">
        <v>39</v>
      </c>
      <c r="Q345" s="1">
        <v>2</v>
      </c>
      <c r="R345" s="1">
        <v>2</v>
      </c>
      <c r="S345" s="3" t="s">
        <v>40</v>
      </c>
      <c r="T345" s="1">
        <v>2</v>
      </c>
      <c r="U345" s="3" t="s">
        <v>52</v>
      </c>
      <c r="V345" s="4">
        <v>8268</v>
      </c>
      <c r="W345" s="1">
        <v>11866</v>
      </c>
      <c r="X345" s="1">
        <v>1</v>
      </c>
      <c r="Y345" s="3" t="s">
        <v>42</v>
      </c>
      <c r="Z345" s="3" t="s">
        <v>35</v>
      </c>
      <c r="AA345" s="5">
        <v>0.14000000000000001</v>
      </c>
      <c r="AB345" s="10" t="str" cm="1">
        <f t="array" ref="AB345">_xlfn.IFS(AA345 &lt;= 15%, "Low Hike[11-15%]", AA345 &lt;= 20%, "Moderate Hike[16-20%]", AA345 &lt;= 25%,"High Hike[21-25%]")</f>
        <v>Low Hike[11-15%]</v>
      </c>
      <c r="AC345" s="1">
        <v>3</v>
      </c>
      <c r="AD345" s="1">
        <v>1</v>
      </c>
      <c r="AE345" s="1">
        <v>80</v>
      </c>
      <c r="AF345" s="1">
        <v>2</v>
      </c>
      <c r="AG345" s="1">
        <v>7</v>
      </c>
      <c r="AH345" s="9" t="str" cm="1">
        <f t="array" ref="AH345">_xlfn.IFS(AG345 &lt;= 5, "New[1-5]", AG345 &lt;= 10, "Early Career[6-10]", AG345 &lt;= 20, "Established[11-20]", AG345 &lt;= 30, "Veteran[21-30]", AG345 &lt;= 40, "Late Career[31-40]")</f>
        <v>Early Career[6-10]</v>
      </c>
      <c r="AI345" s="1">
        <v>2</v>
      </c>
      <c r="AJ345" s="1">
        <v>3</v>
      </c>
      <c r="AK345" s="1">
        <v>7</v>
      </c>
      <c r="AL345" s="9" t="str" cm="1">
        <f t="array" ref="AL345">_xlfn.IFS(AK345 &lt;= 5, "New[1-5]", AK345 &lt;= 10, "Early Career[6-10]", AK345 &lt;= 20, "Established[11-20]", AK345 &lt;= 30, "Veteran[21-30]", AK345 &lt;= 40, "Late Career[31-40]")</f>
        <v>Early Career[6-10]</v>
      </c>
      <c r="AM345" s="1">
        <v>7</v>
      </c>
      <c r="AN345" s="9" t="str" cm="1">
        <f t="array" ref="AN345">_xlfn.IFS(AM345 &lt;= 3, "New to Role[1-3]", AM345 &lt;= 7, "Settled[4-7]", AM345 &lt;= 12, "Experienced[[8-12]", AM345 &lt;= 18, "Long Tenured[13-18]")</f>
        <v>Settled[4-7]</v>
      </c>
      <c r="AO345" s="1">
        <v>1</v>
      </c>
      <c r="AP345" s="9" t="str" cm="1">
        <f t="array" ref="AP345">_xlfn.IFS(AO345 &lt;= 3, "Recently[1-3]", AO345 &lt;= 6, "Due Soon[4-6]", AO345 &lt;= 10, "Overdue[7-10]", AO345 &lt;= 15, "Long Overdue[11-15]")</f>
        <v>Recently[1-3]</v>
      </c>
      <c r="AQ345" s="9" t="str" cm="1">
        <f t="array" ref="AQ345">_xlfn.IFS(AR345 &lt;= 3, "New Relationship[1-3]", AR345 &lt;= 7, "Established Relationship[4-7]", AR345 &lt;= 12, "Long Term Relationship[8-12]", AR345 &lt;= 17, "Very Long Term Relationship[13-17]")</f>
        <v>Established Relationship[4-7]</v>
      </c>
      <c r="AR345" s="1">
        <v>7</v>
      </c>
    </row>
    <row r="346" spans="1:44" x14ac:dyDescent="0.25">
      <c r="A346" s="1">
        <v>35</v>
      </c>
      <c r="B346" s="8" t="str" cm="1">
        <f t="array" ref="B346">_xlfn.IFS(A346 &lt;= 25, "[18-25]", A346 &lt;= 35, "[26-35]", A346 &lt;=45, "[36-45]", A346 &lt;= 60, "[46- 60]")</f>
        <v>[26-35]</v>
      </c>
      <c r="C346" s="3" t="s">
        <v>43</v>
      </c>
      <c r="D346">
        <f t="shared" si="5"/>
        <v>0</v>
      </c>
      <c r="E346" t="s">
        <v>36</v>
      </c>
      <c r="F346" s="1">
        <v>1296</v>
      </c>
      <c r="G346" s="3" t="s">
        <v>45</v>
      </c>
      <c r="H346" s="1">
        <v>5</v>
      </c>
      <c r="I346" s="9" t="str" cm="1">
        <f t="array" ref="I346">_xlfn.IFS(H346 &lt;= 2, "[1-2] very close", H346 &lt;= 10, "[3-10] close", H346 &lt;= 20, "[11-20] moderate", H346 &lt;= 30, "[21-30] far")</f>
        <v>[3-10] close</v>
      </c>
      <c r="J346" s="1">
        <v>4</v>
      </c>
      <c r="K346" s="3" t="s">
        <v>60</v>
      </c>
      <c r="L346" s="1">
        <v>1</v>
      </c>
      <c r="M346" s="1">
        <v>464</v>
      </c>
      <c r="N346" s="1">
        <v>3</v>
      </c>
      <c r="O346" s="3" t="s">
        <v>46</v>
      </c>
      <c r="P346" s="1">
        <v>62</v>
      </c>
      <c r="Q346" s="1">
        <v>3</v>
      </c>
      <c r="R346" s="1">
        <v>3</v>
      </c>
      <c r="S346" s="3" t="s">
        <v>53</v>
      </c>
      <c r="T346" s="1">
        <v>2</v>
      </c>
      <c r="U346" s="3" t="s">
        <v>41</v>
      </c>
      <c r="V346" s="4">
        <v>8095</v>
      </c>
      <c r="W346" s="1">
        <v>18264</v>
      </c>
      <c r="X346" s="1">
        <v>0</v>
      </c>
      <c r="Y346" s="3" t="s">
        <v>42</v>
      </c>
      <c r="Z346" s="3" t="s">
        <v>43</v>
      </c>
      <c r="AA346" s="5">
        <v>0.13</v>
      </c>
      <c r="AB346" s="10" t="str" cm="1">
        <f t="array" ref="AB346">_xlfn.IFS(AA346 &lt;= 15%, "Low Hike[11-15%]", AA346 &lt;= 20%, "Moderate Hike[16-20%]", AA346 &lt;= 25%,"High Hike[21-25%]")</f>
        <v>Low Hike[11-15%]</v>
      </c>
      <c r="AC346" s="1">
        <v>3</v>
      </c>
      <c r="AD346" s="1">
        <v>4</v>
      </c>
      <c r="AE346" s="1">
        <v>80</v>
      </c>
      <c r="AF346" s="1">
        <v>0</v>
      </c>
      <c r="AG346" s="1">
        <v>17</v>
      </c>
      <c r="AH346" s="9" t="str" cm="1">
        <f t="array" ref="AH346">_xlfn.IFS(AG346 &lt;= 5, "New[1-5]", AG346 &lt;= 10, "Early Career[6-10]", AG346 &lt;= 20, "Established[11-20]", AG346 &lt;= 30, "Veteran[21-30]", AG346 &lt;= 40, "Late Career[31-40]")</f>
        <v>Established[11-20]</v>
      </c>
      <c r="AI346" s="1">
        <v>5</v>
      </c>
      <c r="AJ346" s="1">
        <v>3</v>
      </c>
      <c r="AK346" s="1">
        <v>16</v>
      </c>
      <c r="AL346" s="9" t="str" cm="1">
        <f t="array" ref="AL346">_xlfn.IFS(AK346 &lt;= 5, "New[1-5]", AK346 &lt;= 10, "Early Career[6-10]", AK346 &lt;= 20, "Established[11-20]", AK346 &lt;= 30, "Veteran[21-30]", AK346 &lt;= 40, "Late Career[31-40]")</f>
        <v>Established[11-20]</v>
      </c>
      <c r="AM346" s="1">
        <v>6</v>
      </c>
      <c r="AN346" s="9" t="str" cm="1">
        <f t="array" ref="AN346">_xlfn.IFS(AM346 &lt;= 3, "New to Role[1-3]", AM346 &lt;= 7, "Settled[4-7]", AM346 &lt;= 12, "Experienced[[8-12]", AM346 &lt;= 18, "Long Tenured[13-18]")</f>
        <v>Settled[4-7]</v>
      </c>
      <c r="AO346" s="1">
        <v>0</v>
      </c>
      <c r="AP346" s="9" t="str" cm="1">
        <f t="array" ref="AP346">_xlfn.IFS(AO346 &lt;= 3, "Recently[1-3]", AO346 &lt;= 6, "Due Soon[4-6]", AO346 &lt;= 10, "Overdue[7-10]", AO346 &lt;= 15, "Long Overdue[11-15]")</f>
        <v>Recently[1-3]</v>
      </c>
      <c r="AQ346" s="9" t="str" cm="1">
        <f t="array" ref="AQ346">_xlfn.IFS(AR346 &lt;= 3, "New Relationship[1-3]", AR346 &lt;= 7, "Established Relationship[4-7]", AR346 &lt;= 12, "Long Term Relationship[8-12]", AR346 &lt;= 17, "Very Long Term Relationship[13-17]")</f>
        <v>Very Long Term Relationship[13-17]</v>
      </c>
      <c r="AR346" s="1">
        <v>13</v>
      </c>
    </row>
    <row r="347" spans="1:44" x14ac:dyDescent="0.25">
      <c r="A347" s="1">
        <v>23</v>
      </c>
      <c r="B347" s="8" t="str" cm="1">
        <f t="array" ref="B347">_xlfn.IFS(A347 &lt;= 25, "[18-25]", A347 &lt;= 35, "[26-35]", A347 &lt;=45, "[36-45]", A347 &lt;= 60, "[46- 60]")</f>
        <v>[18-25]</v>
      </c>
      <c r="C347" s="3" t="s">
        <v>43</v>
      </c>
      <c r="D347">
        <f t="shared" si="5"/>
        <v>0</v>
      </c>
      <c r="E347" t="s">
        <v>36</v>
      </c>
      <c r="F347" s="1">
        <v>1309</v>
      </c>
      <c r="G347" s="3" t="s">
        <v>45</v>
      </c>
      <c r="H347" s="1">
        <v>26</v>
      </c>
      <c r="I347" s="9" t="str" cm="1">
        <f t="array" ref="I347">_xlfn.IFS(H347 &lt;= 2, "[1-2] very close", H347 &lt;= 10, "[3-10] close", H347 &lt;= 20, "[11-20] moderate", H347 &lt;= 30, "[21-30] far")</f>
        <v>[21-30] far</v>
      </c>
      <c r="J347" s="1">
        <v>1</v>
      </c>
      <c r="K347" s="3" t="s">
        <v>38</v>
      </c>
      <c r="L347" s="1">
        <v>1</v>
      </c>
      <c r="M347" s="1">
        <v>465</v>
      </c>
      <c r="N347" s="1">
        <v>3</v>
      </c>
      <c r="O347" s="3" t="s">
        <v>46</v>
      </c>
      <c r="P347" s="1">
        <v>83</v>
      </c>
      <c r="Q347" s="1">
        <v>3</v>
      </c>
      <c r="R347" s="1">
        <v>1</v>
      </c>
      <c r="S347" s="3" t="s">
        <v>47</v>
      </c>
      <c r="T347" s="1">
        <v>4</v>
      </c>
      <c r="U347" s="3" t="s">
        <v>52</v>
      </c>
      <c r="V347" s="4">
        <v>2904</v>
      </c>
      <c r="W347" s="1">
        <v>16092</v>
      </c>
      <c r="X347" s="1">
        <v>1</v>
      </c>
      <c r="Y347" s="3" t="s">
        <v>42</v>
      </c>
      <c r="Z347" s="3" t="s">
        <v>43</v>
      </c>
      <c r="AA347" s="5">
        <v>0.12</v>
      </c>
      <c r="AB347" s="10" t="str" cm="1">
        <f t="array" ref="AB347">_xlfn.IFS(AA347 &lt;= 15%, "Low Hike[11-15%]", AA347 &lt;= 20%, "Moderate Hike[16-20%]", AA347 &lt;= 25%,"High Hike[21-25%]")</f>
        <v>Low Hike[11-15%]</v>
      </c>
      <c r="AC347" s="1">
        <v>3</v>
      </c>
      <c r="AD347" s="1">
        <v>3</v>
      </c>
      <c r="AE347" s="1">
        <v>80</v>
      </c>
      <c r="AF347" s="1">
        <v>2</v>
      </c>
      <c r="AG347" s="1">
        <v>4</v>
      </c>
      <c r="AH347" s="9" t="str" cm="1">
        <f t="array" ref="AH347">_xlfn.IFS(AG347 &lt;= 5, "New[1-5]", AG347 &lt;= 10, "Early Career[6-10]", AG347 &lt;= 20, "Established[11-20]", AG347 &lt;= 30, "Veteran[21-30]", AG347 &lt;= 40, "Late Career[31-40]")</f>
        <v>New[1-5]</v>
      </c>
      <c r="AI347" s="1">
        <v>2</v>
      </c>
      <c r="AJ347" s="1">
        <v>2</v>
      </c>
      <c r="AK347" s="1">
        <v>4</v>
      </c>
      <c r="AL347" s="9" t="str" cm="1">
        <f t="array" ref="AL347">_xlfn.IFS(AK347 &lt;= 5, "New[1-5]", AK347 &lt;= 10, "Early Career[6-10]", AK347 &lt;= 20, "Established[11-20]", AK347 &lt;= 30, "Veteran[21-30]", AK347 &lt;= 40, "Late Career[31-40]")</f>
        <v>New[1-5]</v>
      </c>
      <c r="AM347" s="1">
        <v>2</v>
      </c>
      <c r="AN347" s="9" t="str" cm="1">
        <f t="array" ref="AN347">_xlfn.IFS(AM347 &lt;= 3, "New to Role[1-3]", AM347 &lt;= 7, "Settled[4-7]", AM347 &lt;= 12, "Experienced[[8-12]", AM347 &lt;= 18, "Long Tenured[13-18]")</f>
        <v>New to Role[1-3]</v>
      </c>
      <c r="AO347" s="1">
        <v>0</v>
      </c>
      <c r="AP347" s="9" t="str" cm="1">
        <f t="array" ref="AP347">_xlfn.IFS(AO347 &lt;= 3, "Recently[1-3]", AO347 &lt;= 6, "Due Soon[4-6]", AO347 &lt;= 10, "Overdue[7-10]", AO347 &lt;= 15, "Long Overdue[11-15]")</f>
        <v>Recently[1-3]</v>
      </c>
      <c r="AQ347" s="9" t="str" cm="1">
        <f t="array" ref="AQ347">_xlfn.IFS(AR347 &lt;= 3, "New Relationship[1-3]", AR347 &lt;= 7, "Established Relationship[4-7]", AR347 &lt;= 12, "Long Term Relationship[8-12]", AR347 &lt;= 17, "Very Long Term Relationship[13-17]")</f>
        <v>New Relationship[1-3]</v>
      </c>
      <c r="AR347" s="1">
        <v>2</v>
      </c>
    </row>
    <row r="348" spans="1:44" x14ac:dyDescent="0.25">
      <c r="A348" s="1">
        <v>41</v>
      </c>
      <c r="B348" s="8" t="str" cm="1">
        <f t="array" ref="B348">_xlfn.IFS(A348 &lt;= 25, "[18-25]", A348 &lt;= 35, "[26-35]", A348 &lt;=45, "[36-45]", A348 &lt;= 60, "[46- 60]")</f>
        <v>[36-45]</v>
      </c>
      <c r="C348" s="3" t="s">
        <v>43</v>
      </c>
      <c r="D348">
        <f t="shared" si="5"/>
        <v>0</v>
      </c>
      <c r="E348" t="s">
        <v>36</v>
      </c>
      <c r="F348" s="1">
        <v>483</v>
      </c>
      <c r="G348" s="3" t="s">
        <v>45</v>
      </c>
      <c r="H348" s="1">
        <v>6</v>
      </c>
      <c r="I348" s="9" t="str" cm="1">
        <f t="array" ref="I348">_xlfn.IFS(H348 &lt;= 2, "[1-2] very close", H348 &lt;= 10, "[3-10] close", H348 &lt;= 20, "[11-20] moderate", H348 &lt;= 30, "[21-30] far")</f>
        <v>[3-10] close</v>
      </c>
      <c r="J348" s="1">
        <v>3</v>
      </c>
      <c r="K348" s="3" t="s">
        <v>51</v>
      </c>
      <c r="L348" s="1">
        <v>1</v>
      </c>
      <c r="M348" s="1">
        <v>466</v>
      </c>
      <c r="N348" s="1">
        <v>4</v>
      </c>
      <c r="O348" s="3" t="s">
        <v>46</v>
      </c>
      <c r="P348" s="1">
        <v>95</v>
      </c>
      <c r="Q348" s="1">
        <v>2</v>
      </c>
      <c r="R348" s="1">
        <v>2</v>
      </c>
      <c r="S348" s="3" t="s">
        <v>53</v>
      </c>
      <c r="T348" s="1">
        <v>2</v>
      </c>
      <c r="U348" s="3" t="s">
        <v>41</v>
      </c>
      <c r="V348" s="4">
        <v>6032</v>
      </c>
      <c r="W348" s="1">
        <v>10110</v>
      </c>
      <c r="X348" s="1">
        <v>6</v>
      </c>
      <c r="Y348" s="3" t="s">
        <v>42</v>
      </c>
      <c r="Z348" s="3" t="s">
        <v>35</v>
      </c>
      <c r="AA348" s="5">
        <v>0.15</v>
      </c>
      <c r="AB348" s="10" t="str" cm="1">
        <f t="array" ref="AB348">_xlfn.IFS(AA348 &lt;= 15%, "Low Hike[11-15%]", AA348 &lt;= 20%, "Moderate Hike[16-20%]", AA348 &lt;= 25%,"High Hike[21-25%]")</f>
        <v>Low Hike[11-15%]</v>
      </c>
      <c r="AC348" s="1">
        <v>3</v>
      </c>
      <c r="AD348" s="1">
        <v>4</v>
      </c>
      <c r="AE348" s="1">
        <v>80</v>
      </c>
      <c r="AF348" s="1">
        <v>0</v>
      </c>
      <c r="AG348" s="1">
        <v>8</v>
      </c>
      <c r="AH348" s="9" t="str" cm="1">
        <f t="array" ref="AH348">_xlfn.IFS(AG348 &lt;= 5, "New[1-5]", AG348 &lt;= 10, "Early Career[6-10]", AG348 &lt;= 20, "Established[11-20]", AG348 &lt;= 30, "Veteran[21-30]", AG348 &lt;= 40, "Late Career[31-40]")</f>
        <v>Early Career[6-10]</v>
      </c>
      <c r="AI348" s="1">
        <v>3</v>
      </c>
      <c r="AJ348" s="1">
        <v>3</v>
      </c>
      <c r="AK348" s="1">
        <v>5</v>
      </c>
      <c r="AL348" s="9" t="str" cm="1">
        <f t="array" ref="AL348">_xlfn.IFS(AK348 &lt;= 5, "New[1-5]", AK348 &lt;= 10, "Early Career[6-10]", AK348 &lt;= 20, "Established[11-20]", AK348 &lt;= 30, "Veteran[21-30]", AK348 &lt;= 40, "Late Career[31-40]")</f>
        <v>New[1-5]</v>
      </c>
      <c r="AM348" s="1">
        <v>4</v>
      </c>
      <c r="AN348" s="9" t="str" cm="1">
        <f t="array" ref="AN348">_xlfn.IFS(AM348 &lt;= 3, "New to Role[1-3]", AM348 &lt;= 7, "Settled[4-7]", AM348 &lt;= 12, "Experienced[[8-12]", AM348 &lt;= 18, "Long Tenured[13-18]")</f>
        <v>Settled[4-7]</v>
      </c>
      <c r="AO348" s="1">
        <v>1</v>
      </c>
      <c r="AP348" s="9" t="str" cm="1">
        <f t="array" ref="AP348">_xlfn.IFS(AO348 &lt;= 3, "Recently[1-3]", AO348 &lt;= 6, "Due Soon[4-6]", AO348 &lt;= 10, "Overdue[7-10]", AO348 &lt;= 15, "Long Overdue[11-15]")</f>
        <v>Recently[1-3]</v>
      </c>
      <c r="AQ348" s="9" t="str" cm="1">
        <f t="array" ref="AQ348">_xlfn.IFS(AR348 &lt;= 3, "New Relationship[1-3]", AR348 &lt;= 7, "Established Relationship[4-7]", AR348 &lt;= 12, "Long Term Relationship[8-12]", AR348 &lt;= 17, "Very Long Term Relationship[13-17]")</f>
        <v>New Relationship[1-3]</v>
      </c>
      <c r="AR348" s="1">
        <v>2</v>
      </c>
    </row>
    <row r="349" spans="1:44" x14ac:dyDescent="0.25">
      <c r="A349" s="1">
        <v>47</v>
      </c>
      <c r="B349" s="8" t="str" cm="1">
        <f t="array" ref="B349">_xlfn.IFS(A349 &lt;= 25, "[18-25]", A349 &lt;= 35, "[26-35]", A349 &lt;=45, "[36-45]", A349 &lt;= 60, "[46- 60]")</f>
        <v>[46- 60]</v>
      </c>
      <c r="C349" s="3" t="s">
        <v>43</v>
      </c>
      <c r="D349">
        <f t="shared" si="5"/>
        <v>0</v>
      </c>
      <c r="E349" t="s">
        <v>44</v>
      </c>
      <c r="F349" s="1">
        <v>1309</v>
      </c>
      <c r="G349" s="3" t="s">
        <v>37</v>
      </c>
      <c r="H349" s="1">
        <v>4</v>
      </c>
      <c r="I349" s="9" t="str" cm="1">
        <f t="array" ref="I349">_xlfn.IFS(H349 &lt;= 2, "[1-2] very close", H349 &lt;= 10, "[3-10] close", H349 &lt;= 20, "[11-20] moderate", H349 &lt;= 30, "[21-30] far")</f>
        <v>[3-10] close</v>
      </c>
      <c r="J349" s="1">
        <v>1</v>
      </c>
      <c r="K349" s="3" t="s">
        <v>51</v>
      </c>
      <c r="L349" s="1">
        <v>1</v>
      </c>
      <c r="M349" s="1">
        <v>467</v>
      </c>
      <c r="N349" s="1">
        <v>2</v>
      </c>
      <c r="O349" s="3" t="s">
        <v>46</v>
      </c>
      <c r="P349" s="1">
        <v>99</v>
      </c>
      <c r="Q349" s="1">
        <v>3</v>
      </c>
      <c r="R349" s="1">
        <v>2</v>
      </c>
      <c r="S349" s="3" t="s">
        <v>57</v>
      </c>
      <c r="T349" s="1">
        <v>3</v>
      </c>
      <c r="U349" s="3" t="s">
        <v>41</v>
      </c>
      <c r="V349" s="4">
        <v>2976</v>
      </c>
      <c r="W349" s="1">
        <v>25751</v>
      </c>
      <c r="X349" s="1">
        <v>3</v>
      </c>
      <c r="Y349" s="3" t="s">
        <v>42</v>
      </c>
      <c r="Z349" s="3" t="s">
        <v>43</v>
      </c>
      <c r="AA349" s="5">
        <v>0.19</v>
      </c>
      <c r="AB349" s="10" t="str" cm="1">
        <f t="array" ref="AB349">_xlfn.IFS(AA349 &lt;= 15%, "Low Hike[11-15%]", AA349 &lt;= 20%, "Moderate Hike[16-20%]", AA349 &lt;= 25%,"High Hike[21-25%]")</f>
        <v>Moderate Hike[16-20%]</v>
      </c>
      <c r="AC349" s="1">
        <v>3</v>
      </c>
      <c r="AD349" s="1">
        <v>1</v>
      </c>
      <c r="AE349" s="1">
        <v>80</v>
      </c>
      <c r="AF349" s="1">
        <v>0</v>
      </c>
      <c r="AG349" s="1">
        <v>5</v>
      </c>
      <c r="AH349" s="9" t="str" cm="1">
        <f t="array" ref="AH349">_xlfn.IFS(AG349 &lt;= 5, "New[1-5]", AG349 &lt;= 10, "Early Career[6-10]", AG349 &lt;= 20, "Established[11-20]", AG349 &lt;= 30, "Veteran[21-30]", AG349 &lt;= 40, "Late Career[31-40]")</f>
        <v>New[1-5]</v>
      </c>
      <c r="AI349" s="1">
        <v>3</v>
      </c>
      <c r="AJ349" s="1">
        <v>3</v>
      </c>
      <c r="AK349" s="1">
        <v>0</v>
      </c>
      <c r="AL349" s="9" t="str" cm="1">
        <f t="array" ref="AL349">_xlfn.IFS(AK349 &lt;= 5, "New[1-5]", AK349 &lt;= 10, "Early Career[6-10]", AK349 &lt;= 20, "Established[11-20]", AK349 &lt;= 30, "Veteran[21-30]", AK349 &lt;= 40, "Late Career[31-40]")</f>
        <v>New[1-5]</v>
      </c>
      <c r="AM349" s="1">
        <v>0</v>
      </c>
      <c r="AN349" s="9" t="str" cm="1">
        <f t="array" ref="AN349">_xlfn.IFS(AM349 &lt;= 3, "New to Role[1-3]", AM349 &lt;= 7, "Settled[4-7]", AM349 &lt;= 12, "Experienced[[8-12]", AM349 &lt;= 18, "Long Tenured[13-18]")</f>
        <v>New to Role[1-3]</v>
      </c>
      <c r="AO349" s="1">
        <v>0</v>
      </c>
      <c r="AP349" s="9" t="str" cm="1">
        <f t="array" ref="AP349">_xlfn.IFS(AO349 &lt;= 3, "Recently[1-3]", AO349 &lt;= 6, "Due Soon[4-6]", AO349 &lt;= 10, "Overdue[7-10]", AO349 &lt;= 15, "Long Overdue[11-15]")</f>
        <v>Recently[1-3]</v>
      </c>
      <c r="AQ349" s="9" t="str" cm="1">
        <f t="array" ref="AQ349">_xlfn.IFS(AR349 &lt;= 3, "New Relationship[1-3]", AR349 &lt;= 7, "Established Relationship[4-7]", AR349 &lt;= 12, "Long Term Relationship[8-12]", AR349 &lt;= 17, "Very Long Term Relationship[13-17]")</f>
        <v>New Relationship[1-3]</v>
      </c>
      <c r="AR349" s="1">
        <v>0</v>
      </c>
    </row>
    <row r="350" spans="1:44" x14ac:dyDescent="0.25">
      <c r="A350" s="1">
        <v>42</v>
      </c>
      <c r="B350" s="8" t="str" cm="1">
        <f t="array" ref="B350">_xlfn.IFS(A350 &lt;= 25, "[18-25]", A350 &lt;= 35, "[26-35]", A350 &lt;=45, "[36-45]", A350 &lt;= 60, "[46- 60]")</f>
        <v>[36-45]</v>
      </c>
      <c r="C350" s="3" t="s">
        <v>43</v>
      </c>
      <c r="D350">
        <f t="shared" si="5"/>
        <v>0</v>
      </c>
      <c r="E350" t="s">
        <v>36</v>
      </c>
      <c r="F350" s="1">
        <v>810</v>
      </c>
      <c r="G350" s="3" t="s">
        <v>45</v>
      </c>
      <c r="H350" s="1">
        <v>23</v>
      </c>
      <c r="I350" s="9" t="str" cm="1">
        <f t="array" ref="I350">_xlfn.IFS(H350 &lt;= 2, "[1-2] very close", H350 &lt;= 10, "[3-10] close", H350 &lt;= 20, "[11-20] moderate", H350 &lt;= 30, "[21-30] far")</f>
        <v>[21-30] far</v>
      </c>
      <c r="J350" s="1">
        <v>5</v>
      </c>
      <c r="K350" s="3" t="s">
        <v>38</v>
      </c>
      <c r="L350" s="1">
        <v>1</v>
      </c>
      <c r="M350" s="1">
        <v>468</v>
      </c>
      <c r="N350" s="1">
        <v>1</v>
      </c>
      <c r="O350" s="3" t="s">
        <v>39</v>
      </c>
      <c r="P350" s="1">
        <v>44</v>
      </c>
      <c r="Q350" s="1">
        <v>3</v>
      </c>
      <c r="R350" s="1">
        <v>4</v>
      </c>
      <c r="S350" s="3" t="s">
        <v>58</v>
      </c>
      <c r="T350" s="1">
        <v>4</v>
      </c>
      <c r="U350" s="3" t="s">
        <v>41</v>
      </c>
      <c r="V350" s="4">
        <v>15992</v>
      </c>
      <c r="W350" s="1">
        <v>15901</v>
      </c>
      <c r="X350" s="1">
        <v>2</v>
      </c>
      <c r="Y350" s="3" t="s">
        <v>42</v>
      </c>
      <c r="Z350" s="3" t="s">
        <v>43</v>
      </c>
      <c r="AA350" s="5">
        <v>0.14000000000000001</v>
      </c>
      <c r="AB350" s="10" t="str" cm="1">
        <f t="array" ref="AB350">_xlfn.IFS(AA350 &lt;= 15%, "Low Hike[11-15%]", AA350 &lt;= 20%, "Moderate Hike[16-20%]", AA350 &lt;= 25%,"High Hike[21-25%]")</f>
        <v>Low Hike[11-15%]</v>
      </c>
      <c r="AC350" s="1">
        <v>3</v>
      </c>
      <c r="AD350" s="1">
        <v>2</v>
      </c>
      <c r="AE350" s="1">
        <v>80</v>
      </c>
      <c r="AF350" s="1">
        <v>0</v>
      </c>
      <c r="AG350" s="1">
        <v>16</v>
      </c>
      <c r="AH350" s="9" t="str" cm="1">
        <f t="array" ref="AH350">_xlfn.IFS(AG350 &lt;= 5, "New[1-5]", AG350 &lt;= 10, "Early Career[6-10]", AG350 &lt;= 20, "Established[11-20]", AG350 &lt;= 30, "Veteran[21-30]", AG350 &lt;= 40, "Late Career[31-40]")</f>
        <v>Established[11-20]</v>
      </c>
      <c r="AI350" s="1">
        <v>2</v>
      </c>
      <c r="AJ350" s="1">
        <v>3</v>
      </c>
      <c r="AK350" s="1">
        <v>1</v>
      </c>
      <c r="AL350" s="9" t="str" cm="1">
        <f t="array" ref="AL350">_xlfn.IFS(AK350 &lt;= 5, "New[1-5]", AK350 &lt;= 10, "Early Career[6-10]", AK350 &lt;= 20, "Established[11-20]", AK350 &lt;= 30, "Veteran[21-30]", AK350 &lt;= 40, "Late Career[31-40]")</f>
        <v>New[1-5]</v>
      </c>
      <c r="AM350" s="1">
        <v>0</v>
      </c>
      <c r="AN350" s="9" t="str" cm="1">
        <f t="array" ref="AN350">_xlfn.IFS(AM350 &lt;= 3, "New to Role[1-3]", AM350 &lt;= 7, "Settled[4-7]", AM350 &lt;= 12, "Experienced[[8-12]", AM350 &lt;= 18, "Long Tenured[13-18]")</f>
        <v>New to Role[1-3]</v>
      </c>
      <c r="AO350" s="1">
        <v>0</v>
      </c>
      <c r="AP350" s="9" t="str" cm="1">
        <f t="array" ref="AP350">_xlfn.IFS(AO350 &lt;= 3, "Recently[1-3]", AO350 &lt;= 6, "Due Soon[4-6]", AO350 &lt;= 10, "Overdue[7-10]", AO350 &lt;= 15, "Long Overdue[11-15]")</f>
        <v>Recently[1-3]</v>
      </c>
      <c r="AQ350" s="9" t="str" cm="1">
        <f t="array" ref="AQ350">_xlfn.IFS(AR350 &lt;= 3, "New Relationship[1-3]", AR350 &lt;= 7, "Established Relationship[4-7]", AR350 &lt;= 12, "Long Term Relationship[8-12]", AR350 &lt;= 17, "Very Long Term Relationship[13-17]")</f>
        <v>New Relationship[1-3]</v>
      </c>
      <c r="AR350" s="1">
        <v>0</v>
      </c>
    </row>
    <row r="351" spans="1:44" x14ac:dyDescent="0.25">
      <c r="A351" s="1">
        <v>29</v>
      </c>
      <c r="B351" s="8" t="str" cm="1">
        <f t="array" ref="B351">_xlfn.IFS(A351 &lt;= 25, "[18-25]", A351 &lt;= 35, "[26-35]", A351 &lt;=45, "[36-45]", A351 &lt;= 60, "[46- 60]")</f>
        <v>[26-35]</v>
      </c>
      <c r="C351" s="3" t="s">
        <v>43</v>
      </c>
      <c r="D351">
        <f t="shared" si="5"/>
        <v>0</v>
      </c>
      <c r="E351" t="s">
        <v>62</v>
      </c>
      <c r="F351" s="1">
        <v>746</v>
      </c>
      <c r="G351" s="3" t="s">
        <v>37</v>
      </c>
      <c r="H351" s="1">
        <v>2</v>
      </c>
      <c r="I351" s="9" t="str" cm="1">
        <f t="array" ref="I351">_xlfn.IFS(H351 &lt;= 2, "[1-2] very close", H351 &lt;= 10, "[3-10] close", H351 &lt;= 20, "[11-20] moderate", H351 &lt;= 30, "[21-30] far")</f>
        <v>[1-2] very close</v>
      </c>
      <c r="J351" s="1">
        <v>3</v>
      </c>
      <c r="K351" s="3" t="s">
        <v>38</v>
      </c>
      <c r="L351" s="1">
        <v>1</v>
      </c>
      <c r="M351" s="1">
        <v>469</v>
      </c>
      <c r="N351" s="1">
        <v>4</v>
      </c>
      <c r="O351" s="3" t="s">
        <v>46</v>
      </c>
      <c r="P351" s="1">
        <v>61</v>
      </c>
      <c r="Q351" s="1">
        <v>3</v>
      </c>
      <c r="R351" s="1">
        <v>2</v>
      </c>
      <c r="S351" s="3" t="s">
        <v>40</v>
      </c>
      <c r="T351" s="1">
        <v>3</v>
      </c>
      <c r="U351" s="3" t="s">
        <v>48</v>
      </c>
      <c r="V351" s="4">
        <v>4649</v>
      </c>
      <c r="W351" s="1">
        <v>16928</v>
      </c>
      <c r="X351" s="1">
        <v>1</v>
      </c>
      <c r="Y351" s="3" t="s">
        <v>42</v>
      </c>
      <c r="Z351" s="3" t="s">
        <v>43</v>
      </c>
      <c r="AA351" s="5">
        <v>0.14000000000000001</v>
      </c>
      <c r="AB351" s="10" t="str" cm="1">
        <f t="array" ref="AB351">_xlfn.IFS(AA351 &lt;= 15%, "Low Hike[11-15%]", AA351 &lt;= 20%, "Moderate Hike[16-20%]", AA351 &lt;= 25%,"High Hike[21-25%]")</f>
        <v>Low Hike[11-15%]</v>
      </c>
      <c r="AC351" s="1">
        <v>3</v>
      </c>
      <c r="AD351" s="1">
        <v>1</v>
      </c>
      <c r="AE351" s="1">
        <v>80</v>
      </c>
      <c r="AF351" s="1">
        <v>1</v>
      </c>
      <c r="AG351" s="1">
        <v>4</v>
      </c>
      <c r="AH351" s="9" t="str" cm="1">
        <f t="array" ref="AH351">_xlfn.IFS(AG351 &lt;= 5, "New[1-5]", AG351 &lt;= 10, "Early Career[6-10]", AG351 &lt;= 20, "Established[11-20]", AG351 &lt;= 30, "Veteran[21-30]", AG351 &lt;= 40, "Late Career[31-40]")</f>
        <v>New[1-5]</v>
      </c>
      <c r="AI351" s="1">
        <v>3</v>
      </c>
      <c r="AJ351" s="1">
        <v>2</v>
      </c>
      <c r="AK351" s="1">
        <v>4</v>
      </c>
      <c r="AL351" s="9" t="str" cm="1">
        <f t="array" ref="AL351">_xlfn.IFS(AK351 &lt;= 5, "New[1-5]", AK351 &lt;= 10, "Early Career[6-10]", AK351 &lt;= 20, "Established[11-20]", AK351 &lt;= 30, "Veteran[21-30]", AK351 &lt;= 40, "Late Career[31-40]")</f>
        <v>New[1-5]</v>
      </c>
      <c r="AM351" s="1">
        <v>3</v>
      </c>
      <c r="AN351" s="9" t="str" cm="1">
        <f t="array" ref="AN351">_xlfn.IFS(AM351 &lt;= 3, "New to Role[1-3]", AM351 &lt;= 7, "Settled[4-7]", AM351 &lt;= 12, "Experienced[[8-12]", AM351 &lt;= 18, "Long Tenured[13-18]")</f>
        <v>New to Role[1-3]</v>
      </c>
      <c r="AO351" s="1">
        <v>0</v>
      </c>
      <c r="AP351" s="9" t="str" cm="1">
        <f t="array" ref="AP351">_xlfn.IFS(AO351 &lt;= 3, "Recently[1-3]", AO351 &lt;= 6, "Due Soon[4-6]", AO351 &lt;= 10, "Overdue[7-10]", AO351 &lt;= 15, "Long Overdue[11-15]")</f>
        <v>Recently[1-3]</v>
      </c>
      <c r="AQ351" s="9" t="str" cm="1">
        <f t="array" ref="AQ351">_xlfn.IFS(AR351 &lt;= 3, "New Relationship[1-3]", AR351 &lt;= 7, "Established Relationship[4-7]", AR351 &lt;= 12, "Long Term Relationship[8-12]", AR351 &lt;= 17, "Very Long Term Relationship[13-17]")</f>
        <v>New Relationship[1-3]</v>
      </c>
      <c r="AR351" s="1">
        <v>2</v>
      </c>
    </row>
    <row r="352" spans="1:44" x14ac:dyDescent="0.25">
      <c r="A352" s="1">
        <v>42</v>
      </c>
      <c r="B352" s="8" t="str" cm="1">
        <f t="array" ref="B352">_xlfn.IFS(A352 &lt;= 25, "[18-25]", A352 &lt;= 35, "[26-35]", A352 &lt;=45, "[36-45]", A352 &lt;= 60, "[46- 60]")</f>
        <v>[36-45]</v>
      </c>
      <c r="C352" s="3" t="s">
        <v>43</v>
      </c>
      <c r="D352">
        <f t="shared" si="5"/>
        <v>0</v>
      </c>
      <c r="E352" t="s">
        <v>36</v>
      </c>
      <c r="F352" s="1">
        <v>544</v>
      </c>
      <c r="G352" s="3" t="s">
        <v>61</v>
      </c>
      <c r="H352" s="1">
        <v>2</v>
      </c>
      <c r="I352" s="9" t="str" cm="1">
        <f t="array" ref="I352">_xlfn.IFS(H352 &lt;= 2, "[1-2] very close", H352 &lt;= 10, "[3-10] close", H352 &lt;= 20, "[11-20] moderate", H352 &lt;= 30, "[21-30] far")</f>
        <v>[1-2] very close</v>
      </c>
      <c r="J352" s="1">
        <v>1</v>
      </c>
      <c r="K352" s="3" t="s">
        <v>60</v>
      </c>
      <c r="L352" s="1">
        <v>1</v>
      </c>
      <c r="M352" s="1">
        <v>470</v>
      </c>
      <c r="N352" s="1">
        <v>3</v>
      </c>
      <c r="O352" s="3" t="s">
        <v>46</v>
      </c>
      <c r="P352" s="1">
        <v>52</v>
      </c>
      <c r="Q352" s="1">
        <v>3</v>
      </c>
      <c r="R352" s="1">
        <v>1</v>
      </c>
      <c r="S352" s="3" t="s">
        <v>61</v>
      </c>
      <c r="T352" s="1">
        <v>3</v>
      </c>
      <c r="U352" s="3" t="s">
        <v>52</v>
      </c>
      <c r="V352" s="4">
        <v>2696</v>
      </c>
      <c r="W352" s="1">
        <v>24017</v>
      </c>
      <c r="X352" s="1">
        <v>0</v>
      </c>
      <c r="Y352" s="3" t="s">
        <v>42</v>
      </c>
      <c r="Z352" s="3" t="s">
        <v>35</v>
      </c>
      <c r="AA352" s="5">
        <v>0.11</v>
      </c>
      <c r="AB352" s="10" t="str" cm="1">
        <f t="array" ref="AB352">_xlfn.IFS(AA352 &lt;= 15%, "Low Hike[11-15%]", AA352 &lt;= 20%, "Moderate Hike[16-20%]", AA352 &lt;= 25%,"High Hike[21-25%]")</f>
        <v>Low Hike[11-15%]</v>
      </c>
      <c r="AC352" s="1">
        <v>3</v>
      </c>
      <c r="AD352" s="1">
        <v>3</v>
      </c>
      <c r="AE352" s="1">
        <v>80</v>
      </c>
      <c r="AF352" s="1">
        <v>1</v>
      </c>
      <c r="AG352" s="1">
        <v>4</v>
      </c>
      <c r="AH352" s="9" t="str" cm="1">
        <f t="array" ref="AH352">_xlfn.IFS(AG352 &lt;= 5, "New[1-5]", AG352 &lt;= 10, "Early Career[6-10]", AG352 &lt;= 20, "Established[11-20]", AG352 &lt;= 30, "Veteran[21-30]", AG352 &lt;= 40, "Late Career[31-40]")</f>
        <v>New[1-5]</v>
      </c>
      <c r="AI352" s="1">
        <v>5</v>
      </c>
      <c r="AJ352" s="1">
        <v>3</v>
      </c>
      <c r="AK352" s="1">
        <v>3</v>
      </c>
      <c r="AL352" s="9" t="str" cm="1">
        <f t="array" ref="AL352">_xlfn.IFS(AK352 &lt;= 5, "New[1-5]", AK352 &lt;= 10, "Early Career[6-10]", AK352 &lt;= 20, "Established[11-20]", AK352 &lt;= 30, "Veteran[21-30]", AK352 &lt;= 40, "Late Career[31-40]")</f>
        <v>New[1-5]</v>
      </c>
      <c r="AM352" s="1">
        <v>2</v>
      </c>
      <c r="AN352" s="9" t="str" cm="1">
        <f t="array" ref="AN352">_xlfn.IFS(AM352 &lt;= 3, "New to Role[1-3]", AM352 &lt;= 7, "Settled[4-7]", AM352 &lt;= 12, "Experienced[[8-12]", AM352 &lt;= 18, "Long Tenured[13-18]")</f>
        <v>New to Role[1-3]</v>
      </c>
      <c r="AO352" s="1">
        <v>1</v>
      </c>
      <c r="AP352" s="9" t="str" cm="1">
        <f t="array" ref="AP352">_xlfn.IFS(AO352 &lt;= 3, "Recently[1-3]", AO352 &lt;= 6, "Due Soon[4-6]", AO352 &lt;= 10, "Overdue[7-10]", AO352 &lt;= 15, "Long Overdue[11-15]")</f>
        <v>Recently[1-3]</v>
      </c>
      <c r="AQ352" s="9" t="str" cm="1">
        <f t="array" ref="AQ352">_xlfn.IFS(AR352 &lt;= 3, "New Relationship[1-3]", AR352 &lt;= 7, "Established Relationship[4-7]", AR352 &lt;= 12, "Long Term Relationship[8-12]", AR352 &lt;= 17, "Very Long Term Relationship[13-17]")</f>
        <v>New Relationship[1-3]</v>
      </c>
      <c r="AR352" s="1">
        <v>0</v>
      </c>
    </row>
    <row r="353" spans="1:44" x14ac:dyDescent="0.25">
      <c r="A353" s="1">
        <v>32</v>
      </c>
      <c r="B353" s="8" t="str" cm="1">
        <f t="array" ref="B353">_xlfn.IFS(A353 &lt;= 25, "[18-25]", A353 &lt;= 35, "[26-35]", A353 &lt;=45, "[36-45]", A353 &lt;= 60, "[46- 60]")</f>
        <v>[26-35]</v>
      </c>
      <c r="C353" s="3" t="s">
        <v>43</v>
      </c>
      <c r="D353">
        <f t="shared" si="5"/>
        <v>0</v>
      </c>
      <c r="E353" t="s">
        <v>36</v>
      </c>
      <c r="F353" s="1">
        <v>1062</v>
      </c>
      <c r="G353" s="3" t="s">
        <v>45</v>
      </c>
      <c r="H353" s="1">
        <v>2</v>
      </c>
      <c r="I353" s="9" t="str" cm="1">
        <f t="array" ref="I353">_xlfn.IFS(H353 &lt;= 2, "[1-2] very close", H353 &lt;= 10, "[3-10] close", H353 &lt;= 20, "[11-20] moderate", H353 &lt;= 30, "[21-30] far")</f>
        <v>[1-2] very close</v>
      </c>
      <c r="J353" s="1">
        <v>3</v>
      </c>
      <c r="K353" s="3" t="s">
        <v>51</v>
      </c>
      <c r="L353" s="1">
        <v>1</v>
      </c>
      <c r="M353" s="1">
        <v>471</v>
      </c>
      <c r="N353" s="1">
        <v>3</v>
      </c>
      <c r="O353" s="3" t="s">
        <v>39</v>
      </c>
      <c r="P353" s="1">
        <v>75</v>
      </c>
      <c r="Q353" s="1">
        <v>3</v>
      </c>
      <c r="R353" s="1">
        <v>1</v>
      </c>
      <c r="S353" s="3" t="s">
        <v>50</v>
      </c>
      <c r="T353" s="1">
        <v>2</v>
      </c>
      <c r="U353" s="3" t="s">
        <v>48</v>
      </c>
      <c r="V353" s="4">
        <v>2370</v>
      </c>
      <c r="W353" s="1">
        <v>3956</v>
      </c>
      <c r="X353" s="1">
        <v>1</v>
      </c>
      <c r="Y353" s="3" t="s">
        <v>42</v>
      </c>
      <c r="Z353" s="3" t="s">
        <v>43</v>
      </c>
      <c r="AA353" s="5">
        <v>0.13</v>
      </c>
      <c r="AB353" s="10" t="str" cm="1">
        <f t="array" ref="AB353">_xlfn.IFS(AA353 &lt;= 15%, "Low Hike[11-15%]", AA353 &lt;= 20%, "Moderate Hike[16-20%]", AA353 &lt;= 25%,"High Hike[21-25%]")</f>
        <v>Low Hike[11-15%]</v>
      </c>
      <c r="AC353" s="1">
        <v>3</v>
      </c>
      <c r="AD353" s="1">
        <v>3</v>
      </c>
      <c r="AE353" s="1">
        <v>80</v>
      </c>
      <c r="AF353" s="1">
        <v>1</v>
      </c>
      <c r="AG353" s="1">
        <v>8</v>
      </c>
      <c r="AH353" s="9" t="str" cm="1">
        <f t="array" ref="AH353">_xlfn.IFS(AG353 &lt;= 5, "New[1-5]", AG353 &lt;= 10, "Early Career[6-10]", AG353 &lt;= 20, "Established[11-20]", AG353 &lt;= 30, "Veteran[21-30]", AG353 &lt;= 40, "Late Career[31-40]")</f>
        <v>Early Career[6-10]</v>
      </c>
      <c r="AI353" s="1">
        <v>4</v>
      </c>
      <c r="AJ353" s="1">
        <v>3</v>
      </c>
      <c r="AK353" s="1">
        <v>8</v>
      </c>
      <c r="AL353" s="9" t="str" cm="1">
        <f t="array" ref="AL353">_xlfn.IFS(AK353 &lt;= 5, "New[1-5]", AK353 &lt;= 10, "Early Career[6-10]", AK353 &lt;= 20, "Established[11-20]", AK353 &lt;= 30, "Veteran[21-30]", AK353 &lt;= 40, "Late Career[31-40]")</f>
        <v>Early Career[6-10]</v>
      </c>
      <c r="AM353" s="1">
        <v>0</v>
      </c>
      <c r="AN353" s="9" t="str" cm="1">
        <f t="array" ref="AN353">_xlfn.IFS(AM353 &lt;= 3, "New to Role[1-3]", AM353 &lt;= 7, "Settled[4-7]", AM353 &lt;= 12, "Experienced[[8-12]", AM353 &lt;= 18, "Long Tenured[13-18]")</f>
        <v>New to Role[1-3]</v>
      </c>
      <c r="AO353" s="1">
        <v>0</v>
      </c>
      <c r="AP353" s="9" t="str" cm="1">
        <f t="array" ref="AP353">_xlfn.IFS(AO353 &lt;= 3, "Recently[1-3]", AO353 &lt;= 6, "Due Soon[4-6]", AO353 &lt;= 10, "Overdue[7-10]", AO353 &lt;= 15, "Long Overdue[11-15]")</f>
        <v>Recently[1-3]</v>
      </c>
      <c r="AQ353" s="9" t="str" cm="1">
        <f t="array" ref="AQ353">_xlfn.IFS(AR353 &lt;= 3, "New Relationship[1-3]", AR353 &lt;= 7, "Established Relationship[4-7]", AR353 &lt;= 12, "Long Term Relationship[8-12]", AR353 &lt;= 17, "Very Long Term Relationship[13-17]")</f>
        <v>Established Relationship[4-7]</v>
      </c>
      <c r="AR353" s="1">
        <v>7</v>
      </c>
    </row>
    <row r="354" spans="1:44" x14ac:dyDescent="0.25">
      <c r="A354" s="1">
        <v>48</v>
      </c>
      <c r="B354" s="8" t="str" cm="1">
        <f t="array" ref="B354">_xlfn.IFS(A354 &lt;= 25, "[18-25]", A354 &lt;= 35, "[26-35]", A354 &lt;=45, "[36-45]", A354 &lt;= 60, "[46- 60]")</f>
        <v>[46- 60]</v>
      </c>
      <c r="C354" s="3" t="s">
        <v>43</v>
      </c>
      <c r="D354">
        <f t="shared" si="5"/>
        <v>0</v>
      </c>
      <c r="E354" t="s">
        <v>36</v>
      </c>
      <c r="F354" s="1">
        <v>530</v>
      </c>
      <c r="G354" s="3" t="s">
        <v>37</v>
      </c>
      <c r="H354" s="1">
        <v>29</v>
      </c>
      <c r="I354" s="9" t="str" cm="1">
        <f t="array" ref="I354">_xlfn.IFS(H354 &lt;= 2, "[1-2] very close", H354 &lt;= 10, "[3-10] close", H354 &lt;= 20, "[11-20] moderate", H354 &lt;= 30, "[21-30] far")</f>
        <v>[21-30] far</v>
      </c>
      <c r="J354" s="1">
        <v>1</v>
      </c>
      <c r="K354" s="3" t="s">
        <v>51</v>
      </c>
      <c r="L354" s="1">
        <v>1</v>
      </c>
      <c r="M354" s="1">
        <v>473</v>
      </c>
      <c r="N354" s="1">
        <v>1</v>
      </c>
      <c r="O354" s="3" t="s">
        <v>39</v>
      </c>
      <c r="P354" s="1">
        <v>91</v>
      </c>
      <c r="Q354" s="1">
        <v>3</v>
      </c>
      <c r="R354" s="1">
        <v>3</v>
      </c>
      <c r="S354" s="3" t="s">
        <v>56</v>
      </c>
      <c r="T354" s="1">
        <v>3</v>
      </c>
      <c r="U354" s="3" t="s">
        <v>48</v>
      </c>
      <c r="V354" s="4">
        <v>12504</v>
      </c>
      <c r="W354" s="1">
        <v>23978</v>
      </c>
      <c r="X354" s="1">
        <v>3</v>
      </c>
      <c r="Y354" s="3" t="s">
        <v>42</v>
      </c>
      <c r="Z354" s="3" t="s">
        <v>43</v>
      </c>
      <c r="AA354" s="5">
        <v>0.21</v>
      </c>
      <c r="AB354" s="10" t="str" cm="1">
        <f t="array" ref="AB354">_xlfn.IFS(AA354 &lt;= 15%, "Low Hike[11-15%]", AA354 &lt;= 20%, "Moderate Hike[16-20%]", AA354 &lt;= 25%,"High Hike[21-25%]")</f>
        <v>High Hike[21-25%]</v>
      </c>
      <c r="AC354" s="1">
        <v>4</v>
      </c>
      <c r="AD354" s="1">
        <v>2</v>
      </c>
      <c r="AE354" s="1">
        <v>80</v>
      </c>
      <c r="AF354" s="1">
        <v>1</v>
      </c>
      <c r="AG354" s="1">
        <v>15</v>
      </c>
      <c r="AH354" s="9" t="str" cm="1">
        <f t="array" ref="AH354">_xlfn.IFS(AG354 &lt;= 5, "New[1-5]", AG354 &lt;= 10, "Early Career[6-10]", AG354 &lt;= 20, "Established[11-20]", AG354 &lt;= 30, "Veteran[21-30]", AG354 &lt;= 40, "Late Career[31-40]")</f>
        <v>Established[11-20]</v>
      </c>
      <c r="AI354" s="1">
        <v>3</v>
      </c>
      <c r="AJ354" s="1">
        <v>1</v>
      </c>
      <c r="AK354" s="1">
        <v>0</v>
      </c>
      <c r="AL354" s="9" t="str" cm="1">
        <f t="array" ref="AL354">_xlfn.IFS(AK354 &lt;= 5, "New[1-5]", AK354 &lt;= 10, "Early Career[6-10]", AK354 &lt;= 20, "Established[11-20]", AK354 &lt;= 30, "Veteran[21-30]", AK354 &lt;= 40, "Late Career[31-40]")</f>
        <v>New[1-5]</v>
      </c>
      <c r="AM354" s="1">
        <v>0</v>
      </c>
      <c r="AN354" s="9" t="str" cm="1">
        <f t="array" ref="AN354">_xlfn.IFS(AM354 &lt;= 3, "New to Role[1-3]", AM354 &lt;= 7, "Settled[4-7]", AM354 &lt;= 12, "Experienced[[8-12]", AM354 &lt;= 18, "Long Tenured[13-18]")</f>
        <v>New to Role[1-3]</v>
      </c>
      <c r="AO354" s="1">
        <v>0</v>
      </c>
      <c r="AP354" s="9" t="str" cm="1">
        <f t="array" ref="AP354">_xlfn.IFS(AO354 &lt;= 3, "Recently[1-3]", AO354 &lt;= 6, "Due Soon[4-6]", AO354 &lt;= 10, "Overdue[7-10]", AO354 &lt;= 15, "Long Overdue[11-15]")</f>
        <v>Recently[1-3]</v>
      </c>
      <c r="AQ354" s="9" t="str" cm="1">
        <f t="array" ref="AQ354">_xlfn.IFS(AR354 &lt;= 3, "New Relationship[1-3]", AR354 &lt;= 7, "Established Relationship[4-7]", AR354 &lt;= 12, "Long Term Relationship[8-12]", AR354 &lt;= 17, "Very Long Term Relationship[13-17]")</f>
        <v>New Relationship[1-3]</v>
      </c>
      <c r="AR354" s="1">
        <v>0</v>
      </c>
    </row>
    <row r="355" spans="1:44" x14ac:dyDescent="0.25">
      <c r="A355" s="1">
        <v>37</v>
      </c>
      <c r="B355" s="8" t="str" cm="1">
        <f t="array" ref="B355">_xlfn.IFS(A355 &lt;= 25, "[18-25]", A355 &lt;= 35, "[26-35]", A355 &lt;=45, "[36-45]", A355 &lt;= 60, "[46- 60]")</f>
        <v>[36-45]</v>
      </c>
      <c r="C355" s="3" t="s">
        <v>43</v>
      </c>
      <c r="D355">
        <f t="shared" si="5"/>
        <v>0</v>
      </c>
      <c r="E355" t="s">
        <v>36</v>
      </c>
      <c r="F355" s="1">
        <v>1319</v>
      </c>
      <c r="G355" s="3" t="s">
        <v>45</v>
      </c>
      <c r="H355" s="1">
        <v>6</v>
      </c>
      <c r="I355" s="9" t="str" cm="1">
        <f t="array" ref="I355">_xlfn.IFS(H355 &lt;= 2, "[1-2] very close", H355 &lt;= 10, "[3-10] close", H355 &lt;= 20, "[11-20] moderate", H355 &lt;= 30, "[21-30] far")</f>
        <v>[3-10] close</v>
      </c>
      <c r="J355" s="1">
        <v>3</v>
      </c>
      <c r="K355" s="3" t="s">
        <v>51</v>
      </c>
      <c r="L355" s="1">
        <v>1</v>
      </c>
      <c r="M355" s="1">
        <v>474</v>
      </c>
      <c r="N355" s="1">
        <v>3</v>
      </c>
      <c r="O355" s="3" t="s">
        <v>46</v>
      </c>
      <c r="P355" s="1">
        <v>51</v>
      </c>
      <c r="Q355" s="1">
        <v>4</v>
      </c>
      <c r="R355" s="1">
        <v>2</v>
      </c>
      <c r="S355" s="3" t="s">
        <v>47</v>
      </c>
      <c r="T355" s="1">
        <v>1</v>
      </c>
      <c r="U355" s="3" t="s">
        <v>52</v>
      </c>
      <c r="V355" s="4">
        <v>5974</v>
      </c>
      <c r="W355" s="1">
        <v>17001</v>
      </c>
      <c r="X355" s="1">
        <v>4</v>
      </c>
      <c r="Y355" s="3" t="s">
        <v>42</v>
      </c>
      <c r="Z355" s="3" t="s">
        <v>35</v>
      </c>
      <c r="AA355" s="5">
        <v>0.13</v>
      </c>
      <c r="AB355" s="10" t="str" cm="1">
        <f t="array" ref="AB355">_xlfn.IFS(AA355 &lt;= 15%, "Low Hike[11-15%]", AA355 &lt;= 20%, "Moderate Hike[16-20%]", AA355 &lt;= 25%,"High Hike[21-25%]")</f>
        <v>Low Hike[11-15%]</v>
      </c>
      <c r="AC355" s="1">
        <v>3</v>
      </c>
      <c r="AD355" s="1">
        <v>1</v>
      </c>
      <c r="AE355" s="1">
        <v>80</v>
      </c>
      <c r="AF355" s="1">
        <v>2</v>
      </c>
      <c r="AG355" s="1">
        <v>13</v>
      </c>
      <c r="AH355" s="9" t="str" cm="1">
        <f t="array" ref="AH355">_xlfn.IFS(AG355 &lt;= 5, "New[1-5]", AG355 &lt;= 10, "Early Career[6-10]", AG355 &lt;= 20, "Established[11-20]", AG355 &lt;= 30, "Veteran[21-30]", AG355 &lt;= 40, "Late Career[31-40]")</f>
        <v>Established[11-20]</v>
      </c>
      <c r="AI355" s="1">
        <v>2</v>
      </c>
      <c r="AJ355" s="1">
        <v>3</v>
      </c>
      <c r="AK355" s="1">
        <v>7</v>
      </c>
      <c r="AL355" s="9" t="str" cm="1">
        <f t="array" ref="AL355">_xlfn.IFS(AK355 &lt;= 5, "New[1-5]", AK355 &lt;= 10, "Early Career[6-10]", AK355 &lt;= 20, "Established[11-20]", AK355 &lt;= 30, "Veteran[21-30]", AK355 &lt;= 40, "Late Career[31-40]")</f>
        <v>Early Career[6-10]</v>
      </c>
      <c r="AM355" s="1">
        <v>7</v>
      </c>
      <c r="AN355" s="9" t="str" cm="1">
        <f t="array" ref="AN355">_xlfn.IFS(AM355 &lt;= 3, "New to Role[1-3]", AM355 &lt;= 7, "Settled[4-7]", AM355 &lt;= 12, "Experienced[[8-12]", AM355 &lt;= 18, "Long Tenured[13-18]")</f>
        <v>Settled[4-7]</v>
      </c>
      <c r="AO355" s="1">
        <v>6</v>
      </c>
      <c r="AP355" s="9" t="str" cm="1">
        <f t="array" ref="AP355">_xlfn.IFS(AO355 &lt;= 3, "Recently[1-3]", AO355 &lt;= 6, "Due Soon[4-6]", AO355 &lt;= 10, "Overdue[7-10]", AO355 &lt;= 15, "Long Overdue[11-15]")</f>
        <v>Due Soon[4-6]</v>
      </c>
      <c r="AQ355" s="9" t="str" cm="1">
        <f t="array" ref="AQ355">_xlfn.IFS(AR355 &lt;= 3, "New Relationship[1-3]", AR355 &lt;= 7, "Established Relationship[4-7]", AR355 &lt;= 12, "Long Term Relationship[8-12]", AR355 &lt;= 17, "Very Long Term Relationship[13-17]")</f>
        <v>Established Relationship[4-7]</v>
      </c>
      <c r="AR355" s="1">
        <v>7</v>
      </c>
    </row>
    <row r="356" spans="1:44" x14ac:dyDescent="0.25">
      <c r="A356" s="1">
        <v>30</v>
      </c>
      <c r="B356" s="8" t="str" cm="1">
        <f t="array" ref="B356">_xlfn.IFS(A356 &lt;= 25, "[18-25]", A356 &lt;= 35, "[26-35]", A356 &lt;=45, "[36-45]", A356 &lt;= 60, "[46- 60]")</f>
        <v>[26-35]</v>
      </c>
      <c r="C356" s="3" t="s">
        <v>43</v>
      </c>
      <c r="D356">
        <f t="shared" si="5"/>
        <v>0</v>
      </c>
      <c r="E356" t="s">
        <v>62</v>
      </c>
      <c r="F356" s="1">
        <v>641</v>
      </c>
      <c r="G356" s="3" t="s">
        <v>37</v>
      </c>
      <c r="H356" s="1">
        <v>25</v>
      </c>
      <c r="I356" s="9" t="str" cm="1">
        <f t="array" ref="I356">_xlfn.IFS(H356 &lt;= 2, "[1-2] very close", H356 &lt;= 10, "[3-10] close", H356 &lt;= 20, "[11-20] moderate", H356 &lt;= 30, "[21-30] far")</f>
        <v>[21-30] far</v>
      </c>
      <c r="J356" s="1">
        <v>2</v>
      </c>
      <c r="K356" s="3" t="s">
        <v>60</v>
      </c>
      <c r="L356" s="1">
        <v>1</v>
      </c>
      <c r="M356" s="1">
        <v>475</v>
      </c>
      <c r="N356" s="1">
        <v>4</v>
      </c>
      <c r="O356" s="3" t="s">
        <v>39</v>
      </c>
      <c r="P356" s="1">
        <v>85</v>
      </c>
      <c r="Q356" s="1">
        <v>3</v>
      </c>
      <c r="R356" s="1">
        <v>2</v>
      </c>
      <c r="S356" s="3" t="s">
        <v>40</v>
      </c>
      <c r="T356" s="1">
        <v>3</v>
      </c>
      <c r="U356" s="3" t="s">
        <v>48</v>
      </c>
      <c r="V356" s="4">
        <v>4736</v>
      </c>
      <c r="W356" s="1">
        <v>6069</v>
      </c>
      <c r="X356" s="1">
        <v>7</v>
      </c>
      <c r="Y356" s="3" t="s">
        <v>42</v>
      </c>
      <c r="Z356" s="3" t="s">
        <v>35</v>
      </c>
      <c r="AA356" s="5">
        <v>0.12</v>
      </c>
      <c r="AB356" s="10" t="str" cm="1">
        <f t="array" ref="AB356">_xlfn.IFS(AA356 &lt;= 15%, "Low Hike[11-15%]", AA356 &lt;= 20%, "Moderate Hike[16-20%]", AA356 &lt;= 25%,"High Hike[21-25%]")</f>
        <v>Low Hike[11-15%]</v>
      </c>
      <c r="AC356" s="1">
        <v>3</v>
      </c>
      <c r="AD356" s="1">
        <v>2</v>
      </c>
      <c r="AE356" s="1">
        <v>80</v>
      </c>
      <c r="AF356" s="1">
        <v>1</v>
      </c>
      <c r="AG356" s="1">
        <v>4</v>
      </c>
      <c r="AH356" s="9" t="str" cm="1">
        <f t="array" ref="AH356">_xlfn.IFS(AG356 &lt;= 5, "New[1-5]", AG356 &lt;= 10, "Early Career[6-10]", AG356 &lt;= 20, "Established[11-20]", AG356 &lt;= 30, "Veteran[21-30]", AG356 &lt;= 40, "Late Career[31-40]")</f>
        <v>New[1-5]</v>
      </c>
      <c r="AI356" s="1">
        <v>2</v>
      </c>
      <c r="AJ356" s="1">
        <v>4</v>
      </c>
      <c r="AK356" s="1">
        <v>2</v>
      </c>
      <c r="AL356" s="9" t="str" cm="1">
        <f t="array" ref="AL356">_xlfn.IFS(AK356 &lt;= 5, "New[1-5]", AK356 &lt;= 10, "Early Career[6-10]", AK356 &lt;= 20, "Established[11-20]", AK356 &lt;= 30, "Veteran[21-30]", AK356 &lt;= 40, "Late Career[31-40]")</f>
        <v>New[1-5]</v>
      </c>
      <c r="AM356" s="1">
        <v>2</v>
      </c>
      <c r="AN356" s="9" t="str" cm="1">
        <f t="array" ref="AN356">_xlfn.IFS(AM356 &lt;= 3, "New to Role[1-3]", AM356 &lt;= 7, "Settled[4-7]", AM356 &lt;= 12, "Experienced[[8-12]", AM356 &lt;= 18, "Long Tenured[13-18]")</f>
        <v>New to Role[1-3]</v>
      </c>
      <c r="AO356" s="1">
        <v>2</v>
      </c>
      <c r="AP356" s="9" t="str" cm="1">
        <f t="array" ref="AP356">_xlfn.IFS(AO356 &lt;= 3, "Recently[1-3]", AO356 &lt;= 6, "Due Soon[4-6]", AO356 &lt;= 10, "Overdue[7-10]", AO356 &lt;= 15, "Long Overdue[11-15]")</f>
        <v>Recently[1-3]</v>
      </c>
      <c r="AQ356" s="9" t="str" cm="1">
        <f t="array" ref="AQ356">_xlfn.IFS(AR356 &lt;= 3, "New Relationship[1-3]", AR356 &lt;= 7, "Established Relationship[4-7]", AR356 &lt;= 12, "Long Term Relationship[8-12]", AR356 &lt;= 17, "Very Long Term Relationship[13-17]")</f>
        <v>New Relationship[1-3]</v>
      </c>
      <c r="AR356" s="1">
        <v>2</v>
      </c>
    </row>
    <row r="357" spans="1:44" x14ac:dyDescent="0.25">
      <c r="A357" s="1">
        <v>26</v>
      </c>
      <c r="B357" s="8" t="str" cm="1">
        <f t="array" ref="B357">_xlfn.IFS(A357 &lt;= 25, "[18-25]", A357 &lt;= 35, "[26-35]", A357 &lt;=45, "[36-45]", A357 &lt;= 60, "[46- 60]")</f>
        <v>[26-35]</v>
      </c>
      <c r="C357" s="3" t="s">
        <v>43</v>
      </c>
      <c r="D357">
        <f t="shared" si="5"/>
        <v>0</v>
      </c>
      <c r="E357" t="s">
        <v>36</v>
      </c>
      <c r="F357" s="1">
        <v>933</v>
      </c>
      <c r="G357" s="3" t="s">
        <v>37</v>
      </c>
      <c r="H357" s="1">
        <v>1</v>
      </c>
      <c r="I357" s="9" t="str" cm="1">
        <f t="array" ref="I357">_xlfn.IFS(H357 &lt;= 2, "[1-2] very close", H357 &lt;= 10, "[3-10] close", H357 &lt;= 20, "[11-20] moderate", H357 &lt;= 30, "[21-30] far")</f>
        <v>[1-2] very close</v>
      </c>
      <c r="J357" s="1">
        <v>3</v>
      </c>
      <c r="K357" s="3" t="s">
        <v>38</v>
      </c>
      <c r="L357" s="1">
        <v>1</v>
      </c>
      <c r="M357" s="1">
        <v>476</v>
      </c>
      <c r="N357" s="1">
        <v>3</v>
      </c>
      <c r="O357" s="3" t="s">
        <v>46</v>
      </c>
      <c r="P357" s="1">
        <v>57</v>
      </c>
      <c r="Q357" s="1">
        <v>3</v>
      </c>
      <c r="R357" s="1">
        <v>2</v>
      </c>
      <c r="S357" s="3" t="s">
        <v>40</v>
      </c>
      <c r="T357" s="1">
        <v>3</v>
      </c>
      <c r="U357" s="3" t="s">
        <v>48</v>
      </c>
      <c r="V357" s="4">
        <v>5296</v>
      </c>
      <c r="W357" s="1">
        <v>20156</v>
      </c>
      <c r="X357" s="1">
        <v>1</v>
      </c>
      <c r="Y357" s="3" t="s">
        <v>42</v>
      </c>
      <c r="Z357" s="3" t="s">
        <v>43</v>
      </c>
      <c r="AA357" s="5">
        <v>0.17</v>
      </c>
      <c r="AB357" s="10" t="str" cm="1">
        <f t="array" ref="AB357">_xlfn.IFS(AA357 &lt;= 15%, "Low Hike[11-15%]", AA357 &lt;= 20%, "Moderate Hike[16-20%]", AA357 &lt;= 25%,"High Hike[21-25%]")</f>
        <v>Moderate Hike[16-20%]</v>
      </c>
      <c r="AC357" s="1">
        <v>3</v>
      </c>
      <c r="AD357" s="1">
        <v>2</v>
      </c>
      <c r="AE357" s="1">
        <v>80</v>
      </c>
      <c r="AF357" s="1">
        <v>1</v>
      </c>
      <c r="AG357" s="1">
        <v>8</v>
      </c>
      <c r="AH357" s="9" t="str" cm="1">
        <f t="array" ref="AH357">_xlfn.IFS(AG357 &lt;= 5, "New[1-5]", AG357 &lt;= 10, "Early Career[6-10]", AG357 &lt;= 20, "Established[11-20]", AG357 &lt;= 30, "Veteran[21-30]", AG357 &lt;= 40, "Late Career[31-40]")</f>
        <v>Early Career[6-10]</v>
      </c>
      <c r="AI357" s="1">
        <v>3</v>
      </c>
      <c r="AJ357" s="1">
        <v>3</v>
      </c>
      <c r="AK357" s="1">
        <v>8</v>
      </c>
      <c r="AL357" s="9" t="str" cm="1">
        <f t="array" ref="AL357">_xlfn.IFS(AK357 &lt;= 5, "New[1-5]", AK357 &lt;= 10, "Early Career[6-10]", AK357 &lt;= 20, "Established[11-20]", AK357 &lt;= 30, "Veteran[21-30]", AK357 &lt;= 40, "Late Career[31-40]")</f>
        <v>Early Career[6-10]</v>
      </c>
      <c r="AM357" s="1">
        <v>7</v>
      </c>
      <c r="AN357" s="9" t="str" cm="1">
        <f t="array" ref="AN357">_xlfn.IFS(AM357 &lt;= 3, "New to Role[1-3]", AM357 &lt;= 7, "Settled[4-7]", AM357 &lt;= 12, "Experienced[[8-12]", AM357 &lt;= 18, "Long Tenured[13-18]")</f>
        <v>Settled[4-7]</v>
      </c>
      <c r="AO357" s="1">
        <v>7</v>
      </c>
      <c r="AP357" s="9" t="str" cm="1">
        <f t="array" ref="AP357">_xlfn.IFS(AO357 &lt;= 3, "Recently[1-3]", AO357 &lt;= 6, "Due Soon[4-6]", AO357 &lt;= 10, "Overdue[7-10]", AO357 &lt;= 15, "Long Overdue[11-15]")</f>
        <v>Overdue[7-10]</v>
      </c>
      <c r="AQ357" s="9" t="str" cm="1">
        <f t="array" ref="AQ357">_xlfn.IFS(AR357 &lt;= 3, "New Relationship[1-3]", AR357 &lt;= 7, "Established Relationship[4-7]", AR357 &lt;= 12, "Long Term Relationship[8-12]", AR357 &lt;= 17, "Very Long Term Relationship[13-17]")</f>
        <v>Established Relationship[4-7]</v>
      </c>
      <c r="AR357" s="1">
        <v>7</v>
      </c>
    </row>
    <row r="358" spans="1:44" x14ac:dyDescent="0.25">
      <c r="A358" s="1">
        <v>42</v>
      </c>
      <c r="B358" s="8" t="str" cm="1">
        <f t="array" ref="B358">_xlfn.IFS(A358 &lt;= 25, "[18-25]", A358 &lt;= 35, "[26-35]", A358 &lt;=45, "[36-45]", A358 &lt;= 60, "[46- 60]")</f>
        <v>[36-45]</v>
      </c>
      <c r="C358" s="3" t="s">
        <v>43</v>
      </c>
      <c r="D358">
        <f t="shared" si="5"/>
        <v>0</v>
      </c>
      <c r="E358" t="s">
        <v>36</v>
      </c>
      <c r="F358" s="1">
        <v>1332</v>
      </c>
      <c r="G358" s="3" t="s">
        <v>45</v>
      </c>
      <c r="H358" s="1">
        <v>2</v>
      </c>
      <c r="I358" s="9" t="str" cm="1">
        <f t="array" ref="I358">_xlfn.IFS(H358 &lt;= 2, "[1-2] very close", H358 &lt;= 10, "[3-10] close", H358 &lt;= 20, "[11-20] moderate", H358 &lt;= 30, "[21-30] far")</f>
        <v>[1-2] very close</v>
      </c>
      <c r="J358" s="1">
        <v>4</v>
      </c>
      <c r="K358" s="3" t="s">
        <v>49</v>
      </c>
      <c r="L358" s="1">
        <v>1</v>
      </c>
      <c r="M358" s="1">
        <v>477</v>
      </c>
      <c r="N358" s="1">
        <v>1</v>
      </c>
      <c r="O358" s="3" t="s">
        <v>46</v>
      </c>
      <c r="P358" s="1">
        <v>98</v>
      </c>
      <c r="Q358" s="1">
        <v>2</v>
      </c>
      <c r="R358" s="1">
        <v>2</v>
      </c>
      <c r="S358" s="3" t="s">
        <v>54</v>
      </c>
      <c r="T358" s="1">
        <v>4</v>
      </c>
      <c r="U358" s="3" t="s">
        <v>41</v>
      </c>
      <c r="V358" s="4">
        <v>6781</v>
      </c>
      <c r="W358" s="1">
        <v>17078</v>
      </c>
      <c r="X358" s="1">
        <v>3</v>
      </c>
      <c r="Y358" s="3" t="s">
        <v>42</v>
      </c>
      <c r="Z358" s="3" t="s">
        <v>43</v>
      </c>
      <c r="AA358" s="5">
        <v>0.23</v>
      </c>
      <c r="AB358" s="10" t="str" cm="1">
        <f t="array" ref="AB358">_xlfn.IFS(AA358 &lt;= 15%, "Low Hike[11-15%]", AA358 &lt;= 20%, "Moderate Hike[16-20%]", AA358 &lt;= 25%,"High Hike[21-25%]")</f>
        <v>High Hike[21-25%]</v>
      </c>
      <c r="AC358" s="1">
        <v>4</v>
      </c>
      <c r="AD358" s="1">
        <v>2</v>
      </c>
      <c r="AE358" s="1">
        <v>80</v>
      </c>
      <c r="AF358" s="1">
        <v>0</v>
      </c>
      <c r="AG358" s="1">
        <v>14</v>
      </c>
      <c r="AH358" s="9" t="str" cm="1">
        <f t="array" ref="AH358">_xlfn.IFS(AG358 &lt;= 5, "New[1-5]", AG358 &lt;= 10, "Early Career[6-10]", AG358 &lt;= 20, "Established[11-20]", AG358 &lt;= 30, "Veteran[21-30]", AG358 &lt;= 40, "Late Career[31-40]")</f>
        <v>Established[11-20]</v>
      </c>
      <c r="AI358" s="1">
        <v>6</v>
      </c>
      <c r="AJ358" s="1">
        <v>3</v>
      </c>
      <c r="AK358" s="1">
        <v>1</v>
      </c>
      <c r="AL358" s="9" t="str" cm="1">
        <f t="array" ref="AL358">_xlfn.IFS(AK358 &lt;= 5, "New[1-5]", AK358 &lt;= 10, "Early Career[6-10]", AK358 &lt;= 20, "Established[11-20]", AK358 &lt;= 30, "Veteran[21-30]", AK358 &lt;= 40, "Late Career[31-40]")</f>
        <v>New[1-5]</v>
      </c>
      <c r="AM358" s="1">
        <v>0</v>
      </c>
      <c r="AN358" s="9" t="str" cm="1">
        <f t="array" ref="AN358">_xlfn.IFS(AM358 &lt;= 3, "New to Role[1-3]", AM358 &lt;= 7, "Settled[4-7]", AM358 &lt;= 12, "Experienced[[8-12]", AM358 &lt;= 18, "Long Tenured[13-18]")</f>
        <v>New to Role[1-3]</v>
      </c>
      <c r="AO358" s="1">
        <v>0</v>
      </c>
      <c r="AP358" s="9" t="str" cm="1">
        <f t="array" ref="AP358">_xlfn.IFS(AO358 &lt;= 3, "Recently[1-3]", AO358 &lt;= 6, "Due Soon[4-6]", AO358 &lt;= 10, "Overdue[7-10]", AO358 &lt;= 15, "Long Overdue[11-15]")</f>
        <v>Recently[1-3]</v>
      </c>
      <c r="AQ358" s="9" t="str" cm="1">
        <f t="array" ref="AQ358">_xlfn.IFS(AR358 &lt;= 3, "New Relationship[1-3]", AR358 &lt;= 7, "Established Relationship[4-7]", AR358 &lt;= 12, "Long Term Relationship[8-12]", AR358 &lt;= 17, "Very Long Term Relationship[13-17]")</f>
        <v>New Relationship[1-3]</v>
      </c>
      <c r="AR358" s="1">
        <v>0</v>
      </c>
    </row>
    <row r="359" spans="1:44" x14ac:dyDescent="0.25">
      <c r="A359" s="1">
        <v>21</v>
      </c>
      <c r="B359" s="8" t="str" cm="1">
        <f t="array" ref="B359">_xlfn.IFS(A359 &lt;= 25, "[18-25]", A359 &lt;= 35, "[26-35]", A359 &lt;=45, "[36-45]", A359 &lt;= 60, "[46- 60]")</f>
        <v>[18-25]</v>
      </c>
      <c r="C359" s="3" t="s">
        <v>35</v>
      </c>
      <c r="D359">
        <f t="shared" si="5"/>
        <v>1</v>
      </c>
      <c r="E359" t="s">
        <v>44</v>
      </c>
      <c r="F359" s="1">
        <v>756</v>
      </c>
      <c r="G359" s="3" t="s">
        <v>37</v>
      </c>
      <c r="H359" s="1">
        <v>1</v>
      </c>
      <c r="I359" s="9" t="str" cm="1">
        <f t="array" ref="I359">_xlfn.IFS(H359 &lt;= 2, "[1-2] very close", H359 &lt;= 10, "[3-10] close", H359 &lt;= 20, "[11-20] moderate", H359 &lt;= 30, "[21-30] far")</f>
        <v>[1-2] very close</v>
      </c>
      <c r="J359" s="1">
        <v>1</v>
      </c>
      <c r="K359" s="3" t="s">
        <v>60</v>
      </c>
      <c r="L359" s="1">
        <v>1</v>
      </c>
      <c r="M359" s="1">
        <v>478</v>
      </c>
      <c r="N359" s="1">
        <v>1</v>
      </c>
      <c r="O359" s="3" t="s">
        <v>39</v>
      </c>
      <c r="P359" s="1">
        <v>99</v>
      </c>
      <c r="Q359" s="1">
        <v>2</v>
      </c>
      <c r="R359" s="1">
        <v>1</v>
      </c>
      <c r="S359" s="3" t="s">
        <v>57</v>
      </c>
      <c r="T359" s="1">
        <v>2</v>
      </c>
      <c r="U359" s="3" t="s">
        <v>41</v>
      </c>
      <c r="V359" s="4">
        <v>2174</v>
      </c>
      <c r="W359" s="1">
        <v>9150</v>
      </c>
      <c r="X359" s="1">
        <v>1</v>
      </c>
      <c r="Y359" s="3" t="s">
        <v>42</v>
      </c>
      <c r="Z359" s="3" t="s">
        <v>35</v>
      </c>
      <c r="AA359" s="5">
        <v>0.11</v>
      </c>
      <c r="AB359" s="10" t="str" cm="1">
        <f t="array" ref="AB359">_xlfn.IFS(AA359 &lt;= 15%, "Low Hike[11-15%]", AA359 &lt;= 20%, "Moderate Hike[16-20%]", AA359 &lt;= 25%,"High Hike[21-25%]")</f>
        <v>Low Hike[11-15%]</v>
      </c>
      <c r="AC359" s="1">
        <v>3</v>
      </c>
      <c r="AD359" s="1">
        <v>3</v>
      </c>
      <c r="AE359" s="1">
        <v>80</v>
      </c>
      <c r="AF359" s="1">
        <v>0</v>
      </c>
      <c r="AG359" s="1">
        <v>3</v>
      </c>
      <c r="AH359" s="9" t="str" cm="1">
        <f t="array" ref="AH359">_xlfn.IFS(AG359 &lt;= 5, "New[1-5]", AG359 &lt;= 10, "Early Career[6-10]", AG359 &lt;= 20, "Established[11-20]", AG359 &lt;= 30, "Veteran[21-30]", AG359 &lt;= 40, "Late Career[31-40]")</f>
        <v>New[1-5]</v>
      </c>
      <c r="AI359" s="1">
        <v>3</v>
      </c>
      <c r="AJ359" s="1">
        <v>3</v>
      </c>
      <c r="AK359" s="1">
        <v>3</v>
      </c>
      <c r="AL359" s="9" t="str" cm="1">
        <f t="array" ref="AL359">_xlfn.IFS(AK359 &lt;= 5, "New[1-5]", AK359 &lt;= 10, "Early Career[6-10]", AK359 &lt;= 20, "Established[11-20]", AK359 &lt;= 30, "Veteran[21-30]", AK359 &lt;= 40, "Late Career[31-40]")</f>
        <v>New[1-5]</v>
      </c>
      <c r="AM359" s="1">
        <v>2</v>
      </c>
      <c r="AN359" s="9" t="str" cm="1">
        <f t="array" ref="AN359">_xlfn.IFS(AM359 &lt;= 3, "New to Role[1-3]", AM359 &lt;= 7, "Settled[4-7]", AM359 &lt;= 12, "Experienced[[8-12]", AM359 &lt;= 18, "Long Tenured[13-18]")</f>
        <v>New to Role[1-3]</v>
      </c>
      <c r="AO359" s="1">
        <v>1</v>
      </c>
      <c r="AP359" s="9" t="str" cm="1">
        <f t="array" ref="AP359">_xlfn.IFS(AO359 &lt;= 3, "Recently[1-3]", AO359 &lt;= 6, "Due Soon[4-6]", AO359 &lt;= 10, "Overdue[7-10]", AO359 &lt;= 15, "Long Overdue[11-15]")</f>
        <v>Recently[1-3]</v>
      </c>
      <c r="AQ359" s="9" t="str" cm="1">
        <f t="array" ref="AQ359">_xlfn.IFS(AR359 &lt;= 3, "New Relationship[1-3]", AR359 &lt;= 7, "Established Relationship[4-7]", AR359 &lt;= 12, "Long Term Relationship[8-12]", AR359 &lt;= 17, "Very Long Term Relationship[13-17]")</f>
        <v>New Relationship[1-3]</v>
      </c>
      <c r="AR359" s="1">
        <v>2</v>
      </c>
    </row>
    <row r="360" spans="1:44" x14ac:dyDescent="0.25">
      <c r="A360" s="1">
        <v>36</v>
      </c>
      <c r="B360" s="8" t="str" cm="1">
        <f t="array" ref="B360">_xlfn.IFS(A360 &lt;= 25, "[18-25]", A360 &lt;= 35, "[26-35]", A360 &lt;=45, "[36-45]", A360 &lt;= 60, "[46- 60]")</f>
        <v>[36-45]</v>
      </c>
      <c r="C360" s="3" t="s">
        <v>43</v>
      </c>
      <c r="D360">
        <f t="shared" si="5"/>
        <v>0</v>
      </c>
      <c r="E360" t="s">
        <v>62</v>
      </c>
      <c r="F360" s="1">
        <v>845</v>
      </c>
      <c r="G360" s="3" t="s">
        <v>37</v>
      </c>
      <c r="H360" s="1">
        <v>1</v>
      </c>
      <c r="I360" s="9" t="str" cm="1">
        <f t="array" ref="I360">_xlfn.IFS(H360 &lt;= 2, "[1-2] very close", H360 &lt;= 10, "[3-10] close", H360 &lt;= 20, "[11-20] moderate", H360 &lt;= 30, "[21-30] far")</f>
        <v>[1-2] very close</v>
      </c>
      <c r="J360" s="1">
        <v>5</v>
      </c>
      <c r="K360" s="3" t="s">
        <v>51</v>
      </c>
      <c r="L360" s="1">
        <v>1</v>
      </c>
      <c r="M360" s="1">
        <v>479</v>
      </c>
      <c r="N360" s="1">
        <v>4</v>
      </c>
      <c r="O360" s="3" t="s">
        <v>39</v>
      </c>
      <c r="P360" s="1">
        <v>45</v>
      </c>
      <c r="Q360" s="1">
        <v>3</v>
      </c>
      <c r="R360" s="1">
        <v>2</v>
      </c>
      <c r="S360" s="3" t="s">
        <v>40</v>
      </c>
      <c r="T360" s="1">
        <v>4</v>
      </c>
      <c r="U360" s="3" t="s">
        <v>41</v>
      </c>
      <c r="V360" s="4">
        <v>6653</v>
      </c>
      <c r="W360" s="1">
        <v>15276</v>
      </c>
      <c r="X360" s="1">
        <v>4</v>
      </c>
      <c r="Y360" s="3" t="s">
        <v>42</v>
      </c>
      <c r="Z360" s="3" t="s">
        <v>43</v>
      </c>
      <c r="AA360" s="5">
        <v>0.15</v>
      </c>
      <c r="AB360" s="10" t="str" cm="1">
        <f t="array" ref="AB360">_xlfn.IFS(AA360 &lt;= 15%, "Low Hike[11-15%]", AA360 &lt;= 20%, "Moderate Hike[16-20%]", AA360 &lt;= 25%,"High Hike[21-25%]")</f>
        <v>Low Hike[11-15%]</v>
      </c>
      <c r="AC360" s="1">
        <v>3</v>
      </c>
      <c r="AD360" s="1">
        <v>2</v>
      </c>
      <c r="AE360" s="1">
        <v>80</v>
      </c>
      <c r="AF360" s="1">
        <v>0</v>
      </c>
      <c r="AG360" s="1">
        <v>7</v>
      </c>
      <c r="AH360" s="9" t="str" cm="1">
        <f t="array" ref="AH360">_xlfn.IFS(AG360 &lt;= 5, "New[1-5]", AG360 &lt;= 10, "Early Career[6-10]", AG360 &lt;= 20, "Established[11-20]", AG360 &lt;= 30, "Veteran[21-30]", AG360 &lt;= 40, "Late Career[31-40]")</f>
        <v>Early Career[6-10]</v>
      </c>
      <c r="AI360" s="1">
        <v>6</v>
      </c>
      <c r="AJ360" s="1">
        <v>3</v>
      </c>
      <c r="AK360" s="1">
        <v>1</v>
      </c>
      <c r="AL360" s="9" t="str" cm="1">
        <f t="array" ref="AL360">_xlfn.IFS(AK360 &lt;= 5, "New[1-5]", AK360 &lt;= 10, "Early Career[6-10]", AK360 &lt;= 20, "Established[11-20]", AK360 &lt;= 30, "Veteran[21-30]", AK360 &lt;= 40, "Late Career[31-40]")</f>
        <v>New[1-5]</v>
      </c>
      <c r="AM360" s="1">
        <v>0</v>
      </c>
      <c r="AN360" s="9" t="str" cm="1">
        <f t="array" ref="AN360">_xlfn.IFS(AM360 &lt;= 3, "New to Role[1-3]", AM360 &lt;= 7, "Settled[4-7]", AM360 &lt;= 12, "Experienced[[8-12]", AM360 &lt;= 18, "Long Tenured[13-18]")</f>
        <v>New to Role[1-3]</v>
      </c>
      <c r="AO360" s="1">
        <v>0</v>
      </c>
      <c r="AP360" s="9" t="str" cm="1">
        <f t="array" ref="AP360">_xlfn.IFS(AO360 &lt;= 3, "Recently[1-3]", AO360 &lt;= 6, "Due Soon[4-6]", AO360 &lt;= 10, "Overdue[7-10]", AO360 &lt;= 15, "Long Overdue[11-15]")</f>
        <v>Recently[1-3]</v>
      </c>
      <c r="AQ360" s="9" t="str" cm="1">
        <f t="array" ref="AQ360">_xlfn.IFS(AR360 &lt;= 3, "New Relationship[1-3]", AR360 &lt;= 7, "Established Relationship[4-7]", AR360 &lt;= 12, "Long Term Relationship[8-12]", AR360 &lt;= 17, "Very Long Term Relationship[13-17]")</f>
        <v>New Relationship[1-3]</v>
      </c>
      <c r="AR360" s="1">
        <v>0</v>
      </c>
    </row>
    <row r="361" spans="1:44" x14ac:dyDescent="0.25">
      <c r="A361" s="1">
        <v>36</v>
      </c>
      <c r="B361" s="8" t="str" cm="1">
        <f t="array" ref="B361">_xlfn.IFS(A361 &lt;= 25, "[18-25]", A361 &lt;= 35, "[26-35]", A361 &lt;=45, "[36-45]", A361 &lt;= 60, "[46- 60]")</f>
        <v>[36-45]</v>
      </c>
      <c r="C361" s="3" t="s">
        <v>43</v>
      </c>
      <c r="D361">
        <f t="shared" si="5"/>
        <v>0</v>
      </c>
      <c r="E361" t="s">
        <v>44</v>
      </c>
      <c r="F361" s="1">
        <v>541</v>
      </c>
      <c r="G361" s="3" t="s">
        <v>37</v>
      </c>
      <c r="H361" s="1">
        <v>3</v>
      </c>
      <c r="I361" s="9" t="str" cm="1">
        <f t="array" ref="I361">_xlfn.IFS(H361 &lt;= 2, "[1-2] very close", H361 &lt;= 10, "[3-10] close", H361 &lt;= 20, "[11-20] moderate", H361 &lt;= 30, "[21-30] far")</f>
        <v>[3-10] close</v>
      </c>
      <c r="J361" s="1">
        <v>4</v>
      </c>
      <c r="K361" s="3" t="s">
        <v>51</v>
      </c>
      <c r="L361" s="1">
        <v>1</v>
      </c>
      <c r="M361" s="1">
        <v>481</v>
      </c>
      <c r="N361" s="1">
        <v>1</v>
      </c>
      <c r="O361" s="3" t="s">
        <v>46</v>
      </c>
      <c r="P361" s="1">
        <v>48</v>
      </c>
      <c r="Q361" s="1">
        <v>2</v>
      </c>
      <c r="R361" s="1">
        <v>3</v>
      </c>
      <c r="S361" s="3" t="s">
        <v>40</v>
      </c>
      <c r="T361" s="1">
        <v>4</v>
      </c>
      <c r="U361" s="3" t="s">
        <v>48</v>
      </c>
      <c r="V361" s="4">
        <v>9699</v>
      </c>
      <c r="W361" s="1">
        <v>7246</v>
      </c>
      <c r="X361" s="1">
        <v>4</v>
      </c>
      <c r="Y361" s="3" t="s">
        <v>42</v>
      </c>
      <c r="Z361" s="3" t="s">
        <v>43</v>
      </c>
      <c r="AA361" s="5">
        <v>0.11</v>
      </c>
      <c r="AB361" s="10" t="str" cm="1">
        <f t="array" ref="AB361">_xlfn.IFS(AA361 &lt;= 15%, "Low Hike[11-15%]", AA361 &lt;= 20%, "Moderate Hike[16-20%]", AA361 &lt;= 25%,"High Hike[21-25%]")</f>
        <v>Low Hike[11-15%]</v>
      </c>
      <c r="AC361" s="1">
        <v>3</v>
      </c>
      <c r="AD361" s="1">
        <v>1</v>
      </c>
      <c r="AE361" s="1">
        <v>80</v>
      </c>
      <c r="AF361" s="1">
        <v>1</v>
      </c>
      <c r="AG361" s="1">
        <v>16</v>
      </c>
      <c r="AH361" s="9" t="str" cm="1">
        <f t="array" ref="AH361">_xlfn.IFS(AG361 &lt;= 5, "New[1-5]", AG361 &lt;= 10, "Early Career[6-10]", AG361 &lt;= 20, "Established[11-20]", AG361 &lt;= 30, "Veteran[21-30]", AG361 &lt;= 40, "Late Career[31-40]")</f>
        <v>Established[11-20]</v>
      </c>
      <c r="AI361" s="1">
        <v>2</v>
      </c>
      <c r="AJ361" s="1">
        <v>3</v>
      </c>
      <c r="AK361" s="1">
        <v>13</v>
      </c>
      <c r="AL361" s="9" t="str" cm="1">
        <f t="array" ref="AL361">_xlfn.IFS(AK361 &lt;= 5, "New[1-5]", AK361 &lt;= 10, "Early Career[6-10]", AK361 &lt;= 20, "Established[11-20]", AK361 &lt;= 30, "Veteran[21-30]", AK361 &lt;= 40, "Late Career[31-40]")</f>
        <v>Established[11-20]</v>
      </c>
      <c r="AM361" s="1">
        <v>9</v>
      </c>
      <c r="AN361" s="9" t="str" cm="1">
        <f t="array" ref="AN361">_xlfn.IFS(AM361 &lt;= 3, "New to Role[1-3]", AM361 &lt;= 7, "Settled[4-7]", AM361 &lt;= 12, "Experienced[[8-12]", AM361 &lt;= 18, "Long Tenured[13-18]")</f>
        <v>Experienced[[8-12]</v>
      </c>
      <c r="AO361" s="1">
        <v>1</v>
      </c>
      <c r="AP361" s="9" t="str" cm="1">
        <f t="array" ref="AP361">_xlfn.IFS(AO361 &lt;= 3, "Recently[1-3]", AO361 &lt;= 6, "Due Soon[4-6]", AO361 &lt;= 10, "Overdue[7-10]", AO361 &lt;= 15, "Long Overdue[11-15]")</f>
        <v>Recently[1-3]</v>
      </c>
      <c r="AQ361" s="9" t="str" cm="1">
        <f t="array" ref="AQ361">_xlfn.IFS(AR361 &lt;= 3, "New Relationship[1-3]", AR361 &lt;= 7, "Established Relationship[4-7]", AR361 &lt;= 12, "Long Term Relationship[8-12]", AR361 &lt;= 17, "Very Long Term Relationship[13-17]")</f>
        <v>Long Term Relationship[8-12]</v>
      </c>
      <c r="AR361" s="1">
        <v>12</v>
      </c>
    </row>
    <row r="362" spans="1:44" x14ac:dyDescent="0.25">
      <c r="A362" s="1">
        <v>57</v>
      </c>
      <c r="B362" s="8" t="str" cm="1">
        <f t="array" ref="B362">_xlfn.IFS(A362 &lt;= 25, "[18-25]", A362 &lt;= 35, "[26-35]", A362 &lt;=45, "[36-45]", A362 &lt;= 60, "[46- 60]")</f>
        <v>[46- 60]</v>
      </c>
      <c r="C362" s="3" t="s">
        <v>43</v>
      </c>
      <c r="D362">
        <f t="shared" si="5"/>
        <v>0</v>
      </c>
      <c r="E362" t="s">
        <v>36</v>
      </c>
      <c r="F362" s="1">
        <v>593</v>
      </c>
      <c r="G362" s="3" t="s">
        <v>45</v>
      </c>
      <c r="H362" s="1">
        <v>1</v>
      </c>
      <c r="I362" s="9" t="str" cm="1">
        <f t="array" ref="I362">_xlfn.IFS(H362 &lt;= 2, "[1-2] very close", H362 &lt;= 10, "[3-10] close", H362 &lt;= 20, "[11-20] moderate", H362 &lt;= 30, "[21-30] far")</f>
        <v>[1-2] very close</v>
      </c>
      <c r="J362" s="1">
        <v>4</v>
      </c>
      <c r="K362" s="3" t="s">
        <v>51</v>
      </c>
      <c r="L362" s="1">
        <v>1</v>
      </c>
      <c r="M362" s="1">
        <v>482</v>
      </c>
      <c r="N362" s="1">
        <v>4</v>
      </c>
      <c r="O362" s="3" t="s">
        <v>46</v>
      </c>
      <c r="P362" s="1">
        <v>88</v>
      </c>
      <c r="Q362" s="1">
        <v>3</v>
      </c>
      <c r="R362" s="1">
        <v>2</v>
      </c>
      <c r="S362" s="3" t="s">
        <v>54</v>
      </c>
      <c r="T362" s="1">
        <v>3</v>
      </c>
      <c r="U362" s="3" t="s">
        <v>48</v>
      </c>
      <c r="V362" s="4">
        <v>6755</v>
      </c>
      <c r="W362" s="1">
        <v>2967</v>
      </c>
      <c r="X362" s="1">
        <v>2</v>
      </c>
      <c r="Y362" s="3" t="s">
        <v>42</v>
      </c>
      <c r="Z362" s="3" t="s">
        <v>43</v>
      </c>
      <c r="AA362" s="5">
        <v>0.11</v>
      </c>
      <c r="AB362" s="10" t="str" cm="1">
        <f t="array" ref="AB362">_xlfn.IFS(AA362 &lt;= 15%, "Low Hike[11-15%]", AA362 &lt;= 20%, "Moderate Hike[16-20%]", AA362 &lt;= 25%,"High Hike[21-25%]")</f>
        <v>Low Hike[11-15%]</v>
      </c>
      <c r="AC362" s="1">
        <v>3</v>
      </c>
      <c r="AD362" s="1">
        <v>3</v>
      </c>
      <c r="AE362" s="1">
        <v>80</v>
      </c>
      <c r="AF362" s="1">
        <v>0</v>
      </c>
      <c r="AG362" s="1">
        <v>15</v>
      </c>
      <c r="AH362" s="9" t="str" cm="1">
        <f t="array" ref="AH362">_xlfn.IFS(AG362 &lt;= 5, "New[1-5]", AG362 &lt;= 10, "Early Career[6-10]", AG362 &lt;= 20, "Established[11-20]", AG362 &lt;= 30, "Veteran[21-30]", AG362 &lt;= 40, "Late Career[31-40]")</f>
        <v>Established[11-20]</v>
      </c>
      <c r="AI362" s="1">
        <v>2</v>
      </c>
      <c r="AJ362" s="1">
        <v>3</v>
      </c>
      <c r="AK362" s="1">
        <v>3</v>
      </c>
      <c r="AL362" s="9" t="str" cm="1">
        <f t="array" ref="AL362">_xlfn.IFS(AK362 &lt;= 5, "New[1-5]", AK362 &lt;= 10, "Early Career[6-10]", AK362 &lt;= 20, "Established[11-20]", AK362 &lt;= 30, "Veteran[21-30]", AK362 &lt;= 40, "Late Career[31-40]")</f>
        <v>New[1-5]</v>
      </c>
      <c r="AM362" s="1">
        <v>2</v>
      </c>
      <c r="AN362" s="9" t="str" cm="1">
        <f t="array" ref="AN362">_xlfn.IFS(AM362 &lt;= 3, "New to Role[1-3]", AM362 &lt;= 7, "Settled[4-7]", AM362 &lt;= 12, "Experienced[[8-12]", AM362 &lt;= 18, "Long Tenured[13-18]")</f>
        <v>New to Role[1-3]</v>
      </c>
      <c r="AO362" s="1">
        <v>1</v>
      </c>
      <c r="AP362" s="9" t="str" cm="1">
        <f t="array" ref="AP362">_xlfn.IFS(AO362 &lt;= 3, "Recently[1-3]", AO362 &lt;= 6, "Due Soon[4-6]", AO362 &lt;= 10, "Overdue[7-10]", AO362 &lt;= 15, "Long Overdue[11-15]")</f>
        <v>Recently[1-3]</v>
      </c>
      <c r="AQ362" s="9" t="str" cm="1">
        <f t="array" ref="AQ362">_xlfn.IFS(AR362 &lt;= 3, "New Relationship[1-3]", AR362 &lt;= 7, "Established Relationship[4-7]", AR362 &lt;= 12, "Long Term Relationship[8-12]", AR362 &lt;= 17, "Very Long Term Relationship[13-17]")</f>
        <v>New Relationship[1-3]</v>
      </c>
      <c r="AR362" s="1">
        <v>2</v>
      </c>
    </row>
    <row r="363" spans="1:44" x14ac:dyDescent="0.25">
      <c r="A363" s="1">
        <v>40</v>
      </c>
      <c r="B363" s="8" t="str" cm="1">
        <f t="array" ref="B363">_xlfn.IFS(A363 &lt;= 25, "[18-25]", A363 &lt;= 35, "[26-35]", A363 &lt;=45, "[36-45]", A363 &lt;= 60, "[46- 60]")</f>
        <v>[36-45]</v>
      </c>
      <c r="C363" s="3" t="s">
        <v>43</v>
      </c>
      <c r="D363">
        <f t="shared" si="5"/>
        <v>0</v>
      </c>
      <c r="E363" t="s">
        <v>36</v>
      </c>
      <c r="F363" s="1">
        <v>1171</v>
      </c>
      <c r="G363" s="3" t="s">
        <v>45</v>
      </c>
      <c r="H363" s="1">
        <v>10</v>
      </c>
      <c r="I363" s="9" t="str" cm="1">
        <f t="array" ref="I363">_xlfn.IFS(H363 &lt;= 2, "[1-2] very close", H363 &lt;= 10, "[3-10] close", H363 &lt;= 20, "[11-20] moderate", H363 &lt;= 30, "[21-30] far")</f>
        <v>[3-10] close</v>
      </c>
      <c r="J363" s="1">
        <v>4</v>
      </c>
      <c r="K363" s="3" t="s">
        <v>38</v>
      </c>
      <c r="L363" s="1">
        <v>1</v>
      </c>
      <c r="M363" s="1">
        <v>483</v>
      </c>
      <c r="N363" s="1">
        <v>4</v>
      </c>
      <c r="O363" s="3" t="s">
        <v>39</v>
      </c>
      <c r="P363" s="1">
        <v>46</v>
      </c>
      <c r="Q363" s="1">
        <v>4</v>
      </c>
      <c r="R363" s="1">
        <v>1</v>
      </c>
      <c r="S363" s="3" t="s">
        <v>50</v>
      </c>
      <c r="T363" s="1">
        <v>3</v>
      </c>
      <c r="U363" s="3" t="s">
        <v>48</v>
      </c>
      <c r="V363" s="4">
        <v>2213</v>
      </c>
      <c r="W363" s="1">
        <v>22495</v>
      </c>
      <c r="X363" s="1">
        <v>3</v>
      </c>
      <c r="Y363" s="3" t="s">
        <v>42</v>
      </c>
      <c r="Z363" s="3" t="s">
        <v>35</v>
      </c>
      <c r="AA363" s="5">
        <v>0.13</v>
      </c>
      <c r="AB363" s="10" t="str" cm="1">
        <f t="array" ref="AB363">_xlfn.IFS(AA363 &lt;= 15%, "Low Hike[11-15%]", AA363 &lt;= 20%, "Moderate Hike[16-20%]", AA363 &lt;= 25%,"High Hike[21-25%]")</f>
        <v>Low Hike[11-15%]</v>
      </c>
      <c r="AC363" s="1">
        <v>3</v>
      </c>
      <c r="AD363" s="1">
        <v>3</v>
      </c>
      <c r="AE363" s="1">
        <v>80</v>
      </c>
      <c r="AF363" s="1">
        <v>1</v>
      </c>
      <c r="AG363" s="1">
        <v>10</v>
      </c>
      <c r="AH363" s="9" t="str" cm="1">
        <f t="array" ref="AH363">_xlfn.IFS(AG363 &lt;= 5, "New[1-5]", AG363 &lt;= 10, "Early Career[6-10]", AG363 &lt;= 20, "Established[11-20]", AG363 &lt;= 30, "Veteran[21-30]", AG363 &lt;= 40, "Late Career[31-40]")</f>
        <v>Early Career[6-10]</v>
      </c>
      <c r="AI363" s="1">
        <v>3</v>
      </c>
      <c r="AJ363" s="1">
        <v>3</v>
      </c>
      <c r="AK363" s="1">
        <v>7</v>
      </c>
      <c r="AL363" s="9" t="str" cm="1">
        <f t="array" ref="AL363">_xlfn.IFS(AK363 &lt;= 5, "New[1-5]", AK363 &lt;= 10, "Early Career[6-10]", AK363 &lt;= 20, "Established[11-20]", AK363 &lt;= 30, "Veteran[21-30]", AK363 &lt;= 40, "Late Career[31-40]")</f>
        <v>Early Career[6-10]</v>
      </c>
      <c r="AM363" s="1">
        <v>7</v>
      </c>
      <c r="AN363" s="9" t="str" cm="1">
        <f t="array" ref="AN363">_xlfn.IFS(AM363 &lt;= 3, "New to Role[1-3]", AM363 &lt;= 7, "Settled[4-7]", AM363 &lt;= 12, "Experienced[[8-12]", AM363 &lt;= 18, "Long Tenured[13-18]")</f>
        <v>Settled[4-7]</v>
      </c>
      <c r="AO363" s="1">
        <v>1</v>
      </c>
      <c r="AP363" s="9" t="str" cm="1">
        <f t="array" ref="AP363">_xlfn.IFS(AO363 &lt;= 3, "Recently[1-3]", AO363 &lt;= 6, "Due Soon[4-6]", AO363 &lt;= 10, "Overdue[7-10]", AO363 &lt;= 15, "Long Overdue[11-15]")</f>
        <v>Recently[1-3]</v>
      </c>
      <c r="AQ363" s="9" t="str" cm="1">
        <f t="array" ref="AQ363">_xlfn.IFS(AR363 &lt;= 3, "New Relationship[1-3]", AR363 &lt;= 7, "Established Relationship[4-7]", AR363 &lt;= 12, "Long Term Relationship[8-12]", AR363 &lt;= 17, "Very Long Term Relationship[13-17]")</f>
        <v>Established Relationship[4-7]</v>
      </c>
      <c r="AR363" s="1">
        <v>7</v>
      </c>
    </row>
    <row r="364" spans="1:44" x14ac:dyDescent="0.25">
      <c r="A364" s="1">
        <v>21</v>
      </c>
      <c r="B364" s="8" t="str" cm="1">
        <f t="array" ref="B364">_xlfn.IFS(A364 &lt;= 25, "[18-25]", A364 &lt;= 35, "[26-35]", A364 &lt;=45, "[36-45]", A364 &lt;= 60, "[46- 60]")</f>
        <v>[18-25]</v>
      </c>
      <c r="C364" s="3" t="s">
        <v>43</v>
      </c>
      <c r="D364">
        <f t="shared" si="5"/>
        <v>0</v>
      </c>
      <c r="E364" t="s">
        <v>62</v>
      </c>
      <c r="F364" s="1">
        <v>895</v>
      </c>
      <c r="G364" s="3" t="s">
        <v>37</v>
      </c>
      <c r="H364" s="1">
        <v>9</v>
      </c>
      <c r="I364" s="9" t="str" cm="1">
        <f t="array" ref="I364">_xlfn.IFS(H364 &lt;= 2, "[1-2] very close", H364 &lt;= 10, "[3-10] close", H364 &lt;= 20, "[11-20] moderate", H364 &lt;= 30, "[21-30] far")</f>
        <v>[3-10] close</v>
      </c>
      <c r="J364" s="1">
        <v>2</v>
      </c>
      <c r="K364" s="3" t="s">
        <v>51</v>
      </c>
      <c r="L364" s="1">
        <v>1</v>
      </c>
      <c r="M364" s="1">
        <v>484</v>
      </c>
      <c r="N364" s="1">
        <v>1</v>
      </c>
      <c r="O364" s="3" t="s">
        <v>46</v>
      </c>
      <c r="P364" s="1">
        <v>39</v>
      </c>
      <c r="Q364" s="1">
        <v>3</v>
      </c>
      <c r="R364" s="1">
        <v>1</v>
      </c>
      <c r="S364" s="3" t="s">
        <v>57</v>
      </c>
      <c r="T364" s="1">
        <v>4</v>
      </c>
      <c r="U364" s="3" t="s">
        <v>41</v>
      </c>
      <c r="V364" s="4">
        <v>2610</v>
      </c>
      <c r="W364" s="1">
        <v>2851</v>
      </c>
      <c r="X364" s="1">
        <v>1</v>
      </c>
      <c r="Y364" s="3" t="s">
        <v>42</v>
      </c>
      <c r="Z364" s="3" t="s">
        <v>43</v>
      </c>
      <c r="AA364" s="5">
        <v>0.24</v>
      </c>
      <c r="AB364" s="10" t="str" cm="1">
        <f t="array" ref="AB364">_xlfn.IFS(AA364 &lt;= 15%, "Low Hike[11-15%]", AA364 &lt;= 20%, "Moderate Hike[16-20%]", AA364 &lt;= 25%,"High Hike[21-25%]")</f>
        <v>High Hike[21-25%]</v>
      </c>
      <c r="AC364" s="1">
        <v>4</v>
      </c>
      <c r="AD364" s="1">
        <v>3</v>
      </c>
      <c r="AE364" s="1">
        <v>80</v>
      </c>
      <c r="AF364" s="1">
        <v>0</v>
      </c>
      <c r="AG364" s="1">
        <v>3</v>
      </c>
      <c r="AH364" s="9" t="str" cm="1">
        <f t="array" ref="AH364">_xlfn.IFS(AG364 &lt;= 5, "New[1-5]", AG364 &lt;= 10, "Early Career[6-10]", AG364 &lt;= 20, "Established[11-20]", AG364 &lt;= 30, "Veteran[21-30]", AG364 &lt;= 40, "Late Career[31-40]")</f>
        <v>New[1-5]</v>
      </c>
      <c r="AI364" s="1">
        <v>3</v>
      </c>
      <c r="AJ364" s="1">
        <v>2</v>
      </c>
      <c r="AK364" s="1">
        <v>3</v>
      </c>
      <c r="AL364" s="9" t="str" cm="1">
        <f t="array" ref="AL364">_xlfn.IFS(AK364 &lt;= 5, "New[1-5]", AK364 &lt;= 10, "Early Career[6-10]", AK364 &lt;= 20, "Established[11-20]", AK364 &lt;= 30, "Veteran[21-30]", AK364 &lt;= 40, "Late Career[31-40]")</f>
        <v>New[1-5]</v>
      </c>
      <c r="AM364" s="1">
        <v>2</v>
      </c>
      <c r="AN364" s="9" t="str" cm="1">
        <f t="array" ref="AN364">_xlfn.IFS(AM364 &lt;= 3, "New to Role[1-3]", AM364 &lt;= 7, "Settled[4-7]", AM364 &lt;= 12, "Experienced[[8-12]", AM364 &lt;= 18, "Long Tenured[13-18]")</f>
        <v>New to Role[1-3]</v>
      </c>
      <c r="AO364" s="1">
        <v>2</v>
      </c>
      <c r="AP364" s="9" t="str" cm="1">
        <f t="array" ref="AP364">_xlfn.IFS(AO364 &lt;= 3, "Recently[1-3]", AO364 &lt;= 6, "Due Soon[4-6]", AO364 &lt;= 10, "Overdue[7-10]", AO364 &lt;= 15, "Long Overdue[11-15]")</f>
        <v>Recently[1-3]</v>
      </c>
      <c r="AQ364" s="9" t="str" cm="1">
        <f t="array" ref="AQ364">_xlfn.IFS(AR364 &lt;= 3, "New Relationship[1-3]", AR364 &lt;= 7, "Established Relationship[4-7]", AR364 &lt;= 12, "Long Term Relationship[8-12]", AR364 &lt;= 17, "Very Long Term Relationship[13-17]")</f>
        <v>New Relationship[1-3]</v>
      </c>
      <c r="AR364" s="1">
        <v>2</v>
      </c>
    </row>
    <row r="365" spans="1:44" x14ac:dyDescent="0.25">
      <c r="A365" s="1">
        <v>33</v>
      </c>
      <c r="B365" s="8" t="str" cm="1">
        <f t="array" ref="B365">_xlfn.IFS(A365 &lt;= 25, "[18-25]", A365 &lt;= 35, "[26-35]", A365 &lt;=45, "[36-45]", A365 &lt;= 60, "[46- 60]")</f>
        <v>[26-35]</v>
      </c>
      <c r="C365" s="3" t="s">
        <v>35</v>
      </c>
      <c r="D365">
        <f t="shared" si="5"/>
        <v>1</v>
      </c>
      <c r="E365" t="s">
        <v>36</v>
      </c>
      <c r="F365" s="1">
        <v>350</v>
      </c>
      <c r="G365" s="3" t="s">
        <v>37</v>
      </c>
      <c r="H365" s="1">
        <v>5</v>
      </c>
      <c r="I365" s="9" t="str" cm="1">
        <f t="array" ref="I365">_xlfn.IFS(H365 &lt;= 2, "[1-2] very close", H365 &lt;= 10, "[3-10] close", H365 &lt;= 20, "[11-20] moderate", H365 &lt;= 30, "[21-30] far")</f>
        <v>[3-10] close</v>
      </c>
      <c r="J365" s="1">
        <v>3</v>
      </c>
      <c r="K365" s="3" t="s">
        <v>59</v>
      </c>
      <c r="L365" s="1">
        <v>1</v>
      </c>
      <c r="M365" s="1">
        <v>485</v>
      </c>
      <c r="N365" s="1">
        <v>4</v>
      </c>
      <c r="O365" s="3" t="s">
        <v>39</v>
      </c>
      <c r="P365" s="1">
        <v>34</v>
      </c>
      <c r="Q365" s="1">
        <v>3</v>
      </c>
      <c r="R365" s="1">
        <v>1</v>
      </c>
      <c r="S365" s="3" t="s">
        <v>57</v>
      </c>
      <c r="T365" s="1">
        <v>3</v>
      </c>
      <c r="U365" s="3" t="s">
        <v>41</v>
      </c>
      <c r="V365" s="4">
        <v>2851</v>
      </c>
      <c r="W365" s="1">
        <v>9150</v>
      </c>
      <c r="X365" s="1">
        <v>1</v>
      </c>
      <c r="Y365" s="3" t="s">
        <v>42</v>
      </c>
      <c r="Z365" s="3" t="s">
        <v>35</v>
      </c>
      <c r="AA365" s="5">
        <v>0.13</v>
      </c>
      <c r="AB365" s="10" t="str" cm="1">
        <f t="array" ref="AB365">_xlfn.IFS(AA365 &lt;= 15%, "Low Hike[11-15%]", AA365 &lt;= 20%, "Moderate Hike[16-20%]", AA365 &lt;= 25%,"High Hike[21-25%]")</f>
        <v>Low Hike[11-15%]</v>
      </c>
      <c r="AC365" s="1">
        <v>3</v>
      </c>
      <c r="AD365" s="1">
        <v>2</v>
      </c>
      <c r="AE365" s="1">
        <v>80</v>
      </c>
      <c r="AF365" s="1">
        <v>0</v>
      </c>
      <c r="AG365" s="1">
        <v>1</v>
      </c>
      <c r="AH365" s="9" t="str" cm="1">
        <f t="array" ref="AH365">_xlfn.IFS(AG365 &lt;= 5, "New[1-5]", AG365 &lt;= 10, "Early Career[6-10]", AG365 &lt;= 20, "Established[11-20]", AG365 &lt;= 30, "Veteran[21-30]", AG365 &lt;= 40, "Late Career[31-40]")</f>
        <v>New[1-5]</v>
      </c>
      <c r="AI365" s="1">
        <v>2</v>
      </c>
      <c r="AJ365" s="1">
        <v>3</v>
      </c>
      <c r="AK365" s="1">
        <v>1</v>
      </c>
      <c r="AL365" s="9" t="str" cm="1">
        <f t="array" ref="AL365">_xlfn.IFS(AK365 &lt;= 5, "New[1-5]", AK365 &lt;= 10, "Early Career[6-10]", AK365 &lt;= 20, "Established[11-20]", AK365 &lt;= 30, "Veteran[21-30]", AK365 &lt;= 40, "Late Career[31-40]")</f>
        <v>New[1-5]</v>
      </c>
      <c r="AM365" s="1">
        <v>0</v>
      </c>
      <c r="AN365" s="9" t="str" cm="1">
        <f t="array" ref="AN365">_xlfn.IFS(AM365 &lt;= 3, "New to Role[1-3]", AM365 &lt;= 7, "Settled[4-7]", AM365 &lt;= 12, "Experienced[[8-12]", AM365 &lt;= 18, "Long Tenured[13-18]")</f>
        <v>New to Role[1-3]</v>
      </c>
      <c r="AO365" s="1">
        <v>0</v>
      </c>
      <c r="AP365" s="9" t="str" cm="1">
        <f t="array" ref="AP365">_xlfn.IFS(AO365 &lt;= 3, "Recently[1-3]", AO365 &lt;= 6, "Due Soon[4-6]", AO365 &lt;= 10, "Overdue[7-10]", AO365 &lt;= 15, "Long Overdue[11-15]")</f>
        <v>Recently[1-3]</v>
      </c>
      <c r="AQ365" s="9" t="str" cm="1">
        <f t="array" ref="AQ365">_xlfn.IFS(AR365 &lt;= 3, "New Relationship[1-3]", AR365 &lt;= 7, "Established Relationship[4-7]", AR365 &lt;= 12, "Long Term Relationship[8-12]", AR365 &lt;= 17, "Very Long Term Relationship[13-17]")</f>
        <v>New Relationship[1-3]</v>
      </c>
      <c r="AR365" s="1">
        <v>0</v>
      </c>
    </row>
    <row r="366" spans="1:44" x14ac:dyDescent="0.25">
      <c r="A366" s="1">
        <v>37</v>
      </c>
      <c r="B366" s="8" t="str" cm="1">
        <f t="array" ref="B366">_xlfn.IFS(A366 &lt;= 25, "[18-25]", A366 &lt;= 35, "[26-35]", A366 &lt;=45, "[36-45]", A366 &lt;= 60, "[46- 60]")</f>
        <v>[36-45]</v>
      </c>
      <c r="C366" s="3" t="s">
        <v>43</v>
      </c>
      <c r="D366">
        <f t="shared" si="5"/>
        <v>0</v>
      </c>
      <c r="E366" t="s">
        <v>36</v>
      </c>
      <c r="F366" s="1">
        <v>921</v>
      </c>
      <c r="G366" s="3" t="s">
        <v>45</v>
      </c>
      <c r="H366" s="1">
        <v>10</v>
      </c>
      <c r="I366" s="9" t="str" cm="1">
        <f t="array" ref="I366">_xlfn.IFS(H366 &lt;= 2, "[1-2] very close", H366 &lt;= 10, "[3-10] close", H366 &lt;= 20, "[11-20] moderate", H366 &lt;= 30, "[21-30] far")</f>
        <v>[3-10] close</v>
      </c>
      <c r="J366" s="1">
        <v>3</v>
      </c>
      <c r="K366" s="3" t="s">
        <v>51</v>
      </c>
      <c r="L366" s="1">
        <v>1</v>
      </c>
      <c r="M366" s="1">
        <v>486</v>
      </c>
      <c r="N366" s="1">
        <v>3</v>
      </c>
      <c r="O366" s="3" t="s">
        <v>39</v>
      </c>
      <c r="P366" s="1">
        <v>98</v>
      </c>
      <c r="Q366" s="1">
        <v>3</v>
      </c>
      <c r="R366" s="1">
        <v>1</v>
      </c>
      <c r="S366" s="3" t="s">
        <v>50</v>
      </c>
      <c r="T366" s="1">
        <v>1</v>
      </c>
      <c r="U366" s="3" t="s">
        <v>48</v>
      </c>
      <c r="V366" s="4">
        <v>3452</v>
      </c>
      <c r="W366" s="1">
        <v>17663</v>
      </c>
      <c r="X366" s="1">
        <v>6</v>
      </c>
      <c r="Y366" s="3" t="s">
        <v>42</v>
      </c>
      <c r="Z366" s="3" t="s">
        <v>43</v>
      </c>
      <c r="AA366" s="5">
        <v>0.2</v>
      </c>
      <c r="AB366" s="10" t="str" cm="1">
        <f t="array" ref="AB366">_xlfn.IFS(AA366 &lt;= 15%, "Low Hike[11-15%]", AA366 &lt;= 20%, "Moderate Hike[16-20%]", AA366 &lt;= 25%,"High Hike[21-25%]")</f>
        <v>Moderate Hike[16-20%]</v>
      </c>
      <c r="AC366" s="1">
        <v>4</v>
      </c>
      <c r="AD366" s="1">
        <v>2</v>
      </c>
      <c r="AE366" s="1">
        <v>80</v>
      </c>
      <c r="AF366" s="1">
        <v>1</v>
      </c>
      <c r="AG366" s="1">
        <v>17</v>
      </c>
      <c r="AH366" s="9" t="str" cm="1">
        <f t="array" ref="AH366">_xlfn.IFS(AG366 &lt;= 5, "New[1-5]", AG366 &lt;= 10, "Early Career[6-10]", AG366 &lt;= 20, "Established[11-20]", AG366 &lt;= 30, "Veteran[21-30]", AG366 &lt;= 40, "Late Career[31-40]")</f>
        <v>Established[11-20]</v>
      </c>
      <c r="AI366" s="1">
        <v>3</v>
      </c>
      <c r="AJ366" s="1">
        <v>3</v>
      </c>
      <c r="AK366" s="1">
        <v>5</v>
      </c>
      <c r="AL366" s="9" t="str" cm="1">
        <f t="array" ref="AL366">_xlfn.IFS(AK366 &lt;= 5, "New[1-5]", AK366 &lt;= 10, "Early Career[6-10]", AK366 &lt;= 20, "Established[11-20]", AK366 &lt;= 30, "Veteran[21-30]", AK366 &lt;= 40, "Late Career[31-40]")</f>
        <v>New[1-5]</v>
      </c>
      <c r="AM366" s="1">
        <v>4</v>
      </c>
      <c r="AN366" s="9" t="str" cm="1">
        <f t="array" ref="AN366">_xlfn.IFS(AM366 &lt;= 3, "New to Role[1-3]", AM366 &lt;= 7, "Settled[4-7]", AM366 &lt;= 12, "Experienced[[8-12]", AM366 &lt;= 18, "Long Tenured[13-18]")</f>
        <v>Settled[4-7]</v>
      </c>
      <c r="AO366" s="1">
        <v>0</v>
      </c>
      <c r="AP366" s="9" t="str" cm="1">
        <f t="array" ref="AP366">_xlfn.IFS(AO366 &lt;= 3, "Recently[1-3]", AO366 &lt;= 6, "Due Soon[4-6]", AO366 &lt;= 10, "Overdue[7-10]", AO366 &lt;= 15, "Long Overdue[11-15]")</f>
        <v>Recently[1-3]</v>
      </c>
      <c r="AQ366" s="9" t="str" cm="1">
        <f t="array" ref="AQ366">_xlfn.IFS(AR366 &lt;= 3, "New Relationship[1-3]", AR366 &lt;= 7, "Established Relationship[4-7]", AR366 &lt;= 12, "Long Term Relationship[8-12]", AR366 &lt;= 17, "Very Long Term Relationship[13-17]")</f>
        <v>New Relationship[1-3]</v>
      </c>
      <c r="AR366" s="1">
        <v>3</v>
      </c>
    </row>
    <row r="367" spans="1:44" x14ac:dyDescent="0.25">
      <c r="A367" s="1">
        <v>46</v>
      </c>
      <c r="B367" s="8" t="str" cm="1">
        <f t="array" ref="B367">_xlfn.IFS(A367 &lt;= 25, "[18-25]", A367 &lt;= 35, "[26-35]", A367 &lt;=45, "[36-45]", A367 &lt;= 60, "[46- 60]")</f>
        <v>[46- 60]</v>
      </c>
      <c r="C367" s="3" t="s">
        <v>43</v>
      </c>
      <c r="D367">
        <f t="shared" si="5"/>
        <v>0</v>
      </c>
      <c r="E367" t="s">
        <v>62</v>
      </c>
      <c r="F367" s="1">
        <v>1144</v>
      </c>
      <c r="G367" s="3" t="s">
        <v>45</v>
      </c>
      <c r="H367" s="1">
        <v>7</v>
      </c>
      <c r="I367" s="9" t="str" cm="1">
        <f t="array" ref="I367">_xlfn.IFS(H367 &lt;= 2, "[1-2] very close", H367 &lt;= 10, "[3-10] close", H367 &lt;= 20, "[11-20] moderate", H367 &lt;= 30, "[21-30] far")</f>
        <v>[3-10] close</v>
      </c>
      <c r="J367" s="1">
        <v>4</v>
      </c>
      <c r="K367" s="3" t="s">
        <v>51</v>
      </c>
      <c r="L367" s="1">
        <v>1</v>
      </c>
      <c r="M367" s="1">
        <v>487</v>
      </c>
      <c r="N367" s="1">
        <v>3</v>
      </c>
      <c r="O367" s="3" t="s">
        <v>39</v>
      </c>
      <c r="P367" s="1">
        <v>30</v>
      </c>
      <c r="Q367" s="1">
        <v>3</v>
      </c>
      <c r="R367" s="1">
        <v>2</v>
      </c>
      <c r="S367" s="3" t="s">
        <v>53</v>
      </c>
      <c r="T367" s="1">
        <v>3</v>
      </c>
      <c r="U367" s="3" t="s">
        <v>48</v>
      </c>
      <c r="V367" s="4">
        <v>5258</v>
      </c>
      <c r="W367" s="1">
        <v>16044</v>
      </c>
      <c r="X367" s="1">
        <v>2</v>
      </c>
      <c r="Y367" s="3" t="s">
        <v>42</v>
      </c>
      <c r="Z367" s="3" t="s">
        <v>43</v>
      </c>
      <c r="AA367" s="5">
        <v>0.14000000000000001</v>
      </c>
      <c r="AB367" s="10" t="str" cm="1">
        <f t="array" ref="AB367">_xlfn.IFS(AA367 &lt;= 15%, "Low Hike[11-15%]", AA367 &lt;= 20%, "Moderate Hike[16-20%]", AA367 &lt;= 25%,"High Hike[21-25%]")</f>
        <v>Low Hike[11-15%]</v>
      </c>
      <c r="AC367" s="1">
        <v>3</v>
      </c>
      <c r="AD367" s="1">
        <v>3</v>
      </c>
      <c r="AE367" s="1">
        <v>80</v>
      </c>
      <c r="AF367" s="1">
        <v>0</v>
      </c>
      <c r="AG367" s="1">
        <v>7</v>
      </c>
      <c r="AH367" s="9" t="str" cm="1">
        <f t="array" ref="AH367">_xlfn.IFS(AG367 &lt;= 5, "New[1-5]", AG367 &lt;= 10, "Early Career[6-10]", AG367 &lt;= 20, "Established[11-20]", AG367 &lt;= 30, "Veteran[21-30]", AG367 &lt;= 40, "Late Career[31-40]")</f>
        <v>Early Career[6-10]</v>
      </c>
      <c r="AI367" s="1">
        <v>2</v>
      </c>
      <c r="AJ367" s="1">
        <v>4</v>
      </c>
      <c r="AK367" s="1">
        <v>1</v>
      </c>
      <c r="AL367" s="9" t="str" cm="1">
        <f t="array" ref="AL367">_xlfn.IFS(AK367 &lt;= 5, "New[1-5]", AK367 &lt;= 10, "Early Career[6-10]", AK367 &lt;= 20, "Established[11-20]", AK367 &lt;= 30, "Veteran[21-30]", AK367 &lt;= 40, "Late Career[31-40]")</f>
        <v>New[1-5]</v>
      </c>
      <c r="AM367" s="1">
        <v>0</v>
      </c>
      <c r="AN367" s="9" t="str" cm="1">
        <f t="array" ref="AN367">_xlfn.IFS(AM367 &lt;= 3, "New to Role[1-3]", AM367 &lt;= 7, "Settled[4-7]", AM367 &lt;= 12, "Experienced[[8-12]", AM367 &lt;= 18, "Long Tenured[13-18]")</f>
        <v>New to Role[1-3]</v>
      </c>
      <c r="AO367" s="1">
        <v>0</v>
      </c>
      <c r="AP367" s="9" t="str" cm="1">
        <f t="array" ref="AP367">_xlfn.IFS(AO367 &lt;= 3, "Recently[1-3]", AO367 &lt;= 6, "Due Soon[4-6]", AO367 &lt;= 10, "Overdue[7-10]", AO367 &lt;= 15, "Long Overdue[11-15]")</f>
        <v>Recently[1-3]</v>
      </c>
      <c r="AQ367" s="9" t="str" cm="1">
        <f t="array" ref="AQ367">_xlfn.IFS(AR367 &lt;= 3, "New Relationship[1-3]", AR367 &lt;= 7, "Established Relationship[4-7]", AR367 &lt;= 12, "Long Term Relationship[8-12]", AR367 &lt;= 17, "Very Long Term Relationship[13-17]")</f>
        <v>New Relationship[1-3]</v>
      </c>
      <c r="AR367" s="1">
        <v>0</v>
      </c>
    </row>
    <row r="368" spans="1:44" x14ac:dyDescent="0.25">
      <c r="A368" s="1">
        <v>41</v>
      </c>
      <c r="B368" s="8" t="str" cm="1">
        <f t="array" ref="B368">_xlfn.IFS(A368 &lt;= 25, "[18-25]", A368 &lt;= 35, "[26-35]", A368 &lt;=45, "[36-45]", A368 &lt;= 60, "[46- 60]")</f>
        <v>[36-45]</v>
      </c>
      <c r="C368" s="3" t="s">
        <v>35</v>
      </c>
      <c r="D368">
        <f t="shared" si="5"/>
        <v>1</v>
      </c>
      <c r="E368" t="s">
        <v>44</v>
      </c>
      <c r="F368" s="1">
        <v>143</v>
      </c>
      <c r="G368" s="3" t="s">
        <v>37</v>
      </c>
      <c r="H368" s="1">
        <v>4</v>
      </c>
      <c r="I368" s="9" t="str" cm="1">
        <f t="array" ref="I368">_xlfn.IFS(H368 &lt;= 2, "[1-2] very close", H368 &lt;= 10, "[3-10] close", H368 &lt;= 20, "[11-20] moderate", H368 &lt;= 30, "[21-30] far")</f>
        <v>[3-10] close</v>
      </c>
      <c r="J368" s="1">
        <v>3</v>
      </c>
      <c r="K368" s="3" t="s">
        <v>59</v>
      </c>
      <c r="L368" s="1">
        <v>1</v>
      </c>
      <c r="M368" s="1">
        <v>488</v>
      </c>
      <c r="N368" s="1">
        <v>1</v>
      </c>
      <c r="O368" s="3" t="s">
        <v>46</v>
      </c>
      <c r="P368" s="1">
        <v>56</v>
      </c>
      <c r="Q368" s="1">
        <v>3</v>
      </c>
      <c r="R368" s="1">
        <v>2</v>
      </c>
      <c r="S368" s="3" t="s">
        <v>40</v>
      </c>
      <c r="T368" s="1">
        <v>2</v>
      </c>
      <c r="U368" s="3" t="s">
        <v>41</v>
      </c>
      <c r="V368" s="4">
        <v>9355</v>
      </c>
      <c r="W368" s="1">
        <v>9558</v>
      </c>
      <c r="X368" s="1">
        <v>1</v>
      </c>
      <c r="Y368" s="3" t="s">
        <v>42</v>
      </c>
      <c r="Z368" s="3" t="s">
        <v>43</v>
      </c>
      <c r="AA368" s="5">
        <v>0.18</v>
      </c>
      <c r="AB368" s="10" t="str" cm="1">
        <f t="array" ref="AB368">_xlfn.IFS(AA368 &lt;= 15%, "Low Hike[11-15%]", AA368 &lt;= 20%, "Moderate Hike[16-20%]", AA368 &lt;= 25%,"High Hike[21-25%]")</f>
        <v>Moderate Hike[16-20%]</v>
      </c>
      <c r="AC368" s="1">
        <v>3</v>
      </c>
      <c r="AD368" s="1">
        <v>3</v>
      </c>
      <c r="AE368" s="1">
        <v>80</v>
      </c>
      <c r="AF368" s="1">
        <v>0</v>
      </c>
      <c r="AG368" s="1">
        <v>8</v>
      </c>
      <c r="AH368" s="9" t="str" cm="1">
        <f t="array" ref="AH368">_xlfn.IFS(AG368 &lt;= 5, "New[1-5]", AG368 &lt;= 10, "Early Career[6-10]", AG368 &lt;= 20, "Established[11-20]", AG368 &lt;= 30, "Veteran[21-30]", AG368 &lt;= 40, "Late Career[31-40]")</f>
        <v>Early Career[6-10]</v>
      </c>
      <c r="AI368" s="1">
        <v>5</v>
      </c>
      <c r="AJ368" s="1">
        <v>3</v>
      </c>
      <c r="AK368" s="1">
        <v>8</v>
      </c>
      <c r="AL368" s="9" t="str" cm="1">
        <f t="array" ref="AL368">_xlfn.IFS(AK368 &lt;= 5, "New[1-5]", AK368 &lt;= 10, "Early Career[6-10]", AK368 &lt;= 20, "Established[11-20]", AK368 &lt;= 30, "Veteran[21-30]", AK368 &lt;= 40, "Late Career[31-40]")</f>
        <v>Early Career[6-10]</v>
      </c>
      <c r="AM368" s="1">
        <v>7</v>
      </c>
      <c r="AN368" s="9" t="str" cm="1">
        <f t="array" ref="AN368">_xlfn.IFS(AM368 &lt;= 3, "New to Role[1-3]", AM368 &lt;= 7, "Settled[4-7]", AM368 &lt;= 12, "Experienced[[8-12]", AM368 &lt;= 18, "Long Tenured[13-18]")</f>
        <v>Settled[4-7]</v>
      </c>
      <c r="AO368" s="1">
        <v>7</v>
      </c>
      <c r="AP368" s="9" t="str" cm="1">
        <f t="array" ref="AP368">_xlfn.IFS(AO368 &lt;= 3, "Recently[1-3]", AO368 &lt;= 6, "Due Soon[4-6]", AO368 &lt;= 10, "Overdue[7-10]", AO368 &lt;= 15, "Long Overdue[11-15]")</f>
        <v>Overdue[7-10]</v>
      </c>
      <c r="AQ368" s="9" t="str" cm="1">
        <f t="array" ref="AQ368">_xlfn.IFS(AR368 &lt;= 3, "New Relationship[1-3]", AR368 &lt;= 7, "Established Relationship[4-7]", AR368 &lt;= 12, "Long Term Relationship[8-12]", AR368 &lt;= 17, "Very Long Term Relationship[13-17]")</f>
        <v>Established Relationship[4-7]</v>
      </c>
      <c r="AR368" s="1">
        <v>7</v>
      </c>
    </row>
    <row r="369" spans="1:44" x14ac:dyDescent="0.25">
      <c r="A369" s="1">
        <v>50</v>
      </c>
      <c r="B369" s="8" t="str" cm="1">
        <f t="array" ref="B369">_xlfn.IFS(A369 &lt;= 25, "[18-25]", A369 &lt;= 35, "[26-35]", A369 &lt;=45, "[36-45]", A369 &lt;= 60, "[46- 60]")</f>
        <v>[46- 60]</v>
      </c>
      <c r="C369" s="3" t="s">
        <v>43</v>
      </c>
      <c r="D369">
        <f t="shared" si="5"/>
        <v>0</v>
      </c>
      <c r="E369" t="s">
        <v>36</v>
      </c>
      <c r="F369" s="1">
        <v>1046</v>
      </c>
      <c r="G369" s="3" t="s">
        <v>45</v>
      </c>
      <c r="H369" s="1">
        <v>10</v>
      </c>
      <c r="I369" s="9" t="str" cm="1">
        <f t="array" ref="I369">_xlfn.IFS(H369 &lt;= 2, "[1-2] very close", H369 &lt;= 10, "[3-10] close", H369 &lt;= 20, "[11-20] moderate", H369 &lt;= 30, "[21-30] far")</f>
        <v>[3-10] close</v>
      </c>
      <c r="J369" s="1">
        <v>3</v>
      </c>
      <c r="K369" s="3" t="s">
        <v>60</v>
      </c>
      <c r="L369" s="1">
        <v>1</v>
      </c>
      <c r="M369" s="1">
        <v>491</v>
      </c>
      <c r="N369" s="1">
        <v>4</v>
      </c>
      <c r="O369" s="3" t="s">
        <v>46</v>
      </c>
      <c r="P369" s="1">
        <v>100</v>
      </c>
      <c r="Q369" s="1">
        <v>2</v>
      </c>
      <c r="R369" s="1">
        <v>3</v>
      </c>
      <c r="S369" s="3" t="s">
        <v>54</v>
      </c>
      <c r="T369" s="1">
        <v>4</v>
      </c>
      <c r="U369" s="3" t="s">
        <v>41</v>
      </c>
      <c r="V369" s="4">
        <v>10496</v>
      </c>
      <c r="W369" s="1">
        <v>2755</v>
      </c>
      <c r="X369" s="1">
        <v>6</v>
      </c>
      <c r="Y369" s="3" t="s">
        <v>42</v>
      </c>
      <c r="Z369" s="3" t="s">
        <v>43</v>
      </c>
      <c r="AA369" s="5">
        <v>0.15</v>
      </c>
      <c r="AB369" s="10" t="str" cm="1">
        <f t="array" ref="AB369">_xlfn.IFS(AA369 &lt;= 15%, "Low Hike[11-15%]", AA369 &lt;= 20%, "Moderate Hike[16-20%]", AA369 &lt;= 25%,"High Hike[21-25%]")</f>
        <v>Low Hike[11-15%]</v>
      </c>
      <c r="AC369" s="1">
        <v>3</v>
      </c>
      <c r="AD369" s="1">
        <v>4</v>
      </c>
      <c r="AE369" s="1">
        <v>80</v>
      </c>
      <c r="AF369" s="1">
        <v>0</v>
      </c>
      <c r="AG369" s="1">
        <v>20</v>
      </c>
      <c r="AH369" s="9" t="str" cm="1">
        <f t="array" ref="AH369">_xlfn.IFS(AG369 &lt;= 5, "New[1-5]", AG369 &lt;= 10, "Early Career[6-10]", AG369 &lt;= 20, "Established[11-20]", AG369 &lt;= 30, "Veteran[21-30]", AG369 &lt;= 40, "Late Career[31-40]")</f>
        <v>Established[11-20]</v>
      </c>
      <c r="AI369" s="1">
        <v>2</v>
      </c>
      <c r="AJ369" s="1">
        <v>3</v>
      </c>
      <c r="AK369" s="1">
        <v>4</v>
      </c>
      <c r="AL369" s="9" t="str" cm="1">
        <f t="array" ref="AL369">_xlfn.IFS(AK369 &lt;= 5, "New[1-5]", AK369 &lt;= 10, "Early Career[6-10]", AK369 &lt;= 20, "Established[11-20]", AK369 &lt;= 30, "Veteran[21-30]", AK369 &lt;= 40, "Late Career[31-40]")</f>
        <v>New[1-5]</v>
      </c>
      <c r="AM369" s="1">
        <v>3</v>
      </c>
      <c r="AN369" s="9" t="str" cm="1">
        <f t="array" ref="AN369">_xlfn.IFS(AM369 &lt;= 3, "New to Role[1-3]", AM369 &lt;= 7, "Settled[4-7]", AM369 &lt;= 12, "Experienced[[8-12]", AM369 &lt;= 18, "Long Tenured[13-18]")</f>
        <v>New to Role[1-3]</v>
      </c>
      <c r="AO369" s="1">
        <v>1</v>
      </c>
      <c r="AP369" s="9" t="str" cm="1">
        <f t="array" ref="AP369">_xlfn.IFS(AO369 &lt;= 3, "Recently[1-3]", AO369 &lt;= 6, "Due Soon[4-6]", AO369 &lt;= 10, "Overdue[7-10]", AO369 &lt;= 15, "Long Overdue[11-15]")</f>
        <v>Recently[1-3]</v>
      </c>
      <c r="AQ369" s="9" t="str" cm="1">
        <f t="array" ref="AQ369">_xlfn.IFS(AR369 &lt;= 3, "New Relationship[1-3]", AR369 &lt;= 7, "Established Relationship[4-7]", AR369 &lt;= 12, "Long Term Relationship[8-12]", AR369 &lt;= 17, "Very Long Term Relationship[13-17]")</f>
        <v>New Relationship[1-3]</v>
      </c>
      <c r="AR369" s="1">
        <v>3</v>
      </c>
    </row>
    <row r="370" spans="1:44" x14ac:dyDescent="0.25">
      <c r="A370" s="1">
        <v>40</v>
      </c>
      <c r="B370" s="8" t="str" cm="1">
        <f t="array" ref="B370">_xlfn.IFS(A370 &lt;= 25, "[18-25]", A370 &lt;= 35, "[26-35]", A370 &lt;=45, "[36-45]", A370 &lt;= 60, "[46- 60]")</f>
        <v>[36-45]</v>
      </c>
      <c r="C370" s="3" t="s">
        <v>35</v>
      </c>
      <c r="D370">
        <f t="shared" si="5"/>
        <v>1</v>
      </c>
      <c r="E370" t="s">
        <v>36</v>
      </c>
      <c r="F370" s="1">
        <v>575</v>
      </c>
      <c r="G370" s="3" t="s">
        <v>37</v>
      </c>
      <c r="H370" s="1">
        <v>22</v>
      </c>
      <c r="I370" s="9" t="str" cm="1">
        <f t="array" ref="I370">_xlfn.IFS(H370 &lt;= 2, "[1-2] very close", H370 &lt;= 10, "[3-10] close", H370 &lt;= 20, "[11-20] moderate", H370 &lt;= 30, "[21-30] far")</f>
        <v>[21-30] far</v>
      </c>
      <c r="J370" s="1">
        <v>2</v>
      </c>
      <c r="K370" s="3" t="s">
        <v>59</v>
      </c>
      <c r="L370" s="1">
        <v>1</v>
      </c>
      <c r="M370" s="1">
        <v>492</v>
      </c>
      <c r="N370" s="1">
        <v>3</v>
      </c>
      <c r="O370" s="3" t="s">
        <v>46</v>
      </c>
      <c r="P370" s="1">
        <v>68</v>
      </c>
      <c r="Q370" s="1">
        <v>2</v>
      </c>
      <c r="R370" s="1">
        <v>2</v>
      </c>
      <c r="S370" s="3" t="s">
        <v>40</v>
      </c>
      <c r="T370" s="1">
        <v>3</v>
      </c>
      <c r="U370" s="3" t="s">
        <v>48</v>
      </c>
      <c r="V370" s="4">
        <v>6380</v>
      </c>
      <c r="W370" s="1">
        <v>6110</v>
      </c>
      <c r="X370" s="1">
        <v>2</v>
      </c>
      <c r="Y370" s="3" t="s">
        <v>42</v>
      </c>
      <c r="Z370" s="3" t="s">
        <v>35</v>
      </c>
      <c r="AA370" s="5">
        <v>0.12</v>
      </c>
      <c r="AB370" s="10" t="str" cm="1">
        <f t="array" ref="AB370">_xlfn.IFS(AA370 &lt;= 15%, "Low Hike[11-15%]", AA370 &lt;= 20%, "Moderate Hike[16-20%]", AA370 &lt;= 25%,"High Hike[21-25%]")</f>
        <v>Low Hike[11-15%]</v>
      </c>
      <c r="AC370" s="1">
        <v>3</v>
      </c>
      <c r="AD370" s="1">
        <v>1</v>
      </c>
      <c r="AE370" s="1">
        <v>80</v>
      </c>
      <c r="AF370" s="1">
        <v>2</v>
      </c>
      <c r="AG370" s="1">
        <v>8</v>
      </c>
      <c r="AH370" s="9" t="str" cm="1">
        <f t="array" ref="AH370">_xlfn.IFS(AG370 &lt;= 5, "New[1-5]", AG370 &lt;= 10, "Early Career[6-10]", AG370 &lt;= 20, "Established[11-20]", AG370 &lt;= 30, "Veteran[21-30]", AG370 &lt;= 40, "Late Career[31-40]")</f>
        <v>Early Career[6-10]</v>
      </c>
      <c r="AI370" s="1">
        <v>6</v>
      </c>
      <c r="AJ370" s="1">
        <v>3</v>
      </c>
      <c r="AK370" s="1">
        <v>6</v>
      </c>
      <c r="AL370" s="9" t="str" cm="1">
        <f t="array" ref="AL370">_xlfn.IFS(AK370 &lt;= 5, "New[1-5]", AK370 &lt;= 10, "Early Career[6-10]", AK370 &lt;= 20, "Established[11-20]", AK370 &lt;= 30, "Veteran[21-30]", AK370 &lt;= 40, "Late Career[31-40]")</f>
        <v>Early Career[6-10]</v>
      </c>
      <c r="AM370" s="1">
        <v>4</v>
      </c>
      <c r="AN370" s="9" t="str" cm="1">
        <f t="array" ref="AN370">_xlfn.IFS(AM370 &lt;= 3, "New to Role[1-3]", AM370 &lt;= 7, "Settled[4-7]", AM370 &lt;= 12, "Experienced[[8-12]", AM370 &lt;= 18, "Long Tenured[13-18]")</f>
        <v>Settled[4-7]</v>
      </c>
      <c r="AO370" s="1">
        <v>1</v>
      </c>
      <c r="AP370" s="9" t="str" cm="1">
        <f t="array" ref="AP370">_xlfn.IFS(AO370 &lt;= 3, "Recently[1-3]", AO370 &lt;= 6, "Due Soon[4-6]", AO370 &lt;= 10, "Overdue[7-10]", AO370 &lt;= 15, "Long Overdue[11-15]")</f>
        <v>Recently[1-3]</v>
      </c>
      <c r="AQ370" s="9" t="str" cm="1">
        <f t="array" ref="AQ370">_xlfn.IFS(AR370 &lt;= 3, "New Relationship[1-3]", AR370 &lt;= 7, "Established Relationship[4-7]", AR370 &lt;= 12, "Long Term Relationship[8-12]", AR370 &lt;= 17, "Very Long Term Relationship[13-17]")</f>
        <v>New Relationship[1-3]</v>
      </c>
      <c r="AR370" s="1">
        <v>0</v>
      </c>
    </row>
    <row r="371" spans="1:44" x14ac:dyDescent="0.25">
      <c r="A371" s="1">
        <v>31</v>
      </c>
      <c r="B371" s="8" t="str" cm="1">
        <f t="array" ref="B371">_xlfn.IFS(A371 &lt;= 25, "[18-25]", A371 &lt;= 35, "[26-35]", A371 &lt;=45, "[36-45]", A371 &lt;= 60, "[46- 60]")</f>
        <v>[26-35]</v>
      </c>
      <c r="C371" s="3" t="s">
        <v>43</v>
      </c>
      <c r="D371">
        <f t="shared" si="5"/>
        <v>0</v>
      </c>
      <c r="E371" t="s">
        <v>36</v>
      </c>
      <c r="F371" s="1">
        <v>408</v>
      </c>
      <c r="G371" s="3" t="s">
        <v>45</v>
      </c>
      <c r="H371" s="1">
        <v>9</v>
      </c>
      <c r="I371" s="9" t="str" cm="1">
        <f t="array" ref="I371">_xlfn.IFS(H371 &lt;= 2, "[1-2] very close", H371 &lt;= 10, "[3-10] close", H371 &lt;= 20, "[11-20] moderate", H371 &lt;= 30, "[21-30] far")</f>
        <v>[3-10] close</v>
      </c>
      <c r="J371" s="1">
        <v>4</v>
      </c>
      <c r="K371" s="3" t="s">
        <v>38</v>
      </c>
      <c r="L371" s="1">
        <v>1</v>
      </c>
      <c r="M371" s="1">
        <v>493</v>
      </c>
      <c r="N371" s="1">
        <v>3</v>
      </c>
      <c r="O371" s="3" t="s">
        <v>46</v>
      </c>
      <c r="P371" s="1">
        <v>42</v>
      </c>
      <c r="Q371" s="1">
        <v>2</v>
      </c>
      <c r="R371" s="1">
        <v>1</v>
      </c>
      <c r="S371" s="3" t="s">
        <v>47</v>
      </c>
      <c r="T371" s="1">
        <v>2</v>
      </c>
      <c r="U371" s="3" t="s">
        <v>41</v>
      </c>
      <c r="V371" s="4">
        <v>2657</v>
      </c>
      <c r="W371" s="1">
        <v>7551</v>
      </c>
      <c r="X371" s="1">
        <v>0</v>
      </c>
      <c r="Y371" s="3" t="s">
        <v>42</v>
      </c>
      <c r="Z371" s="3" t="s">
        <v>35</v>
      </c>
      <c r="AA371" s="5">
        <v>0.16</v>
      </c>
      <c r="AB371" s="10" t="str" cm="1">
        <f t="array" ref="AB371">_xlfn.IFS(AA371 &lt;= 15%, "Low Hike[11-15%]", AA371 &lt;= 20%, "Moderate Hike[16-20%]", AA371 &lt;= 25%,"High Hike[21-25%]")</f>
        <v>Moderate Hike[16-20%]</v>
      </c>
      <c r="AC371" s="1">
        <v>3</v>
      </c>
      <c r="AD371" s="1">
        <v>4</v>
      </c>
      <c r="AE371" s="1">
        <v>80</v>
      </c>
      <c r="AF371" s="1">
        <v>0</v>
      </c>
      <c r="AG371" s="1">
        <v>3</v>
      </c>
      <c r="AH371" s="9" t="str" cm="1">
        <f t="array" ref="AH371">_xlfn.IFS(AG371 &lt;= 5, "New[1-5]", AG371 &lt;= 10, "Early Career[6-10]", AG371 &lt;= 20, "Established[11-20]", AG371 &lt;= 30, "Veteran[21-30]", AG371 &lt;= 40, "Late Career[31-40]")</f>
        <v>New[1-5]</v>
      </c>
      <c r="AI371" s="1">
        <v>5</v>
      </c>
      <c r="AJ371" s="1">
        <v>3</v>
      </c>
      <c r="AK371" s="1">
        <v>2</v>
      </c>
      <c r="AL371" s="9" t="str" cm="1">
        <f t="array" ref="AL371">_xlfn.IFS(AK371 &lt;= 5, "New[1-5]", AK371 &lt;= 10, "Early Career[6-10]", AK371 &lt;= 20, "Established[11-20]", AK371 &lt;= 30, "Veteran[21-30]", AK371 &lt;= 40, "Late Career[31-40]")</f>
        <v>New[1-5]</v>
      </c>
      <c r="AM371" s="1">
        <v>2</v>
      </c>
      <c r="AN371" s="9" t="str" cm="1">
        <f t="array" ref="AN371">_xlfn.IFS(AM371 &lt;= 3, "New to Role[1-3]", AM371 &lt;= 7, "Settled[4-7]", AM371 &lt;= 12, "Experienced[[8-12]", AM371 &lt;= 18, "Long Tenured[13-18]")</f>
        <v>New to Role[1-3]</v>
      </c>
      <c r="AO371" s="1">
        <v>2</v>
      </c>
      <c r="AP371" s="9" t="str" cm="1">
        <f t="array" ref="AP371">_xlfn.IFS(AO371 &lt;= 3, "Recently[1-3]", AO371 &lt;= 6, "Due Soon[4-6]", AO371 &lt;= 10, "Overdue[7-10]", AO371 &lt;= 15, "Long Overdue[11-15]")</f>
        <v>Recently[1-3]</v>
      </c>
      <c r="AQ371" s="9" t="str" cm="1">
        <f t="array" ref="AQ371">_xlfn.IFS(AR371 &lt;= 3, "New Relationship[1-3]", AR371 &lt;= 7, "Established Relationship[4-7]", AR371 &lt;= 12, "Long Term Relationship[8-12]", AR371 &lt;= 17, "Very Long Term Relationship[13-17]")</f>
        <v>New Relationship[1-3]</v>
      </c>
      <c r="AR371" s="1">
        <v>2</v>
      </c>
    </row>
    <row r="372" spans="1:44" x14ac:dyDescent="0.25">
      <c r="A372" s="1">
        <v>21</v>
      </c>
      <c r="B372" s="8" t="str" cm="1">
        <f t="array" ref="B372">_xlfn.IFS(A372 &lt;= 25, "[18-25]", A372 &lt;= 35, "[26-35]", A372 &lt;=45, "[36-45]", A372 &lt;= 60, "[46- 60]")</f>
        <v>[18-25]</v>
      </c>
      <c r="C372" s="3" t="s">
        <v>35</v>
      </c>
      <c r="D372">
        <f t="shared" si="5"/>
        <v>1</v>
      </c>
      <c r="E372" t="s">
        <v>36</v>
      </c>
      <c r="F372" s="1">
        <v>156</v>
      </c>
      <c r="G372" s="3" t="s">
        <v>37</v>
      </c>
      <c r="H372" s="1">
        <v>12</v>
      </c>
      <c r="I372" s="9" t="str" cm="1">
        <f t="array" ref="I372">_xlfn.IFS(H372 &lt;= 2, "[1-2] very close", H372 &lt;= 10, "[3-10] close", H372 &lt;= 20, "[11-20] moderate", H372 &lt;= 30, "[21-30] far")</f>
        <v>[11-20] moderate</v>
      </c>
      <c r="J372" s="1">
        <v>3</v>
      </c>
      <c r="K372" s="3" t="s">
        <v>38</v>
      </c>
      <c r="L372" s="1">
        <v>1</v>
      </c>
      <c r="M372" s="1">
        <v>494</v>
      </c>
      <c r="N372" s="1">
        <v>3</v>
      </c>
      <c r="O372" s="3" t="s">
        <v>39</v>
      </c>
      <c r="P372" s="1">
        <v>90</v>
      </c>
      <c r="Q372" s="1">
        <v>4</v>
      </c>
      <c r="R372" s="1">
        <v>1</v>
      </c>
      <c r="S372" s="3" t="s">
        <v>57</v>
      </c>
      <c r="T372" s="1">
        <v>2</v>
      </c>
      <c r="U372" s="3" t="s">
        <v>41</v>
      </c>
      <c r="V372" s="4">
        <v>2716</v>
      </c>
      <c r="W372" s="1">
        <v>25422</v>
      </c>
      <c r="X372" s="1">
        <v>1</v>
      </c>
      <c r="Y372" s="3" t="s">
        <v>42</v>
      </c>
      <c r="Z372" s="3" t="s">
        <v>43</v>
      </c>
      <c r="AA372" s="5">
        <v>0.15</v>
      </c>
      <c r="AB372" s="10" t="str" cm="1">
        <f t="array" ref="AB372">_xlfn.IFS(AA372 &lt;= 15%, "Low Hike[11-15%]", AA372 &lt;= 20%, "Moderate Hike[16-20%]", AA372 &lt;= 25%,"High Hike[21-25%]")</f>
        <v>Low Hike[11-15%]</v>
      </c>
      <c r="AC372" s="1">
        <v>3</v>
      </c>
      <c r="AD372" s="1">
        <v>4</v>
      </c>
      <c r="AE372" s="1">
        <v>80</v>
      </c>
      <c r="AF372" s="1">
        <v>0</v>
      </c>
      <c r="AG372" s="1">
        <v>1</v>
      </c>
      <c r="AH372" s="9" t="str" cm="1">
        <f t="array" ref="AH372">_xlfn.IFS(AG372 &lt;= 5, "New[1-5]", AG372 &lt;= 10, "Early Career[6-10]", AG372 &lt;= 20, "Established[11-20]", AG372 &lt;= 30, "Veteran[21-30]", AG372 &lt;= 40, "Late Career[31-40]")</f>
        <v>New[1-5]</v>
      </c>
      <c r="AI372" s="1">
        <v>0</v>
      </c>
      <c r="AJ372" s="1">
        <v>3</v>
      </c>
      <c r="AK372" s="1">
        <v>1</v>
      </c>
      <c r="AL372" s="9" t="str" cm="1">
        <f t="array" ref="AL372">_xlfn.IFS(AK372 &lt;= 5, "New[1-5]", AK372 &lt;= 10, "Early Career[6-10]", AK372 &lt;= 20, "Established[11-20]", AK372 &lt;= 30, "Veteran[21-30]", AK372 &lt;= 40, "Late Career[31-40]")</f>
        <v>New[1-5]</v>
      </c>
      <c r="AM372" s="1">
        <v>0</v>
      </c>
      <c r="AN372" s="9" t="str" cm="1">
        <f t="array" ref="AN372">_xlfn.IFS(AM372 &lt;= 3, "New to Role[1-3]", AM372 &lt;= 7, "Settled[4-7]", AM372 &lt;= 12, "Experienced[[8-12]", AM372 &lt;= 18, "Long Tenured[13-18]")</f>
        <v>New to Role[1-3]</v>
      </c>
      <c r="AO372" s="1">
        <v>0</v>
      </c>
      <c r="AP372" s="9" t="str" cm="1">
        <f t="array" ref="AP372">_xlfn.IFS(AO372 &lt;= 3, "Recently[1-3]", AO372 &lt;= 6, "Due Soon[4-6]", AO372 &lt;= 10, "Overdue[7-10]", AO372 &lt;= 15, "Long Overdue[11-15]")</f>
        <v>Recently[1-3]</v>
      </c>
      <c r="AQ372" s="9" t="str" cm="1">
        <f t="array" ref="AQ372">_xlfn.IFS(AR372 &lt;= 3, "New Relationship[1-3]", AR372 &lt;= 7, "Established Relationship[4-7]", AR372 &lt;= 12, "Long Term Relationship[8-12]", AR372 &lt;= 17, "Very Long Term Relationship[13-17]")</f>
        <v>New Relationship[1-3]</v>
      </c>
      <c r="AR372" s="1">
        <v>0</v>
      </c>
    </row>
    <row r="373" spans="1:44" x14ac:dyDescent="0.25">
      <c r="A373" s="1">
        <v>29</v>
      </c>
      <c r="B373" s="8" t="str" cm="1">
        <f t="array" ref="B373">_xlfn.IFS(A373 &lt;= 25, "[18-25]", A373 &lt;= 35, "[26-35]", A373 &lt;=45, "[36-45]", A373 &lt;= 60, "[46- 60]")</f>
        <v>[26-35]</v>
      </c>
      <c r="C373" s="3" t="s">
        <v>43</v>
      </c>
      <c r="D373">
        <f t="shared" si="5"/>
        <v>0</v>
      </c>
      <c r="E373" t="s">
        <v>36</v>
      </c>
      <c r="F373" s="1">
        <v>1283</v>
      </c>
      <c r="G373" s="3" t="s">
        <v>45</v>
      </c>
      <c r="H373" s="1">
        <v>23</v>
      </c>
      <c r="I373" s="9" t="str" cm="1">
        <f t="array" ref="I373">_xlfn.IFS(H373 &lt;= 2, "[1-2] very close", H373 &lt;= 10, "[3-10] close", H373 &lt;= 20, "[11-20] moderate", H373 &lt;= 30, "[21-30] far")</f>
        <v>[21-30] far</v>
      </c>
      <c r="J373" s="1">
        <v>3</v>
      </c>
      <c r="K373" s="3" t="s">
        <v>38</v>
      </c>
      <c r="L373" s="1">
        <v>1</v>
      </c>
      <c r="M373" s="1">
        <v>495</v>
      </c>
      <c r="N373" s="1">
        <v>4</v>
      </c>
      <c r="O373" s="3" t="s">
        <v>46</v>
      </c>
      <c r="P373" s="1">
        <v>54</v>
      </c>
      <c r="Q373" s="1">
        <v>3</v>
      </c>
      <c r="R373" s="1">
        <v>1</v>
      </c>
      <c r="S373" s="3" t="s">
        <v>47</v>
      </c>
      <c r="T373" s="1">
        <v>4</v>
      </c>
      <c r="U373" s="3" t="s">
        <v>41</v>
      </c>
      <c r="V373" s="4">
        <v>2201</v>
      </c>
      <c r="W373" s="1">
        <v>18168</v>
      </c>
      <c r="X373" s="1">
        <v>9</v>
      </c>
      <c r="Y373" s="3" t="s">
        <v>42</v>
      </c>
      <c r="Z373" s="3" t="s">
        <v>43</v>
      </c>
      <c r="AA373" s="5">
        <v>0.16</v>
      </c>
      <c r="AB373" s="10" t="str" cm="1">
        <f t="array" ref="AB373">_xlfn.IFS(AA373 &lt;= 15%, "Low Hike[11-15%]", AA373 &lt;= 20%, "Moderate Hike[16-20%]", AA373 &lt;= 25%,"High Hike[21-25%]")</f>
        <v>Moderate Hike[16-20%]</v>
      </c>
      <c r="AC373" s="1">
        <v>3</v>
      </c>
      <c r="AD373" s="1">
        <v>4</v>
      </c>
      <c r="AE373" s="1">
        <v>80</v>
      </c>
      <c r="AF373" s="1">
        <v>0</v>
      </c>
      <c r="AG373" s="1">
        <v>6</v>
      </c>
      <c r="AH373" s="9" t="str" cm="1">
        <f t="array" ref="AH373">_xlfn.IFS(AG373 &lt;= 5, "New[1-5]", AG373 &lt;= 10, "Early Career[6-10]", AG373 &lt;= 20, "Established[11-20]", AG373 &lt;= 30, "Veteran[21-30]", AG373 &lt;= 40, "Late Career[31-40]")</f>
        <v>Early Career[6-10]</v>
      </c>
      <c r="AI373" s="1">
        <v>4</v>
      </c>
      <c r="AJ373" s="1">
        <v>3</v>
      </c>
      <c r="AK373" s="1">
        <v>3</v>
      </c>
      <c r="AL373" s="9" t="str" cm="1">
        <f t="array" ref="AL373">_xlfn.IFS(AK373 &lt;= 5, "New[1-5]", AK373 &lt;= 10, "Early Career[6-10]", AK373 &lt;= 20, "Established[11-20]", AK373 &lt;= 30, "Veteran[21-30]", AK373 &lt;= 40, "Late Career[31-40]")</f>
        <v>New[1-5]</v>
      </c>
      <c r="AM373" s="1">
        <v>2</v>
      </c>
      <c r="AN373" s="9" t="str" cm="1">
        <f t="array" ref="AN373">_xlfn.IFS(AM373 &lt;= 3, "New to Role[1-3]", AM373 &lt;= 7, "Settled[4-7]", AM373 &lt;= 12, "Experienced[[8-12]", AM373 &lt;= 18, "Long Tenured[13-18]")</f>
        <v>New to Role[1-3]</v>
      </c>
      <c r="AO373" s="1">
        <v>1</v>
      </c>
      <c r="AP373" s="9" t="str" cm="1">
        <f t="array" ref="AP373">_xlfn.IFS(AO373 &lt;= 3, "Recently[1-3]", AO373 &lt;= 6, "Due Soon[4-6]", AO373 &lt;= 10, "Overdue[7-10]", AO373 &lt;= 15, "Long Overdue[11-15]")</f>
        <v>Recently[1-3]</v>
      </c>
      <c r="AQ373" s="9" t="str" cm="1">
        <f t="array" ref="AQ373">_xlfn.IFS(AR373 &lt;= 3, "New Relationship[1-3]", AR373 &lt;= 7, "Established Relationship[4-7]", AR373 &lt;= 12, "Long Term Relationship[8-12]", AR373 &lt;= 17, "Very Long Term Relationship[13-17]")</f>
        <v>New Relationship[1-3]</v>
      </c>
      <c r="AR373" s="1">
        <v>2</v>
      </c>
    </row>
    <row r="374" spans="1:44" x14ac:dyDescent="0.25">
      <c r="A374" s="1">
        <v>35</v>
      </c>
      <c r="B374" s="8" t="str" cm="1">
        <f t="array" ref="B374">_xlfn.IFS(A374 &lt;= 25, "[18-25]", A374 &lt;= 35, "[26-35]", A374 &lt;=45, "[36-45]", A374 &lt;= 60, "[46- 60]")</f>
        <v>[26-35]</v>
      </c>
      <c r="C374" s="3" t="s">
        <v>43</v>
      </c>
      <c r="D374">
        <f t="shared" si="5"/>
        <v>0</v>
      </c>
      <c r="E374" t="s">
        <v>36</v>
      </c>
      <c r="F374" s="1">
        <v>755</v>
      </c>
      <c r="G374" s="3" t="s">
        <v>45</v>
      </c>
      <c r="H374" s="1">
        <v>9</v>
      </c>
      <c r="I374" s="9" t="str" cm="1">
        <f t="array" ref="I374">_xlfn.IFS(H374 &lt;= 2, "[1-2] very close", H374 &lt;= 10, "[3-10] close", H374 &lt;= 20, "[11-20] moderate", H374 &lt;= 30, "[21-30] far")</f>
        <v>[3-10] close</v>
      </c>
      <c r="J374" s="1">
        <v>4</v>
      </c>
      <c r="K374" s="3" t="s">
        <v>38</v>
      </c>
      <c r="L374" s="1">
        <v>1</v>
      </c>
      <c r="M374" s="1">
        <v>496</v>
      </c>
      <c r="N374" s="1">
        <v>3</v>
      </c>
      <c r="O374" s="3" t="s">
        <v>46</v>
      </c>
      <c r="P374" s="1">
        <v>97</v>
      </c>
      <c r="Q374" s="1">
        <v>2</v>
      </c>
      <c r="R374" s="1">
        <v>2</v>
      </c>
      <c r="S374" s="3" t="s">
        <v>54</v>
      </c>
      <c r="T374" s="1">
        <v>2</v>
      </c>
      <c r="U374" s="3" t="s">
        <v>41</v>
      </c>
      <c r="V374" s="4">
        <v>6540</v>
      </c>
      <c r="W374" s="1">
        <v>19394</v>
      </c>
      <c r="X374" s="1">
        <v>9</v>
      </c>
      <c r="Y374" s="3" t="s">
        <v>42</v>
      </c>
      <c r="Z374" s="3" t="s">
        <v>43</v>
      </c>
      <c r="AA374" s="5">
        <v>0.19</v>
      </c>
      <c r="AB374" s="10" t="str" cm="1">
        <f t="array" ref="AB374">_xlfn.IFS(AA374 &lt;= 15%, "Low Hike[11-15%]", AA374 &lt;= 20%, "Moderate Hike[16-20%]", AA374 &lt;= 25%,"High Hike[21-25%]")</f>
        <v>Moderate Hike[16-20%]</v>
      </c>
      <c r="AC374" s="1">
        <v>3</v>
      </c>
      <c r="AD374" s="1">
        <v>3</v>
      </c>
      <c r="AE374" s="1">
        <v>80</v>
      </c>
      <c r="AF374" s="1">
        <v>0</v>
      </c>
      <c r="AG374" s="1">
        <v>10</v>
      </c>
      <c r="AH374" s="9" t="str" cm="1">
        <f t="array" ref="AH374">_xlfn.IFS(AG374 &lt;= 5, "New[1-5]", AG374 &lt;= 10, "Early Career[6-10]", AG374 &lt;= 20, "Established[11-20]", AG374 &lt;= 30, "Veteran[21-30]", AG374 &lt;= 40, "Late Career[31-40]")</f>
        <v>Early Career[6-10]</v>
      </c>
      <c r="AI374" s="1">
        <v>5</v>
      </c>
      <c r="AJ374" s="1">
        <v>3</v>
      </c>
      <c r="AK374" s="1">
        <v>1</v>
      </c>
      <c r="AL374" s="9" t="str" cm="1">
        <f t="array" ref="AL374">_xlfn.IFS(AK374 &lt;= 5, "New[1-5]", AK374 &lt;= 10, "Early Career[6-10]", AK374 &lt;= 20, "Established[11-20]", AK374 &lt;= 30, "Veteran[21-30]", AK374 &lt;= 40, "Late Career[31-40]")</f>
        <v>New[1-5]</v>
      </c>
      <c r="AM374" s="1">
        <v>1</v>
      </c>
      <c r="AN374" s="9" t="str" cm="1">
        <f t="array" ref="AN374">_xlfn.IFS(AM374 &lt;= 3, "New to Role[1-3]", AM374 &lt;= 7, "Settled[4-7]", AM374 &lt;= 12, "Experienced[[8-12]", AM374 &lt;= 18, "Long Tenured[13-18]")</f>
        <v>New to Role[1-3]</v>
      </c>
      <c r="AO374" s="1">
        <v>0</v>
      </c>
      <c r="AP374" s="9" t="str" cm="1">
        <f t="array" ref="AP374">_xlfn.IFS(AO374 &lt;= 3, "Recently[1-3]", AO374 &lt;= 6, "Due Soon[4-6]", AO374 &lt;= 10, "Overdue[7-10]", AO374 &lt;= 15, "Long Overdue[11-15]")</f>
        <v>Recently[1-3]</v>
      </c>
      <c r="AQ374" s="9" t="str" cm="1">
        <f t="array" ref="AQ374">_xlfn.IFS(AR374 &lt;= 3, "New Relationship[1-3]", AR374 &lt;= 7, "Established Relationship[4-7]", AR374 &lt;= 12, "Long Term Relationship[8-12]", AR374 &lt;= 17, "Very Long Term Relationship[13-17]")</f>
        <v>New Relationship[1-3]</v>
      </c>
      <c r="AR374" s="1">
        <v>0</v>
      </c>
    </row>
    <row r="375" spans="1:44" x14ac:dyDescent="0.25">
      <c r="A375" s="1">
        <v>27</v>
      </c>
      <c r="B375" s="8" t="str" cm="1">
        <f t="array" ref="B375">_xlfn.IFS(A375 &lt;= 25, "[18-25]", A375 &lt;= 35, "[26-35]", A375 &lt;=45, "[36-45]", A375 &lt;= 60, "[46- 60]")</f>
        <v>[26-35]</v>
      </c>
      <c r="C375" s="3" t="s">
        <v>43</v>
      </c>
      <c r="D375">
        <f t="shared" si="5"/>
        <v>0</v>
      </c>
      <c r="E375" t="s">
        <v>36</v>
      </c>
      <c r="F375" s="1">
        <v>1469</v>
      </c>
      <c r="G375" s="3" t="s">
        <v>45</v>
      </c>
      <c r="H375" s="1">
        <v>1</v>
      </c>
      <c r="I375" s="9" t="str" cm="1">
        <f t="array" ref="I375">_xlfn.IFS(H375 &lt;= 2, "[1-2] very close", H375 &lt;= 10, "[3-10] close", H375 &lt;= 20, "[11-20] moderate", H375 &lt;= 30, "[21-30] far")</f>
        <v>[1-2] very close</v>
      </c>
      <c r="J375" s="1">
        <v>2</v>
      </c>
      <c r="K375" s="3" t="s">
        <v>51</v>
      </c>
      <c r="L375" s="1">
        <v>1</v>
      </c>
      <c r="M375" s="1">
        <v>497</v>
      </c>
      <c r="N375" s="1">
        <v>4</v>
      </c>
      <c r="O375" s="3" t="s">
        <v>46</v>
      </c>
      <c r="P375" s="1">
        <v>82</v>
      </c>
      <c r="Q375" s="1">
        <v>3</v>
      </c>
      <c r="R375" s="1">
        <v>1</v>
      </c>
      <c r="S375" s="3" t="s">
        <v>50</v>
      </c>
      <c r="T375" s="1">
        <v>2</v>
      </c>
      <c r="U375" s="3" t="s">
        <v>52</v>
      </c>
      <c r="V375" s="4">
        <v>3816</v>
      </c>
      <c r="W375" s="1">
        <v>17881</v>
      </c>
      <c r="X375" s="1">
        <v>1</v>
      </c>
      <c r="Y375" s="3" t="s">
        <v>42</v>
      </c>
      <c r="Z375" s="3" t="s">
        <v>43</v>
      </c>
      <c r="AA375" s="5">
        <v>0.11</v>
      </c>
      <c r="AB375" s="10" t="str" cm="1">
        <f t="array" ref="AB375">_xlfn.IFS(AA375 &lt;= 15%, "Low Hike[11-15%]", AA375 &lt;= 20%, "Moderate Hike[16-20%]", AA375 &lt;= 25%,"High Hike[21-25%]")</f>
        <v>Low Hike[11-15%]</v>
      </c>
      <c r="AC375" s="1">
        <v>3</v>
      </c>
      <c r="AD375" s="1">
        <v>2</v>
      </c>
      <c r="AE375" s="1">
        <v>80</v>
      </c>
      <c r="AF375" s="1">
        <v>1</v>
      </c>
      <c r="AG375" s="1">
        <v>5</v>
      </c>
      <c r="AH375" s="9" t="str" cm="1">
        <f t="array" ref="AH375">_xlfn.IFS(AG375 &lt;= 5, "New[1-5]", AG375 &lt;= 10, "Early Career[6-10]", AG375 &lt;= 20, "Established[11-20]", AG375 &lt;= 30, "Veteran[21-30]", AG375 &lt;= 40, "Late Career[31-40]")</f>
        <v>New[1-5]</v>
      </c>
      <c r="AI375" s="1">
        <v>2</v>
      </c>
      <c r="AJ375" s="1">
        <v>3</v>
      </c>
      <c r="AK375" s="1">
        <v>5</v>
      </c>
      <c r="AL375" s="9" t="str" cm="1">
        <f t="array" ref="AL375">_xlfn.IFS(AK375 &lt;= 5, "New[1-5]", AK375 &lt;= 10, "Early Career[6-10]", AK375 &lt;= 20, "Established[11-20]", AK375 &lt;= 30, "Veteran[21-30]", AK375 &lt;= 40, "Late Career[31-40]")</f>
        <v>New[1-5]</v>
      </c>
      <c r="AM375" s="1">
        <v>2</v>
      </c>
      <c r="AN375" s="9" t="str" cm="1">
        <f t="array" ref="AN375">_xlfn.IFS(AM375 &lt;= 3, "New to Role[1-3]", AM375 &lt;= 7, "Settled[4-7]", AM375 &lt;= 12, "Experienced[[8-12]", AM375 &lt;= 18, "Long Tenured[13-18]")</f>
        <v>New to Role[1-3]</v>
      </c>
      <c r="AO375" s="1">
        <v>0</v>
      </c>
      <c r="AP375" s="9" t="str" cm="1">
        <f t="array" ref="AP375">_xlfn.IFS(AO375 &lt;= 3, "Recently[1-3]", AO375 &lt;= 6, "Due Soon[4-6]", AO375 &lt;= 10, "Overdue[7-10]", AO375 &lt;= 15, "Long Overdue[11-15]")</f>
        <v>Recently[1-3]</v>
      </c>
      <c r="AQ375" s="9" t="str" cm="1">
        <f t="array" ref="AQ375">_xlfn.IFS(AR375 &lt;= 3, "New Relationship[1-3]", AR375 &lt;= 7, "Established Relationship[4-7]", AR375 &lt;= 12, "Long Term Relationship[8-12]", AR375 &lt;= 17, "Very Long Term Relationship[13-17]")</f>
        <v>Established Relationship[4-7]</v>
      </c>
      <c r="AR375" s="1">
        <v>4</v>
      </c>
    </row>
    <row r="376" spans="1:44" x14ac:dyDescent="0.25">
      <c r="A376" s="1">
        <v>28</v>
      </c>
      <c r="B376" s="8" t="str" cm="1">
        <f t="array" ref="B376">_xlfn.IFS(A376 &lt;= 25, "[18-25]", A376 &lt;= 35, "[26-35]", A376 &lt;=45, "[36-45]", A376 &lt;= 60, "[46- 60]")</f>
        <v>[26-35]</v>
      </c>
      <c r="C376" s="3" t="s">
        <v>43</v>
      </c>
      <c r="D376">
        <f t="shared" si="5"/>
        <v>0</v>
      </c>
      <c r="E376" t="s">
        <v>36</v>
      </c>
      <c r="F376" s="1">
        <v>304</v>
      </c>
      <c r="G376" s="3" t="s">
        <v>37</v>
      </c>
      <c r="H376" s="1">
        <v>9</v>
      </c>
      <c r="I376" s="9" t="str" cm="1">
        <f t="array" ref="I376">_xlfn.IFS(H376 &lt;= 2, "[1-2] very close", H376 &lt;= 10, "[3-10] close", H376 &lt;= 20, "[11-20] moderate", H376 &lt;= 30, "[21-30] far")</f>
        <v>[3-10] close</v>
      </c>
      <c r="J376" s="1">
        <v>4</v>
      </c>
      <c r="K376" s="3" t="s">
        <v>38</v>
      </c>
      <c r="L376" s="1">
        <v>1</v>
      </c>
      <c r="M376" s="1">
        <v>498</v>
      </c>
      <c r="N376" s="1">
        <v>2</v>
      </c>
      <c r="O376" s="3" t="s">
        <v>46</v>
      </c>
      <c r="P376" s="1">
        <v>92</v>
      </c>
      <c r="Q376" s="1">
        <v>3</v>
      </c>
      <c r="R376" s="1">
        <v>2</v>
      </c>
      <c r="S376" s="3" t="s">
        <v>40</v>
      </c>
      <c r="T376" s="1">
        <v>4</v>
      </c>
      <c r="U376" s="3" t="s">
        <v>41</v>
      </c>
      <c r="V376" s="4">
        <v>5253</v>
      </c>
      <c r="W376" s="1">
        <v>20750</v>
      </c>
      <c r="X376" s="1">
        <v>1</v>
      </c>
      <c r="Y376" s="3" t="s">
        <v>42</v>
      </c>
      <c r="Z376" s="3" t="s">
        <v>43</v>
      </c>
      <c r="AA376" s="5">
        <v>0.16</v>
      </c>
      <c r="AB376" s="10" t="str" cm="1">
        <f t="array" ref="AB376">_xlfn.IFS(AA376 &lt;= 15%, "Low Hike[11-15%]", AA376 &lt;= 20%, "Moderate Hike[16-20%]", AA376 &lt;= 25%,"High Hike[21-25%]")</f>
        <v>Moderate Hike[16-20%]</v>
      </c>
      <c r="AC376" s="1">
        <v>3</v>
      </c>
      <c r="AD376" s="1">
        <v>4</v>
      </c>
      <c r="AE376" s="1">
        <v>80</v>
      </c>
      <c r="AF376" s="1">
        <v>0</v>
      </c>
      <c r="AG376" s="1">
        <v>7</v>
      </c>
      <c r="AH376" s="9" t="str" cm="1">
        <f t="array" ref="AH376">_xlfn.IFS(AG376 &lt;= 5, "New[1-5]", AG376 &lt;= 10, "Early Career[6-10]", AG376 &lt;= 20, "Established[11-20]", AG376 &lt;= 30, "Veteran[21-30]", AG376 &lt;= 40, "Late Career[31-40]")</f>
        <v>Early Career[6-10]</v>
      </c>
      <c r="AI376" s="1">
        <v>1</v>
      </c>
      <c r="AJ376" s="1">
        <v>3</v>
      </c>
      <c r="AK376" s="1">
        <v>7</v>
      </c>
      <c r="AL376" s="9" t="str" cm="1">
        <f t="array" ref="AL376">_xlfn.IFS(AK376 &lt;= 5, "New[1-5]", AK376 &lt;= 10, "Early Career[6-10]", AK376 &lt;= 20, "Established[11-20]", AK376 &lt;= 30, "Veteran[21-30]", AK376 &lt;= 40, "Late Career[31-40]")</f>
        <v>Early Career[6-10]</v>
      </c>
      <c r="AM376" s="1">
        <v>5</v>
      </c>
      <c r="AN376" s="9" t="str" cm="1">
        <f t="array" ref="AN376">_xlfn.IFS(AM376 &lt;= 3, "New to Role[1-3]", AM376 &lt;= 7, "Settled[4-7]", AM376 &lt;= 12, "Experienced[[8-12]", AM376 &lt;= 18, "Long Tenured[13-18]")</f>
        <v>Settled[4-7]</v>
      </c>
      <c r="AO376" s="1">
        <v>0</v>
      </c>
      <c r="AP376" s="9" t="str" cm="1">
        <f t="array" ref="AP376">_xlfn.IFS(AO376 &lt;= 3, "Recently[1-3]", AO376 &lt;= 6, "Due Soon[4-6]", AO376 &lt;= 10, "Overdue[7-10]", AO376 &lt;= 15, "Long Overdue[11-15]")</f>
        <v>Recently[1-3]</v>
      </c>
      <c r="AQ376" s="9" t="str" cm="1">
        <f t="array" ref="AQ376">_xlfn.IFS(AR376 &lt;= 3, "New Relationship[1-3]", AR376 &lt;= 7, "Established Relationship[4-7]", AR376 &lt;= 12, "Long Term Relationship[8-12]", AR376 &lt;= 17, "Very Long Term Relationship[13-17]")</f>
        <v>Established Relationship[4-7]</v>
      </c>
      <c r="AR376" s="1">
        <v>7</v>
      </c>
    </row>
    <row r="377" spans="1:44" x14ac:dyDescent="0.25">
      <c r="A377" s="1">
        <v>49</v>
      </c>
      <c r="B377" s="8" t="str" cm="1">
        <f t="array" ref="B377">_xlfn.IFS(A377 &lt;= 25, "[18-25]", A377 &lt;= 35, "[26-35]", A377 &lt;=45, "[36-45]", A377 &lt;= 60, "[46- 60]")</f>
        <v>[46- 60]</v>
      </c>
      <c r="C377" s="3" t="s">
        <v>43</v>
      </c>
      <c r="D377">
        <f t="shared" si="5"/>
        <v>0</v>
      </c>
      <c r="E377" t="s">
        <v>36</v>
      </c>
      <c r="F377" s="1">
        <v>1261</v>
      </c>
      <c r="G377" s="3" t="s">
        <v>45</v>
      </c>
      <c r="H377" s="1">
        <v>7</v>
      </c>
      <c r="I377" s="9" t="str" cm="1">
        <f t="array" ref="I377">_xlfn.IFS(H377 &lt;= 2, "[1-2] very close", H377 &lt;= 10, "[3-10] close", H377 &lt;= 20, "[11-20] moderate", H377 &lt;= 30, "[21-30] far")</f>
        <v>[3-10] close</v>
      </c>
      <c r="J377" s="1">
        <v>3</v>
      </c>
      <c r="K377" s="3" t="s">
        <v>49</v>
      </c>
      <c r="L377" s="1">
        <v>1</v>
      </c>
      <c r="M377" s="1">
        <v>499</v>
      </c>
      <c r="N377" s="1">
        <v>2</v>
      </c>
      <c r="O377" s="3" t="s">
        <v>46</v>
      </c>
      <c r="P377" s="1">
        <v>31</v>
      </c>
      <c r="Q377" s="1">
        <v>2</v>
      </c>
      <c r="R377" s="1">
        <v>3</v>
      </c>
      <c r="S377" s="3" t="s">
        <v>54</v>
      </c>
      <c r="T377" s="1">
        <v>3</v>
      </c>
      <c r="U377" s="3" t="s">
        <v>41</v>
      </c>
      <c r="V377" s="4">
        <v>10965</v>
      </c>
      <c r="W377" s="1">
        <v>12066</v>
      </c>
      <c r="X377" s="1">
        <v>8</v>
      </c>
      <c r="Y377" s="3" t="s">
        <v>42</v>
      </c>
      <c r="Z377" s="3" t="s">
        <v>43</v>
      </c>
      <c r="AA377" s="5">
        <v>0.24</v>
      </c>
      <c r="AB377" s="10" t="str" cm="1">
        <f t="array" ref="AB377">_xlfn.IFS(AA377 &lt;= 15%, "Low Hike[11-15%]", AA377 &lt;= 20%, "Moderate Hike[16-20%]", AA377 &lt;= 25%,"High Hike[21-25%]")</f>
        <v>High Hike[21-25%]</v>
      </c>
      <c r="AC377" s="1">
        <v>4</v>
      </c>
      <c r="AD377" s="1">
        <v>3</v>
      </c>
      <c r="AE377" s="1">
        <v>80</v>
      </c>
      <c r="AF377" s="1">
        <v>0</v>
      </c>
      <c r="AG377" s="1">
        <v>26</v>
      </c>
      <c r="AH377" s="9" t="str" cm="1">
        <f t="array" ref="AH377">_xlfn.IFS(AG377 &lt;= 5, "New[1-5]", AG377 &lt;= 10, "Early Career[6-10]", AG377 &lt;= 20, "Established[11-20]", AG377 &lt;= 30, "Veteran[21-30]", AG377 &lt;= 40, "Late Career[31-40]")</f>
        <v>Veteran[21-30]</v>
      </c>
      <c r="AI377" s="1">
        <v>2</v>
      </c>
      <c r="AJ377" s="1">
        <v>3</v>
      </c>
      <c r="AK377" s="1">
        <v>5</v>
      </c>
      <c r="AL377" s="9" t="str" cm="1">
        <f t="array" ref="AL377">_xlfn.IFS(AK377 &lt;= 5, "New[1-5]", AK377 &lt;= 10, "Early Career[6-10]", AK377 &lt;= 20, "Established[11-20]", AK377 &lt;= 30, "Veteran[21-30]", AK377 &lt;= 40, "Late Career[31-40]")</f>
        <v>New[1-5]</v>
      </c>
      <c r="AM377" s="1">
        <v>2</v>
      </c>
      <c r="AN377" s="9" t="str" cm="1">
        <f t="array" ref="AN377">_xlfn.IFS(AM377 &lt;= 3, "New to Role[1-3]", AM377 &lt;= 7, "Settled[4-7]", AM377 &lt;= 12, "Experienced[[8-12]", AM377 &lt;= 18, "Long Tenured[13-18]")</f>
        <v>New to Role[1-3]</v>
      </c>
      <c r="AO377" s="1">
        <v>0</v>
      </c>
      <c r="AP377" s="9" t="str" cm="1">
        <f t="array" ref="AP377">_xlfn.IFS(AO377 &lt;= 3, "Recently[1-3]", AO377 &lt;= 6, "Due Soon[4-6]", AO377 &lt;= 10, "Overdue[7-10]", AO377 &lt;= 15, "Long Overdue[11-15]")</f>
        <v>Recently[1-3]</v>
      </c>
      <c r="AQ377" s="9" t="str" cm="1">
        <f t="array" ref="AQ377">_xlfn.IFS(AR377 &lt;= 3, "New Relationship[1-3]", AR377 &lt;= 7, "Established Relationship[4-7]", AR377 &lt;= 12, "Long Term Relationship[8-12]", AR377 &lt;= 17, "Very Long Term Relationship[13-17]")</f>
        <v>New Relationship[1-3]</v>
      </c>
      <c r="AR377" s="1">
        <v>0</v>
      </c>
    </row>
    <row r="378" spans="1:44" x14ac:dyDescent="0.25">
      <c r="A378" s="1">
        <v>51</v>
      </c>
      <c r="B378" s="8" t="str" cm="1">
        <f t="array" ref="B378">_xlfn.IFS(A378 &lt;= 25, "[18-25]", A378 &lt;= 35, "[26-35]", A378 &lt;=45, "[36-45]", A378 &lt;= 60, "[46- 60]")</f>
        <v>[46- 60]</v>
      </c>
      <c r="C378" s="3" t="s">
        <v>43</v>
      </c>
      <c r="D378">
        <f t="shared" si="5"/>
        <v>0</v>
      </c>
      <c r="E378" t="s">
        <v>36</v>
      </c>
      <c r="F378" s="1">
        <v>1178</v>
      </c>
      <c r="G378" s="3" t="s">
        <v>37</v>
      </c>
      <c r="H378" s="1">
        <v>14</v>
      </c>
      <c r="I378" s="9" t="str" cm="1">
        <f t="array" ref="I378">_xlfn.IFS(H378 &lt;= 2, "[1-2] very close", H378 &lt;= 10, "[3-10] close", H378 &lt;= 20, "[11-20] moderate", H378 &lt;= 30, "[21-30] far")</f>
        <v>[11-20] moderate</v>
      </c>
      <c r="J378" s="1">
        <v>2</v>
      </c>
      <c r="K378" s="3" t="s">
        <v>38</v>
      </c>
      <c r="L378" s="1">
        <v>1</v>
      </c>
      <c r="M378" s="1">
        <v>500</v>
      </c>
      <c r="N378" s="1">
        <v>3</v>
      </c>
      <c r="O378" s="3" t="s">
        <v>39</v>
      </c>
      <c r="P378" s="1">
        <v>87</v>
      </c>
      <c r="Q378" s="1">
        <v>3</v>
      </c>
      <c r="R378" s="1">
        <v>2</v>
      </c>
      <c r="S378" s="3" t="s">
        <v>40</v>
      </c>
      <c r="T378" s="1">
        <v>4</v>
      </c>
      <c r="U378" s="3" t="s">
        <v>48</v>
      </c>
      <c r="V378" s="4">
        <v>4936</v>
      </c>
      <c r="W378" s="1">
        <v>14862</v>
      </c>
      <c r="X378" s="1">
        <v>4</v>
      </c>
      <c r="Y378" s="3" t="s">
        <v>42</v>
      </c>
      <c r="Z378" s="3" t="s">
        <v>43</v>
      </c>
      <c r="AA378" s="5">
        <v>0.11</v>
      </c>
      <c r="AB378" s="10" t="str" cm="1">
        <f t="array" ref="AB378">_xlfn.IFS(AA378 &lt;= 15%, "Low Hike[11-15%]", AA378 &lt;= 20%, "Moderate Hike[16-20%]", AA378 &lt;= 25%,"High Hike[21-25%]")</f>
        <v>Low Hike[11-15%]</v>
      </c>
      <c r="AC378" s="1">
        <v>3</v>
      </c>
      <c r="AD378" s="1">
        <v>3</v>
      </c>
      <c r="AE378" s="1">
        <v>80</v>
      </c>
      <c r="AF378" s="1">
        <v>1</v>
      </c>
      <c r="AG378" s="1">
        <v>18</v>
      </c>
      <c r="AH378" s="9" t="str" cm="1">
        <f t="array" ref="AH378">_xlfn.IFS(AG378 &lt;= 5, "New[1-5]", AG378 &lt;= 10, "Early Career[6-10]", AG378 &lt;= 20, "Established[11-20]", AG378 &lt;= 30, "Veteran[21-30]", AG378 &lt;= 40, "Late Career[31-40]")</f>
        <v>Established[11-20]</v>
      </c>
      <c r="AI378" s="1">
        <v>2</v>
      </c>
      <c r="AJ378" s="1">
        <v>2</v>
      </c>
      <c r="AK378" s="1">
        <v>7</v>
      </c>
      <c r="AL378" s="9" t="str" cm="1">
        <f t="array" ref="AL378">_xlfn.IFS(AK378 &lt;= 5, "New[1-5]", AK378 &lt;= 10, "Early Career[6-10]", AK378 &lt;= 20, "Established[11-20]", AK378 &lt;= 30, "Veteran[21-30]", AK378 &lt;= 40, "Late Career[31-40]")</f>
        <v>Early Career[6-10]</v>
      </c>
      <c r="AM378" s="1">
        <v>7</v>
      </c>
      <c r="AN378" s="9" t="str" cm="1">
        <f t="array" ref="AN378">_xlfn.IFS(AM378 &lt;= 3, "New to Role[1-3]", AM378 &lt;= 7, "Settled[4-7]", AM378 &lt;= 12, "Experienced[[8-12]", AM378 &lt;= 18, "Long Tenured[13-18]")</f>
        <v>Settled[4-7]</v>
      </c>
      <c r="AO378" s="1">
        <v>0</v>
      </c>
      <c r="AP378" s="9" t="str" cm="1">
        <f t="array" ref="AP378">_xlfn.IFS(AO378 &lt;= 3, "Recently[1-3]", AO378 &lt;= 6, "Due Soon[4-6]", AO378 &lt;= 10, "Overdue[7-10]", AO378 &lt;= 15, "Long Overdue[11-15]")</f>
        <v>Recently[1-3]</v>
      </c>
      <c r="AQ378" s="9" t="str" cm="1">
        <f t="array" ref="AQ378">_xlfn.IFS(AR378 &lt;= 3, "New Relationship[1-3]", AR378 &lt;= 7, "Established Relationship[4-7]", AR378 &lt;= 12, "Long Term Relationship[8-12]", AR378 &lt;= 17, "Very Long Term Relationship[13-17]")</f>
        <v>Established Relationship[4-7]</v>
      </c>
      <c r="AR378" s="1">
        <v>7</v>
      </c>
    </row>
    <row r="379" spans="1:44" x14ac:dyDescent="0.25">
      <c r="A379" s="1">
        <v>36</v>
      </c>
      <c r="B379" s="8" t="str" cm="1">
        <f t="array" ref="B379">_xlfn.IFS(A379 &lt;= 25, "[18-25]", A379 &lt;= 35, "[26-35]", A379 &lt;=45, "[36-45]", A379 &lt;= 60, "[46- 60]")</f>
        <v>[36-45]</v>
      </c>
      <c r="C379" s="3" t="s">
        <v>43</v>
      </c>
      <c r="D379">
        <f t="shared" si="5"/>
        <v>0</v>
      </c>
      <c r="E379" t="s">
        <v>36</v>
      </c>
      <c r="F379" s="1">
        <v>329</v>
      </c>
      <c r="G379" s="3" t="s">
        <v>45</v>
      </c>
      <c r="H379" s="1">
        <v>2</v>
      </c>
      <c r="I379" s="9" t="str" cm="1">
        <f t="array" ref="I379">_xlfn.IFS(H379 &lt;= 2, "[1-2] very close", H379 &lt;= 10, "[3-10] close", H379 &lt;= 20, "[11-20] moderate", H379 &lt;= 30, "[21-30] far")</f>
        <v>[1-2] very close</v>
      </c>
      <c r="J379" s="1">
        <v>3</v>
      </c>
      <c r="K379" s="3" t="s">
        <v>38</v>
      </c>
      <c r="L379" s="1">
        <v>1</v>
      </c>
      <c r="M379" s="1">
        <v>501</v>
      </c>
      <c r="N379" s="1">
        <v>4</v>
      </c>
      <c r="O379" s="3" t="s">
        <v>39</v>
      </c>
      <c r="P379" s="1">
        <v>96</v>
      </c>
      <c r="Q379" s="1">
        <v>3</v>
      </c>
      <c r="R379" s="1">
        <v>1</v>
      </c>
      <c r="S379" s="3" t="s">
        <v>47</v>
      </c>
      <c r="T379" s="1">
        <v>3</v>
      </c>
      <c r="U379" s="3" t="s">
        <v>48</v>
      </c>
      <c r="V379" s="4">
        <v>2543</v>
      </c>
      <c r="W379" s="1">
        <v>11868</v>
      </c>
      <c r="X379" s="1">
        <v>4</v>
      </c>
      <c r="Y379" s="3" t="s">
        <v>42</v>
      </c>
      <c r="Z379" s="3" t="s">
        <v>43</v>
      </c>
      <c r="AA379" s="5">
        <v>0.13</v>
      </c>
      <c r="AB379" s="10" t="str" cm="1">
        <f t="array" ref="AB379">_xlfn.IFS(AA379 &lt;= 15%, "Low Hike[11-15%]", AA379 &lt;= 20%, "Moderate Hike[16-20%]", AA379 &lt;= 25%,"High Hike[21-25%]")</f>
        <v>Low Hike[11-15%]</v>
      </c>
      <c r="AC379" s="1">
        <v>3</v>
      </c>
      <c r="AD379" s="1">
        <v>2</v>
      </c>
      <c r="AE379" s="1">
        <v>80</v>
      </c>
      <c r="AF379" s="1">
        <v>1</v>
      </c>
      <c r="AG379" s="1">
        <v>6</v>
      </c>
      <c r="AH379" s="9" t="str" cm="1">
        <f t="array" ref="AH379">_xlfn.IFS(AG379 &lt;= 5, "New[1-5]", AG379 &lt;= 10, "Early Career[6-10]", AG379 &lt;= 20, "Established[11-20]", AG379 &lt;= 30, "Veteran[21-30]", AG379 &lt;= 40, "Late Career[31-40]")</f>
        <v>Early Career[6-10]</v>
      </c>
      <c r="AI379" s="1">
        <v>3</v>
      </c>
      <c r="AJ379" s="1">
        <v>3</v>
      </c>
      <c r="AK379" s="1">
        <v>2</v>
      </c>
      <c r="AL379" s="9" t="str" cm="1">
        <f t="array" ref="AL379">_xlfn.IFS(AK379 &lt;= 5, "New[1-5]", AK379 &lt;= 10, "Early Career[6-10]", AK379 &lt;= 20, "Established[11-20]", AK379 &lt;= 30, "Veteran[21-30]", AK379 &lt;= 40, "Late Career[31-40]")</f>
        <v>New[1-5]</v>
      </c>
      <c r="AM379" s="1">
        <v>2</v>
      </c>
      <c r="AN379" s="9" t="str" cm="1">
        <f t="array" ref="AN379">_xlfn.IFS(AM379 &lt;= 3, "New to Role[1-3]", AM379 &lt;= 7, "Settled[4-7]", AM379 &lt;= 12, "Experienced[[8-12]", AM379 &lt;= 18, "Long Tenured[13-18]")</f>
        <v>New to Role[1-3]</v>
      </c>
      <c r="AO379" s="1">
        <v>2</v>
      </c>
      <c r="AP379" s="9" t="str" cm="1">
        <f t="array" ref="AP379">_xlfn.IFS(AO379 &lt;= 3, "Recently[1-3]", AO379 &lt;= 6, "Due Soon[4-6]", AO379 &lt;= 10, "Overdue[7-10]", AO379 &lt;= 15, "Long Overdue[11-15]")</f>
        <v>Recently[1-3]</v>
      </c>
      <c r="AQ379" s="9" t="str" cm="1">
        <f t="array" ref="AQ379">_xlfn.IFS(AR379 &lt;= 3, "New Relationship[1-3]", AR379 &lt;= 7, "Established Relationship[4-7]", AR379 &lt;= 12, "Long Term Relationship[8-12]", AR379 &lt;= 17, "Very Long Term Relationship[13-17]")</f>
        <v>New Relationship[1-3]</v>
      </c>
      <c r="AR379" s="1">
        <v>2</v>
      </c>
    </row>
    <row r="380" spans="1:44" x14ac:dyDescent="0.25">
      <c r="A380" s="1">
        <v>34</v>
      </c>
      <c r="B380" s="8" t="str" cm="1">
        <f t="array" ref="B380">_xlfn.IFS(A380 &lt;= 25, "[18-25]", A380 &lt;= 35, "[26-35]", A380 &lt;=45, "[36-45]", A380 &lt;= 60, "[46- 60]")</f>
        <v>[26-35]</v>
      </c>
      <c r="C380" s="3" t="s">
        <v>35</v>
      </c>
      <c r="D380">
        <f t="shared" si="5"/>
        <v>1</v>
      </c>
      <c r="E380" t="s">
        <v>62</v>
      </c>
      <c r="F380" s="1">
        <v>1362</v>
      </c>
      <c r="G380" s="3" t="s">
        <v>37</v>
      </c>
      <c r="H380" s="1">
        <v>19</v>
      </c>
      <c r="I380" s="9" t="str" cm="1">
        <f t="array" ref="I380">_xlfn.IFS(H380 &lt;= 2, "[1-2] very close", H380 &lt;= 10, "[3-10] close", H380 &lt;= 20, "[11-20] moderate", H380 &lt;= 30, "[21-30] far")</f>
        <v>[11-20] moderate</v>
      </c>
      <c r="J380" s="1">
        <v>3</v>
      </c>
      <c r="K380" s="3" t="s">
        <v>59</v>
      </c>
      <c r="L380" s="1">
        <v>1</v>
      </c>
      <c r="M380" s="1">
        <v>502</v>
      </c>
      <c r="N380" s="1">
        <v>1</v>
      </c>
      <c r="O380" s="3" t="s">
        <v>46</v>
      </c>
      <c r="P380" s="1">
        <v>67</v>
      </c>
      <c r="Q380" s="1">
        <v>4</v>
      </c>
      <c r="R380" s="1">
        <v>2</v>
      </c>
      <c r="S380" s="3" t="s">
        <v>40</v>
      </c>
      <c r="T380" s="1">
        <v>4</v>
      </c>
      <c r="U380" s="3" t="s">
        <v>41</v>
      </c>
      <c r="V380" s="4">
        <v>5304</v>
      </c>
      <c r="W380" s="1">
        <v>4652</v>
      </c>
      <c r="X380" s="1">
        <v>8</v>
      </c>
      <c r="Y380" s="3" t="s">
        <v>42</v>
      </c>
      <c r="Z380" s="3" t="s">
        <v>35</v>
      </c>
      <c r="AA380" s="5">
        <v>0.13</v>
      </c>
      <c r="AB380" s="10" t="str" cm="1">
        <f t="array" ref="AB380">_xlfn.IFS(AA380 &lt;= 15%, "Low Hike[11-15%]", AA380 &lt;= 20%, "Moderate Hike[16-20%]", AA380 &lt;= 25%,"High Hike[21-25%]")</f>
        <v>Low Hike[11-15%]</v>
      </c>
      <c r="AC380" s="1">
        <v>3</v>
      </c>
      <c r="AD380" s="1">
        <v>2</v>
      </c>
      <c r="AE380" s="1">
        <v>80</v>
      </c>
      <c r="AF380" s="1">
        <v>0</v>
      </c>
      <c r="AG380" s="1">
        <v>9</v>
      </c>
      <c r="AH380" s="9" t="str" cm="1">
        <f t="array" ref="AH380">_xlfn.IFS(AG380 &lt;= 5, "New[1-5]", AG380 &lt;= 10, "Early Career[6-10]", AG380 &lt;= 20, "Established[11-20]", AG380 &lt;= 30, "Veteran[21-30]", AG380 &lt;= 40, "Late Career[31-40]")</f>
        <v>Early Career[6-10]</v>
      </c>
      <c r="AI380" s="1">
        <v>3</v>
      </c>
      <c r="AJ380" s="1">
        <v>2</v>
      </c>
      <c r="AK380" s="1">
        <v>5</v>
      </c>
      <c r="AL380" s="9" t="str" cm="1">
        <f t="array" ref="AL380">_xlfn.IFS(AK380 &lt;= 5, "New[1-5]", AK380 &lt;= 10, "Early Career[6-10]", AK380 &lt;= 20, "Established[11-20]", AK380 &lt;= 30, "Veteran[21-30]", AK380 &lt;= 40, "Late Career[31-40]")</f>
        <v>New[1-5]</v>
      </c>
      <c r="AM380" s="1">
        <v>2</v>
      </c>
      <c r="AN380" s="9" t="str" cm="1">
        <f t="array" ref="AN380">_xlfn.IFS(AM380 &lt;= 3, "New to Role[1-3]", AM380 &lt;= 7, "Settled[4-7]", AM380 &lt;= 12, "Experienced[[8-12]", AM380 &lt;= 18, "Long Tenured[13-18]")</f>
        <v>New to Role[1-3]</v>
      </c>
      <c r="AO380" s="1">
        <v>0</v>
      </c>
      <c r="AP380" s="9" t="str" cm="1">
        <f t="array" ref="AP380">_xlfn.IFS(AO380 &lt;= 3, "Recently[1-3]", AO380 &lt;= 6, "Due Soon[4-6]", AO380 &lt;= 10, "Overdue[7-10]", AO380 &lt;= 15, "Long Overdue[11-15]")</f>
        <v>Recently[1-3]</v>
      </c>
      <c r="AQ380" s="9" t="str" cm="1">
        <f t="array" ref="AQ380">_xlfn.IFS(AR380 &lt;= 3, "New Relationship[1-3]", AR380 &lt;= 7, "Established Relationship[4-7]", AR380 &lt;= 12, "Long Term Relationship[8-12]", AR380 &lt;= 17, "Very Long Term Relationship[13-17]")</f>
        <v>Established Relationship[4-7]</v>
      </c>
      <c r="AR380" s="1">
        <v>4</v>
      </c>
    </row>
    <row r="381" spans="1:44" x14ac:dyDescent="0.25">
      <c r="A381" s="1">
        <v>55</v>
      </c>
      <c r="B381" s="8" t="str" cm="1">
        <f t="array" ref="B381">_xlfn.IFS(A381 &lt;= 25, "[18-25]", A381 &lt;= 35, "[26-35]", A381 &lt;=45, "[36-45]", A381 &lt;= 60, "[46- 60]")</f>
        <v>[46- 60]</v>
      </c>
      <c r="C381" s="3" t="s">
        <v>43</v>
      </c>
      <c r="D381">
        <f t="shared" si="5"/>
        <v>0</v>
      </c>
      <c r="E381" t="s">
        <v>36</v>
      </c>
      <c r="F381" s="1">
        <v>1311</v>
      </c>
      <c r="G381" s="3" t="s">
        <v>45</v>
      </c>
      <c r="H381" s="1">
        <v>2</v>
      </c>
      <c r="I381" s="9" t="str" cm="1">
        <f t="array" ref="I381">_xlfn.IFS(H381 &lt;= 2, "[1-2] very close", H381 &lt;= 10, "[3-10] close", H381 &lt;= 20, "[11-20] moderate", H381 &lt;= 30, "[21-30] far")</f>
        <v>[1-2] very close</v>
      </c>
      <c r="J381" s="1">
        <v>3</v>
      </c>
      <c r="K381" s="3" t="s">
        <v>38</v>
      </c>
      <c r="L381" s="1">
        <v>1</v>
      </c>
      <c r="M381" s="1">
        <v>505</v>
      </c>
      <c r="N381" s="1">
        <v>3</v>
      </c>
      <c r="O381" s="3" t="s">
        <v>39</v>
      </c>
      <c r="P381" s="1">
        <v>97</v>
      </c>
      <c r="Q381" s="1">
        <v>3</v>
      </c>
      <c r="R381" s="1">
        <v>4</v>
      </c>
      <c r="S381" s="3" t="s">
        <v>56</v>
      </c>
      <c r="T381" s="1">
        <v>4</v>
      </c>
      <c r="U381" s="3" t="s">
        <v>41</v>
      </c>
      <c r="V381" s="4">
        <v>16659</v>
      </c>
      <c r="W381" s="1">
        <v>23258</v>
      </c>
      <c r="X381" s="1">
        <v>2</v>
      </c>
      <c r="Y381" s="3" t="s">
        <v>42</v>
      </c>
      <c r="Z381" s="3" t="s">
        <v>35</v>
      </c>
      <c r="AA381" s="5">
        <v>0.13</v>
      </c>
      <c r="AB381" s="10" t="str" cm="1">
        <f t="array" ref="AB381">_xlfn.IFS(AA381 &lt;= 15%, "Low Hike[11-15%]", AA381 &lt;= 20%, "Moderate Hike[16-20%]", AA381 &lt;= 25%,"High Hike[21-25%]")</f>
        <v>Low Hike[11-15%]</v>
      </c>
      <c r="AC381" s="1">
        <v>3</v>
      </c>
      <c r="AD381" s="1">
        <v>3</v>
      </c>
      <c r="AE381" s="1">
        <v>80</v>
      </c>
      <c r="AF381" s="1">
        <v>0</v>
      </c>
      <c r="AG381" s="1">
        <v>30</v>
      </c>
      <c r="AH381" s="9" t="str" cm="1">
        <f t="array" ref="AH381">_xlfn.IFS(AG381 &lt;= 5, "New[1-5]", AG381 &lt;= 10, "Early Career[6-10]", AG381 &lt;= 20, "Established[11-20]", AG381 &lt;= 30, "Veteran[21-30]", AG381 &lt;= 40, "Late Career[31-40]")</f>
        <v>Veteran[21-30]</v>
      </c>
      <c r="AI381" s="1">
        <v>2</v>
      </c>
      <c r="AJ381" s="1">
        <v>3</v>
      </c>
      <c r="AK381" s="1">
        <v>5</v>
      </c>
      <c r="AL381" s="9" t="str" cm="1">
        <f t="array" ref="AL381">_xlfn.IFS(AK381 &lt;= 5, "New[1-5]", AK381 &lt;= 10, "Early Career[6-10]", AK381 &lt;= 20, "Established[11-20]", AK381 &lt;= 30, "Veteran[21-30]", AK381 &lt;= 40, "Late Career[31-40]")</f>
        <v>New[1-5]</v>
      </c>
      <c r="AM381" s="1">
        <v>4</v>
      </c>
      <c r="AN381" s="9" t="str" cm="1">
        <f t="array" ref="AN381">_xlfn.IFS(AM381 &lt;= 3, "New to Role[1-3]", AM381 &lt;= 7, "Settled[4-7]", AM381 &lt;= 12, "Experienced[[8-12]", AM381 &lt;= 18, "Long Tenured[13-18]")</f>
        <v>Settled[4-7]</v>
      </c>
      <c r="AO381" s="1">
        <v>1</v>
      </c>
      <c r="AP381" s="9" t="str" cm="1">
        <f t="array" ref="AP381">_xlfn.IFS(AO381 &lt;= 3, "Recently[1-3]", AO381 &lt;= 6, "Due Soon[4-6]", AO381 &lt;= 10, "Overdue[7-10]", AO381 &lt;= 15, "Long Overdue[11-15]")</f>
        <v>Recently[1-3]</v>
      </c>
      <c r="AQ381" s="9" t="str" cm="1">
        <f t="array" ref="AQ381">_xlfn.IFS(AR381 &lt;= 3, "New Relationship[1-3]", AR381 &lt;= 7, "Established Relationship[4-7]", AR381 &lt;= 12, "Long Term Relationship[8-12]", AR381 &lt;= 17, "Very Long Term Relationship[13-17]")</f>
        <v>New Relationship[1-3]</v>
      </c>
      <c r="AR381" s="1">
        <v>2</v>
      </c>
    </row>
    <row r="382" spans="1:44" x14ac:dyDescent="0.25">
      <c r="A382" s="1">
        <v>24</v>
      </c>
      <c r="B382" s="8" t="str" cm="1">
        <f t="array" ref="B382">_xlfn.IFS(A382 &lt;= 25, "[18-25]", A382 &lt;= 35, "[26-35]", A382 &lt;=45, "[36-45]", A382 &lt;= 60, "[46- 60]")</f>
        <v>[18-25]</v>
      </c>
      <c r="C382" s="3" t="s">
        <v>43</v>
      </c>
      <c r="D382">
        <f t="shared" si="5"/>
        <v>0</v>
      </c>
      <c r="E382" t="s">
        <v>36</v>
      </c>
      <c r="F382" s="1">
        <v>1371</v>
      </c>
      <c r="G382" s="3" t="s">
        <v>37</v>
      </c>
      <c r="H382" s="1">
        <v>10</v>
      </c>
      <c r="I382" s="9" t="str" cm="1">
        <f t="array" ref="I382">_xlfn.IFS(H382 &lt;= 2, "[1-2] very close", H382 &lt;= 10, "[3-10] close", H382 &lt;= 20, "[11-20] moderate", H382 &lt;= 30, "[21-30] far")</f>
        <v>[3-10] close</v>
      </c>
      <c r="J382" s="1">
        <v>4</v>
      </c>
      <c r="K382" s="3" t="s">
        <v>59</v>
      </c>
      <c r="L382" s="1">
        <v>1</v>
      </c>
      <c r="M382" s="1">
        <v>507</v>
      </c>
      <c r="N382" s="1">
        <v>4</v>
      </c>
      <c r="O382" s="3" t="s">
        <v>39</v>
      </c>
      <c r="P382" s="1">
        <v>77</v>
      </c>
      <c r="Q382" s="1">
        <v>3</v>
      </c>
      <c r="R382" s="1">
        <v>2</v>
      </c>
      <c r="S382" s="3" t="s">
        <v>40</v>
      </c>
      <c r="T382" s="1">
        <v>3</v>
      </c>
      <c r="U382" s="3" t="s">
        <v>52</v>
      </c>
      <c r="V382" s="4">
        <v>4260</v>
      </c>
      <c r="W382" s="1">
        <v>5915</v>
      </c>
      <c r="X382" s="1">
        <v>1</v>
      </c>
      <c r="Y382" s="3" t="s">
        <v>42</v>
      </c>
      <c r="Z382" s="3" t="s">
        <v>35</v>
      </c>
      <c r="AA382" s="5">
        <v>0.12</v>
      </c>
      <c r="AB382" s="10" t="str" cm="1">
        <f t="array" ref="AB382">_xlfn.IFS(AA382 &lt;= 15%, "Low Hike[11-15%]", AA382 &lt;= 20%, "Moderate Hike[16-20%]", AA382 &lt;= 25%,"High Hike[21-25%]")</f>
        <v>Low Hike[11-15%]</v>
      </c>
      <c r="AC382" s="1">
        <v>3</v>
      </c>
      <c r="AD382" s="1">
        <v>4</v>
      </c>
      <c r="AE382" s="1">
        <v>80</v>
      </c>
      <c r="AF382" s="1">
        <v>1</v>
      </c>
      <c r="AG382" s="1">
        <v>5</v>
      </c>
      <c r="AH382" s="9" t="str" cm="1">
        <f t="array" ref="AH382">_xlfn.IFS(AG382 &lt;= 5, "New[1-5]", AG382 &lt;= 10, "Early Career[6-10]", AG382 &lt;= 20, "Established[11-20]", AG382 &lt;= 30, "Veteran[21-30]", AG382 &lt;= 40, "Late Career[31-40]")</f>
        <v>New[1-5]</v>
      </c>
      <c r="AI382" s="1">
        <v>2</v>
      </c>
      <c r="AJ382" s="1">
        <v>4</v>
      </c>
      <c r="AK382" s="1">
        <v>5</v>
      </c>
      <c r="AL382" s="9" t="str" cm="1">
        <f t="array" ref="AL382">_xlfn.IFS(AK382 &lt;= 5, "New[1-5]", AK382 &lt;= 10, "Early Career[6-10]", AK382 &lt;= 20, "Established[11-20]", AK382 &lt;= 30, "Veteran[21-30]", AK382 &lt;= 40, "Late Career[31-40]")</f>
        <v>New[1-5]</v>
      </c>
      <c r="AM382" s="1">
        <v>2</v>
      </c>
      <c r="AN382" s="9" t="str" cm="1">
        <f t="array" ref="AN382">_xlfn.IFS(AM382 &lt;= 3, "New to Role[1-3]", AM382 &lt;= 7, "Settled[4-7]", AM382 &lt;= 12, "Experienced[[8-12]", AM382 &lt;= 18, "Long Tenured[13-18]")</f>
        <v>New to Role[1-3]</v>
      </c>
      <c r="AO382" s="1">
        <v>0</v>
      </c>
      <c r="AP382" s="9" t="str" cm="1">
        <f t="array" ref="AP382">_xlfn.IFS(AO382 &lt;= 3, "Recently[1-3]", AO382 &lt;= 6, "Due Soon[4-6]", AO382 &lt;= 10, "Overdue[7-10]", AO382 &lt;= 15, "Long Overdue[11-15]")</f>
        <v>Recently[1-3]</v>
      </c>
      <c r="AQ382" s="9" t="str" cm="1">
        <f t="array" ref="AQ382">_xlfn.IFS(AR382 &lt;= 3, "New Relationship[1-3]", AR382 &lt;= 7, "Established Relationship[4-7]", AR382 &lt;= 12, "Long Term Relationship[8-12]", AR382 &lt;= 17, "Very Long Term Relationship[13-17]")</f>
        <v>New Relationship[1-3]</v>
      </c>
      <c r="AR382" s="1">
        <v>3</v>
      </c>
    </row>
    <row r="383" spans="1:44" x14ac:dyDescent="0.25">
      <c r="A383" s="1">
        <v>30</v>
      </c>
      <c r="B383" s="8" t="str" cm="1">
        <f t="array" ref="B383">_xlfn.IFS(A383 &lt;= 25, "[18-25]", A383 &lt;= 35, "[26-35]", A383 &lt;=45, "[36-45]", A383 &lt;= 60, "[46- 60]")</f>
        <v>[26-35]</v>
      </c>
      <c r="C383" s="3" t="s">
        <v>43</v>
      </c>
      <c r="D383">
        <f t="shared" si="5"/>
        <v>0</v>
      </c>
      <c r="E383" t="s">
        <v>36</v>
      </c>
      <c r="F383" s="1">
        <v>202</v>
      </c>
      <c r="G383" s="3" t="s">
        <v>37</v>
      </c>
      <c r="H383" s="1">
        <v>2</v>
      </c>
      <c r="I383" s="9" t="str" cm="1">
        <f t="array" ref="I383">_xlfn.IFS(H383 &lt;= 2, "[1-2] very close", H383 &lt;= 10, "[3-10] close", H383 &lt;= 20, "[11-20] moderate", H383 &lt;= 30, "[21-30] far")</f>
        <v>[1-2] very close</v>
      </c>
      <c r="J383" s="1">
        <v>1</v>
      </c>
      <c r="K383" s="3" t="s">
        <v>60</v>
      </c>
      <c r="L383" s="1">
        <v>1</v>
      </c>
      <c r="M383" s="1">
        <v>508</v>
      </c>
      <c r="N383" s="1">
        <v>3</v>
      </c>
      <c r="O383" s="3" t="s">
        <v>46</v>
      </c>
      <c r="P383" s="1">
        <v>72</v>
      </c>
      <c r="Q383" s="1">
        <v>3</v>
      </c>
      <c r="R383" s="1">
        <v>1</v>
      </c>
      <c r="S383" s="3" t="s">
        <v>57</v>
      </c>
      <c r="T383" s="1">
        <v>2</v>
      </c>
      <c r="U383" s="3" t="s">
        <v>48</v>
      </c>
      <c r="V383" s="4">
        <v>2476</v>
      </c>
      <c r="W383" s="1">
        <v>17434</v>
      </c>
      <c r="X383" s="1">
        <v>1</v>
      </c>
      <c r="Y383" s="3" t="s">
        <v>42</v>
      </c>
      <c r="Z383" s="3" t="s">
        <v>43</v>
      </c>
      <c r="AA383" s="5">
        <v>0.18</v>
      </c>
      <c r="AB383" s="10" t="str" cm="1">
        <f t="array" ref="AB383">_xlfn.IFS(AA383 &lt;= 15%, "Low Hike[11-15%]", AA383 &lt;= 20%, "Moderate Hike[16-20%]", AA383 &lt;= 25%,"High Hike[21-25%]")</f>
        <v>Moderate Hike[16-20%]</v>
      </c>
      <c r="AC383" s="1">
        <v>3</v>
      </c>
      <c r="AD383" s="1">
        <v>1</v>
      </c>
      <c r="AE383" s="1">
        <v>80</v>
      </c>
      <c r="AF383" s="1">
        <v>1</v>
      </c>
      <c r="AG383" s="1">
        <v>1</v>
      </c>
      <c r="AH383" s="9" t="str" cm="1">
        <f t="array" ref="AH383">_xlfn.IFS(AG383 &lt;= 5, "New[1-5]", AG383 &lt;= 10, "Early Career[6-10]", AG383 &lt;= 20, "Established[11-20]", AG383 &lt;= 30, "Veteran[21-30]", AG383 &lt;= 40, "Late Career[31-40]")</f>
        <v>New[1-5]</v>
      </c>
      <c r="AI383" s="1">
        <v>3</v>
      </c>
      <c r="AJ383" s="1">
        <v>3</v>
      </c>
      <c r="AK383" s="1">
        <v>1</v>
      </c>
      <c r="AL383" s="9" t="str" cm="1">
        <f t="array" ref="AL383">_xlfn.IFS(AK383 &lt;= 5, "New[1-5]", AK383 &lt;= 10, "Early Career[6-10]", AK383 &lt;= 20, "Established[11-20]", AK383 &lt;= 30, "Veteran[21-30]", AK383 &lt;= 40, "Late Career[31-40]")</f>
        <v>New[1-5]</v>
      </c>
      <c r="AM383" s="1">
        <v>0</v>
      </c>
      <c r="AN383" s="9" t="str" cm="1">
        <f t="array" ref="AN383">_xlfn.IFS(AM383 &lt;= 3, "New to Role[1-3]", AM383 &lt;= 7, "Settled[4-7]", AM383 &lt;= 12, "Experienced[[8-12]", AM383 &lt;= 18, "Long Tenured[13-18]")</f>
        <v>New to Role[1-3]</v>
      </c>
      <c r="AO383" s="1">
        <v>0</v>
      </c>
      <c r="AP383" s="9" t="str" cm="1">
        <f t="array" ref="AP383">_xlfn.IFS(AO383 &lt;= 3, "Recently[1-3]", AO383 &lt;= 6, "Due Soon[4-6]", AO383 &lt;= 10, "Overdue[7-10]", AO383 &lt;= 15, "Long Overdue[11-15]")</f>
        <v>Recently[1-3]</v>
      </c>
      <c r="AQ383" s="9" t="str" cm="1">
        <f t="array" ref="AQ383">_xlfn.IFS(AR383 &lt;= 3, "New Relationship[1-3]", AR383 &lt;= 7, "Established Relationship[4-7]", AR383 &lt;= 12, "Long Term Relationship[8-12]", AR383 &lt;= 17, "Very Long Term Relationship[13-17]")</f>
        <v>New Relationship[1-3]</v>
      </c>
      <c r="AR383" s="1">
        <v>0</v>
      </c>
    </row>
    <row r="384" spans="1:44" x14ac:dyDescent="0.25">
      <c r="A384" s="1">
        <v>26</v>
      </c>
      <c r="B384" s="8" t="str" cm="1">
        <f t="array" ref="B384">_xlfn.IFS(A384 &lt;= 25, "[18-25]", A384 &lt;= 35, "[26-35]", A384 &lt;=45, "[36-45]", A384 &lt;= 60, "[46- 60]")</f>
        <v>[26-35]</v>
      </c>
      <c r="C384" s="3" t="s">
        <v>35</v>
      </c>
      <c r="D384">
        <f t="shared" si="5"/>
        <v>1</v>
      </c>
      <c r="E384" t="s">
        <v>44</v>
      </c>
      <c r="F384" s="1">
        <v>575</v>
      </c>
      <c r="G384" s="3" t="s">
        <v>45</v>
      </c>
      <c r="H384" s="1">
        <v>3</v>
      </c>
      <c r="I384" s="9" t="str" cm="1">
        <f t="array" ref="I384">_xlfn.IFS(H384 &lt;= 2, "[1-2] very close", H384 &lt;= 10, "[3-10] close", H384 &lt;= 20, "[11-20] moderate", H384 &lt;= 30, "[21-30] far")</f>
        <v>[3-10] close</v>
      </c>
      <c r="J384" s="1">
        <v>1</v>
      </c>
      <c r="K384" s="3" t="s">
        <v>60</v>
      </c>
      <c r="L384" s="1">
        <v>1</v>
      </c>
      <c r="M384" s="1">
        <v>510</v>
      </c>
      <c r="N384" s="1">
        <v>3</v>
      </c>
      <c r="O384" s="3" t="s">
        <v>46</v>
      </c>
      <c r="P384" s="1">
        <v>73</v>
      </c>
      <c r="Q384" s="1">
        <v>3</v>
      </c>
      <c r="R384" s="1">
        <v>1</v>
      </c>
      <c r="S384" s="3" t="s">
        <v>47</v>
      </c>
      <c r="T384" s="1">
        <v>1</v>
      </c>
      <c r="U384" s="3" t="s">
        <v>41</v>
      </c>
      <c r="V384" s="4">
        <v>3102</v>
      </c>
      <c r="W384" s="1">
        <v>6582</v>
      </c>
      <c r="X384" s="1">
        <v>0</v>
      </c>
      <c r="Y384" s="3" t="s">
        <v>42</v>
      </c>
      <c r="Z384" s="3" t="s">
        <v>43</v>
      </c>
      <c r="AA384" s="5">
        <v>0.22</v>
      </c>
      <c r="AB384" s="10" t="str" cm="1">
        <f t="array" ref="AB384">_xlfn.IFS(AA384 &lt;= 15%, "Low Hike[11-15%]", AA384 &lt;= 20%, "Moderate Hike[16-20%]", AA384 &lt;= 25%,"High Hike[21-25%]")</f>
        <v>High Hike[21-25%]</v>
      </c>
      <c r="AC384" s="1">
        <v>4</v>
      </c>
      <c r="AD384" s="1">
        <v>3</v>
      </c>
      <c r="AE384" s="1">
        <v>80</v>
      </c>
      <c r="AF384" s="1">
        <v>0</v>
      </c>
      <c r="AG384" s="1">
        <v>7</v>
      </c>
      <c r="AH384" s="9" t="str" cm="1">
        <f t="array" ref="AH384">_xlfn.IFS(AG384 &lt;= 5, "New[1-5]", AG384 &lt;= 10, "Early Career[6-10]", AG384 &lt;= 20, "Established[11-20]", AG384 &lt;= 30, "Veteran[21-30]", AG384 &lt;= 40, "Late Career[31-40]")</f>
        <v>Early Career[6-10]</v>
      </c>
      <c r="AI384" s="1">
        <v>2</v>
      </c>
      <c r="AJ384" s="1">
        <v>3</v>
      </c>
      <c r="AK384" s="1">
        <v>6</v>
      </c>
      <c r="AL384" s="9" t="str" cm="1">
        <f t="array" ref="AL384">_xlfn.IFS(AK384 &lt;= 5, "New[1-5]", AK384 &lt;= 10, "Early Career[6-10]", AK384 &lt;= 20, "Established[11-20]", AK384 &lt;= 30, "Veteran[21-30]", AK384 &lt;= 40, "Late Career[31-40]")</f>
        <v>Early Career[6-10]</v>
      </c>
      <c r="AM384" s="1">
        <v>4</v>
      </c>
      <c r="AN384" s="9" t="str" cm="1">
        <f t="array" ref="AN384">_xlfn.IFS(AM384 &lt;= 3, "New to Role[1-3]", AM384 &lt;= 7, "Settled[4-7]", AM384 &lt;= 12, "Experienced[[8-12]", AM384 &lt;= 18, "Long Tenured[13-18]")</f>
        <v>Settled[4-7]</v>
      </c>
      <c r="AO384" s="1">
        <v>0</v>
      </c>
      <c r="AP384" s="9" t="str" cm="1">
        <f t="array" ref="AP384">_xlfn.IFS(AO384 &lt;= 3, "Recently[1-3]", AO384 &lt;= 6, "Due Soon[4-6]", AO384 &lt;= 10, "Overdue[7-10]", AO384 &lt;= 15, "Long Overdue[11-15]")</f>
        <v>Recently[1-3]</v>
      </c>
      <c r="AQ384" s="9" t="str" cm="1">
        <f t="array" ref="AQ384">_xlfn.IFS(AR384 &lt;= 3, "New Relationship[1-3]", AR384 &lt;= 7, "Established Relationship[4-7]", AR384 &lt;= 12, "Long Term Relationship[8-12]", AR384 &lt;= 17, "Very Long Term Relationship[13-17]")</f>
        <v>Established Relationship[4-7]</v>
      </c>
      <c r="AR384" s="1">
        <v>4</v>
      </c>
    </row>
    <row r="385" spans="1:44" x14ac:dyDescent="0.25">
      <c r="A385" s="1">
        <v>22</v>
      </c>
      <c r="B385" s="8" t="str" cm="1">
        <f t="array" ref="B385">_xlfn.IFS(A385 &lt;= 25, "[18-25]", A385 &lt;= 35, "[26-35]", A385 &lt;=45, "[36-45]", A385 &lt;= 60, "[46- 60]")</f>
        <v>[18-25]</v>
      </c>
      <c r="C385" s="3" t="s">
        <v>43</v>
      </c>
      <c r="D385">
        <f t="shared" si="5"/>
        <v>0</v>
      </c>
      <c r="E385" t="s">
        <v>36</v>
      </c>
      <c r="F385" s="1">
        <v>253</v>
      </c>
      <c r="G385" s="3" t="s">
        <v>45</v>
      </c>
      <c r="H385" s="1">
        <v>11</v>
      </c>
      <c r="I385" s="9" t="str" cm="1">
        <f t="array" ref="I385">_xlfn.IFS(H385 &lt;= 2, "[1-2] very close", H385 &lt;= 10, "[3-10] close", H385 &lt;= 20, "[11-20] moderate", H385 &lt;= 30, "[21-30] far")</f>
        <v>[11-20] moderate</v>
      </c>
      <c r="J385" s="1">
        <v>3</v>
      </c>
      <c r="K385" s="3" t="s">
        <v>51</v>
      </c>
      <c r="L385" s="1">
        <v>1</v>
      </c>
      <c r="M385" s="1">
        <v>511</v>
      </c>
      <c r="N385" s="1">
        <v>1</v>
      </c>
      <c r="O385" s="3" t="s">
        <v>39</v>
      </c>
      <c r="P385" s="1">
        <v>43</v>
      </c>
      <c r="Q385" s="1">
        <v>3</v>
      </c>
      <c r="R385" s="1">
        <v>1</v>
      </c>
      <c r="S385" s="3" t="s">
        <v>47</v>
      </c>
      <c r="T385" s="1">
        <v>2</v>
      </c>
      <c r="U385" s="3" t="s">
        <v>48</v>
      </c>
      <c r="V385" s="4">
        <v>2244</v>
      </c>
      <c r="W385" s="1">
        <v>24440</v>
      </c>
      <c r="X385" s="1">
        <v>1</v>
      </c>
      <c r="Y385" s="3" t="s">
        <v>42</v>
      </c>
      <c r="Z385" s="3" t="s">
        <v>43</v>
      </c>
      <c r="AA385" s="5">
        <v>0.13</v>
      </c>
      <c r="AB385" s="10" t="str" cm="1">
        <f t="array" ref="AB385">_xlfn.IFS(AA385 &lt;= 15%, "Low Hike[11-15%]", AA385 &lt;= 20%, "Moderate Hike[16-20%]", AA385 &lt;= 25%,"High Hike[21-25%]")</f>
        <v>Low Hike[11-15%]</v>
      </c>
      <c r="AC385" s="1">
        <v>3</v>
      </c>
      <c r="AD385" s="1">
        <v>4</v>
      </c>
      <c r="AE385" s="1">
        <v>80</v>
      </c>
      <c r="AF385" s="1">
        <v>1</v>
      </c>
      <c r="AG385" s="1">
        <v>2</v>
      </c>
      <c r="AH385" s="9" t="str" cm="1">
        <f t="array" ref="AH385">_xlfn.IFS(AG385 &lt;= 5, "New[1-5]", AG385 &lt;= 10, "Early Career[6-10]", AG385 &lt;= 20, "Established[11-20]", AG385 &lt;= 30, "Veteran[21-30]", AG385 &lt;= 40, "Late Career[31-40]")</f>
        <v>New[1-5]</v>
      </c>
      <c r="AI385" s="1">
        <v>1</v>
      </c>
      <c r="AJ385" s="1">
        <v>3</v>
      </c>
      <c r="AK385" s="1">
        <v>2</v>
      </c>
      <c r="AL385" s="9" t="str" cm="1">
        <f t="array" ref="AL385">_xlfn.IFS(AK385 &lt;= 5, "New[1-5]", AK385 &lt;= 10, "Early Career[6-10]", AK385 &lt;= 20, "Established[11-20]", AK385 &lt;= 30, "Veteran[21-30]", AK385 &lt;= 40, "Late Career[31-40]")</f>
        <v>New[1-5]</v>
      </c>
      <c r="AM385" s="1">
        <v>1</v>
      </c>
      <c r="AN385" s="9" t="str" cm="1">
        <f t="array" ref="AN385">_xlfn.IFS(AM385 &lt;= 3, "New to Role[1-3]", AM385 &lt;= 7, "Settled[4-7]", AM385 &lt;= 12, "Experienced[[8-12]", AM385 &lt;= 18, "Long Tenured[13-18]")</f>
        <v>New to Role[1-3]</v>
      </c>
      <c r="AO385" s="1">
        <v>1</v>
      </c>
      <c r="AP385" s="9" t="str" cm="1">
        <f t="array" ref="AP385">_xlfn.IFS(AO385 &lt;= 3, "Recently[1-3]", AO385 &lt;= 6, "Due Soon[4-6]", AO385 &lt;= 10, "Overdue[7-10]", AO385 &lt;= 15, "Long Overdue[11-15]")</f>
        <v>Recently[1-3]</v>
      </c>
      <c r="AQ385" s="9" t="str" cm="1">
        <f t="array" ref="AQ385">_xlfn.IFS(AR385 &lt;= 3, "New Relationship[1-3]", AR385 &lt;= 7, "Established Relationship[4-7]", AR385 &lt;= 12, "Long Term Relationship[8-12]", AR385 &lt;= 17, "Very Long Term Relationship[13-17]")</f>
        <v>New Relationship[1-3]</v>
      </c>
      <c r="AR385" s="1">
        <v>2</v>
      </c>
    </row>
    <row r="386" spans="1:44" x14ac:dyDescent="0.25">
      <c r="A386" s="1">
        <v>36</v>
      </c>
      <c r="B386" s="8" t="str" cm="1">
        <f t="array" ref="B386">_xlfn.IFS(A386 &lt;= 25, "[18-25]", A386 &lt;= 35, "[26-35]", A386 &lt;=45, "[36-45]", A386 &lt;= 60, "[46- 60]")</f>
        <v>[36-45]</v>
      </c>
      <c r="C386" s="3" t="s">
        <v>43</v>
      </c>
      <c r="D386">
        <f t="shared" ref="D386:D449" si="6">IF(C386 = "Yes",1, 0)</f>
        <v>0</v>
      </c>
      <c r="E386" t="s">
        <v>36</v>
      </c>
      <c r="F386" s="1">
        <v>164</v>
      </c>
      <c r="G386" s="3" t="s">
        <v>37</v>
      </c>
      <c r="H386" s="1">
        <v>2</v>
      </c>
      <c r="I386" s="9" t="str" cm="1">
        <f t="array" ref="I386">_xlfn.IFS(H386 &lt;= 2, "[1-2] very close", H386 &lt;= 10, "[3-10] close", H386 &lt;= 20, "[11-20] moderate", H386 &lt;= 30, "[21-30] far")</f>
        <v>[1-2] very close</v>
      </c>
      <c r="J386" s="1">
        <v>2</v>
      </c>
      <c r="K386" s="3" t="s">
        <v>51</v>
      </c>
      <c r="L386" s="1">
        <v>1</v>
      </c>
      <c r="M386" s="1">
        <v>513</v>
      </c>
      <c r="N386" s="1">
        <v>2</v>
      </c>
      <c r="O386" s="3" t="s">
        <v>46</v>
      </c>
      <c r="P386" s="1">
        <v>61</v>
      </c>
      <c r="Q386" s="1">
        <v>2</v>
      </c>
      <c r="R386" s="1">
        <v>3</v>
      </c>
      <c r="S386" s="3" t="s">
        <v>40</v>
      </c>
      <c r="T386" s="1">
        <v>3</v>
      </c>
      <c r="U386" s="3" t="s">
        <v>48</v>
      </c>
      <c r="V386" s="4">
        <v>7596</v>
      </c>
      <c r="W386" s="1">
        <v>3809</v>
      </c>
      <c r="X386" s="1">
        <v>1</v>
      </c>
      <c r="Y386" s="3" t="s">
        <v>42</v>
      </c>
      <c r="Z386" s="3" t="s">
        <v>43</v>
      </c>
      <c r="AA386" s="5">
        <v>0.13</v>
      </c>
      <c r="AB386" s="10" t="str" cm="1">
        <f t="array" ref="AB386">_xlfn.IFS(AA386 &lt;= 15%, "Low Hike[11-15%]", AA386 &lt;= 20%, "Moderate Hike[16-20%]", AA386 &lt;= 25%,"High Hike[21-25%]")</f>
        <v>Low Hike[11-15%]</v>
      </c>
      <c r="AC386" s="1">
        <v>3</v>
      </c>
      <c r="AD386" s="1">
        <v>2</v>
      </c>
      <c r="AE386" s="1">
        <v>80</v>
      </c>
      <c r="AF386" s="1">
        <v>2</v>
      </c>
      <c r="AG386" s="1">
        <v>10</v>
      </c>
      <c r="AH386" s="9" t="str" cm="1">
        <f t="array" ref="AH386">_xlfn.IFS(AG386 &lt;= 5, "New[1-5]", AG386 &lt;= 10, "Early Career[6-10]", AG386 &lt;= 20, "Established[11-20]", AG386 &lt;= 30, "Veteran[21-30]", AG386 &lt;= 40, "Late Career[31-40]")</f>
        <v>Early Career[6-10]</v>
      </c>
      <c r="AI386" s="1">
        <v>2</v>
      </c>
      <c r="AJ386" s="1">
        <v>3</v>
      </c>
      <c r="AK386" s="1">
        <v>10</v>
      </c>
      <c r="AL386" s="9" t="str" cm="1">
        <f t="array" ref="AL386">_xlfn.IFS(AK386 &lt;= 5, "New[1-5]", AK386 &lt;= 10, "Early Career[6-10]", AK386 &lt;= 20, "Established[11-20]", AK386 &lt;= 30, "Veteran[21-30]", AK386 &lt;= 40, "Late Career[31-40]")</f>
        <v>Early Career[6-10]</v>
      </c>
      <c r="AM386" s="1">
        <v>9</v>
      </c>
      <c r="AN386" s="9" t="str" cm="1">
        <f t="array" ref="AN386">_xlfn.IFS(AM386 &lt;= 3, "New to Role[1-3]", AM386 &lt;= 7, "Settled[4-7]", AM386 &lt;= 12, "Experienced[[8-12]", AM386 &lt;= 18, "Long Tenured[13-18]")</f>
        <v>Experienced[[8-12]</v>
      </c>
      <c r="AO386" s="1">
        <v>9</v>
      </c>
      <c r="AP386" s="9" t="str" cm="1">
        <f t="array" ref="AP386">_xlfn.IFS(AO386 &lt;= 3, "Recently[1-3]", AO386 &lt;= 6, "Due Soon[4-6]", AO386 &lt;= 10, "Overdue[7-10]", AO386 &lt;= 15, "Long Overdue[11-15]")</f>
        <v>Overdue[7-10]</v>
      </c>
      <c r="AQ386" s="9" t="str" cm="1">
        <f t="array" ref="AQ386">_xlfn.IFS(AR386 &lt;= 3, "New Relationship[1-3]", AR386 &lt;= 7, "Established Relationship[4-7]", AR386 &lt;= 12, "Long Term Relationship[8-12]", AR386 &lt;= 17, "Very Long Term Relationship[13-17]")</f>
        <v>New Relationship[1-3]</v>
      </c>
      <c r="AR386" s="1">
        <v>0</v>
      </c>
    </row>
    <row r="387" spans="1:44" x14ac:dyDescent="0.25">
      <c r="A387" s="1">
        <v>30</v>
      </c>
      <c r="B387" s="8" t="str" cm="1">
        <f t="array" ref="B387">_xlfn.IFS(A387 &lt;= 25, "[18-25]", A387 &lt;= 35, "[26-35]", A387 &lt;=45, "[36-45]", A387 &lt;= 60, "[46- 60]")</f>
        <v>[26-35]</v>
      </c>
      <c r="C387" s="3" t="s">
        <v>35</v>
      </c>
      <c r="D387">
        <f t="shared" si="6"/>
        <v>1</v>
      </c>
      <c r="E387" t="s">
        <v>44</v>
      </c>
      <c r="F387" s="1">
        <v>464</v>
      </c>
      <c r="G387" s="3" t="s">
        <v>45</v>
      </c>
      <c r="H387" s="1">
        <v>4</v>
      </c>
      <c r="I387" s="9" t="str" cm="1">
        <f t="array" ref="I387">_xlfn.IFS(H387 &lt;= 2, "[1-2] very close", H387 &lt;= 10, "[3-10] close", H387 &lt;= 20, "[11-20] moderate", H387 &lt;= 30, "[21-30] far")</f>
        <v>[3-10] close</v>
      </c>
      <c r="J387" s="1">
        <v>3</v>
      </c>
      <c r="K387" s="3" t="s">
        <v>60</v>
      </c>
      <c r="L387" s="1">
        <v>1</v>
      </c>
      <c r="M387" s="1">
        <v>514</v>
      </c>
      <c r="N387" s="1">
        <v>3</v>
      </c>
      <c r="O387" s="3" t="s">
        <v>46</v>
      </c>
      <c r="P387" s="1">
        <v>40</v>
      </c>
      <c r="Q387" s="1">
        <v>3</v>
      </c>
      <c r="R387" s="1">
        <v>1</v>
      </c>
      <c r="S387" s="3" t="s">
        <v>47</v>
      </c>
      <c r="T387" s="1">
        <v>4</v>
      </c>
      <c r="U387" s="3" t="s">
        <v>41</v>
      </c>
      <c r="V387" s="4">
        <v>2285</v>
      </c>
      <c r="W387" s="1">
        <v>3427</v>
      </c>
      <c r="X387" s="1">
        <v>9</v>
      </c>
      <c r="Y387" s="3" t="s">
        <v>42</v>
      </c>
      <c r="Z387" s="3" t="s">
        <v>35</v>
      </c>
      <c r="AA387" s="5">
        <v>0.23</v>
      </c>
      <c r="AB387" s="10" t="str" cm="1">
        <f t="array" ref="AB387">_xlfn.IFS(AA387 &lt;= 15%, "Low Hike[11-15%]", AA387 &lt;= 20%, "Moderate Hike[16-20%]", AA387 &lt;= 25%,"High Hike[21-25%]")</f>
        <v>High Hike[21-25%]</v>
      </c>
      <c r="AC387" s="1">
        <v>4</v>
      </c>
      <c r="AD387" s="1">
        <v>3</v>
      </c>
      <c r="AE387" s="1">
        <v>80</v>
      </c>
      <c r="AF387" s="1">
        <v>0</v>
      </c>
      <c r="AG387" s="1">
        <v>3</v>
      </c>
      <c r="AH387" s="9" t="str" cm="1">
        <f t="array" ref="AH387">_xlfn.IFS(AG387 &lt;= 5, "New[1-5]", AG387 &lt;= 10, "Early Career[6-10]", AG387 &lt;= 20, "Established[11-20]", AG387 &lt;= 30, "Veteran[21-30]", AG387 &lt;= 40, "Late Career[31-40]")</f>
        <v>New[1-5]</v>
      </c>
      <c r="AI387" s="1">
        <v>4</v>
      </c>
      <c r="AJ387" s="1">
        <v>3</v>
      </c>
      <c r="AK387" s="1">
        <v>1</v>
      </c>
      <c r="AL387" s="9" t="str" cm="1">
        <f t="array" ref="AL387">_xlfn.IFS(AK387 &lt;= 5, "New[1-5]", AK387 &lt;= 10, "Early Career[6-10]", AK387 &lt;= 20, "Established[11-20]", AK387 &lt;= 30, "Veteran[21-30]", AK387 &lt;= 40, "Late Career[31-40]")</f>
        <v>New[1-5]</v>
      </c>
      <c r="AM387" s="1">
        <v>0</v>
      </c>
      <c r="AN387" s="9" t="str" cm="1">
        <f t="array" ref="AN387">_xlfn.IFS(AM387 &lt;= 3, "New to Role[1-3]", AM387 &lt;= 7, "Settled[4-7]", AM387 &lt;= 12, "Experienced[[8-12]", AM387 &lt;= 18, "Long Tenured[13-18]")</f>
        <v>New to Role[1-3]</v>
      </c>
      <c r="AO387" s="1">
        <v>0</v>
      </c>
      <c r="AP387" s="9" t="str" cm="1">
        <f t="array" ref="AP387">_xlfn.IFS(AO387 &lt;= 3, "Recently[1-3]", AO387 &lt;= 6, "Due Soon[4-6]", AO387 &lt;= 10, "Overdue[7-10]", AO387 &lt;= 15, "Long Overdue[11-15]")</f>
        <v>Recently[1-3]</v>
      </c>
      <c r="AQ387" s="9" t="str" cm="1">
        <f t="array" ref="AQ387">_xlfn.IFS(AR387 &lt;= 3, "New Relationship[1-3]", AR387 &lt;= 7, "Established Relationship[4-7]", AR387 &lt;= 12, "Long Term Relationship[8-12]", AR387 &lt;= 17, "Very Long Term Relationship[13-17]")</f>
        <v>New Relationship[1-3]</v>
      </c>
      <c r="AR387" s="1">
        <v>0</v>
      </c>
    </row>
    <row r="388" spans="1:44" x14ac:dyDescent="0.25">
      <c r="A388" s="1">
        <v>37</v>
      </c>
      <c r="B388" s="8" t="str" cm="1">
        <f t="array" ref="B388">_xlfn.IFS(A388 &lt;= 25, "[18-25]", A388 &lt;= 35, "[26-35]", A388 &lt;=45, "[36-45]", A388 &lt;= 60, "[46- 60]")</f>
        <v>[36-45]</v>
      </c>
      <c r="C388" s="3" t="s">
        <v>43</v>
      </c>
      <c r="D388">
        <f t="shared" si="6"/>
        <v>0</v>
      </c>
      <c r="E388" t="s">
        <v>36</v>
      </c>
      <c r="F388" s="1">
        <v>1107</v>
      </c>
      <c r="G388" s="3" t="s">
        <v>45</v>
      </c>
      <c r="H388" s="1">
        <v>14</v>
      </c>
      <c r="I388" s="9" t="str" cm="1">
        <f t="array" ref="I388">_xlfn.IFS(H388 &lt;= 2, "[1-2] very close", H388 &lt;= 10, "[3-10] close", H388 &lt;= 20, "[11-20] moderate", H388 &lt;= 30, "[21-30] far")</f>
        <v>[11-20] moderate</v>
      </c>
      <c r="J388" s="1">
        <v>3</v>
      </c>
      <c r="K388" s="3" t="s">
        <v>38</v>
      </c>
      <c r="L388" s="1">
        <v>1</v>
      </c>
      <c r="M388" s="1">
        <v>515</v>
      </c>
      <c r="N388" s="1">
        <v>4</v>
      </c>
      <c r="O388" s="3" t="s">
        <v>39</v>
      </c>
      <c r="P388" s="1">
        <v>95</v>
      </c>
      <c r="Q388" s="1">
        <v>3</v>
      </c>
      <c r="R388" s="1">
        <v>1</v>
      </c>
      <c r="S388" s="3" t="s">
        <v>50</v>
      </c>
      <c r="T388" s="1">
        <v>1</v>
      </c>
      <c r="U388" s="3" t="s">
        <v>52</v>
      </c>
      <c r="V388" s="4">
        <v>3034</v>
      </c>
      <c r="W388" s="1">
        <v>26914</v>
      </c>
      <c r="X388" s="1">
        <v>1</v>
      </c>
      <c r="Y388" s="3" t="s">
        <v>42</v>
      </c>
      <c r="Z388" s="3" t="s">
        <v>43</v>
      </c>
      <c r="AA388" s="5">
        <v>0.12</v>
      </c>
      <c r="AB388" s="10" t="str" cm="1">
        <f t="array" ref="AB388">_xlfn.IFS(AA388 &lt;= 15%, "Low Hike[11-15%]", AA388 &lt;= 20%, "Moderate Hike[16-20%]", AA388 &lt;= 25%,"High Hike[21-25%]")</f>
        <v>Low Hike[11-15%]</v>
      </c>
      <c r="AC388" s="1">
        <v>3</v>
      </c>
      <c r="AD388" s="1">
        <v>3</v>
      </c>
      <c r="AE388" s="1">
        <v>80</v>
      </c>
      <c r="AF388" s="1">
        <v>1</v>
      </c>
      <c r="AG388" s="1">
        <v>18</v>
      </c>
      <c r="AH388" s="9" t="str" cm="1">
        <f t="array" ref="AH388">_xlfn.IFS(AG388 &lt;= 5, "New[1-5]", AG388 &lt;= 10, "Early Career[6-10]", AG388 &lt;= 20, "Established[11-20]", AG388 &lt;= 30, "Veteran[21-30]", AG388 &lt;= 40, "Late Career[31-40]")</f>
        <v>Established[11-20]</v>
      </c>
      <c r="AI388" s="1">
        <v>2</v>
      </c>
      <c r="AJ388" s="1">
        <v>2</v>
      </c>
      <c r="AK388" s="1">
        <v>18</v>
      </c>
      <c r="AL388" s="9" t="str" cm="1">
        <f t="array" ref="AL388">_xlfn.IFS(AK388 &lt;= 5, "New[1-5]", AK388 &lt;= 10, "Early Career[6-10]", AK388 &lt;= 20, "Established[11-20]", AK388 &lt;= 30, "Veteran[21-30]", AK388 &lt;= 40, "Late Career[31-40]")</f>
        <v>Established[11-20]</v>
      </c>
      <c r="AM388" s="1">
        <v>7</v>
      </c>
      <c r="AN388" s="9" t="str" cm="1">
        <f t="array" ref="AN388">_xlfn.IFS(AM388 &lt;= 3, "New to Role[1-3]", AM388 &lt;= 7, "Settled[4-7]", AM388 &lt;= 12, "Experienced[[8-12]", AM388 &lt;= 18, "Long Tenured[13-18]")</f>
        <v>Settled[4-7]</v>
      </c>
      <c r="AO388" s="1">
        <v>12</v>
      </c>
      <c r="AP388" s="9" t="str" cm="1">
        <f t="array" ref="AP388">_xlfn.IFS(AO388 &lt;= 3, "Recently[1-3]", AO388 &lt;= 6, "Due Soon[4-6]", AO388 &lt;= 10, "Overdue[7-10]", AO388 &lt;= 15, "Long Overdue[11-15]")</f>
        <v>Long Overdue[11-15]</v>
      </c>
      <c r="AQ388" s="9" t="str" cm="1">
        <f t="array" ref="AQ388">_xlfn.IFS(AR388 &lt;= 3, "New Relationship[1-3]", AR388 &lt;= 7, "Established Relationship[4-7]", AR388 &lt;= 12, "Long Term Relationship[8-12]", AR388 &lt;= 17, "Very Long Term Relationship[13-17]")</f>
        <v>Very Long Term Relationship[13-17]</v>
      </c>
      <c r="AR388" s="1">
        <v>17</v>
      </c>
    </row>
    <row r="389" spans="1:44" x14ac:dyDescent="0.25">
      <c r="A389" s="1">
        <v>40</v>
      </c>
      <c r="B389" s="8" t="str" cm="1">
        <f t="array" ref="B389">_xlfn.IFS(A389 &lt;= 25, "[18-25]", A389 &lt;= 35, "[26-35]", A389 &lt;=45, "[36-45]", A389 &lt;= 60, "[46- 60]")</f>
        <v>[36-45]</v>
      </c>
      <c r="C389" s="3" t="s">
        <v>43</v>
      </c>
      <c r="D389">
        <f t="shared" si="6"/>
        <v>0</v>
      </c>
      <c r="E389" t="s">
        <v>36</v>
      </c>
      <c r="F389" s="1">
        <v>759</v>
      </c>
      <c r="G389" s="3" t="s">
        <v>37</v>
      </c>
      <c r="H389" s="1">
        <v>2</v>
      </c>
      <c r="I389" s="9" t="str" cm="1">
        <f t="array" ref="I389">_xlfn.IFS(H389 &lt;= 2, "[1-2] very close", H389 &lt;= 10, "[3-10] close", H389 &lt;= 20, "[11-20] moderate", H389 &lt;= 30, "[21-30] far")</f>
        <v>[1-2] very close</v>
      </c>
      <c r="J389" s="1">
        <v>2</v>
      </c>
      <c r="K389" s="3" t="s">
        <v>59</v>
      </c>
      <c r="L389" s="1">
        <v>1</v>
      </c>
      <c r="M389" s="1">
        <v>516</v>
      </c>
      <c r="N389" s="1">
        <v>4</v>
      </c>
      <c r="O389" s="3" t="s">
        <v>39</v>
      </c>
      <c r="P389" s="1">
        <v>46</v>
      </c>
      <c r="Q389" s="1">
        <v>3</v>
      </c>
      <c r="R389" s="1">
        <v>2</v>
      </c>
      <c r="S389" s="3" t="s">
        <v>40</v>
      </c>
      <c r="T389" s="1">
        <v>2</v>
      </c>
      <c r="U389" s="3" t="s">
        <v>52</v>
      </c>
      <c r="V389" s="4">
        <v>5715</v>
      </c>
      <c r="W389" s="1">
        <v>22553</v>
      </c>
      <c r="X389" s="1">
        <v>7</v>
      </c>
      <c r="Y389" s="3" t="s">
        <v>42</v>
      </c>
      <c r="Z389" s="3" t="s">
        <v>43</v>
      </c>
      <c r="AA389" s="5">
        <v>0.12</v>
      </c>
      <c r="AB389" s="10" t="str" cm="1">
        <f t="array" ref="AB389">_xlfn.IFS(AA389 &lt;= 15%, "Low Hike[11-15%]", AA389 &lt;= 20%, "Moderate Hike[16-20%]", AA389 &lt;= 25%,"High Hike[21-25%]")</f>
        <v>Low Hike[11-15%]</v>
      </c>
      <c r="AC389" s="1">
        <v>3</v>
      </c>
      <c r="AD389" s="1">
        <v>3</v>
      </c>
      <c r="AE389" s="1">
        <v>80</v>
      </c>
      <c r="AF389" s="1">
        <v>2</v>
      </c>
      <c r="AG389" s="1">
        <v>8</v>
      </c>
      <c r="AH389" s="9" t="str" cm="1">
        <f t="array" ref="AH389">_xlfn.IFS(AG389 &lt;= 5, "New[1-5]", AG389 &lt;= 10, "Early Career[6-10]", AG389 &lt;= 20, "Established[11-20]", AG389 &lt;= 30, "Veteran[21-30]", AG389 &lt;= 40, "Late Career[31-40]")</f>
        <v>Early Career[6-10]</v>
      </c>
      <c r="AI389" s="1">
        <v>5</v>
      </c>
      <c r="AJ389" s="1">
        <v>3</v>
      </c>
      <c r="AK389" s="1">
        <v>5</v>
      </c>
      <c r="AL389" s="9" t="str" cm="1">
        <f t="array" ref="AL389">_xlfn.IFS(AK389 &lt;= 5, "New[1-5]", AK389 &lt;= 10, "Early Career[6-10]", AK389 &lt;= 20, "Established[11-20]", AK389 &lt;= 30, "Veteran[21-30]", AK389 &lt;= 40, "Late Career[31-40]")</f>
        <v>New[1-5]</v>
      </c>
      <c r="AM389" s="1">
        <v>4</v>
      </c>
      <c r="AN389" s="9" t="str" cm="1">
        <f t="array" ref="AN389">_xlfn.IFS(AM389 &lt;= 3, "New to Role[1-3]", AM389 &lt;= 7, "Settled[4-7]", AM389 &lt;= 12, "Experienced[[8-12]", AM389 &lt;= 18, "Long Tenured[13-18]")</f>
        <v>Settled[4-7]</v>
      </c>
      <c r="AO389" s="1">
        <v>1</v>
      </c>
      <c r="AP389" s="9" t="str" cm="1">
        <f t="array" ref="AP389">_xlfn.IFS(AO389 &lt;= 3, "Recently[1-3]", AO389 &lt;= 6, "Due Soon[4-6]", AO389 &lt;= 10, "Overdue[7-10]", AO389 &lt;= 15, "Long Overdue[11-15]")</f>
        <v>Recently[1-3]</v>
      </c>
      <c r="AQ389" s="9" t="str" cm="1">
        <f t="array" ref="AQ389">_xlfn.IFS(AR389 &lt;= 3, "New Relationship[1-3]", AR389 &lt;= 7, "Established Relationship[4-7]", AR389 &lt;= 12, "Long Term Relationship[8-12]", AR389 &lt;= 17, "Very Long Term Relationship[13-17]")</f>
        <v>New Relationship[1-3]</v>
      </c>
      <c r="AR389" s="1">
        <v>3</v>
      </c>
    </row>
    <row r="390" spans="1:44" x14ac:dyDescent="0.25">
      <c r="A390" s="1">
        <v>42</v>
      </c>
      <c r="B390" s="8" t="str" cm="1">
        <f t="array" ref="B390">_xlfn.IFS(A390 &lt;= 25, "[18-25]", A390 &lt;= 35, "[26-35]", A390 &lt;=45, "[36-45]", A390 &lt;= 60, "[46- 60]")</f>
        <v>[36-45]</v>
      </c>
      <c r="C390" s="3" t="s">
        <v>43</v>
      </c>
      <c r="D390">
        <f t="shared" si="6"/>
        <v>0</v>
      </c>
      <c r="E390" t="s">
        <v>36</v>
      </c>
      <c r="F390" s="1">
        <v>201</v>
      </c>
      <c r="G390" s="3" t="s">
        <v>45</v>
      </c>
      <c r="H390" s="1">
        <v>1</v>
      </c>
      <c r="I390" s="9" t="str" cm="1">
        <f t="array" ref="I390">_xlfn.IFS(H390 &lt;= 2, "[1-2] very close", H390 &lt;= 10, "[3-10] close", H390 &lt;= 20, "[11-20] moderate", H390 &lt;= 30, "[21-30] far")</f>
        <v>[1-2] very close</v>
      </c>
      <c r="J390" s="1">
        <v>4</v>
      </c>
      <c r="K390" s="3" t="s">
        <v>38</v>
      </c>
      <c r="L390" s="1">
        <v>1</v>
      </c>
      <c r="M390" s="1">
        <v>517</v>
      </c>
      <c r="N390" s="1">
        <v>2</v>
      </c>
      <c r="O390" s="3" t="s">
        <v>39</v>
      </c>
      <c r="P390" s="1">
        <v>95</v>
      </c>
      <c r="Q390" s="1">
        <v>3</v>
      </c>
      <c r="R390" s="1">
        <v>1</v>
      </c>
      <c r="S390" s="3" t="s">
        <v>50</v>
      </c>
      <c r="T390" s="1">
        <v>1</v>
      </c>
      <c r="U390" s="3" t="s">
        <v>52</v>
      </c>
      <c r="V390" s="4">
        <v>2576</v>
      </c>
      <c r="W390" s="1">
        <v>20490</v>
      </c>
      <c r="X390" s="1">
        <v>3</v>
      </c>
      <c r="Y390" s="3" t="s">
        <v>42</v>
      </c>
      <c r="Z390" s="3" t="s">
        <v>43</v>
      </c>
      <c r="AA390" s="5">
        <v>0.16</v>
      </c>
      <c r="AB390" s="10" t="str" cm="1">
        <f t="array" ref="AB390">_xlfn.IFS(AA390 &lt;= 15%, "Low Hike[11-15%]", AA390 &lt;= 20%, "Moderate Hike[16-20%]", AA390 &lt;= 25%,"High Hike[21-25%]")</f>
        <v>Moderate Hike[16-20%]</v>
      </c>
      <c r="AC390" s="1">
        <v>3</v>
      </c>
      <c r="AD390" s="1">
        <v>2</v>
      </c>
      <c r="AE390" s="1">
        <v>80</v>
      </c>
      <c r="AF390" s="1">
        <v>1</v>
      </c>
      <c r="AG390" s="1">
        <v>8</v>
      </c>
      <c r="AH390" s="9" t="str" cm="1">
        <f t="array" ref="AH390">_xlfn.IFS(AG390 &lt;= 5, "New[1-5]", AG390 &lt;= 10, "Early Career[6-10]", AG390 &lt;= 20, "Established[11-20]", AG390 &lt;= 30, "Veteran[21-30]", AG390 &lt;= 40, "Late Career[31-40]")</f>
        <v>Early Career[6-10]</v>
      </c>
      <c r="AI390" s="1">
        <v>5</v>
      </c>
      <c r="AJ390" s="1">
        <v>3</v>
      </c>
      <c r="AK390" s="1">
        <v>5</v>
      </c>
      <c r="AL390" s="9" t="str" cm="1">
        <f t="array" ref="AL390">_xlfn.IFS(AK390 &lt;= 5, "New[1-5]", AK390 &lt;= 10, "Early Career[6-10]", AK390 &lt;= 20, "Established[11-20]", AK390 &lt;= 30, "Veteran[21-30]", AK390 &lt;= 40, "Late Career[31-40]")</f>
        <v>New[1-5]</v>
      </c>
      <c r="AM390" s="1">
        <v>2</v>
      </c>
      <c r="AN390" s="9" t="str" cm="1">
        <f t="array" ref="AN390">_xlfn.IFS(AM390 &lt;= 3, "New to Role[1-3]", AM390 &lt;= 7, "Settled[4-7]", AM390 &lt;= 12, "Experienced[[8-12]", AM390 &lt;= 18, "Long Tenured[13-18]")</f>
        <v>New to Role[1-3]</v>
      </c>
      <c r="AO390" s="1">
        <v>1</v>
      </c>
      <c r="AP390" s="9" t="str" cm="1">
        <f t="array" ref="AP390">_xlfn.IFS(AO390 &lt;= 3, "Recently[1-3]", AO390 &lt;= 6, "Due Soon[4-6]", AO390 &lt;= 10, "Overdue[7-10]", AO390 &lt;= 15, "Long Overdue[11-15]")</f>
        <v>Recently[1-3]</v>
      </c>
      <c r="AQ390" s="9" t="str" cm="1">
        <f t="array" ref="AQ390">_xlfn.IFS(AR390 &lt;= 3, "New Relationship[1-3]", AR390 &lt;= 7, "Established Relationship[4-7]", AR390 &lt;= 12, "Long Term Relationship[8-12]", AR390 &lt;= 17, "Very Long Term Relationship[13-17]")</f>
        <v>New Relationship[1-3]</v>
      </c>
      <c r="AR390" s="1">
        <v>2</v>
      </c>
    </row>
    <row r="391" spans="1:44" x14ac:dyDescent="0.25">
      <c r="A391" s="1">
        <v>37</v>
      </c>
      <c r="B391" s="8" t="str" cm="1">
        <f t="array" ref="B391">_xlfn.IFS(A391 &lt;= 25, "[18-25]", A391 &lt;= 35, "[26-35]", A391 &lt;=45, "[36-45]", A391 &lt;= 60, "[46- 60]")</f>
        <v>[36-45]</v>
      </c>
      <c r="C391" s="3" t="s">
        <v>43</v>
      </c>
      <c r="D391">
        <f t="shared" si="6"/>
        <v>0</v>
      </c>
      <c r="E391" t="s">
        <v>36</v>
      </c>
      <c r="F391" s="1">
        <v>1305</v>
      </c>
      <c r="G391" s="3" t="s">
        <v>45</v>
      </c>
      <c r="H391" s="1">
        <v>10</v>
      </c>
      <c r="I391" s="9" t="str" cm="1">
        <f t="array" ref="I391">_xlfn.IFS(H391 &lt;= 2, "[1-2] very close", H391 &lt;= 10, "[3-10] close", H391 &lt;= 20, "[11-20] moderate", H391 &lt;= 30, "[21-30] far")</f>
        <v>[3-10] close</v>
      </c>
      <c r="J391" s="1">
        <v>4</v>
      </c>
      <c r="K391" s="3" t="s">
        <v>38</v>
      </c>
      <c r="L391" s="1">
        <v>1</v>
      </c>
      <c r="M391" s="1">
        <v>518</v>
      </c>
      <c r="N391" s="1">
        <v>3</v>
      </c>
      <c r="O391" s="3" t="s">
        <v>46</v>
      </c>
      <c r="P391" s="1">
        <v>49</v>
      </c>
      <c r="Q391" s="1">
        <v>3</v>
      </c>
      <c r="R391" s="1">
        <v>2</v>
      </c>
      <c r="S391" s="3" t="s">
        <v>53</v>
      </c>
      <c r="T391" s="1">
        <v>2</v>
      </c>
      <c r="U391" s="3" t="s">
        <v>41</v>
      </c>
      <c r="V391" s="4">
        <v>4197</v>
      </c>
      <c r="W391" s="1">
        <v>21123</v>
      </c>
      <c r="X391" s="1">
        <v>2</v>
      </c>
      <c r="Y391" s="3" t="s">
        <v>42</v>
      </c>
      <c r="Z391" s="3" t="s">
        <v>35</v>
      </c>
      <c r="AA391" s="5">
        <v>0.12</v>
      </c>
      <c r="AB391" s="10" t="str" cm="1">
        <f t="array" ref="AB391">_xlfn.IFS(AA391 &lt;= 15%, "Low Hike[11-15%]", AA391 &lt;= 20%, "Moderate Hike[16-20%]", AA391 &lt;= 25%,"High Hike[21-25%]")</f>
        <v>Low Hike[11-15%]</v>
      </c>
      <c r="AC391" s="1">
        <v>3</v>
      </c>
      <c r="AD391" s="1">
        <v>4</v>
      </c>
      <c r="AE391" s="1">
        <v>80</v>
      </c>
      <c r="AF391" s="1">
        <v>0</v>
      </c>
      <c r="AG391" s="1">
        <v>18</v>
      </c>
      <c r="AH391" s="9" t="str" cm="1">
        <f t="array" ref="AH391">_xlfn.IFS(AG391 &lt;= 5, "New[1-5]", AG391 &lt;= 10, "Early Career[6-10]", AG391 &lt;= 20, "Established[11-20]", AG391 &lt;= 30, "Veteran[21-30]", AG391 &lt;= 40, "Late Career[31-40]")</f>
        <v>Established[11-20]</v>
      </c>
      <c r="AI391" s="1">
        <v>2</v>
      </c>
      <c r="AJ391" s="1">
        <v>2</v>
      </c>
      <c r="AK391" s="1">
        <v>1</v>
      </c>
      <c r="AL391" s="9" t="str" cm="1">
        <f t="array" ref="AL391">_xlfn.IFS(AK391 &lt;= 5, "New[1-5]", AK391 &lt;= 10, "Early Career[6-10]", AK391 &lt;= 20, "Established[11-20]", AK391 &lt;= 30, "Veteran[21-30]", AK391 &lt;= 40, "Late Career[31-40]")</f>
        <v>New[1-5]</v>
      </c>
      <c r="AM391" s="1">
        <v>0</v>
      </c>
      <c r="AN391" s="9" t="str" cm="1">
        <f t="array" ref="AN391">_xlfn.IFS(AM391 &lt;= 3, "New to Role[1-3]", AM391 &lt;= 7, "Settled[4-7]", AM391 &lt;= 12, "Experienced[[8-12]", AM391 &lt;= 18, "Long Tenured[13-18]")</f>
        <v>New to Role[1-3]</v>
      </c>
      <c r="AO391" s="1">
        <v>0</v>
      </c>
      <c r="AP391" s="9" t="str" cm="1">
        <f t="array" ref="AP391">_xlfn.IFS(AO391 &lt;= 3, "Recently[1-3]", AO391 &lt;= 6, "Due Soon[4-6]", AO391 &lt;= 10, "Overdue[7-10]", AO391 &lt;= 15, "Long Overdue[11-15]")</f>
        <v>Recently[1-3]</v>
      </c>
      <c r="AQ391" s="9" t="str" cm="1">
        <f t="array" ref="AQ391">_xlfn.IFS(AR391 &lt;= 3, "New Relationship[1-3]", AR391 &lt;= 7, "Established Relationship[4-7]", AR391 &lt;= 12, "Long Term Relationship[8-12]", AR391 &lt;= 17, "Very Long Term Relationship[13-17]")</f>
        <v>New Relationship[1-3]</v>
      </c>
      <c r="AR391" s="1">
        <v>1</v>
      </c>
    </row>
    <row r="392" spans="1:44" x14ac:dyDescent="0.25">
      <c r="A392" s="1">
        <v>43</v>
      </c>
      <c r="B392" s="8" t="str" cm="1">
        <f t="array" ref="B392">_xlfn.IFS(A392 &lt;= 25, "[18-25]", A392 &lt;= 35, "[26-35]", A392 &lt;=45, "[36-45]", A392 &lt;= 60, "[46- 60]")</f>
        <v>[36-45]</v>
      </c>
      <c r="C392" s="3" t="s">
        <v>43</v>
      </c>
      <c r="D392">
        <f t="shared" si="6"/>
        <v>0</v>
      </c>
      <c r="E392" t="s">
        <v>36</v>
      </c>
      <c r="F392" s="1">
        <v>982</v>
      </c>
      <c r="G392" s="3" t="s">
        <v>45</v>
      </c>
      <c r="H392" s="1">
        <v>12</v>
      </c>
      <c r="I392" s="9" t="str" cm="1">
        <f t="array" ref="I392">_xlfn.IFS(H392 &lt;= 2, "[1-2] very close", H392 &lt;= 10, "[3-10] close", H392 &lt;= 20, "[11-20] moderate", H392 &lt;= 30, "[21-30] far")</f>
        <v>[11-20] moderate</v>
      </c>
      <c r="J392" s="1">
        <v>3</v>
      </c>
      <c r="K392" s="3" t="s">
        <v>38</v>
      </c>
      <c r="L392" s="1">
        <v>1</v>
      </c>
      <c r="M392" s="1">
        <v>520</v>
      </c>
      <c r="N392" s="1">
        <v>1</v>
      </c>
      <c r="O392" s="3" t="s">
        <v>46</v>
      </c>
      <c r="P392" s="1">
        <v>59</v>
      </c>
      <c r="Q392" s="1">
        <v>2</v>
      </c>
      <c r="R392" s="1">
        <v>4</v>
      </c>
      <c r="S392" s="3" t="s">
        <v>58</v>
      </c>
      <c r="T392" s="1">
        <v>2</v>
      </c>
      <c r="U392" s="3" t="s">
        <v>52</v>
      </c>
      <c r="V392" s="4">
        <v>14336</v>
      </c>
      <c r="W392" s="1">
        <v>4345</v>
      </c>
      <c r="X392" s="1">
        <v>1</v>
      </c>
      <c r="Y392" s="3" t="s">
        <v>42</v>
      </c>
      <c r="Z392" s="3" t="s">
        <v>43</v>
      </c>
      <c r="AA392" s="5">
        <v>0.11</v>
      </c>
      <c r="AB392" s="10" t="str" cm="1">
        <f t="array" ref="AB392">_xlfn.IFS(AA392 &lt;= 15%, "Low Hike[11-15%]", AA392 &lt;= 20%, "Moderate Hike[16-20%]", AA392 &lt;= 25%,"High Hike[21-25%]")</f>
        <v>Low Hike[11-15%]</v>
      </c>
      <c r="AC392" s="1">
        <v>3</v>
      </c>
      <c r="AD392" s="1">
        <v>3</v>
      </c>
      <c r="AE392" s="1">
        <v>80</v>
      </c>
      <c r="AF392" s="1">
        <v>1</v>
      </c>
      <c r="AG392" s="1">
        <v>25</v>
      </c>
      <c r="AH392" s="9" t="str" cm="1">
        <f t="array" ref="AH392">_xlfn.IFS(AG392 &lt;= 5, "New[1-5]", AG392 &lt;= 10, "Early Career[6-10]", AG392 &lt;= 20, "Established[11-20]", AG392 &lt;= 30, "Veteran[21-30]", AG392 &lt;= 40, "Late Career[31-40]")</f>
        <v>Veteran[21-30]</v>
      </c>
      <c r="AI392" s="1">
        <v>3</v>
      </c>
      <c r="AJ392" s="1">
        <v>3</v>
      </c>
      <c r="AK392" s="1">
        <v>25</v>
      </c>
      <c r="AL392" s="9" t="str" cm="1">
        <f t="array" ref="AL392">_xlfn.IFS(AK392 &lt;= 5, "New[1-5]", AK392 &lt;= 10, "Early Career[6-10]", AK392 &lt;= 20, "Established[11-20]", AK392 &lt;= 30, "Veteran[21-30]", AK392 &lt;= 40, "Late Career[31-40]")</f>
        <v>Veteran[21-30]</v>
      </c>
      <c r="AM392" s="1">
        <v>10</v>
      </c>
      <c r="AN392" s="9" t="str" cm="1">
        <f t="array" ref="AN392">_xlfn.IFS(AM392 &lt;= 3, "New to Role[1-3]", AM392 &lt;= 7, "Settled[4-7]", AM392 &lt;= 12, "Experienced[[8-12]", AM392 &lt;= 18, "Long Tenured[13-18]")</f>
        <v>Experienced[[8-12]</v>
      </c>
      <c r="AO392" s="1">
        <v>3</v>
      </c>
      <c r="AP392" s="9" t="str" cm="1">
        <f t="array" ref="AP392">_xlfn.IFS(AO392 &lt;= 3, "Recently[1-3]", AO392 &lt;= 6, "Due Soon[4-6]", AO392 &lt;= 10, "Overdue[7-10]", AO392 &lt;= 15, "Long Overdue[11-15]")</f>
        <v>Recently[1-3]</v>
      </c>
      <c r="AQ392" s="9" t="str" cm="1">
        <f t="array" ref="AQ392">_xlfn.IFS(AR392 &lt;= 3, "New Relationship[1-3]", AR392 &lt;= 7, "Established Relationship[4-7]", AR392 &lt;= 12, "Long Term Relationship[8-12]", AR392 &lt;= 17, "Very Long Term Relationship[13-17]")</f>
        <v>Long Term Relationship[8-12]</v>
      </c>
      <c r="AR392" s="1">
        <v>9</v>
      </c>
    </row>
    <row r="393" spans="1:44" x14ac:dyDescent="0.25">
      <c r="A393" s="1">
        <v>40</v>
      </c>
      <c r="B393" s="8" t="str" cm="1">
        <f t="array" ref="B393">_xlfn.IFS(A393 &lt;= 25, "[18-25]", A393 &lt;= 35, "[26-35]", A393 &lt;=45, "[36-45]", A393 &lt;= 60, "[46- 60]")</f>
        <v>[36-45]</v>
      </c>
      <c r="C393" s="3" t="s">
        <v>43</v>
      </c>
      <c r="D393">
        <f t="shared" si="6"/>
        <v>0</v>
      </c>
      <c r="E393" t="s">
        <v>36</v>
      </c>
      <c r="F393" s="1">
        <v>555</v>
      </c>
      <c r="G393" s="3" t="s">
        <v>45</v>
      </c>
      <c r="H393" s="1">
        <v>2</v>
      </c>
      <c r="I393" s="9" t="str" cm="1">
        <f t="array" ref="I393">_xlfn.IFS(H393 &lt;= 2, "[1-2] very close", H393 &lt;= 10, "[3-10] close", H393 &lt;= 20, "[11-20] moderate", H393 &lt;= 30, "[21-30] far")</f>
        <v>[1-2] very close</v>
      </c>
      <c r="J393" s="1">
        <v>3</v>
      </c>
      <c r="K393" s="3" t="s">
        <v>51</v>
      </c>
      <c r="L393" s="1">
        <v>1</v>
      </c>
      <c r="M393" s="1">
        <v>521</v>
      </c>
      <c r="N393" s="1">
        <v>2</v>
      </c>
      <c r="O393" s="3" t="s">
        <v>39</v>
      </c>
      <c r="P393" s="1">
        <v>78</v>
      </c>
      <c r="Q393" s="1">
        <v>2</v>
      </c>
      <c r="R393" s="1">
        <v>2</v>
      </c>
      <c r="S393" s="3" t="s">
        <v>50</v>
      </c>
      <c r="T393" s="1">
        <v>3</v>
      </c>
      <c r="U393" s="3" t="s">
        <v>48</v>
      </c>
      <c r="V393" s="4">
        <v>3448</v>
      </c>
      <c r="W393" s="1">
        <v>13436</v>
      </c>
      <c r="X393" s="1">
        <v>6</v>
      </c>
      <c r="Y393" s="3" t="s">
        <v>42</v>
      </c>
      <c r="Z393" s="3" t="s">
        <v>43</v>
      </c>
      <c r="AA393" s="5">
        <v>0.22</v>
      </c>
      <c r="AB393" s="10" t="str" cm="1">
        <f t="array" ref="AB393">_xlfn.IFS(AA393 &lt;= 15%, "Low Hike[11-15%]", AA393 &lt;= 20%, "Moderate Hike[16-20%]", AA393 &lt;= 25%,"High Hike[21-25%]")</f>
        <v>High Hike[21-25%]</v>
      </c>
      <c r="AC393" s="1">
        <v>4</v>
      </c>
      <c r="AD393" s="1">
        <v>2</v>
      </c>
      <c r="AE393" s="1">
        <v>80</v>
      </c>
      <c r="AF393" s="1">
        <v>1</v>
      </c>
      <c r="AG393" s="1">
        <v>20</v>
      </c>
      <c r="AH393" s="9" t="str" cm="1">
        <f t="array" ref="AH393">_xlfn.IFS(AG393 &lt;= 5, "New[1-5]", AG393 &lt;= 10, "Early Career[6-10]", AG393 &lt;= 20, "Established[11-20]", AG393 &lt;= 30, "Veteran[21-30]", AG393 &lt;= 40, "Late Career[31-40]")</f>
        <v>Established[11-20]</v>
      </c>
      <c r="AI393" s="1">
        <v>3</v>
      </c>
      <c r="AJ393" s="1">
        <v>3</v>
      </c>
      <c r="AK393" s="1">
        <v>1</v>
      </c>
      <c r="AL393" s="9" t="str" cm="1">
        <f t="array" ref="AL393">_xlfn.IFS(AK393 &lt;= 5, "New[1-5]", AK393 &lt;= 10, "Early Career[6-10]", AK393 &lt;= 20, "Established[11-20]", AK393 &lt;= 30, "Veteran[21-30]", AK393 &lt;= 40, "Late Career[31-40]")</f>
        <v>New[1-5]</v>
      </c>
      <c r="AM393" s="1">
        <v>0</v>
      </c>
      <c r="AN393" s="9" t="str" cm="1">
        <f t="array" ref="AN393">_xlfn.IFS(AM393 &lt;= 3, "New to Role[1-3]", AM393 &lt;= 7, "Settled[4-7]", AM393 &lt;= 12, "Experienced[[8-12]", AM393 &lt;= 18, "Long Tenured[13-18]")</f>
        <v>New to Role[1-3]</v>
      </c>
      <c r="AO393" s="1">
        <v>0</v>
      </c>
      <c r="AP393" s="9" t="str" cm="1">
        <f t="array" ref="AP393">_xlfn.IFS(AO393 &lt;= 3, "Recently[1-3]", AO393 &lt;= 6, "Due Soon[4-6]", AO393 &lt;= 10, "Overdue[7-10]", AO393 &lt;= 15, "Long Overdue[11-15]")</f>
        <v>Recently[1-3]</v>
      </c>
      <c r="AQ393" s="9" t="str" cm="1">
        <f t="array" ref="AQ393">_xlfn.IFS(AR393 &lt;= 3, "New Relationship[1-3]", AR393 &lt;= 7, "Established Relationship[4-7]", AR393 &lt;= 12, "Long Term Relationship[8-12]", AR393 &lt;= 17, "Very Long Term Relationship[13-17]")</f>
        <v>New Relationship[1-3]</v>
      </c>
      <c r="AR393" s="1">
        <v>0</v>
      </c>
    </row>
    <row r="394" spans="1:44" x14ac:dyDescent="0.25">
      <c r="A394" s="1">
        <v>54</v>
      </c>
      <c r="B394" s="8" t="str" cm="1">
        <f t="array" ref="B394">_xlfn.IFS(A394 &lt;= 25, "[18-25]", A394 &lt;= 35, "[26-35]", A394 &lt;=45, "[36-45]", A394 &lt;= 60, "[46- 60]")</f>
        <v>[46- 60]</v>
      </c>
      <c r="C394" s="3" t="s">
        <v>43</v>
      </c>
      <c r="D394">
        <f t="shared" si="6"/>
        <v>0</v>
      </c>
      <c r="E394" t="s">
        <v>36</v>
      </c>
      <c r="F394" s="1">
        <v>821</v>
      </c>
      <c r="G394" s="3" t="s">
        <v>45</v>
      </c>
      <c r="H394" s="1">
        <v>5</v>
      </c>
      <c r="I394" s="9" t="str" cm="1">
        <f t="array" ref="I394">_xlfn.IFS(H394 &lt;= 2, "[1-2] very close", H394 &lt;= 10, "[3-10] close", H394 &lt;= 20, "[11-20] moderate", H394 &lt;= 30, "[21-30] far")</f>
        <v>[3-10] close</v>
      </c>
      <c r="J394" s="1">
        <v>2</v>
      </c>
      <c r="K394" s="3" t="s">
        <v>51</v>
      </c>
      <c r="L394" s="1">
        <v>1</v>
      </c>
      <c r="M394" s="1">
        <v>522</v>
      </c>
      <c r="N394" s="1">
        <v>1</v>
      </c>
      <c r="O394" s="3" t="s">
        <v>46</v>
      </c>
      <c r="P394" s="1">
        <v>86</v>
      </c>
      <c r="Q394" s="1">
        <v>3</v>
      </c>
      <c r="R394" s="1">
        <v>5</v>
      </c>
      <c r="S394" s="3" t="s">
        <v>58</v>
      </c>
      <c r="T394" s="1">
        <v>1</v>
      </c>
      <c r="U394" s="3" t="s">
        <v>48</v>
      </c>
      <c r="V394" s="4">
        <v>19406</v>
      </c>
      <c r="W394" s="1">
        <v>8509</v>
      </c>
      <c r="X394" s="1">
        <v>4</v>
      </c>
      <c r="Y394" s="3" t="s">
        <v>42</v>
      </c>
      <c r="Z394" s="3" t="s">
        <v>43</v>
      </c>
      <c r="AA394" s="5">
        <v>0.11</v>
      </c>
      <c r="AB394" s="10" t="str" cm="1">
        <f t="array" ref="AB394">_xlfn.IFS(AA394 &lt;= 15%, "Low Hike[11-15%]", AA394 &lt;= 20%, "Moderate Hike[16-20%]", AA394 &lt;= 25%,"High Hike[21-25%]")</f>
        <v>Low Hike[11-15%]</v>
      </c>
      <c r="AC394" s="1">
        <v>3</v>
      </c>
      <c r="AD394" s="1">
        <v>3</v>
      </c>
      <c r="AE394" s="1">
        <v>80</v>
      </c>
      <c r="AF394" s="1">
        <v>1</v>
      </c>
      <c r="AG394" s="1">
        <v>24</v>
      </c>
      <c r="AH394" s="9" t="str" cm="1">
        <f t="array" ref="AH394">_xlfn.IFS(AG394 &lt;= 5, "New[1-5]", AG394 &lt;= 10, "Early Career[6-10]", AG394 &lt;= 20, "Established[11-20]", AG394 &lt;= 30, "Veteran[21-30]", AG394 &lt;= 40, "Late Career[31-40]")</f>
        <v>Veteran[21-30]</v>
      </c>
      <c r="AI394" s="1">
        <v>4</v>
      </c>
      <c r="AJ394" s="1">
        <v>2</v>
      </c>
      <c r="AK394" s="1">
        <v>4</v>
      </c>
      <c r="AL394" s="9" t="str" cm="1">
        <f t="array" ref="AL394">_xlfn.IFS(AK394 &lt;= 5, "New[1-5]", AK394 &lt;= 10, "Early Career[6-10]", AK394 &lt;= 20, "Established[11-20]", AK394 &lt;= 30, "Veteran[21-30]", AK394 &lt;= 40, "Late Career[31-40]")</f>
        <v>New[1-5]</v>
      </c>
      <c r="AM394" s="1">
        <v>2</v>
      </c>
      <c r="AN394" s="9" t="str" cm="1">
        <f t="array" ref="AN394">_xlfn.IFS(AM394 &lt;= 3, "New to Role[1-3]", AM394 &lt;= 7, "Settled[4-7]", AM394 &lt;= 12, "Experienced[[8-12]", AM394 &lt;= 18, "Long Tenured[13-18]")</f>
        <v>New to Role[1-3]</v>
      </c>
      <c r="AO394" s="1">
        <v>1</v>
      </c>
      <c r="AP394" s="9" t="str" cm="1">
        <f t="array" ref="AP394">_xlfn.IFS(AO394 &lt;= 3, "Recently[1-3]", AO394 &lt;= 6, "Due Soon[4-6]", AO394 &lt;= 10, "Overdue[7-10]", AO394 &lt;= 15, "Long Overdue[11-15]")</f>
        <v>Recently[1-3]</v>
      </c>
      <c r="AQ394" s="9" t="str" cm="1">
        <f t="array" ref="AQ394">_xlfn.IFS(AR394 &lt;= 3, "New Relationship[1-3]", AR394 &lt;= 7, "Established Relationship[4-7]", AR394 &lt;= 12, "Long Term Relationship[8-12]", AR394 &lt;= 17, "Very Long Term Relationship[13-17]")</f>
        <v>New Relationship[1-3]</v>
      </c>
      <c r="AR394" s="1">
        <v>2</v>
      </c>
    </row>
    <row r="395" spans="1:44" x14ac:dyDescent="0.25">
      <c r="A395" s="1">
        <v>34</v>
      </c>
      <c r="B395" s="8" t="str" cm="1">
        <f t="array" ref="B395">_xlfn.IFS(A395 &lt;= 25, "[18-25]", A395 &lt;= 35, "[26-35]", A395 &lt;=45, "[36-45]", A395 &lt;= 60, "[46- 60]")</f>
        <v>[26-35]</v>
      </c>
      <c r="C395" s="3" t="s">
        <v>43</v>
      </c>
      <c r="D395">
        <f t="shared" si="6"/>
        <v>0</v>
      </c>
      <c r="E395" t="s">
        <v>62</v>
      </c>
      <c r="F395" s="1">
        <v>1381</v>
      </c>
      <c r="G395" s="3" t="s">
        <v>37</v>
      </c>
      <c r="H395" s="1">
        <v>4</v>
      </c>
      <c r="I395" s="9" t="str" cm="1">
        <f t="array" ref="I395">_xlfn.IFS(H395 &lt;= 2, "[1-2] very close", H395 &lt;= 10, "[3-10] close", H395 &lt;= 20, "[11-20] moderate", H395 &lt;= 30, "[21-30] far")</f>
        <v>[3-10] close</v>
      </c>
      <c r="J395" s="1">
        <v>4</v>
      </c>
      <c r="K395" s="3" t="s">
        <v>59</v>
      </c>
      <c r="L395" s="1">
        <v>1</v>
      </c>
      <c r="M395" s="1">
        <v>523</v>
      </c>
      <c r="N395" s="1">
        <v>3</v>
      </c>
      <c r="O395" s="3" t="s">
        <v>39</v>
      </c>
      <c r="P395" s="1">
        <v>72</v>
      </c>
      <c r="Q395" s="1">
        <v>3</v>
      </c>
      <c r="R395" s="1">
        <v>2</v>
      </c>
      <c r="S395" s="3" t="s">
        <v>40</v>
      </c>
      <c r="T395" s="1">
        <v>3</v>
      </c>
      <c r="U395" s="3" t="s">
        <v>48</v>
      </c>
      <c r="V395" s="4">
        <v>6538</v>
      </c>
      <c r="W395" s="1">
        <v>12740</v>
      </c>
      <c r="X395" s="1">
        <v>9</v>
      </c>
      <c r="Y395" s="3" t="s">
        <v>42</v>
      </c>
      <c r="Z395" s="3" t="s">
        <v>43</v>
      </c>
      <c r="AA395" s="5">
        <v>0.15</v>
      </c>
      <c r="AB395" s="10" t="str" cm="1">
        <f t="array" ref="AB395">_xlfn.IFS(AA395 &lt;= 15%, "Low Hike[11-15%]", AA395 &lt;= 20%, "Moderate Hike[16-20%]", AA395 &lt;= 25%,"High Hike[21-25%]")</f>
        <v>Low Hike[11-15%]</v>
      </c>
      <c r="AC395" s="1">
        <v>3</v>
      </c>
      <c r="AD395" s="1">
        <v>1</v>
      </c>
      <c r="AE395" s="1">
        <v>80</v>
      </c>
      <c r="AF395" s="1">
        <v>1</v>
      </c>
      <c r="AG395" s="1">
        <v>6</v>
      </c>
      <c r="AH395" s="9" t="str" cm="1">
        <f t="array" ref="AH395">_xlfn.IFS(AG395 &lt;= 5, "New[1-5]", AG395 &lt;= 10, "Early Career[6-10]", AG395 &lt;= 20, "Established[11-20]", AG395 &lt;= 30, "Veteran[21-30]", AG395 &lt;= 40, "Late Career[31-40]")</f>
        <v>Early Career[6-10]</v>
      </c>
      <c r="AI395" s="1">
        <v>3</v>
      </c>
      <c r="AJ395" s="1">
        <v>3</v>
      </c>
      <c r="AK395" s="1">
        <v>3</v>
      </c>
      <c r="AL395" s="9" t="str" cm="1">
        <f t="array" ref="AL395">_xlfn.IFS(AK395 &lt;= 5, "New[1-5]", AK395 &lt;= 10, "Early Career[6-10]", AK395 &lt;= 20, "Established[11-20]", AK395 &lt;= 30, "Veteran[21-30]", AK395 &lt;= 40, "Late Career[31-40]")</f>
        <v>New[1-5]</v>
      </c>
      <c r="AM395" s="1">
        <v>2</v>
      </c>
      <c r="AN395" s="9" t="str" cm="1">
        <f t="array" ref="AN395">_xlfn.IFS(AM395 &lt;= 3, "New to Role[1-3]", AM395 &lt;= 7, "Settled[4-7]", AM395 &lt;= 12, "Experienced[[8-12]", AM395 &lt;= 18, "Long Tenured[13-18]")</f>
        <v>New to Role[1-3]</v>
      </c>
      <c r="AO395" s="1">
        <v>1</v>
      </c>
      <c r="AP395" s="9" t="str" cm="1">
        <f t="array" ref="AP395">_xlfn.IFS(AO395 &lt;= 3, "Recently[1-3]", AO395 &lt;= 6, "Due Soon[4-6]", AO395 &lt;= 10, "Overdue[7-10]", AO395 &lt;= 15, "Long Overdue[11-15]")</f>
        <v>Recently[1-3]</v>
      </c>
      <c r="AQ395" s="9" t="str" cm="1">
        <f t="array" ref="AQ395">_xlfn.IFS(AR395 &lt;= 3, "New Relationship[1-3]", AR395 &lt;= 7, "Established Relationship[4-7]", AR395 &lt;= 12, "Long Term Relationship[8-12]", AR395 &lt;= 17, "Very Long Term Relationship[13-17]")</f>
        <v>New Relationship[1-3]</v>
      </c>
      <c r="AR395" s="1">
        <v>2</v>
      </c>
    </row>
    <row r="396" spans="1:44" x14ac:dyDescent="0.25">
      <c r="A396" s="1">
        <v>31</v>
      </c>
      <c r="B396" s="8" t="str" cm="1">
        <f t="array" ref="B396">_xlfn.IFS(A396 &lt;= 25, "[18-25]", A396 &lt;= 35, "[26-35]", A396 &lt;=45, "[36-45]", A396 &lt;= 60, "[46- 60]")</f>
        <v>[26-35]</v>
      </c>
      <c r="C396" s="3" t="s">
        <v>43</v>
      </c>
      <c r="D396">
        <f t="shared" si="6"/>
        <v>0</v>
      </c>
      <c r="E396" t="s">
        <v>36</v>
      </c>
      <c r="F396" s="1">
        <v>480</v>
      </c>
      <c r="G396" s="3" t="s">
        <v>45</v>
      </c>
      <c r="H396" s="1">
        <v>7</v>
      </c>
      <c r="I396" s="9" t="str" cm="1">
        <f t="array" ref="I396">_xlfn.IFS(H396 &lt;= 2, "[1-2] very close", H396 &lt;= 10, "[3-10] close", H396 &lt;= 20, "[11-20] moderate", H396 &lt;= 30, "[21-30] far")</f>
        <v>[3-10] close</v>
      </c>
      <c r="J396" s="1">
        <v>2</v>
      </c>
      <c r="K396" s="3" t="s">
        <v>51</v>
      </c>
      <c r="L396" s="1">
        <v>1</v>
      </c>
      <c r="M396" s="1">
        <v>524</v>
      </c>
      <c r="N396" s="1">
        <v>2</v>
      </c>
      <c r="O396" s="3" t="s">
        <v>39</v>
      </c>
      <c r="P396" s="1">
        <v>31</v>
      </c>
      <c r="Q396" s="1">
        <v>3</v>
      </c>
      <c r="R396" s="1">
        <v>2</v>
      </c>
      <c r="S396" s="3" t="s">
        <v>53</v>
      </c>
      <c r="T396" s="1">
        <v>1</v>
      </c>
      <c r="U396" s="3" t="s">
        <v>48</v>
      </c>
      <c r="V396" s="4">
        <v>4306</v>
      </c>
      <c r="W396" s="1">
        <v>4156</v>
      </c>
      <c r="X396" s="1">
        <v>1</v>
      </c>
      <c r="Y396" s="3" t="s">
        <v>42</v>
      </c>
      <c r="Z396" s="3" t="s">
        <v>43</v>
      </c>
      <c r="AA396" s="5">
        <v>0.12</v>
      </c>
      <c r="AB396" s="10" t="str" cm="1">
        <f t="array" ref="AB396">_xlfn.IFS(AA396 &lt;= 15%, "Low Hike[11-15%]", AA396 &lt;= 20%, "Moderate Hike[16-20%]", AA396 &lt;= 25%,"High Hike[21-25%]")</f>
        <v>Low Hike[11-15%]</v>
      </c>
      <c r="AC396" s="1">
        <v>3</v>
      </c>
      <c r="AD396" s="1">
        <v>2</v>
      </c>
      <c r="AE396" s="1">
        <v>80</v>
      </c>
      <c r="AF396" s="1">
        <v>1</v>
      </c>
      <c r="AG396" s="1">
        <v>13</v>
      </c>
      <c r="AH396" s="9" t="str" cm="1">
        <f t="array" ref="AH396">_xlfn.IFS(AG396 &lt;= 5, "New[1-5]", AG396 &lt;= 10, "Early Career[6-10]", AG396 &lt;= 20, "Established[11-20]", AG396 &lt;= 30, "Veteran[21-30]", AG396 &lt;= 40, "Late Career[31-40]")</f>
        <v>Established[11-20]</v>
      </c>
      <c r="AI396" s="1">
        <v>5</v>
      </c>
      <c r="AJ396" s="1">
        <v>1</v>
      </c>
      <c r="AK396" s="1">
        <v>13</v>
      </c>
      <c r="AL396" s="9" t="str" cm="1">
        <f t="array" ref="AL396">_xlfn.IFS(AK396 &lt;= 5, "New[1-5]", AK396 &lt;= 10, "Early Career[6-10]", AK396 &lt;= 20, "Established[11-20]", AK396 &lt;= 30, "Veteran[21-30]", AK396 &lt;= 40, "Late Career[31-40]")</f>
        <v>Established[11-20]</v>
      </c>
      <c r="AM396" s="1">
        <v>10</v>
      </c>
      <c r="AN396" s="9" t="str" cm="1">
        <f t="array" ref="AN396">_xlfn.IFS(AM396 &lt;= 3, "New to Role[1-3]", AM396 &lt;= 7, "Settled[4-7]", AM396 &lt;= 12, "Experienced[[8-12]", AM396 &lt;= 18, "Long Tenured[13-18]")</f>
        <v>Experienced[[8-12]</v>
      </c>
      <c r="AO396" s="1">
        <v>3</v>
      </c>
      <c r="AP396" s="9" t="str" cm="1">
        <f t="array" ref="AP396">_xlfn.IFS(AO396 &lt;= 3, "Recently[1-3]", AO396 &lt;= 6, "Due Soon[4-6]", AO396 &lt;= 10, "Overdue[7-10]", AO396 &lt;= 15, "Long Overdue[11-15]")</f>
        <v>Recently[1-3]</v>
      </c>
      <c r="AQ396" s="9" t="str" cm="1">
        <f t="array" ref="AQ396">_xlfn.IFS(AR396 &lt;= 3, "New Relationship[1-3]", AR396 &lt;= 7, "Established Relationship[4-7]", AR396 &lt;= 12, "Long Term Relationship[8-12]", AR396 &lt;= 17, "Very Long Term Relationship[13-17]")</f>
        <v>Long Term Relationship[8-12]</v>
      </c>
      <c r="AR396" s="1">
        <v>12</v>
      </c>
    </row>
    <row r="397" spans="1:44" x14ac:dyDescent="0.25">
      <c r="A397" s="1">
        <v>43</v>
      </c>
      <c r="B397" s="8" t="str" cm="1">
        <f t="array" ref="B397">_xlfn.IFS(A397 &lt;= 25, "[18-25]", A397 &lt;= 35, "[26-35]", A397 &lt;=45, "[36-45]", A397 &lt;= 60, "[46- 60]")</f>
        <v>[36-45]</v>
      </c>
      <c r="C397" s="3" t="s">
        <v>43</v>
      </c>
      <c r="D397">
        <f t="shared" si="6"/>
        <v>0</v>
      </c>
      <c r="E397" t="s">
        <v>44</v>
      </c>
      <c r="F397" s="1">
        <v>313</v>
      </c>
      <c r="G397" s="3" t="s">
        <v>45</v>
      </c>
      <c r="H397" s="1">
        <v>21</v>
      </c>
      <c r="I397" s="9" t="str" cm="1">
        <f t="array" ref="I397">_xlfn.IFS(H397 &lt;= 2, "[1-2] very close", H397 &lt;= 10, "[3-10] close", H397 &lt;= 20, "[11-20] moderate", H397 &lt;= 30, "[21-30] far")</f>
        <v>[21-30] far</v>
      </c>
      <c r="J397" s="1">
        <v>3</v>
      </c>
      <c r="K397" s="3" t="s">
        <v>51</v>
      </c>
      <c r="L397" s="1">
        <v>1</v>
      </c>
      <c r="M397" s="1">
        <v>525</v>
      </c>
      <c r="N397" s="1">
        <v>4</v>
      </c>
      <c r="O397" s="3" t="s">
        <v>46</v>
      </c>
      <c r="P397" s="1">
        <v>61</v>
      </c>
      <c r="Q397" s="1">
        <v>3</v>
      </c>
      <c r="R397" s="1">
        <v>1</v>
      </c>
      <c r="S397" s="3" t="s">
        <v>50</v>
      </c>
      <c r="T397" s="1">
        <v>4</v>
      </c>
      <c r="U397" s="3" t="s">
        <v>48</v>
      </c>
      <c r="V397" s="4">
        <v>2258</v>
      </c>
      <c r="W397" s="1">
        <v>15238</v>
      </c>
      <c r="X397" s="1">
        <v>7</v>
      </c>
      <c r="Y397" s="3" t="s">
        <v>42</v>
      </c>
      <c r="Z397" s="3" t="s">
        <v>43</v>
      </c>
      <c r="AA397" s="5">
        <v>0.2</v>
      </c>
      <c r="AB397" s="10" t="str" cm="1">
        <f t="array" ref="AB397">_xlfn.IFS(AA397 &lt;= 15%, "Low Hike[11-15%]", AA397 &lt;= 20%, "Moderate Hike[16-20%]", AA397 &lt;= 25%,"High Hike[21-25%]")</f>
        <v>Moderate Hike[16-20%]</v>
      </c>
      <c r="AC397" s="1">
        <v>4</v>
      </c>
      <c r="AD397" s="1">
        <v>1</v>
      </c>
      <c r="AE397" s="1">
        <v>80</v>
      </c>
      <c r="AF397" s="1">
        <v>1</v>
      </c>
      <c r="AG397" s="1">
        <v>8</v>
      </c>
      <c r="AH397" s="9" t="str" cm="1">
        <f t="array" ref="AH397">_xlfn.IFS(AG397 &lt;= 5, "New[1-5]", AG397 &lt;= 10, "Early Career[6-10]", AG397 &lt;= 20, "Established[11-20]", AG397 &lt;= 30, "Veteran[21-30]", AG397 &lt;= 40, "Late Career[31-40]")</f>
        <v>Early Career[6-10]</v>
      </c>
      <c r="AI397" s="1">
        <v>1</v>
      </c>
      <c r="AJ397" s="1">
        <v>3</v>
      </c>
      <c r="AK397" s="1">
        <v>3</v>
      </c>
      <c r="AL397" s="9" t="str" cm="1">
        <f t="array" ref="AL397">_xlfn.IFS(AK397 &lt;= 5, "New[1-5]", AK397 &lt;= 10, "Early Career[6-10]", AK397 &lt;= 20, "Established[11-20]", AK397 &lt;= 30, "Veteran[21-30]", AK397 &lt;= 40, "Late Career[31-40]")</f>
        <v>New[1-5]</v>
      </c>
      <c r="AM397" s="1">
        <v>2</v>
      </c>
      <c r="AN397" s="9" t="str" cm="1">
        <f t="array" ref="AN397">_xlfn.IFS(AM397 &lt;= 3, "New to Role[1-3]", AM397 &lt;= 7, "Settled[4-7]", AM397 &lt;= 12, "Experienced[[8-12]", AM397 &lt;= 18, "Long Tenured[13-18]")</f>
        <v>New to Role[1-3]</v>
      </c>
      <c r="AO397" s="1">
        <v>1</v>
      </c>
      <c r="AP397" s="9" t="str" cm="1">
        <f t="array" ref="AP397">_xlfn.IFS(AO397 &lt;= 3, "Recently[1-3]", AO397 &lt;= 6, "Due Soon[4-6]", AO397 &lt;= 10, "Overdue[7-10]", AO397 &lt;= 15, "Long Overdue[11-15]")</f>
        <v>Recently[1-3]</v>
      </c>
      <c r="AQ397" s="9" t="str" cm="1">
        <f t="array" ref="AQ397">_xlfn.IFS(AR397 &lt;= 3, "New Relationship[1-3]", AR397 &lt;= 7, "Established Relationship[4-7]", AR397 &lt;= 12, "Long Term Relationship[8-12]", AR397 &lt;= 17, "Very Long Term Relationship[13-17]")</f>
        <v>New Relationship[1-3]</v>
      </c>
      <c r="AR397" s="1">
        <v>2</v>
      </c>
    </row>
    <row r="398" spans="1:44" x14ac:dyDescent="0.25">
      <c r="A398" s="1">
        <v>43</v>
      </c>
      <c r="B398" s="8" t="str" cm="1">
        <f t="array" ref="B398">_xlfn.IFS(A398 &lt;= 25, "[18-25]", A398 &lt;= 35, "[26-35]", A398 &lt;=45, "[36-45]", A398 &lt;= 60, "[46- 60]")</f>
        <v>[36-45]</v>
      </c>
      <c r="C398" s="3" t="s">
        <v>43</v>
      </c>
      <c r="D398">
        <f t="shared" si="6"/>
        <v>0</v>
      </c>
      <c r="E398" t="s">
        <v>36</v>
      </c>
      <c r="F398" s="1">
        <v>1473</v>
      </c>
      <c r="G398" s="3" t="s">
        <v>45</v>
      </c>
      <c r="H398" s="1">
        <v>8</v>
      </c>
      <c r="I398" s="9" t="str" cm="1">
        <f t="array" ref="I398">_xlfn.IFS(H398 &lt;= 2, "[1-2] very close", H398 &lt;= 10, "[3-10] close", H398 &lt;= 20, "[11-20] moderate", H398 &lt;= 30, "[21-30] far")</f>
        <v>[3-10] close</v>
      </c>
      <c r="J398" s="1">
        <v>4</v>
      </c>
      <c r="K398" s="3" t="s">
        <v>49</v>
      </c>
      <c r="L398" s="1">
        <v>1</v>
      </c>
      <c r="M398" s="1">
        <v>526</v>
      </c>
      <c r="N398" s="1">
        <v>3</v>
      </c>
      <c r="O398" s="3" t="s">
        <v>39</v>
      </c>
      <c r="P398" s="1">
        <v>74</v>
      </c>
      <c r="Q398" s="1">
        <v>3</v>
      </c>
      <c r="R398" s="1">
        <v>2</v>
      </c>
      <c r="S398" s="3" t="s">
        <v>54</v>
      </c>
      <c r="T398" s="1">
        <v>3</v>
      </c>
      <c r="U398" s="3" t="s">
        <v>52</v>
      </c>
      <c r="V398" s="4">
        <v>4522</v>
      </c>
      <c r="W398" s="1">
        <v>2227</v>
      </c>
      <c r="X398" s="1">
        <v>4</v>
      </c>
      <c r="Y398" s="3" t="s">
        <v>42</v>
      </c>
      <c r="Z398" s="3" t="s">
        <v>35</v>
      </c>
      <c r="AA398" s="5">
        <v>0.14000000000000001</v>
      </c>
      <c r="AB398" s="10" t="str" cm="1">
        <f t="array" ref="AB398">_xlfn.IFS(AA398 &lt;= 15%, "Low Hike[11-15%]", AA398 &lt;= 20%, "Moderate Hike[16-20%]", AA398 &lt;= 25%,"High Hike[21-25%]")</f>
        <v>Low Hike[11-15%]</v>
      </c>
      <c r="AC398" s="1">
        <v>3</v>
      </c>
      <c r="AD398" s="1">
        <v>4</v>
      </c>
      <c r="AE398" s="1">
        <v>80</v>
      </c>
      <c r="AF398" s="1">
        <v>0</v>
      </c>
      <c r="AG398" s="1">
        <v>8</v>
      </c>
      <c r="AH398" s="9" t="str" cm="1">
        <f t="array" ref="AH398">_xlfn.IFS(AG398 &lt;= 5, "New[1-5]", AG398 &lt;= 10, "Early Career[6-10]", AG398 &lt;= 20, "Established[11-20]", AG398 &lt;= 30, "Veteran[21-30]", AG398 &lt;= 40, "Late Career[31-40]")</f>
        <v>Early Career[6-10]</v>
      </c>
      <c r="AI398" s="1">
        <v>3</v>
      </c>
      <c r="AJ398" s="1">
        <v>3</v>
      </c>
      <c r="AK398" s="1">
        <v>5</v>
      </c>
      <c r="AL398" s="9" t="str" cm="1">
        <f t="array" ref="AL398">_xlfn.IFS(AK398 &lt;= 5, "New[1-5]", AK398 &lt;= 10, "Early Career[6-10]", AK398 &lt;= 20, "Established[11-20]", AK398 &lt;= 30, "Veteran[21-30]", AK398 &lt;= 40, "Late Career[31-40]")</f>
        <v>New[1-5]</v>
      </c>
      <c r="AM398" s="1">
        <v>2</v>
      </c>
      <c r="AN398" s="9" t="str" cm="1">
        <f t="array" ref="AN398">_xlfn.IFS(AM398 &lt;= 3, "New to Role[1-3]", AM398 &lt;= 7, "Settled[4-7]", AM398 &lt;= 12, "Experienced[[8-12]", AM398 &lt;= 18, "Long Tenured[13-18]")</f>
        <v>New to Role[1-3]</v>
      </c>
      <c r="AO398" s="1">
        <v>0</v>
      </c>
      <c r="AP398" s="9" t="str" cm="1">
        <f t="array" ref="AP398">_xlfn.IFS(AO398 &lt;= 3, "Recently[1-3]", AO398 &lt;= 6, "Due Soon[4-6]", AO398 &lt;= 10, "Overdue[7-10]", AO398 &lt;= 15, "Long Overdue[11-15]")</f>
        <v>Recently[1-3]</v>
      </c>
      <c r="AQ398" s="9" t="str" cm="1">
        <f t="array" ref="AQ398">_xlfn.IFS(AR398 &lt;= 3, "New Relationship[1-3]", AR398 &lt;= 7, "Established Relationship[4-7]", AR398 &lt;= 12, "Long Term Relationship[8-12]", AR398 &lt;= 17, "Very Long Term Relationship[13-17]")</f>
        <v>New Relationship[1-3]</v>
      </c>
      <c r="AR398" s="1">
        <v>2</v>
      </c>
    </row>
    <row r="399" spans="1:44" x14ac:dyDescent="0.25">
      <c r="A399" s="1">
        <v>25</v>
      </c>
      <c r="B399" s="8" t="str" cm="1">
        <f t="array" ref="B399">_xlfn.IFS(A399 &lt;= 25, "[18-25]", A399 &lt;= 35, "[26-35]", A399 &lt;=45, "[36-45]", A399 &lt;= 60, "[46- 60]")</f>
        <v>[18-25]</v>
      </c>
      <c r="C399" s="3" t="s">
        <v>43</v>
      </c>
      <c r="D399">
        <f t="shared" si="6"/>
        <v>0</v>
      </c>
      <c r="E399" t="s">
        <v>36</v>
      </c>
      <c r="F399" s="1">
        <v>891</v>
      </c>
      <c r="G399" s="3" t="s">
        <v>37</v>
      </c>
      <c r="H399" s="1">
        <v>4</v>
      </c>
      <c r="I399" s="9" t="str" cm="1">
        <f t="array" ref="I399">_xlfn.IFS(H399 &lt;= 2, "[1-2] very close", H399 &lt;= 10, "[3-10] close", H399 &lt;= 20, "[11-20] moderate", H399 &lt;= 30, "[21-30] far")</f>
        <v>[3-10] close</v>
      </c>
      <c r="J399" s="1">
        <v>2</v>
      </c>
      <c r="K399" s="3" t="s">
        <v>38</v>
      </c>
      <c r="L399" s="1">
        <v>1</v>
      </c>
      <c r="M399" s="1">
        <v>527</v>
      </c>
      <c r="N399" s="1">
        <v>2</v>
      </c>
      <c r="O399" s="3" t="s">
        <v>39</v>
      </c>
      <c r="P399" s="1">
        <v>99</v>
      </c>
      <c r="Q399" s="1">
        <v>2</v>
      </c>
      <c r="R399" s="1">
        <v>2</v>
      </c>
      <c r="S399" s="3" t="s">
        <v>40</v>
      </c>
      <c r="T399" s="1">
        <v>4</v>
      </c>
      <c r="U399" s="3" t="s">
        <v>41</v>
      </c>
      <c r="V399" s="4">
        <v>4487</v>
      </c>
      <c r="W399" s="1">
        <v>12090</v>
      </c>
      <c r="X399" s="1">
        <v>1</v>
      </c>
      <c r="Y399" s="3" t="s">
        <v>42</v>
      </c>
      <c r="Z399" s="3" t="s">
        <v>35</v>
      </c>
      <c r="AA399" s="5">
        <v>0.11</v>
      </c>
      <c r="AB399" s="10" t="str" cm="1">
        <f t="array" ref="AB399">_xlfn.IFS(AA399 &lt;= 15%, "Low Hike[11-15%]", AA399 &lt;= 20%, "Moderate Hike[16-20%]", AA399 &lt;= 25%,"High Hike[21-25%]")</f>
        <v>Low Hike[11-15%]</v>
      </c>
      <c r="AC399" s="1">
        <v>3</v>
      </c>
      <c r="AD399" s="1">
        <v>2</v>
      </c>
      <c r="AE399" s="1">
        <v>80</v>
      </c>
      <c r="AF399" s="1">
        <v>0</v>
      </c>
      <c r="AG399" s="1">
        <v>5</v>
      </c>
      <c r="AH399" s="9" t="str" cm="1">
        <f t="array" ref="AH399">_xlfn.IFS(AG399 &lt;= 5, "New[1-5]", AG399 &lt;= 10, "Early Career[6-10]", AG399 &lt;= 20, "Established[11-20]", AG399 &lt;= 30, "Veteran[21-30]", AG399 &lt;= 40, "Late Career[31-40]")</f>
        <v>New[1-5]</v>
      </c>
      <c r="AI399" s="1">
        <v>3</v>
      </c>
      <c r="AJ399" s="1">
        <v>3</v>
      </c>
      <c r="AK399" s="1">
        <v>5</v>
      </c>
      <c r="AL399" s="9" t="str" cm="1">
        <f t="array" ref="AL399">_xlfn.IFS(AK399 &lt;= 5, "New[1-5]", AK399 &lt;= 10, "Early Career[6-10]", AK399 &lt;= 20, "Established[11-20]", AK399 &lt;= 30, "Veteran[21-30]", AK399 &lt;= 40, "Late Career[31-40]")</f>
        <v>New[1-5]</v>
      </c>
      <c r="AM399" s="1">
        <v>4</v>
      </c>
      <c r="AN399" s="9" t="str" cm="1">
        <f t="array" ref="AN399">_xlfn.IFS(AM399 &lt;= 3, "New to Role[1-3]", AM399 &lt;= 7, "Settled[4-7]", AM399 &lt;= 12, "Experienced[[8-12]", AM399 &lt;= 18, "Long Tenured[13-18]")</f>
        <v>Settled[4-7]</v>
      </c>
      <c r="AO399" s="1">
        <v>1</v>
      </c>
      <c r="AP399" s="9" t="str" cm="1">
        <f t="array" ref="AP399">_xlfn.IFS(AO399 &lt;= 3, "Recently[1-3]", AO399 &lt;= 6, "Due Soon[4-6]", AO399 &lt;= 10, "Overdue[7-10]", AO399 &lt;= 15, "Long Overdue[11-15]")</f>
        <v>Recently[1-3]</v>
      </c>
      <c r="AQ399" s="9" t="str" cm="1">
        <f t="array" ref="AQ399">_xlfn.IFS(AR399 &lt;= 3, "New Relationship[1-3]", AR399 &lt;= 7, "Established Relationship[4-7]", AR399 &lt;= 12, "Long Term Relationship[8-12]", AR399 &lt;= 17, "Very Long Term Relationship[13-17]")</f>
        <v>New Relationship[1-3]</v>
      </c>
      <c r="AR399" s="1">
        <v>3</v>
      </c>
    </row>
    <row r="400" spans="1:44" x14ac:dyDescent="0.25">
      <c r="A400" s="1">
        <v>37</v>
      </c>
      <c r="B400" s="8" t="str" cm="1">
        <f t="array" ref="B400">_xlfn.IFS(A400 &lt;= 25, "[18-25]", A400 &lt;= 35, "[26-35]", A400 &lt;=45, "[36-45]", A400 &lt;= 60, "[46- 60]")</f>
        <v>[36-45]</v>
      </c>
      <c r="C400" s="3" t="s">
        <v>43</v>
      </c>
      <c r="D400">
        <f t="shared" si="6"/>
        <v>0</v>
      </c>
      <c r="E400" t="s">
        <v>62</v>
      </c>
      <c r="F400" s="1">
        <v>1063</v>
      </c>
      <c r="G400" s="3" t="s">
        <v>45</v>
      </c>
      <c r="H400" s="1">
        <v>25</v>
      </c>
      <c r="I400" s="9" t="str" cm="1">
        <f t="array" ref="I400">_xlfn.IFS(H400 &lt;= 2, "[1-2] very close", H400 &lt;= 10, "[3-10] close", H400 &lt;= 20, "[11-20] moderate", H400 &lt;= 30, "[21-30] far")</f>
        <v>[21-30] far</v>
      </c>
      <c r="J400" s="1">
        <v>5</v>
      </c>
      <c r="K400" s="3" t="s">
        <v>51</v>
      </c>
      <c r="L400" s="1">
        <v>1</v>
      </c>
      <c r="M400" s="1">
        <v>529</v>
      </c>
      <c r="N400" s="1">
        <v>2</v>
      </c>
      <c r="O400" s="3" t="s">
        <v>39</v>
      </c>
      <c r="P400" s="1">
        <v>72</v>
      </c>
      <c r="Q400" s="1">
        <v>3</v>
      </c>
      <c r="R400" s="1">
        <v>2</v>
      </c>
      <c r="S400" s="3" t="s">
        <v>47</v>
      </c>
      <c r="T400" s="1">
        <v>3</v>
      </c>
      <c r="U400" s="3" t="s">
        <v>48</v>
      </c>
      <c r="V400" s="4">
        <v>4449</v>
      </c>
      <c r="W400" s="1">
        <v>23866</v>
      </c>
      <c r="X400" s="1">
        <v>3</v>
      </c>
      <c r="Y400" s="3" t="s">
        <v>42</v>
      </c>
      <c r="Z400" s="3" t="s">
        <v>35</v>
      </c>
      <c r="AA400" s="5">
        <v>0.15</v>
      </c>
      <c r="AB400" s="10" t="str" cm="1">
        <f t="array" ref="AB400">_xlfn.IFS(AA400 &lt;= 15%, "Low Hike[11-15%]", AA400 &lt;= 20%, "Moderate Hike[16-20%]", AA400 &lt;= 25%,"High Hike[21-25%]")</f>
        <v>Low Hike[11-15%]</v>
      </c>
      <c r="AC400" s="1">
        <v>3</v>
      </c>
      <c r="AD400" s="1">
        <v>1</v>
      </c>
      <c r="AE400" s="1">
        <v>80</v>
      </c>
      <c r="AF400" s="1">
        <v>2</v>
      </c>
      <c r="AG400" s="1">
        <v>15</v>
      </c>
      <c r="AH400" s="9" t="str" cm="1">
        <f t="array" ref="AH400">_xlfn.IFS(AG400 &lt;= 5, "New[1-5]", AG400 &lt;= 10, "Early Career[6-10]", AG400 &lt;= 20, "Established[11-20]", AG400 &lt;= 30, "Veteran[21-30]", AG400 &lt;= 40, "Late Career[31-40]")</f>
        <v>Established[11-20]</v>
      </c>
      <c r="AI400" s="1">
        <v>2</v>
      </c>
      <c r="AJ400" s="1">
        <v>3</v>
      </c>
      <c r="AK400" s="1">
        <v>13</v>
      </c>
      <c r="AL400" s="9" t="str" cm="1">
        <f t="array" ref="AL400">_xlfn.IFS(AK400 &lt;= 5, "New[1-5]", AK400 &lt;= 10, "Early Career[6-10]", AK400 &lt;= 20, "Established[11-20]", AK400 &lt;= 30, "Veteran[21-30]", AK400 &lt;= 40, "Late Career[31-40]")</f>
        <v>Established[11-20]</v>
      </c>
      <c r="AM400" s="1">
        <v>11</v>
      </c>
      <c r="AN400" s="9" t="str" cm="1">
        <f t="array" ref="AN400">_xlfn.IFS(AM400 &lt;= 3, "New to Role[1-3]", AM400 &lt;= 7, "Settled[4-7]", AM400 &lt;= 12, "Experienced[[8-12]", AM400 &lt;= 18, "Long Tenured[13-18]")</f>
        <v>Experienced[[8-12]</v>
      </c>
      <c r="AO400" s="1">
        <v>10</v>
      </c>
      <c r="AP400" s="9" t="str" cm="1">
        <f t="array" ref="AP400">_xlfn.IFS(AO400 &lt;= 3, "Recently[1-3]", AO400 &lt;= 6, "Due Soon[4-6]", AO400 &lt;= 10, "Overdue[7-10]", AO400 &lt;= 15, "Long Overdue[11-15]")</f>
        <v>Overdue[7-10]</v>
      </c>
      <c r="AQ400" s="9" t="str" cm="1">
        <f t="array" ref="AQ400">_xlfn.IFS(AR400 &lt;= 3, "New Relationship[1-3]", AR400 &lt;= 7, "Established Relationship[4-7]", AR400 &lt;= 12, "Long Term Relationship[8-12]", AR400 &lt;= 17, "Very Long Term Relationship[13-17]")</f>
        <v>Established Relationship[4-7]</v>
      </c>
      <c r="AR400" s="1">
        <v>7</v>
      </c>
    </row>
    <row r="401" spans="1:44" x14ac:dyDescent="0.25">
      <c r="A401" s="1">
        <v>31</v>
      </c>
      <c r="B401" s="8" t="str" cm="1">
        <f t="array" ref="B401">_xlfn.IFS(A401 &lt;= 25, "[18-25]", A401 &lt;= 35, "[26-35]", A401 &lt;=45, "[36-45]", A401 &lt;= 60, "[46- 60]")</f>
        <v>[26-35]</v>
      </c>
      <c r="C401" s="3" t="s">
        <v>43</v>
      </c>
      <c r="D401">
        <f t="shared" si="6"/>
        <v>0</v>
      </c>
      <c r="E401" t="s">
        <v>36</v>
      </c>
      <c r="F401" s="1">
        <v>329</v>
      </c>
      <c r="G401" s="3" t="s">
        <v>45</v>
      </c>
      <c r="H401" s="1">
        <v>1</v>
      </c>
      <c r="I401" s="9" t="str" cm="1">
        <f t="array" ref="I401">_xlfn.IFS(H401 &lt;= 2, "[1-2] very close", H401 &lt;= 10, "[3-10] close", H401 &lt;= 20, "[11-20] moderate", H401 &lt;= 30, "[21-30] far")</f>
        <v>[1-2] very close</v>
      </c>
      <c r="J401" s="1">
        <v>2</v>
      </c>
      <c r="K401" s="3" t="s">
        <v>38</v>
      </c>
      <c r="L401" s="1">
        <v>1</v>
      </c>
      <c r="M401" s="1">
        <v>530</v>
      </c>
      <c r="N401" s="1">
        <v>4</v>
      </c>
      <c r="O401" s="3" t="s">
        <v>46</v>
      </c>
      <c r="P401" s="1">
        <v>98</v>
      </c>
      <c r="Q401" s="1">
        <v>2</v>
      </c>
      <c r="R401" s="1">
        <v>1</v>
      </c>
      <c r="S401" s="3" t="s">
        <v>50</v>
      </c>
      <c r="T401" s="1">
        <v>1</v>
      </c>
      <c r="U401" s="3" t="s">
        <v>48</v>
      </c>
      <c r="V401" s="4">
        <v>2218</v>
      </c>
      <c r="W401" s="1">
        <v>16193</v>
      </c>
      <c r="X401" s="1">
        <v>1</v>
      </c>
      <c r="Y401" s="3" t="s">
        <v>42</v>
      </c>
      <c r="Z401" s="3" t="s">
        <v>43</v>
      </c>
      <c r="AA401" s="5">
        <v>0.12</v>
      </c>
      <c r="AB401" s="10" t="str" cm="1">
        <f t="array" ref="AB401">_xlfn.IFS(AA401 &lt;= 15%, "Low Hike[11-15%]", AA401 &lt;= 20%, "Moderate Hike[16-20%]", AA401 &lt;= 25%,"High Hike[21-25%]")</f>
        <v>Low Hike[11-15%]</v>
      </c>
      <c r="AC401" s="1">
        <v>3</v>
      </c>
      <c r="AD401" s="1">
        <v>3</v>
      </c>
      <c r="AE401" s="1">
        <v>80</v>
      </c>
      <c r="AF401" s="1">
        <v>1</v>
      </c>
      <c r="AG401" s="1">
        <v>4</v>
      </c>
      <c r="AH401" s="9" t="str" cm="1">
        <f t="array" ref="AH401">_xlfn.IFS(AG401 &lt;= 5, "New[1-5]", AG401 &lt;= 10, "Early Career[6-10]", AG401 &lt;= 20, "Established[11-20]", AG401 &lt;= 30, "Veteran[21-30]", AG401 &lt;= 40, "Late Career[31-40]")</f>
        <v>New[1-5]</v>
      </c>
      <c r="AI401" s="1">
        <v>3</v>
      </c>
      <c r="AJ401" s="1">
        <v>3</v>
      </c>
      <c r="AK401" s="1">
        <v>4</v>
      </c>
      <c r="AL401" s="9" t="str" cm="1">
        <f t="array" ref="AL401">_xlfn.IFS(AK401 &lt;= 5, "New[1-5]", AK401 &lt;= 10, "Early Career[6-10]", AK401 &lt;= 20, "Established[11-20]", AK401 &lt;= 30, "Veteran[21-30]", AK401 &lt;= 40, "Late Career[31-40]")</f>
        <v>New[1-5]</v>
      </c>
      <c r="AM401" s="1">
        <v>2</v>
      </c>
      <c r="AN401" s="9" t="str" cm="1">
        <f t="array" ref="AN401">_xlfn.IFS(AM401 &lt;= 3, "New to Role[1-3]", AM401 &lt;= 7, "Settled[4-7]", AM401 &lt;= 12, "Experienced[[8-12]", AM401 &lt;= 18, "Long Tenured[13-18]")</f>
        <v>New to Role[1-3]</v>
      </c>
      <c r="AO401" s="1">
        <v>3</v>
      </c>
      <c r="AP401" s="9" t="str" cm="1">
        <f t="array" ref="AP401">_xlfn.IFS(AO401 &lt;= 3, "Recently[1-3]", AO401 &lt;= 6, "Due Soon[4-6]", AO401 &lt;= 10, "Overdue[7-10]", AO401 &lt;= 15, "Long Overdue[11-15]")</f>
        <v>Recently[1-3]</v>
      </c>
      <c r="AQ401" s="9" t="str" cm="1">
        <f t="array" ref="AQ401">_xlfn.IFS(AR401 &lt;= 3, "New Relationship[1-3]", AR401 &lt;= 7, "Established Relationship[4-7]", AR401 &lt;= 12, "Long Term Relationship[8-12]", AR401 &lt;= 17, "Very Long Term Relationship[13-17]")</f>
        <v>New Relationship[1-3]</v>
      </c>
      <c r="AR401" s="1">
        <v>2</v>
      </c>
    </row>
    <row r="402" spans="1:44" x14ac:dyDescent="0.25">
      <c r="A402" s="1">
        <v>39</v>
      </c>
      <c r="B402" s="8" t="str" cm="1">
        <f t="array" ref="B402">_xlfn.IFS(A402 &lt;= 25, "[18-25]", A402 &lt;= 35, "[26-35]", A402 &lt;=45, "[36-45]", A402 &lt;= 60, "[46- 60]")</f>
        <v>[36-45]</v>
      </c>
      <c r="C402" s="3" t="s">
        <v>43</v>
      </c>
      <c r="D402">
        <f t="shared" si="6"/>
        <v>0</v>
      </c>
      <c r="E402" t="s">
        <v>44</v>
      </c>
      <c r="F402" s="1">
        <v>1218</v>
      </c>
      <c r="G402" s="3" t="s">
        <v>45</v>
      </c>
      <c r="H402" s="1">
        <v>1</v>
      </c>
      <c r="I402" s="9" t="str" cm="1">
        <f t="array" ref="I402">_xlfn.IFS(H402 &lt;= 2, "[1-2] very close", H402 &lt;= 10, "[3-10] close", H402 &lt;= 20, "[11-20] moderate", H402 &lt;= 30, "[21-30] far")</f>
        <v>[1-2] very close</v>
      </c>
      <c r="J402" s="1">
        <v>1</v>
      </c>
      <c r="K402" s="3" t="s">
        <v>38</v>
      </c>
      <c r="L402" s="1">
        <v>1</v>
      </c>
      <c r="M402" s="1">
        <v>531</v>
      </c>
      <c r="N402" s="1">
        <v>2</v>
      </c>
      <c r="O402" s="3" t="s">
        <v>46</v>
      </c>
      <c r="P402" s="1">
        <v>52</v>
      </c>
      <c r="Q402" s="1">
        <v>3</v>
      </c>
      <c r="R402" s="1">
        <v>5</v>
      </c>
      <c r="S402" s="3" t="s">
        <v>56</v>
      </c>
      <c r="T402" s="1">
        <v>3</v>
      </c>
      <c r="U402" s="3" t="s">
        <v>52</v>
      </c>
      <c r="V402" s="4">
        <v>19197</v>
      </c>
      <c r="W402" s="1">
        <v>8213</v>
      </c>
      <c r="X402" s="1">
        <v>1</v>
      </c>
      <c r="Y402" s="3" t="s">
        <v>42</v>
      </c>
      <c r="Z402" s="3" t="s">
        <v>35</v>
      </c>
      <c r="AA402" s="5">
        <v>0.14000000000000001</v>
      </c>
      <c r="AB402" s="10" t="str" cm="1">
        <f t="array" ref="AB402">_xlfn.IFS(AA402 &lt;= 15%, "Low Hike[11-15%]", AA402 &lt;= 20%, "Moderate Hike[16-20%]", AA402 &lt;= 25%,"High Hike[21-25%]")</f>
        <v>Low Hike[11-15%]</v>
      </c>
      <c r="AC402" s="1">
        <v>3</v>
      </c>
      <c r="AD402" s="1">
        <v>3</v>
      </c>
      <c r="AE402" s="1">
        <v>80</v>
      </c>
      <c r="AF402" s="1">
        <v>1</v>
      </c>
      <c r="AG402" s="1">
        <v>21</v>
      </c>
      <c r="AH402" s="9" t="str" cm="1">
        <f t="array" ref="AH402">_xlfn.IFS(AG402 &lt;= 5, "New[1-5]", AG402 &lt;= 10, "Early Career[6-10]", AG402 &lt;= 20, "Established[11-20]", AG402 &lt;= 30, "Veteran[21-30]", AG402 &lt;= 40, "Late Career[31-40]")</f>
        <v>Veteran[21-30]</v>
      </c>
      <c r="AI402" s="1">
        <v>3</v>
      </c>
      <c r="AJ402" s="1">
        <v>3</v>
      </c>
      <c r="AK402" s="1">
        <v>21</v>
      </c>
      <c r="AL402" s="9" t="str" cm="1">
        <f t="array" ref="AL402">_xlfn.IFS(AK402 &lt;= 5, "New[1-5]", AK402 &lt;= 10, "Early Career[6-10]", AK402 &lt;= 20, "Established[11-20]", AK402 &lt;= 30, "Veteran[21-30]", AK402 &lt;= 40, "Late Career[31-40]")</f>
        <v>Veteran[21-30]</v>
      </c>
      <c r="AM402" s="1">
        <v>8</v>
      </c>
      <c r="AN402" s="9" t="str" cm="1">
        <f t="array" ref="AN402">_xlfn.IFS(AM402 &lt;= 3, "New to Role[1-3]", AM402 &lt;= 7, "Settled[4-7]", AM402 &lt;= 12, "Experienced[[8-12]", AM402 &lt;= 18, "Long Tenured[13-18]")</f>
        <v>Experienced[[8-12]</v>
      </c>
      <c r="AO402" s="1">
        <v>1</v>
      </c>
      <c r="AP402" s="9" t="str" cm="1">
        <f t="array" ref="AP402">_xlfn.IFS(AO402 &lt;= 3, "Recently[1-3]", AO402 &lt;= 6, "Due Soon[4-6]", AO402 &lt;= 10, "Overdue[7-10]", AO402 &lt;= 15, "Long Overdue[11-15]")</f>
        <v>Recently[1-3]</v>
      </c>
      <c r="AQ402" s="9" t="str" cm="1">
        <f t="array" ref="AQ402">_xlfn.IFS(AR402 &lt;= 3, "New Relationship[1-3]", AR402 &lt;= 7, "Established Relationship[4-7]", AR402 &lt;= 12, "Long Term Relationship[8-12]", AR402 &lt;= 17, "Very Long Term Relationship[13-17]")</f>
        <v>Established Relationship[4-7]</v>
      </c>
      <c r="AR402" s="1">
        <v>6</v>
      </c>
    </row>
    <row r="403" spans="1:44" x14ac:dyDescent="0.25">
      <c r="A403" s="1">
        <v>56</v>
      </c>
      <c r="B403" s="8" t="str" cm="1">
        <f t="array" ref="B403">_xlfn.IFS(A403 &lt;= 25, "[18-25]", A403 &lt;= 35, "[26-35]", A403 &lt;=45, "[36-45]", A403 &lt;= 60, "[46- 60]")</f>
        <v>[46- 60]</v>
      </c>
      <c r="C403" s="3" t="s">
        <v>43</v>
      </c>
      <c r="D403">
        <f t="shared" si="6"/>
        <v>0</v>
      </c>
      <c r="E403" t="s">
        <v>44</v>
      </c>
      <c r="F403" s="1">
        <v>906</v>
      </c>
      <c r="G403" s="3" t="s">
        <v>37</v>
      </c>
      <c r="H403" s="1">
        <v>6</v>
      </c>
      <c r="I403" s="9" t="str" cm="1">
        <f t="array" ref="I403">_xlfn.IFS(H403 &lt;= 2, "[1-2] very close", H403 &lt;= 10, "[3-10] close", H403 &lt;= 20, "[11-20] moderate", H403 &lt;= 30, "[21-30] far")</f>
        <v>[3-10] close</v>
      </c>
      <c r="J403" s="1">
        <v>3</v>
      </c>
      <c r="K403" s="3" t="s">
        <v>38</v>
      </c>
      <c r="L403" s="1">
        <v>1</v>
      </c>
      <c r="M403" s="1">
        <v>532</v>
      </c>
      <c r="N403" s="1">
        <v>3</v>
      </c>
      <c r="O403" s="3" t="s">
        <v>39</v>
      </c>
      <c r="P403" s="1">
        <v>86</v>
      </c>
      <c r="Q403" s="1">
        <v>4</v>
      </c>
      <c r="R403" s="1">
        <v>4</v>
      </c>
      <c r="S403" s="3" t="s">
        <v>40</v>
      </c>
      <c r="T403" s="1">
        <v>1</v>
      </c>
      <c r="U403" s="3" t="s">
        <v>48</v>
      </c>
      <c r="V403" s="4">
        <v>13212</v>
      </c>
      <c r="W403" s="1">
        <v>18256</v>
      </c>
      <c r="X403" s="1">
        <v>9</v>
      </c>
      <c r="Y403" s="3" t="s">
        <v>42</v>
      </c>
      <c r="Z403" s="3" t="s">
        <v>43</v>
      </c>
      <c r="AA403" s="5">
        <v>0.11</v>
      </c>
      <c r="AB403" s="10" t="str" cm="1">
        <f t="array" ref="AB403">_xlfn.IFS(AA403 &lt;= 15%, "Low Hike[11-15%]", AA403 &lt;= 20%, "Moderate Hike[16-20%]", AA403 &lt;= 25%,"High Hike[21-25%]")</f>
        <v>Low Hike[11-15%]</v>
      </c>
      <c r="AC403" s="1">
        <v>3</v>
      </c>
      <c r="AD403" s="1">
        <v>4</v>
      </c>
      <c r="AE403" s="1">
        <v>80</v>
      </c>
      <c r="AF403" s="1">
        <v>3</v>
      </c>
      <c r="AG403" s="1">
        <v>36</v>
      </c>
      <c r="AH403" s="9" t="str" cm="1">
        <f t="array" ref="AH403">_xlfn.IFS(AG403 &lt;= 5, "New[1-5]", AG403 &lt;= 10, "Early Career[6-10]", AG403 &lt;= 20, "Established[11-20]", AG403 &lt;= 30, "Veteran[21-30]", AG403 &lt;= 40, "Late Career[31-40]")</f>
        <v>Late Career[31-40]</v>
      </c>
      <c r="AI403" s="1">
        <v>0</v>
      </c>
      <c r="AJ403" s="1">
        <v>2</v>
      </c>
      <c r="AK403" s="1">
        <v>7</v>
      </c>
      <c r="AL403" s="9" t="str" cm="1">
        <f t="array" ref="AL403">_xlfn.IFS(AK403 &lt;= 5, "New[1-5]", AK403 &lt;= 10, "Early Career[6-10]", AK403 &lt;= 20, "Established[11-20]", AK403 &lt;= 30, "Veteran[21-30]", AK403 &lt;= 40, "Late Career[31-40]")</f>
        <v>Early Career[6-10]</v>
      </c>
      <c r="AM403" s="1">
        <v>7</v>
      </c>
      <c r="AN403" s="9" t="str" cm="1">
        <f t="array" ref="AN403">_xlfn.IFS(AM403 &lt;= 3, "New to Role[1-3]", AM403 &lt;= 7, "Settled[4-7]", AM403 &lt;= 12, "Experienced[[8-12]", AM403 &lt;= 18, "Long Tenured[13-18]")</f>
        <v>Settled[4-7]</v>
      </c>
      <c r="AO403" s="1">
        <v>7</v>
      </c>
      <c r="AP403" s="9" t="str" cm="1">
        <f t="array" ref="AP403">_xlfn.IFS(AO403 &lt;= 3, "Recently[1-3]", AO403 &lt;= 6, "Due Soon[4-6]", AO403 &lt;= 10, "Overdue[7-10]", AO403 &lt;= 15, "Long Overdue[11-15]")</f>
        <v>Overdue[7-10]</v>
      </c>
      <c r="AQ403" s="9" t="str" cm="1">
        <f t="array" ref="AQ403">_xlfn.IFS(AR403 &lt;= 3, "New Relationship[1-3]", AR403 &lt;= 7, "Established Relationship[4-7]", AR403 &lt;= 12, "Long Term Relationship[8-12]", AR403 &lt;= 17, "Very Long Term Relationship[13-17]")</f>
        <v>Established Relationship[4-7]</v>
      </c>
      <c r="AR403" s="1">
        <v>7</v>
      </c>
    </row>
    <row r="404" spans="1:44" x14ac:dyDescent="0.25">
      <c r="A404" s="1">
        <v>30</v>
      </c>
      <c r="B404" s="8" t="str" cm="1">
        <f t="array" ref="B404">_xlfn.IFS(A404 &lt;= 25, "[18-25]", A404 &lt;= 35, "[26-35]", A404 &lt;=45, "[36-45]", A404 &lt;= 60, "[46- 60]")</f>
        <v>[26-35]</v>
      </c>
      <c r="C404" s="3" t="s">
        <v>43</v>
      </c>
      <c r="D404">
        <f t="shared" si="6"/>
        <v>0</v>
      </c>
      <c r="E404" t="s">
        <v>36</v>
      </c>
      <c r="F404" s="1">
        <v>1082</v>
      </c>
      <c r="G404" s="3" t="s">
        <v>37</v>
      </c>
      <c r="H404" s="1">
        <v>12</v>
      </c>
      <c r="I404" s="9" t="str" cm="1">
        <f t="array" ref="I404">_xlfn.IFS(H404 &lt;= 2, "[1-2] very close", H404 &lt;= 10, "[3-10] close", H404 &lt;= 20, "[11-20] moderate", H404 &lt;= 30, "[21-30] far")</f>
        <v>[11-20] moderate</v>
      </c>
      <c r="J404" s="1">
        <v>3</v>
      </c>
      <c r="K404" s="3" t="s">
        <v>60</v>
      </c>
      <c r="L404" s="1">
        <v>1</v>
      </c>
      <c r="M404" s="1">
        <v>533</v>
      </c>
      <c r="N404" s="1">
        <v>2</v>
      </c>
      <c r="O404" s="3" t="s">
        <v>39</v>
      </c>
      <c r="P404" s="1">
        <v>83</v>
      </c>
      <c r="Q404" s="1">
        <v>3</v>
      </c>
      <c r="R404" s="1">
        <v>2</v>
      </c>
      <c r="S404" s="3" t="s">
        <v>40</v>
      </c>
      <c r="T404" s="1">
        <v>3</v>
      </c>
      <c r="U404" s="3" t="s">
        <v>41</v>
      </c>
      <c r="V404" s="4">
        <v>6577</v>
      </c>
      <c r="W404" s="1">
        <v>19558</v>
      </c>
      <c r="X404" s="1">
        <v>0</v>
      </c>
      <c r="Y404" s="3" t="s">
        <v>42</v>
      </c>
      <c r="Z404" s="3" t="s">
        <v>43</v>
      </c>
      <c r="AA404" s="5">
        <v>0.11</v>
      </c>
      <c r="AB404" s="10" t="str" cm="1">
        <f t="array" ref="AB404">_xlfn.IFS(AA404 &lt;= 15%, "Low Hike[11-15%]", AA404 &lt;= 20%, "Moderate Hike[16-20%]", AA404 &lt;= 25%,"High Hike[21-25%]")</f>
        <v>Low Hike[11-15%]</v>
      </c>
      <c r="AC404" s="1">
        <v>3</v>
      </c>
      <c r="AD404" s="1">
        <v>2</v>
      </c>
      <c r="AE404" s="1">
        <v>80</v>
      </c>
      <c r="AF404" s="1">
        <v>0</v>
      </c>
      <c r="AG404" s="1">
        <v>6</v>
      </c>
      <c r="AH404" s="9" t="str" cm="1">
        <f t="array" ref="AH404">_xlfn.IFS(AG404 &lt;= 5, "New[1-5]", AG404 &lt;= 10, "Early Career[6-10]", AG404 &lt;= 20, "Established[11-20]", AG404 &lt;= 30, "Veteran[21-30]", AG404 &lt;= 40, "Late Career[31-40]")</f>
        <v>Early Career[6-10]</v>
      </c>
      <c r="AI404" s="1">
        <v>6</v>
      </c>
      <c r="AJ404" s="1">
        <v>3</v>
      </c>
      <c r="AK404" s="1">
        <v>5</v>
      </c>
      <c r="AL404" s="9" t="str" cm="1">
        <f t="array" ref="AL404">_xlfn.IFS(AK404 &lt;= 5, "New[1-5]", AK404 &lt;= 10, "Early Career[6-10]", AK404 &lt;= 20, "Established[11-20]", AK404 &lt;= 30, "Veteran[21-30]", AK404 &lt;= 40, "Late Career[31-40]")</f>
        <v>New[1-5]</v>
      </c>
      <c r="AM404" s="1">
        <v>4</v>
      </c>
      <c r="AN404" s="9" t="str" cm="1">
        <f t="array" ref="AN404">_xlfn.IFS(AM404 &lt;= 3, "New to Role[1-3]", AM404 &lt;= 7, "Settled[4-7]", AM404 &lt;= 12, "Experienced[[8-12]", AM404 &lt;= 18, "Long Tenured[13-18]")</f>
        <v>Settled[4-7]</v>
      </c>
      <c r="AO404" s="1">
        <v>4</v>
      </c>
      <c r="AP404" s="9" t="str" cm="1">
        <f t="array" ref="AP404">_xlfn.IFS(AO404 &lt;= 3, "Recently[1-3]", AO404 &lt;= 6, "Due Soon[4-6]", AO404 &lt;= 10, "Overdue[7-10]", AO404 &lt;= 15, "Long Overdue[11-15]")</f>
        <v>Due Soon[4-6]</v>
      </c>
      <c r="AQ404" s="9" t="str" cm="1">
        <f t="array" ref="AQ404">_xlfn.IFS(AR404 &lt;= 3, "New Relationship[1-3]", AR404 &lt;= 7, "Established Relationship[4-7]", AR404 &lt;= 12, "Long Term Relationship[8-12]", AR404 &lt;= 17, "Very Long Term Relationship[13-17]")</f>
        <v>Established Relationship[4-7]</v>
      </c>
      <c r="AR404" s="1">
        <v>4</v>
      </c>
    </row>
    <row r="405" spans="1:44" x14ac:dyDescent="0.25">
      <c r="A405" s="1">
        <v>41</v>
      </c>
      <c r="B405" s="8" t="str" cm="1">
        <f t="array" ref="B405">_xlfn.IFS(A405 &lt;= 25, "[18-25]", A405 &lt;= 35, "[26-35]", A405 &lt;=45, "[36-45]", A405 &lt;= 60, "[46- 60]")</f>
        <v>[36-45]</v>
      </c>
      <c r="C405" s="3" t="s">
        <v>43</v>
      </c>
      <c r="D405">
        <f t="shared" si="6"/>
        <v>0</v>
      </c>
      <c r="E405" t="s">
        <v>36</v>
      </c>
      <c r="F405" s="1">
        <v>645</v>
      </c>
      <c r="G405" s="3" t="s">
        <v>37</v>
      </c>
      <c r="H405" s="1">
        <v>1</v>
      </c>
      <c r="I405" s="9" t="str" cm="1">
        <f t="array" ref="I405">_xlfn.IFS(H405 &lt;= 2, "[1-2] very close", H405 &lt;= 10, "[3-10] close", H405 &lt;= 20, "[11-20] moderate", H405 &lt;= 30, "[21-30] far")</f>
        <v>[1-2] very close</v>
      </c>
      <c r="J405" s="1">
        <v>3</v>
      </c>
      <c r="K405" s="3" t="s">
        <v>59</v>
      </c>
      <c r="L405" s="1">
        <v>1</v>
      </c>
      <c r="M405" s="1">
        <v>534</v>
      </c>
      <c r="N405" s="1">
        <v>2</v>
      </c>
      <c r="O405" s="3" t="s">
        <v>46</v>
      </c>
      <c r="P405" s="1">
        <v>49</v>
      </c>
      <c r="Q405" s="1">
        <v>4</v>
      </c>
      <c r="R405" s="1">
        <v>3</v>
      </c>
      <c r="S405" s="3" t="s">
        <v>40</v>
      </c>
      <c r="T405" s="1">
        <v>1</v>
      </c>
      <c r="U405" s="3" t="s">
        <v>48</v>
      </c>
      <c r="V405" s="4">
        <v>8392</v>
      </c>
      <c r="W405" s="1">
        <v>19566</v>
      </c>
      <c r="X405" s="1">
        <v>1</v>
      </c>
      <c r="Y405" s="3" t="s">
        <v>42</v>
      </c>
      <c r="Z405" s="3" t="s">
        <v>43</v>
      </c>
      <c r="AA405" s="5">
        <v>0.16</v>
      </c>
      <c r="AB405" s="10" t="str" cm="1">
        <f t="array" ref="AB405">_xlfn.IFS(AA405 &lt;= 15%, "Low Hike[11-15%]", AA405 &lt;= 20%, "Moderate Hike[16-20%]", AA405 &lt;= 25%,"High Hike[21-25%]")</f>
        <v>Moderate Hike[16-20%]</v>
      </c>
      <c r="AC405" s="1">
        <v>3</v>
      </c>
      <c r="AD405" s="1">
        <v>3</v>
      </c>
      <c r="AE405" s="1">
        <v>80</v>
      </c>
      <c r="AF405" s="1">
        <v>1</v>
      </c>
      <c r="AG405" s="1">
        <v>10</v>
      </c>
      <c r="AH405" s="9" t="str" cm="1">
        <f t="array" ref="AH405">_xlfn.IFS(AG405 &lt;= 5, "New[1-5]", AG405 &lt;= 10, "Early Career[6-10]", AG405 &lt;= 20, "Established[11-20]", AG405 &lt;= 30, "Veteran[21-30]", AG405 &lt;= 40, "Late Career[31-40]")</f>
        <v>Early Career[6-10]</v>
      </c>
      <c r="AI405" s="1">
        <v>2</v>
      </c>
      <c r="AJ405" s="1">
        <v>3</v>
      </c>
      <c r="AK405" s="1">
        <v>10</v>
      </c>
      <c r="AL405" s="9" t="str" cm="1">
        <f t="array" ref="AL405">_xlfn.IFS(AK405 &lt;= 5, "New[1-5]", AK405 &lt;= 10, "Early Career[6-10]", AK405 &lt;= 20, "Established[11-20]", AK405 &lt;= 30, "Veteran[21-30]", AK405 &lt;= 40, "Late Career[31-40]")</f>
        <v>Early Career[6-10]</v>
      </c>
      <c r="AM405" s="1">
        <v>7</v>
      </c>
      <c r="AN405" s="9" t="str" cm="1">
        <f t="array" ref="AN405">_xlfn.IFS(AM405 &lt;= 3, "New to Role[1-3]", AM405 &lt;= 7, "Settled[4-7]", AM405 &lt;= 12, "Experienced[[8-12]", AM405 &lt;= 18, "Long Tenured[13-18]")</f>
        <v>Settled[4-7]</v>
      </c>
      <c r="AO405" s="1">
        <v>0</v>
      </c>
      <c r="AP405" s="9" t="str" cm="1">
        <f t="array" ref="AP405">_xlfn.IFS(AO405 &lt;= 3, "Recently[1-3]", AO405 &lt;= 6, "Due Soon[4-6]", AO405 &lt;= 10, "Overdue[7-10]", AO405 &lt;= 15, "Long Overdue[11-15]")</f>
        <v>Recently[1-3]</v>
      </c>
      <c r="AQ405" s="9" t="str" cm="1">
        <f t="array" ref="AQ405">_xlfn.IFS(AR405 &lt;= 3, "New Relationship[1-3]", AR405 &lt;= 7, "Established Relationship[4-7]", AR405 &lt;= 12, "Long Term Relationship[8-12]", AR405 &lt;= 17, "Very Long Term Relationship[13-17]")</f>
        <v>Established Relationship[4-7]</v>
      </c>
      <c r="AR405" s="1">
        <v>7</v>
      </c>
    </row>
    <row r="406" spans="1:44" x14ac:dyDescent="0.25">
      <c r="A406" s="1">
        <v>28</v>
      </c>
      <c r="B406" s="8" t="str" cm="1">
        <f t="array" ref="B406">_xlfn.IFS(A406 &lt;= 25, "[18-25]", A406 &lt;= 35, "[26-35]", A406 &lt;=45, "[36-45]", A406 &lt;= 60, "[46- 60]")</f>
        <v>[26-35]</v>
      </c>
      <c r="C406" s="3" t="s">
        <v>43</v>
      </c>
      <c r="D406">
        <f t="shared" si="6"/>
        <v>0</v>
      </c>
      <c r="E406" t="s">
        <v>36</v>
      </c>
      <c r="F406" s="1">
        <v>1300</v>
      </c>
      <c r="G406" s="3" t="s">
        <v>45</v>
      </c>
      <c r="H406" s="1">
        <v>17</v>
      </c>
      <c r="I406" s="9" t="str" cm="1">
        <f t="array" ref="I406">_xlfn.IFS(H406 &lt;= 2, "[1-2] very close", H406 &lt;= 10, "[3-10] close", H406 &lt;= 20, "[11-20] moderate", H406 &lt;= 30, "[21-30] far")</f>
        <v>[11-20] moderate</v>
      </c>
      <c r="J406" s="1">
        <v>2</v>
      </c>
      <c r="K406" s="3" t="s">
        <v>51</v>
      </c>
      <c r="L406" s="1">
        <v>1</v>
      </c>
      <c r="M406" s="1">
        <v>536</v>
      </c>
      <c r="N406" s="1">
        <v>3</v>
      </c>
      <c r="O406" s="3" t="s">
        <v>46</v>
      </c>
      <c r="P406" s="1">
        <v>79</v>
      </c>
      <c r="Q406" s="1">
        <v>3</v>
      </c>
      <c r="R406" s="1">
        <v>2</v>
      </c>
      <c r="S406" s="3" t="s">
        <v>50</v>
      </c>
      <c r="T406" s="1">
        <v>1</v>
      </c>
      <c r="U406" s="3" t="s">
        <v>52</v>
      </c>
      <c r="V406" s="4">
        <v>4558</v>
      </c>
      <c r="W406" s="1">
        <v>13535</v>
      </c>
      <c r="X406" s="1">
        <v>1</v>
      </c>
      <c r="Y406" s="3" t="s">
        <v>42</v>
      </c>
      <c r="Z406" s="3" t="s">
        <v>43</v>
      </c>
      <c r="AA406" s="5">
        <v>0.12</v>
      </c>
      <c r="AB406" s="10" t="str" cm="1">
        <f t="array" ref="AB406">_xlfn.IFS(AA406 &lt;= 15%, "Low Hike[11-15%]", AA406 &lt;= 20%, "Moderate Hike[16-20%]", AA406 &lt;= 25%,"High Hike[21-25%]")</f>
        <v>Low Hike[11-15%]</v>
      </c>
      <c r="AC406" s="1">
        <v>3</v>
      </c>
      <c r="AD406" s="1">
        <v>4</v>
      </c>
      <c r="AE406" s="1">
        <v>80</v>
      </c>
      <c r="AF406" s="1">
        <v>1</v>
      </c>
      <c r="AG406" s="1">
        <v>10</v>
      </c>
      <c r="AH406" s="9" t="str" cm="1">
        <f t="array" ref="AH406">_xlfn.IFS(AG406 &lt;= 5, "New[1-5]", AG406 &lt;= 10, "Early Career[6-10]", AG406 &lt;= 20, "Established[11-20]", AG406 &lt;= 30, "Veteran[21-30]", AG406 &lt;= 40, "Late Career[31-40]")</f>
        <v>Early Career[6-10]</v>
      </c>
      <c r="AI406" s="1">
        <v>2</v>
      </c>
      <c r="AJ406" s="1">
        <v>3</v>
      </c>
      <c r="AK406" s="1">
        <v>10</v>
      </c>
      <c r="AL406" s="9" t="str" cm="1">
        <f t="array" ref="AL406">_xlfn.IFS(AK406 &lt;= 5, "New[1-5]", AK406 &lt;= 10, "Early Career[6-10]", AK406 &lt;= 20, "Established[11-20]", AK406 &lt;= 30, "Veteran[21-30]", AK406 &lt;= 40, "Late Career[31-40]")</f>
        <v>Early Career[6-10]</v>
      </c>
      <c r="AM406" s="1">
        <v>0</v>
      </c>
      <c r="AN406" s="9" t="str" cm="1">
        <f t="array" ref="AN406">_xlfn.IFS(AM406 &lt;= 3, "New to Role[1-3]", AM406 &lt;= 7, "Settled[4-7]", AM406 &lt;= 12, "Experienced[[8-12]", AM406 &lt;= 18, "Long Tenured[13-18]")</f>
        <v>New to Role[1-3]</v>
      </c>
      <c r="AO406" s="1">
        <v>1</v>
      </c>
      <c r="AP406" s="9" t="str" cm="1">
        <f t="array" ref="AP406">_xlfn.IFS(AO406 &lt;= 3, "Recently[1-3]", AO406 &lt;= 6, "Due Soon[4-6]", AO406 &lt;= 10, "Overdue[7-10]", AO406 &lt;= 15, "Long Overdue[11-15]")</f>
        <v>Recently[1-3]</v>
      </c>
      <c r="AQ406" s="9" t="str" cm="1">
        <f t="array" ref="AQ406">_xlfn.IFS(AR406 &lt;= 3, "New Relationship[1-3]", AR406 &lt;= 7, "Established Relationship[4-7]", AR406 &lt;= 12, "Long Term Relationship[8-12]", AR406 &lt;= 17, "Very Long Term Relationship[13-17]")</f>
        <v>Long Term Relationship[8-12]</v>
      </c>
      <c r="AR406" s="1">
        <v>8</v>
      </c>
    </row>
    <row r="407" spans="1:44" x14ac:dyDescent="0.25">
      <c r="A407" s="1">
        <v>25</v>
      </c>
      <c r="B407" s="8" t="str" cm="1">
        <f t="array" ref="B407">_xlfn.IFS(A407 &lt;= 25, "[18-25]", A407 &lt;= 35, "[26-35]", A407 &lt;=45, "[36-45]", A407 &lt;= 60, "[46- 60]")</f>
        <v>[18-25]</v>
      </c>
      <c r="C407" s="3" t="s">
        <v>35</v>
      </c>
      <c r="D407">
        <f t="shared" si="6"/>
        <v>1</v>
      </c>
      <c r="E407" t="s">
        <v>36</v>
      </c>
      <c r="F407" s="1">
        <v>688</v>
      </c>
      <c r="G407" s="3" t="s">
        <v>45</v>
      </c>
      <c r="H407" s="1">
        <v>3</v>
      </c>
      <c r="I407" s="9" t="str" cm="1">
        <f t="array" ref="I407">_xlfn.IFS(H407 &lt;= 2, "[1-2] very close", H407 &lt;= 10, "[3-10] close", H407 &lt;= 20, "[11-20] moderate", H407 &lt;= 30, "[21-30] far")</f>
        <v>[3-10] close</v>
      </c>
      <c r="J407" s="1">
        <v>3</v>
      </c>
      <c r="K407" s="3" t="s">
        <v>51</v>
      </c>
      <c r="L407" s="1">
        <v>1</v>
      </c>
      <c r="M407" s="1">
        <v>538</v>
      </c>
      <c r="N407" s="1">
        <v>1</v>
      </c>
      <c r="O407" s="3" t="s">
        <v>46</v>
      </c>
      <c r="P407" s="1">
        <v>91</v>
      </c>
      <c r="Q407" s="1">
        <v>3</v>
      </c>
      <c r="R407" s="1">
        <v>1</v>
      </c>
      <c r="S407" s="3" t="s">
        <v>50</v>
      </c>
      <c r="T407" s="1">
        <v>1</v>
      </c>
      <c r="U407" s="3" t="s">
        <v>48</v>
      </c>
      <c r="V407" s="4">
        <v>4031</v>
      </c>
      <c r="W407" s="1">
        <v>9396</v>
      </c>
      <c r="X407" s="1">
        <v>5</v>
      </c>
      <c r="Y407" s="3" t="s">
        <v>42</v>
      </c>
      <c r="Z407" s="3" t="s">
        <v>43</v>
      </c>
      <c r="AA407" s="5">
        <v>0.13</v>
      </c>
      <c r="AB407" s="10" t="str" cm="1">
        <f t="array" ref="AB407">_xlfn.IFS(AA407 &lt;= 15%, "Low Hike[11-15%]", AA407 &lt;= 20%, "Moderate Hike[16-20%]", AA407 &lt;= 25%,"High Hike[21-25%]")</f>
        <v>Low Hike[11-15%]</v>
      </c>
      <c r="AC407" s="1">
        <v>3</v>
      </c>
      <c r="AD407" s="1">
        <v>3</v>
      </c>
      <c r="AE407" s="1">
        <v>80</v>
      </c>
      <c r="AF407" s="1">
        <v>1</v>
      </c>
      <c r="AG407" s="1">
        <v>6</v>
      </c>
      <c r="AH407" s="9" t="str" cm="1">
        <f t="array" ref="AH407">_xlfn.IFS(AG407 &lt;= 5, "New[1-5]", AG407 &lt;= 10, "Early Career[6-10]", AG407 &lt;= 20, "Established[11-20]", AG407 &lt;= 30, "Veteran[21-30]", AG407 &lt;= 40, "Late Career[31-40]")</f>
        <v>Early Career[6-10]</v>
      </c>
      <c r="AI407" s="1">
        <v>5</v>
      </c>
      <c r="AJ407" s="1">
        <v>3</v>
      </c>
      <c r="AK407" s="1">
        <v>2</v>
      </c>
      <c r="AL407" s="9" t="str" cm="1">
        <f t="array" ref="AL407">_xlfn.IFS(AK407 &lt;= 5, "New[1-5]", AK407 &lt;= 10, "Early Career[6-10]", AK407 &lt;= 20, "Established[11-20]", AK407 &lt;= 30, "Veteran[21-30]", AK407 &lt;= 40, "Late Career[31-40]")</f>
        <v>New[1-5]</v>
      </c>
      <c r="AM407" s="1">
        <v>2</v>
      </c>
      <c r="AN407" s="9" t="str" cm="1">
        <f t="array" ref="AN407">_xlfn.IFS(AM407 &lt;= 3, "New to Role[1-3]", AM407 &lt;= 7, "Settled[4-7]", AM407 &lt;= 12, "Experienced[[8-12]", AM407 &lt;= 18, "Long Tenured[13-18]")</f>
        <v>New to Role[1-3]</v>
      </c>
      <c r="AO407" s="1">
        <v>0</v>
      </c>
      <c r="AP407" s="9" t="str" cm="1">
        <f t="array" ref="AP407">_xlfn.IFS(AO407 &lt;= 3, "Recently[1-3]", AO407 &lt;= 6, "Due Soon[4-6]", AO407 &lt;= 10, "Overdue[7-10]", AO407 &lt;= 15, "Long Overdue[11-15]")</f>
        <v>Recently[1-3]</v>
      </c>
      <c r="AQ407" s="9" t="str" cm="1">
        <f t="array" ref="AQ407">_xlfn.IFS(AR407 &lt;= 3, "New Relationship[1-3]", AR407 &lt;= 7, "Established Relationship[4-7]", AR407 &lt;= 12, "Long Term Relationship[8-12]", AR407 &lt;= 17, "Very Long Term Relationship[13-17]")</f>
        <v>New Relationship[1-3]</v>
      </c>
      <c r="AR407" s="1">
        <v>2</v>
      </c>
    </row>
    <row r="408" spans="1:44" x14ac:dyDescent="0.25">
      <c r="A408" s="1">
        <v>52</v>
      </c>
      <c r="B408" s="8" t="str" cm="1">
        <f t="array" ref="B408">_xlfn.IFS(A408 &lt;= 25, "[18-25]", A408 &lt;= 35, "[26-35]", A408 &lt;=45, "[36-45]", A408 &lt;= 60, "[46- 60]")</f>
        <v>[46- 60]</v>
      </c>
      <c r="C408" s="3" t="s">
        <v>43</v>
      </c>
      <c r="D408">
        <f t="shared" si="6"/>
        <v>0</v>
      </c>
      <c r="E408" t="s">
        <v>36</v>
      </c>
      <c r="F408" s="1">
        <v>319</v>
      </c>
      <c r="G408" s="3" t="s">
        <v>45</v>
      </c>
      <c r="H408" s="1">
        <v>3</v>
      </c>
      <c r="I408" s="9" t="str" cm="1">
        <f t="array" ref="I408">_xlfn.IFS(H408 &lt;= 2, "[1-2] very close", H408 &lt;= 10, "[3-10] close", H408 &lt;= 20, "[11-20] moderate", H408 &lt;= 30, "[21-30] far")</f>
        <v>[3-10] close</v>
      </c>
      <c r="J408" s="1">
        <v>3</v>
      </c>
      <c r="K408" s="3" t="s">
        <v>51</v>
      </c>
      <c r="L408" s="1">
        <v>1</v>
      </c>
      <c r="M408" s="1">
        <v>543</v>
      </c>
      <c r="N408" s="1">
        <v>4</v>
      </c>
      <c r="O408" s="3" t="s">
        <v>46</v>
      </c>
      <c r="P408" s="1">
        <v>39</v>
      </c>
      <c r="Q408" s="1">
        <v>2</v>
      </c>
      <c r="R408" s="1">
        <v>3</v>
      </c>
      <c r="S408" s="3" t="s">
        <v>53</v>
      </c>
      <c r="T408" s="1">
        <v>3</v>
      </c>
      <c r="U408" s="3" t="s">
        <v>48</v>
      </c>
      <c r="V408" s="4">
        <v>7969</v>
      </c>
      <c r="W408" s="1">
        <v>19609</v>
      </c>
      <c r="X408" s="1">
        <v>2</v>
      </c>
      <c r="Y408" s="3" t="s">
        <v>42</v>
      </c>
      <c r="Z408" s="3" t="s">
        <v>35</v>
      </c>
      <c r="AA408" s="5">
        <v>0.14000000000000001</v>
      </c>
      <c r="AB408" s="10" t="str" cm="1">
        <f t="array" ref="AB408">_xlfn.IFS(AA408 &lt;= 15%, "Low Hike[11-15%]", AA408 &lt;= 20%, "Moderate Hike[16-20%]", AA408 &lt;= 25%,"High Hike[21-25%]")</f>
        <v>Low Hike[11-15%]</v>
      </c>
      <c r="AC408" s="1">
        <v>3</v>
      </c>
      <c r="AD408" s="1">
        <v>3</v>
      </c>
      <c r="AE408" s="1">
        <v>80</v>
      </c>
      <c r="AF408" s="1">
        <v>0</v>
      </c>
      <c r="AG408" s="1">
        <v>28</v>
      </c>
      <c r="AH408" s="9" t="str" cm="1">
        <f t="array" ref="AH408">_xlfn.IFS(AG408 &lt;= 5, "New[1-5]", AG408 &lt;= 10, "Early Career[6-10]", AG408 &lt;= 20, "Established[11-20]", AG408 &lt;= 30, "Veteran[21-30]", AG408 &lt;= 40, "Late Career[31-40]")</f>
        <v>Veteran[21-30]</v>
      </c>
      <c r="AI408" s="1">
        <v>4</v>
      </c>
      <c r="AJ408" s="1">
        <v>3</v>
      </c>
      <c r="AK408" s="1">
        <v>5</v>
      </c>
      <c r="AL408" s="9" t="str" cm="1">
        <f t="array" ref="AL408">_xlfn.IFS(AK408 &lt;= 5, "New[1-5]", AK408 &lt;= 10, "Early Career[6-10]", AK408 &lt;= 20, "Established[11-20]", AK408 &lt;= 30, "Veteran[21-30]", AK408 &lt;= 40, "Late Career[31-40]")</f>
        <v>New[1-5]</v>
      </c>
      <c r="AM408" s="1">
        <v>4</v>
      </c>
      <c r="AN408" s="9" t="str" cm="1">
        <f t="array" ref="AN408">_xlfn.IFS(AM408 &lt;= 3, "New to Role[1-3]", AM408 &lt;= 7, "Settled[4-7]", AM408 &lt;= 12, "Experienced[[8-12]", AM408 &lt;= 18, "Long Tenured[13-18]")</f>
        <v>Settled[4-7]</v>
      </c>
      <c r="AO408" s="1">
        <v>0</v>
      </c>
      <c r="AP408" s="9" t="str" cm="1">
        <f t="array" ref="AP408">_xlfn.IFS(AO408 &lt;= 3, "Recently[1-3]", AO408 &lt;= 6, "Due Soon[4-6]", AO408 &lt;= 10, "Overdue[7-10]", AO408 &lt;= 15, "Long Overdue[11-15]")</f>
        <v>Recently[1-3]</v>
      </c>
      <c r="AQ408" s="9" t="str" cm="1">
        <f t="array" ref="AQ408">_xlfn.IFS(AR408 &lt;= 3, "New Relationship[1-3]", AR408 &lt;= 7, "Established Relationship[4-7]", AR408 &lt;= 12, "Long Term Relationship[8-12]", AR408 &lt;= 17, "Very Long Term Relationship[13-17]")</f>
        <v>Established Relationship[4-7]</v>
      </c>
      <c r="AR408" s="1">
        <v>4</v>
      </c>
    </row>
    <row r="409" spans="1:44" x14ac:dyDescent="0.25">
      <c r="A409" s="1">
        <v>45</v>
      </c>
      <c r="B409" s="8" t="str" cm="1">
        <f t="array" ref="B409">_xlfn.IFS(A409 &lt;= 25, "[18-25]", A409 &lt;= 35, "[26-35]", A409 &lt;=45, "[36-45]", A409 &lt;= 60, "[46- 60]")</f>
        <v>[36-45]</v>
      </c>
      <c r="C409" s="3" t="s">
        <v>43</v>
      </c>
      <c r="D409">
        <f t="shared" si="6"/>
        <v>0</v>
      </c>
      <c r="E409" t="s">
        <v>36</v>
      </c>
      <c r="F409" s="1">
        <v>192</v>
      </c>
      <c r="G409" s="3" t="s">
        <v>45</v>
      </c>
      <c r="H409" s="1">
        <v>10</v>
      </c>
      <c r="I409" s="9" t="str" cm="1">
        <f t="array" ref="I409">_xlfn.IFS(H409 &lt;= 2, "[1-2] very close", H409 &lt;= 10, "[3-10] close", H409 &lt;= 20, "[11-20] moderate", H409 &lt;= 30, "[21-30] far")</f>
        <v>[3-10] close</v>
      </c>
      <c r="J409" s="1">
        <v>2</v>
      </c>
      <c r="K409" s="3" t="s">
        <v>38</v>
      </c>
      <c r="L409" s="1">
        <v>1</v>
      </c>
      <c r="M409" s="1">
        <v>544</v>
      </c>
      <c r="N409" s="1">
        <v>1</v>
      </c>
      <c r="O409" s="3" t="s">
        <v>46</v>
      </c>
      <c r="P409" s="1">
        <v>69</v>
      </c>
      <c r="Q409" s="1">
        <v>3</v>
      </c>
      <c r="R409" s="1">
        <v>1</v>
      </c>
      <c r="S409" s="3" t="s">
        <v>47</v>
      </c>
      <c r="T409" s="1">
        <v>4</v>
      </c>
      <c r="U409" s="3" t="s">
        <v>48</v>
      </c>
      <c r="V409" s="4">
        <v>2654</v>
      </c>
      <c r="W409" s="1">
        <v>9655</v>
      </c>
      <c r="X409" s="1">
        <v>3</v>
      </c>
      <c r="Y409" s="3" t="s">
        <v>42</v>
      </c>
      <c r="Z409" s="3" t="s">
        <v>43</v>
      </c>
      <c r="AA409" s="5">
        <v>0.21</v>
      </c>
      <c r="AB409" s="10" t="str" cm="1">
        <f t="array" ref="AB409">_xlfn.IFS(AA409 &lt;= 15%, "Low Hike[11-15%]", AA409 &lt;= 20%, "Moderate Hike[16-20%]", AA409 &lt;= 25%,"High Hike[21-25%]")</f>
        <v>High Hike[21-25%]</v>
      </c>
      <c r="AC409" s="1">
        <v>4</v>
      </c>
      <c r="AD409" s="1">
        <v>4</v>
      </c>
      <c r="AE409" s="1">
        <v>80</v>
      </c>
      <c r="AF409" s="1">
        <v>2</v>
      </c>
      <c r="AG409" s="1">
        <v>8</v>
      </c>
      <c r="AH409" s="9" t="str" cm="1">
        <f t="array" ref="AH409">_xlfn.IFS(AG409 &lt;= 5, "New[1-5]", AG409 &lt;= 10, "Early Career[6-10]", AG409 &lt;= 20, "Established[11-20]", AG409 &lt;= 30, "Veteran[21-30]", AG409 &lt;= 40, "Late Career[31-40]")</f>
        <v>Early Career[6-10]</v>
      </c>
      <c r="AI409" s="1">
        <v>3</v>
      </c>
      <c r="AJ409" s="1">
        <v>2</v>
      </c>
      <c r="AK409" s="1">
        <v>2</v>
      </c>
      <c r="AL409" s="9" t="str" cm="1">
        <f t="array" ref="AL409">_xlfn.IFS(AK409 &lt;= 5, "New[1-5]", AK409 &lt;= 10, "Early Career[6-10]", AK409 &lt;= 20, "Established[11-20]", AK409 &lt;= 30, "Veteran[21-30]", AK409 &lt;= 40, "Late Career[31-40]")</f>
        <v>New[1-5]</v>
      </c>
      <c r="AM409" s="1">
        <v>2</v>
      </c>
      <c r="AN409" s="9" t="str" cm="1">
        <f t="array" ref="AN409">_xlfn.IFS(AM409 &lt;= 3, "New to Role[1-3]", AM409 &lt;= 7, "Settled[4-7]", AM409 &lt;= 12, "Experienced[[8-12]", AM409 &lt;= 18, "Long Tenured[13-18]")</f>
        <v>New to Role[1-3]</v>
      </c>
      <c r="AO409" s="1">
        <v>0</v>
      </c>
      <c r="AP409" s="9" t="str" cm="1">
        <f t="array" ref="AP409">_xlfn.IFS(AO409 &lt;= 3, "Recently[1-3]", AO409 &lt;= 6, "Due Soon[4-6]", AO409 &lt;= 10, "Overdue[7-10]", AO409 &lt;= 15, "Long Overdue[11-15]")</f>
        <v>Recently[1-3]</v>
      </c>
      <c r="AQ409" s="9" t="str" cm="1">
        <f t="array" ref="AQ409">_xlfn.IFS(AR409 &lt;= 3, "New Relationship[1-3]", AR409 &lt;= 7, "Established Relationship[4-7]", AR409 &lt;= 12, "Long Term Relationship[8-12]", AR409 &lt;= 17, "Very Long Term Relationship[13-17]")</f>
        <v>New Relationship[1-3]</v>
      </c>
      <c r="AR409" s="1">
        <v>2</v>
      </c>
    </row>
    <row r="410" spans="1:44" x14ac:dyDescent="0.25">
      <c r="A410" s="1">
        <v>52</v>
      </c>
      <c r="B410" s="8" t="str" cm="1">
        <f t="array" ref="B410">_xlfn.IFS(A410 &lt;= 25, "[18-25]", A410 &lt;= 35, "[26-35]", A410 &lt;=45, "[36-45]", A410 &lt;= 60, "[46- 60]")</f>
        <v>[46- 60]</v>
      </c>
      <c r="C410" s="3" t="s">
        <v>43</v>
      </c>
      <c r="D410">
        <f t="shared" si="6"/>
        <v>0</v>
      </c>
      <c r="E410" t="s">
        <v>36</v>
      </c>
      <c r="F410" s="1">
        <v>1490</v>
      </c>
      <c r="G410" s="3" t="s">
        <v>45</v>
      </c>
      <c r="H410" s="1">
        <v>4</v>
      </c>
      <c r="I410" s="9" t="str" cm="1">
        <f t="array" ref="I410">_xlfn.IFS(H410 &lt;= 2, "[1-2] very close", H410 &lt;= 10, "[3-10] close", H410 &lt;= 20, "[11-20] moderate", H410 &lt;= 30, "[21-30] far")</f>
        <v>[3-10] close</v>
      </c>
      <c r="J410" s="1">
        <v>2</v>
      </c>
      <c r="K410" s="3" t="s">
        <v>38</v>
      </c>
      <c r="L410" s="1">
        <v>1</v>
      </c>
      <c r="M410" s="1">
        <v>546</v>
      </c>
      <c r="N410" s="1">
        <v>4</v>
      </c>
      <c r="O410" s="3" t="s">
        <v>39</v>
      </c>
      <c r="P410" s="1">
        <v>30</v>
      </c>
      <c r="Q410" s="1">
        <v>3</v>
      </c>
      <c r="R410" s="1">
        <v>4</v>
      </c>
      <c r="S410" s="3" t="s">
        <v>56</v>
      </c>
      <c r="T410" s="1">
        <v>4</v>
      </c>
      <c r="U410" s="3" t="s">
        <v>48</v>
      </c>
      <c r="V410" s="4">
        <v>16555</v>
      </c>
      <c r="W410" s="1">
        <v>10310</v>
      </c>
      <c r="X410" s="1">
        <v>2</v>
      </c>
      <c r="Y410" s="3" t="s">
        <v>42</v>
      </c>
      <c r="Z410" s="3" t="s">
        <v>43</v>
      </c>
      <c r="AA410" s="5">
        <v>0.13</v>
      </c>
      <c r="AB410" s="10" t="str" cm="1">
        <f t="array" ref="AB410">_xlfn.IFS(AA410 &lt;= 15%, "Low Hike[11-15%]", AA410 &lt;= 20%, "Moderate Hike[16-20%]", AA410 &lt;= 25%,"High Hike[21-25%]")</f>
        <v>Low Hike[11-15%]</v>
      </c>
      <c r="AC410" s="1">
        <v>3</v>
      </c>
      <c r="AD410" s="1">
        <v>4</v>
      </c>
      <c r="AE410" s="1">
        <v>80</v>
      </c>
      <c r="AF410" s="1">
        <v>0</v>
      </c>
      <c r="AG410" s="1">
        <v>31</v>
      </c>
      <c r="AH410" s="9" t="str" cm="1">
        <f t="array" ref="AH410">_xlfn.IFS(AG410 &lt;= 5, "New[1-5]", AG410 &lt;= 10, "Early Career[6-10]", AG410 &lt;= 20, "Established[11-20]", AG410 &lt;= 30, "Veteran[21-30]", AG410 &lt;= 40, "Late Career[31-40]")</f>
        <v>Late Career[31-40]</v>
      </c>
      <c r="AI410" s="1">
        <v>2</v>
      </c>
      <c r="AJ410" s="1">
        <v>1</v>
      </c>
      <c r="AK410" s="1">
        <v>5</v>
      </c>
      <c r="AL410" s="9" t="str" cm="1">
        <f t="array" ref="AL410">_xlfn.IFS(AK410 &lt;= 5, "New[1-5]", AK410 &lt;= 10, "Early Career[6-10]", AK410 &lt;= 20, "Established[11-20]", AK410 &lt;= 30, "Veteran[21-30]", AK410 &lt;= 40, "Late Career[31-40]")</f>
        <v>New[1-5]</v>
      </c>
      <c r="AM410" s="1">
        <v>2</v>
      </c>
      <c r="AN410" s="9" t="str" cm="1">
        <f t="array" ref="AN410">_xlfn.IFS(AM410 &lt;= 3, "New to Role[1-3]", AM410 &lt;= 7, "Settled[4-7]", AM410 &lt;= 12, "Experienced[[8-12]", AM410 &lt;= 18, "Long Tenured[13-18]")</f>
        <v>New to Role[1-3]</v>
      </c>
      <c r="AO410" s="1">
        <v>1</v>
      </c>
      <c r="AP410" s="9" t="str" cm="1">
        <f t="array" ref="AP410">_xlfn.IFS(AO410 &lt;= 3, "Recently[1-3]", AO410 &lt;= 6, "Due Soon[4-6]", AO410 &lt;= 10, "Overdue[7-10]", AO410 &lt;= 15, "Long Overdue[11-15]")</f>
        <v>Recently[1-3]</v>
      </c>
      <c r="AQ410" s="9" t="str" cm="1">
        <f t="array" ref="AQ410">_xlfn.IFS(AR410 &lt;= 3, "New Relationship[1-3]", AR410 &lt;= 7, "Established Relationship[4-7]", AR410 &lt;= 12, "Long Term Relationship[8-12]", AR410 &lt;= 17, "Very Long Term Relationship[13-17]")</f>
        <v>Established Relationship[4-7]</v>
      </c>
      <c r="AR410" s="1">
        <v>4</v>
      </c>
    </row>
    <row r="411" spans="1:44" x14ac:dyDescent="0.25">
      <c r="A411" s="1">
        <v>42</v>
      </c>
      <c r="B411" s="8" t="str" cm="1">
        <f t="array" ref="B411">_xlfn.IFS(A411 &lt;= 25, "[18-25]", A411 &lt;= 35, "[26-35]", A411 &lt;=45, "[36-45]", A411 &lt;= 60, "[46- 60]")</f>
        <v>[36-45]</v>
      </c>
      <c r="C411" s="3" t="s">
        <v>43</v>
      </c>
      <c r="D411">
        <f t="shared" si="6"/>
        <v>0</v>
      </c>
      <c r="E411" t="s">
        <v>44</v>
      </c>
      <c r="F411" s="1">
        <v>532</v>
      </c>
      <c r="G411" s="3" t="s">
        <v>45</v>
      </c>
      <c r="H411" s="1">
        <v>29</v>
      </c>
      <c r="I411" s="9" t="str" cm="1">
        <f t="array" ref="I411">_xlfn.IFS(H411 &lt;= 2, "[1-2] very close", H411 &lt;= 10, "[3-10] close", H411 &lt;= 20, "[11-20] moderate", H411 &lt;= 30, "[21-30] far")</f>
        <v>[21-30] far</v>
      </c>
      <c r="J411" s="1">
        <v>2</v>
      </c>
      <c r="K411" s="3" t="s">
        <v>38</v>
      </c>
      <c r="L411" s="1">
        <v>1</v>
      </c>
      <c r="M411" s="1">
        <v>547</v>
      </c>
      <c r="N411" s="1">
        <v>1</v>
      </c>
      <c r="O411" s="3" t="s">
        <v>39</v>
      </c>
      <c r="P411" s="1">
        <v>92</v>
      </c>
      <c r="Q411" s="1">
        <v>3</v>
      </c>
      <c r="R411" s="1">
        <v>2</v>
      </c>
      <c r="S411" s="3" t="s">
        <v>47</v>
      </c>
      <c r="T411" s="1">
        <v>3</v>
      </c>
      <c r="U411" s="3" t="s">
        <v>52</v>
      </c>
      <c r="V411" s="4">
        <v>4556</v>
      </c>
      <c r="W411" s="1">
        <v>12932</v>
      </c>
      <c r="X411" s="1">
        <v>2</v>
      </c>
      <c r="Y411" s="3" t="s">
        <v>42</v>
      </c>
      <c r="Z411" s="3" t="s">
        <v>43</v>
      </c>
      <c r="AA411" s="5">
        <v>0.11</v>
      </c>
      <c r="AB411" s="10" t="str" cm="1">
        <f t="array" ref="AB411">_xlfn.IFS(AA411 &lt;= 15%, "Low Hike[11-15%]", AA411 &lt;= 20%, "Moderate Hike[16-20%]", AA411 &lt;= 25%,"High Hike[21-25%]")</f>
        <v>Low Hike[11-15%]</v>
      </c>
      <c r="AC411" s="1">
        <v>3</v>
      </c>
      <c r="AD411" s="1">
        <v>2</v>
      </c>
      <c r="AE411" s="1">
        <v>80</v>
      </c>
      <c r="AF411" s="1">
        <v>1</v>
      </c>
      <c r="AG411" s="1">
        <v>19</v>
      </c>
      <c r="AH411" s="9" t="str" cm="1">
        <f t="array" ref="AH411">_xlfn.IFS(AG411 &lt;= 5, "New[1-5]", AG411 &lt;= 10, "Early Career[6-10]", AG411 &lt;= 20, "Established[11-20]", AG411 &lt;= 30, "Veteran[21-30]", AG411 &lt;= 40, "Late Career[31-40]")</f>
        <v>Established[11-20]</v>
      </c>
      <c r="AI411" s="1">
        <v>3</v>
      </c>
      <c r="AJ411" s="1">
        <v>3</v>
      </c>
      <c r="AK411" s="1">
        <v>5</v>
      </c>
      <c r="AL411" s="9" t="str" cm="1">
        <f t="array" ref="AL411">_xlfn.IFS(AK411 &lt;= 5, "New[1-5]", AK411 &lt;= 10, "Early Career[6-10]", AK411 &lt;= 20, "Established[11-20]", AK411 &lt;= 30, "Veteran[21-30]", AK411 &lt;= 40, "Late Career[31-40]")</f>
        <v>New[1-5]</v>
      </c>
      <c r="AM411" s="1">
        <v>4</v>
      </c>
      <c r="AN411" s="9" t="str" cm="1">
        <f t="array" ref="AN411">_xlfn.IFS(AM411 &lt;= 3, "New to Role[1-3]", AM411 &lt;= 7, "Settled[4-7]", AM411 &lt;= 12, "Experienced[[8-12]", AM411 &lt;= 18, "Long Tenured[13-18]")</f>
        <v>Settled[4-7]</v>
      </c>
      <c r="AO411" s="1">
        <v>0</v>
      </c>
      <c r="AP411" s="9" t="str" cm="1">
        <f t="array" ref="AP411">_xlfn.IFS(AO411 &lt;= 3, "Recently[1-3]", AO411 &lt;= 6, "Due Soon[4-6]", AO411 &lt;= 10, "Overdue[7-10]", AO411 &lt;= 15, "Long Overdue[11-15]")</f>
        <v>Recently[1-3]</v>
      </c>
      <c r="AQ411" s="9" t="str" cm="1">
        <f t="array" ref="AQ411">_xlfn.IFS(AR411 &lt;= 3, "New Relationship[1-3]", AR411 &lt;= 7, "Established Relationship[4-7]", AR411 &lt;= 12, "Long Term Relationship[8-12]", AR411 &lt;= 17, "Very Long Term Relationship[13-17]")</f>
        <v>New Relationship[1-3]</v>
      </c>
      <c r="AR411" s="1">
        <v>2</v>
      </c>
    </row>
    <row r="412" spans="1:44" x14ac:dyDescent="0.25">
      <c r="A412" s="1">
        <v>30</v>
      </c>
      <c r="B412" s="8" t="str" cm="1">
        <f t="array" ref="B412">_xlfn.IFS(A412 &lt;= 25, "[18-25]", A412 &lt;= 35, "[26-35]", A412 &lt;=45, "[36-45]", A412 &lt;= 60, "[46- 60]")</f>
        <v>[26-35]</v>
      </c>
      <c r="C412" s="3" t="s">
        <v>43</v>
      </c>
      <c r="D412">
        <f t="shared" si="6"/>
        <v>0</v>
      </c>
      <c r="E412" t="s">
        <v>36</v>
      </c>
      <c r="F412" s="1">
        <v>317</v>
      </c>
      <c r="G412" s="3" t="s">
        <v>45</v>
      </c>
      <c r="H412" s="1">
        <v>2</v>
      </c>
      <c r="I412" s="9" t="str" cm="1">
        <f t="array" ref="I412">_xlfn.IFS(H412 &lt;= 2, "[1-2] very close", H412 &lt;= 10, "[3-10] close", H412 &lt;= 20, "[11-20] moderate", H412 &lt;= 30, "[21-30] far")</f>
        <v>[1-2] very close</v>
      </c>
      <c r="J412" s="1">
        <v>3</v>
      </c>
      <c r="K412" s="3" t="s">
        <v>38</v>
      </c>
      <c r="L412" s="1">
        <v>1</v>
      </c>
      <c r="M412" s="1">
        <v>548</v>
      </c>
      <c r="N412" s="1">
        <v>3</v>
      </c>
      <c r="O412" s="3" t="s">
        <v>39</v>
      </c>
      <c r="P412" s="1">
        <v>43</v>
      </c>
      <c r="Q412" s="1">
        <v>1</v>
      </c>
      <c r="R412" s="1">
        <v>2</v>
      </c>
      <c r="S412" s="3" t="s">
        <v>53</v>
      </c>
      <c r="T412" s="1">
        <v>4</v>
      </c>
      <c r="U412" s="3" t="s">
        <v>41</v>
      </c>
      <c r="V412" s="4">
        <v>6091</v>
      </c>
      <c r="W412" s="1">
        <v>24793</v>
      </c>
      <c r="X412" s="1">
        <v>2</v>
      </c>
      <c r="Y412" s="3" t="s">
        <v>42</v>
      </c>
      <c r="Z412" s="3" t="s">
        <v>43</v>
      </c>
      <c r="AA412" s="5">
        <v>0.2</v>
      </c>
      <c r="AB412" s="10" t="str" cm="1">
        <f t="array" ref="AB412">_xlfn.IFS(AA412 &lt;= 15%, "Low Hike[11-15%]", AA412 &lt;= 20%, "Moderate Hike[16-20%]", AA412 &lt;= 25%,"High Hike[21-25%]")</f>
        <v>Moderate Hike[16-20%]</v>
      </c>
      <c r="AC412" s="1">
        <v>4</v>
      </c>
      <c r="AD412" s="1">
        <v>3</v>
      </c>
      <c r="AE412" s="1">
        <v>80</v>
      </c>
      <c r="AF412" s="1">
        <v>0</v>
      </c>
      <c r="AG412" s="1">
        <v>11</v>
      </c>
      <c r="AH412" s="9" t="str" cm="1">
        <f t="array" ref="AH412">_xlfn.IFS(AG412 &lt;= 5, "New[1-5]", AG412 &lt;= 10, "Early Career[6-10]", AG412 &lt;= 20, "Established[11-20]", AG412 &lt;= 30, "Veteran[21-30]", AG412 &lt;= 40, "Late Career[31-40]")</f>
        <v>Established[11-20]</v>
      </c>
      <c r="AI412" s="1">
        <v>2</v>
      </c>
      <c r="AJ412" s="1">
        <v>3</v>
      </c>
      <c r="AK412" s="1">
        <v>5</v>
      </c>
      <c r="AL412" s="9" t="str" cm="1">
        <f t="array" ref="AL412">_xlfn.IFS(AK412 &lt;= 5, "New[1-5]", AK412 &lt;= 10, "Early Career[6-10]", AK412 &lt;= 20, "Established[11-20]", AK412 &lt;= 30, "Veteran[21-30]", AK412 &lt;= 40, "Late Career[31-40]")</f>
        <v>New[1-5]</v>
      </c>
      <c r="AM412" s="1">
        <v>4</v>
      </c>
      <c r="AN412" s="9" t="str" cm="1">
        <f t="array" ref="AN412">_xlfn.IFS(AM412 &lt;= 3, "New to Role[1-3]", AM412 &lt;= 7, "Settled[4-7]", AM412 &lt;= 12, "Experienced[[8-12]", AM412 &lt;= 18, "Long Tenured[13-18]")</f>
        <v>Settled[4-7]</v>
      </c>
      <c r="AO412" s="1">
        <v>0</v>
      </c>
      <c r="AP412" s="9" t="str" cm="1">
        <f t="array" ref="AP412">_xlfn.IFS(AO412 &lt;= 3, "Recently[1-3]", AO412 &lt;= 6, "Due Soon[4-6]", AO412 &lt;= 10, "Overdue[7-10]", AO412 &lt;= 15, "Long Overdue[11-15]")</f>
        <v>Recently[1-3]</v>
      </c>
      <c r="AQ412" s="9" t="str" cm="1">
        <f t="array" ref="AQ412">_xlfn.IFS(AR412 &lt;= 3, "New Relationship[1-3]", AR412 &lt;= 7, "Established Relationship[4-7]", AR412 &lt;= 12, "Long Term Relationship[8-12]", AR412 &lt;= 17, "Very Long Term Relationship[13-17]")</f>
        <v>New Relationship[1-3]</v>
      </c>
      <c r="AR412" s="1">
        <v>2</v>
      </c>
    </row>
    <row r="413" spans="1:44" x14ac:dyDescent="0.25">
      <c r="A413" s="1">
        <v>60</v>
      </c>
      <c r="B413" s="8" t="str" cm="1">
        <f t="array" ref="B413">_xlfn.IFS(A413 &lt;= 25, "[18-25]", A413 &lt;= 35, "[26-35]", A413 &lt;=45, "[36-45]", A413 &lt;= 60, "[46- 60]")</f>
        <v>[46- 60]</v>
      </c>
      <c r="C413" s="3" t="s">
        <v>43</v>
      </c>
      <c r="D413">
        <f t="shared" si="6"/>
        <v>0</v>
      </c>
      <c r="E413" t="s">
        <v>36</v>
      </c>
      <c r="F413" s="1">
        <v>422</v>
      </c>
      <c r="G413" s="3" t="s">
        <v>45</v>
      </c>
      <c r="H413" s="1">
        <v>7</v>
      </c>
      <c r="I413" s="9" t="str" cm="1">
        <f t="array" ref="I413">_xlfn.IFS(H413 &lt;= 2, "[1-2] very close", H413 &lt;= 10, "[3-10] close", H413 &lt;= 20, "[11-20] moderate", H413 &lt;= 30, "[21-30] far")</f>
        <v>[3-10] close</v>
      </c>
      <c r="J413" s="1">
        <v>3</v>
      </c>
      <c r="K413" s="3" t="s">
        <v>38</v>
      </c>
      <c r="L413" s="1">
        <v>1</v>
      </c>
      <c r="M413" s="1">
        <v>549</v>
      </c>
      <c r="N413" s="1">
        <v>1</v>
      </c>
      <c r="O413" s="3" t="s">
        <v>39</v>
      </c>
      <c r="P413" s="1">
        <v>41</v>
      </c>
      <c r="Q413" s="1">
        <v>3</v>
      </c>
      <c r="R413" s="1">
        <v>5</v>
      </c>
      <c r="S413" s="3" t="s">
        <v>56</v>
      </c>
      <c r="T413" s="1">
        <v>1</v>
      </c>
      <c r="U413" s="3" t="s">
        <v>48</v>
      </c>
      <c r="V413" s="4">
        <v>19566</v>
      </c>
      <c r="W413" s="1">
        <v>3854</v>
      </c>
      <c r="X413" s="1">
        <v>5</v>
      </c>
      <c r="Y413" s="3" t="s">
        <v>42</v>
      </c>
      <c r="Z413" s="3" t="s">
        <v>43</v>
      </c>
      <c r="AA413" s="5">
        <v>0.11</v>
      </c>
      <c r="AB413" s="10" t="str" cm="1">
        <f t="array" ref="AB413">_xlfn.IFS(AA413 &lt;= 15%, "Low Hike[11-15%]", AA413 &lt;= 20%, "Moderate Hike[16-20%]", AA413 &lt;= 25%,"High Hike[21-25%]")</f>
        <v>Low Hike[11-15%]</v>
      </c>
      <c r="AC413" s="1">
        <v>3</v>
      </c>
      <c r="AD413" s="1">
        <v>4</v>
      </c>
      <c r="AE413" s="1">
        <v>80</v>
      </c>
      <c r="AF413" s="1">
        <v>0</v>
      </c>
      <c r="AG413" s="1">
        <v>33</v>
      </c>
      <c r="AH413" s="9" t="str" cm="1">
        <f t="array" ref="AH413">_xlfn.IFS(AG413 &lt;= 5, "New[1-5]", AG413 &lt;= 10, "Early Career[6-10]", AG413 &lt;= 20, "Established[11-20]", AG413 &lt;= 30, "Veteran[21-30]", AG413 &lt;= 40, "Late Career[31-40]")</f>
        <v>Late Career[31-40]</v>
      </c>
      <c r="AI413" s="1">
        <v>5</v>
      </c>
      <c r="AJ413" s="1">
        <v>1</v>
      </c>
      <c r="AK413" s="1">
        <v>29</v>
      </c>
      <c r="AL413" s="9" t="str" cm="1">
        <f t="array" ref="AL413">_xlfn.IFS(AK413 &lt;= 5, "New[1-5]", AK413 &lt;= 10, "Early Career[6-10]", AK413 &lt;= 20, "Established[11-20]", AK413 &lt;= 30, "Veteran[21-30]", AK413 &lt;= 40, "Late Career[31-40]")</f>
        <v>Veteran[21-30]</v>
      </c>
      <c r="AM413" s="1">
        <v>8</v>
      </c>
      <c r="AN413" s="9" t="str" cm="1">
        <f t="array" ref="AN413">_xlfn.IFS(AM413 &lt;= 3, "New to Role[1-3]", AM413 &lt;= 7, "Settled[4-7]", AM413 &lt;= 12, "Experienced[[8-12]", AM413 &lt;= 18, "Long Tenured[13-18]")</f>
        <v>Experienced[[8-12]</v>
      </c>
      <c r="AO413" s="1">
        <v>11</v>
      </c>
      <c r="AP413" s="9" t="str" cm="1">
        <f t="array" ref="AP413">_xlfn.IFS(AO413 &lt;= 3, "Recently[1-3]", AO413 &lt;= 6, "Due Soon[4-6]", AO413 &lt;= 10, "Overdue[7-10]", AO413 &lt;= 15, "Long Overdue[11-15]")</f>
        <v>Long Overdue[11-15]</v>
      </c>
      <c r="AQ413" s="9" t="str" cm="1">
        <f t="array" ref="AQ413">_xlfn.IFS(AR413 &lt;= 3, "New Relationship[1-3]", AR413 &lt;= 7, "Established Relationship[4-7]", AR413 &lt;= 12, "Long Term Relationship[8-12]", AR413 &lt;= 17, "Very Long Term Relationship[13-17]")</f>
        <v>Long Term Relationship[8-12]</v>
      </c>
      <c r="AR413" s="1">
        <v>10</v>
      </c>
    </row>
    <row r="414" spans="1:44" x14ac:dyDescent="0.25">
      <c r="A414" s="1">
        <v>46</v>
      </c>
      <c r="B414" s="8" t="str" cm="1">
        <f t="array" ref="B414">_xlfn.IFS(A414 &lt;= 25, "[18-25]", A414 &lt;= 35, "[26-35]", A414 &lt;=45, "[36-45]", A414 &lt;= 60, "[46- 60]")</f>
        <v>[46- 60]</v>
      </c>
      <c r="C414" s="3" t="s">
        <v>43</v>
      </c>
      <c r="D414">
        <f t="shared" si="6"/>
        <v>0</v>
      </c>
      <c r="E414" t="s">
        <v>36</v>
      </c>
      <c r="F414" s="1">
        <v>1485</v>
      </c>
      <c r="G414" s="3" t="s">
        <v>45</v>
      </c>
      <c r="H414" s="1">
        <v>18</v>
      </c>
      <c r="I414" s="9" t="str" cm="1">
        <f t="array" ref="I414">_xlfn.IFS(H414 &lt;= 2, "[1-2] very close", H414 &lt;= 10, "[3-10] close", H414 &lt;= 20, "[11-20] moderate", H414 &lt;= 30, "[21-30] far")</f>
        <v>[11-20] moderate</v>
      </c>
      <c r="J414" s="1">
        <v>3</v>
      </c>
      <c r="K414" s="3" t="s">
        <v>51</v>
      </c>
      <c r="L414" s="1">
        <v>1</v>
      </c>
      <c r="M414" s="1">
        <v>550</v>
      </c>
      <c r="N414" s="1">
        <v>3</v>
      </c>
      <c r="O414" s="3" t="s">
        <v>39</v>
      </c>
      <c r="P414" s="1">
        <v>87</v>
      </c>
      <c r="Q414" s="1">
        <v>3</v>
      </c>
      <c r="R414" s="1">
        <v>2</v>
      </c>
      <c r="S414" s="3" t="s">
        <v>53</v>
      </c>
      <c r="T414" s="1">
        <v>3</v>
      </c>
      <c r="U414" s="3" t="s">
        <v>52</v>
      </c>
      <c r="V414" s="4">
        <v>4810</v>
      </c>
      <c r="W414" s="1">
        <v>26314</v>
      </c>
      <c r="X414" s="1">
        <v>2</v>
      </c>
      <c r="Y414" s="3" t="s">
        <v>42</v>
      </c>
      <c r="Z414" s="3" t="s">
        <v>43</v>
      </c>
      <c r="AA414" s="5">
        <v>0.14000000000000001</v>
      </c>
      <c r="AB414" s="10" t="str" cm="1">
        <f t="array" ref="AB414">_xlfn.IFS(AA414 &lt;= 15%, "Low Hike[11-15%]", AA414 &lt;= 20%, "Moderate Hike[16-20%]", AA414 &lt;= 25%,"High Hike[21-25%]")</f>
        <v>Low Hike[11-15%]</v>
      </c>
      <c r="AC414" s="1">
        <v>3</v>
      </c>
      <c r="AD414" s="1">
        <v>3</v>
      </c>
      <c r="AE414" s="1">
        <v>80</v>
      </c>
      <c r="AF414" s="1">
        <v>1</v>
      </c>
      <c r="AG414" s="1">
        <v>19</v>
      </c>
      <c r="AH414" s="9" t="str" cm="1">
        <f t="array" ref="AH414">_xlfn.IFS(AG414 &lt;= 5, "New[1-5]", AG414 &lt;= 10, "Early Career[6-10]", AG414 &lt;= 20, "Established[11-20]", AG414 &lt;= 30, "Veteran[21-30]", AG414 &lt;= 40, "Late Career[31-40]")</f>
        <v>Established[11-20]</v>
      </c>
      <c r="AI414" s="1">
        <v>5</v>
      </c>
      <c r="AJ414" s="1">
        <v>2</v>
      </c>
      <c r="AK414" s="1">
        <v>10</v>
      </c>
      <c r="AL414" s="9" t="str" cm="1">
        <f t="array" ref="AL414">_xlfn.IFS(AK414 &lt;= 5, "New[1-5]", AK414 &lt;= 10, "Early Career[6-10]", AK414 &lt;= 20, "Established[11-20]", AK414 &lt;= 30, "Veteran[21-30]", AK414 &lt;= 40, "Late Career[31-40]")</f>
        <v>Early Career[6-10]</v>
      </c>
      <c r="AM414" s="1">
        <v>7</v>
      </c>
      <c r="AN414" s="9" t="str" cm="1">
        <f t="array" ref="AN414">_xlfn.IFS(AM414 &lt;= 3, "New to Role[1-3]", AM414 &lt;= 7, "Settled[4-7]", AM414 &lt;= 12, "Experienced[[8-12]", AM414 &lt;= 18, "Long Tenured[13-18]")</f>
        <v>Settled[4-7]</v>
      </c>
      <c r="AO414" s="1">
        <v>0</v>
      </c>
      <c r="AP414" s="9" t="str" cm="1">
        <f t="array" ref="AP414">_xlfn.IFS(AO414 &lt;= 3, "Recently[1-3]", AO414 &lt;= 6, "Due Soon[4-6]", AO414 &lt;= 10, "Overdue[7-10]", AO414 &lt;= 15, "Long Overdue[11-15]")</f>
        <v>Recently[1-3]</v>
      </c>
      <c r="AQ414" s="9" t="str" cm="1">
        <f t="array" ref="AQ414">_xlfn.IFS(AR414 &lt;= 3, "New Relationship[1-3]", AR414 &lt;= 7, "Established Relationship[4-7]", AR414 &lt;= 12, "Long Term Relationship[8-12]", AR414 &lt;= 17, "Very Long Term Relationship[13-17]")</f>
        <v>Long Term Relationship[8-12]</v>
      </c>
      <c r="AR414" s="1">
        <v>8</v>
      </c>
    </row>
    <row r="415" spans="1:44" x14ac:dyDescent="0.25">
      <c r="A415" s="1">
        <v>42</v>
      </c>
      <c r="B415" s="8" t="str" cm="1">
        <f t="array" ref="B415">_xlfn.IFS(A415 &lt;= 25, "[18-25]", A415 &lt;= 35, "[26-35]", A415 &lt;=45, "[36-45]", A415 &lt;= 60, "[46- 60]")</f>
        <v>[36-45]</v>
      </c>
      <c r="C415" s="3" t="s">
        <v>43</v>
      </c>
      <c r="D415">
        <f t="shared" si="6"/>
        <v>0</v>
      </c>
      <c r="E415" t="s">
        <v>44</v>
      </c>
      <c r="F415" s="1">
        <v>1368</v>
      </c>
      <c r="G415" s="3" t="s">
        <v>45</v>
      </c>
      <c r="H415" s="1">
        <v>28</v>
      </c>
      <c r="I415" s="9" t="str" cm="1">
        <f t="array" ref="I415">_xlfn.IFS(H415 &lt;= 2, "[1-2] very close", H415 &lt;= 10, "[3-10] close", H415 &lt;= 20, "[11-20] moderate", H415 &lt;= 30, "[21-30] far")</f>
        <v>[21-30] far</v>
      </c>
      <c r="J415" s="1">
        <v>4</v>
      </c>
      <c r="K415" s="3" t="s">
        <v>60</v>
      </c>
      <c r="L415" s="1">
        <v>1</v>
      </c>
      <c r="M415" s="1">
        <v>551</v>
      </c>
      <c r="N415" s="1">
        <v>4</v>
      </c>
      <c r="O415" s="3" t="s">
        <v>39</v>
      </c>
      <c r="P415" s="1">
        <v>88</v>
      </c>
      <c r="Q415" s="1">
        <v>2</v>
      </c>
      <c r="R415" s="1">
        <v>2</v>
      </c>
      <c r="S415" s="3" t="s">
        <v>54</v>
      </c>
      <c r="T415" s="1">
        <v>4</v>
      </c>
      <c r="U415" s="3" t="s">
        <v>48</v>
      </c>
      <c r="V415" s="4">
        <v>4523</v>
      </c>
      <c r="W415" s="1">
        <v>4386</v>
      </c>
      <c r="X415" s="1">
        <v>0</v>
      </c>
      <c r="Y415" s="3" t="s">
        <v>42</v>
      </c>
      <c r="Z415" s="3" t="s">
        <v>43</v>
      </c>
      <c r="AA415" s="5">
        <v>0.11</v>
      </c>
      <c r="AB415" s="10" t="str" cm="1">
        <f t="array" ref="AB415">_xlfn.IFS(AA415 &lt;= 15%, "Low Hike[11-15%]", AA415 &lt;= 20%, "Moderate Hike[16-20%]", AA415 &lt;= 25%,"High Hike[21-25%]")</f>
        <v>Low Hike[11-15%]</v>
      </c>
      <c r="AC415" s="1">
        <v>3</v>
      </c>
      <c r="AD415" s="1">
        <v>4</v>
      </c>
      <c r="AE415" s="1">
        <v>80</v>
      </c>
      <c r="AF415" s="1">
        <v>3</v>
      </c>
      <c r="AG415" s="1">
        <v>7</v>
      </c>
      <c r="AH415" s="9" t="str" cm="1">
        <f t="array" ref="AH415">_xlfn.IFS(AG415 &lt;= 5, "New[1-5]", AG415 &lt;= 10, "Early Career[6-10]", AG415 &lt;= 20, "Established[11-20]", AG415 &lt;= 30, "Veteran[21-30]", AG415 &lt;= 40, "Late Career[31-40]")</f>
        <v>Early Career[6-10]</v>
      </c>
      <c r="AI415" s="1">
        <v>4</v>
      </c>
      <c r="AJ415" s="1">
        <v>4</v>
      </c>
      <c r="AK415" s="1">
        <v>6</v>
      </c>
      <c r="AL415" s="9" t="str" cm="1">
        <f t="array" ref="AL415">_xlfn.IFS(AK415 &lt;= 5, "New[1-5]", AK415 &lt;= 10, "Early Career[6-10]", AK415 &lt;= 20, "Established[11-20]", AK415 &lt;= 30, "Veteran[21-30]", AK415 &lt;= 40, "Late Career[31-40]")</f>
        <v>Early Career[6-10]</v>
      </c>
      <c r="AM415" s="1">
        <v>5</v>
      </c>
      <c r="AN415" s="9" t="str" cm="1">
        <f t="array" ref="AN415">_xlfn.IFS(AM415 &lt;= 3, "New to Role[1-3]", AM415 &lt;= 7, "Settled[4-7]", AM415 &lt;= 12, "Experienced[[8-12]", AM415 &lt;= 18, "Long Tenured[13-18]")</f>
        <v>Settled[4-7]</v>
      </c>
      <c r="AO415" s="1">
        <v>0</v>
      </c>
      <c r="AP415" s="9" t="str" cm="1">
        <f t="array" ref="AP415">_xlfn.IFS(AO415 &lt;= 3, "Recently[1-3]", AO415 &lt;= 6, "Due Soon[4-6]", AO415 &lt;= 10, "Overdue[7-10]", AO415 &lt;= 15, "Long Overdue[11-15]")</f>
        <v>Recently[1-3]</v>
      </c>
      <c r="AQ415" s="9" t="str" cm="1">
        <f t="array" ref="AQ415">_xlfn.IFS(AR415 &lt;= 3, "New Relationship[1-3]", AR415 &lt;= 7, "Established Relationship[4-7]", AR415 &lt;= 12, "Long Term Relationship[8-12]", AR415 &lt;= 17, "Very Long Term Relationship[13-17]")</f>
        <v>Established Relationship[4-7]</v>
      </c>
      <c r="AR415" s="1">
        <v>4</v>
      </c>
    </row>
    <row r="416" spans="1:44" x14ac:dyDescent="0.25">
      <c r="A416" s="1">
        <v>24</v>
      </c>
      <c r="B416" s="8" t="str" cm="1">
        <f t="array" ref="B416">_xlfn.IFS(A416 &lt;= 25, "[18-25]", A416 &lt;= 35, "[26-35]", A416 &lt;=45, "[36-45]", A416 &lt;= 60, "[46- 60]")</f>
        <v>[18-25]</v>
      </c>
      <c r="C416" s="3" t="s">
        <v>35</v>
      </c>
      <c r="D416">
        <f t="shared" si="6"/>
        <v>1</v>
      </c>
      <c r="E416" t="s">
        <v>36</v>
      </c>
      <c r="F416" s="1">
        <v>1448</v>
      </c>
      <c r="G416" s="3" t="s">
        <v>37</v>
      </c>
      <c r="H416" s="1">
        <v>1</v>
      </c>
      <c r="I416" s="9" t="str" cm="1">
        <f t="array" ref="I416">_xlfn.IFS(H416 &lt;= 2, "[1-2] very close", H416 &lt;= 10, "[3-10] close", H416 &lt;= 20, "[11-20] moderate", H416 &lt;= 30, "[21-30] far")</f>
        <v>[1-2] very close</v>
      </c>
      <c r="J416" s="1">
        <v>1</v>
      </c>
      <c r="K416" s="3" t="s">
        <v>60</v>
      </c>
      <c r="L416" s="1">
        <v>1</v>
      </c>
      <c r="M416" s="1">
        <v>554</v>
      </c>
      <c r="N416" s="1">
        <v>1</v>
      </c>
      <c r="O416" s="3" t="s">
        <v>39</v>
      </c>
      <c r="P416" s="1">
        <v>62</v>
      </c>
      <c r="Q416" s="1">
        <v>3</v>
      </c>
      <c r="R416" s="1">
        <v>1</v>
      </c>
      <c r="S416" s="3" t="s">
        <v>57</v>
      </c>
      <c r="T416" s="1">
        <v>2</v>
      </c>
      <c r="U416" s="3" t="s">
        <v>41</v>
      </c>
      <c r="V416" s="4">
        <v>3202</v>
      </c>
      <c r="W416" s="1">
        <v>21972</v>
      </c>
      <c r="X416" s="1">
        <v>1</v>
      </c>
      <c r="Y416" s="3" t="s">
        <v>42</v>
      </c>
      <c r="Z416" s="3" t="s">
        <v>35</v>
      </c>
      <c r="AA416" s="5">
        <v>0.16</v>
      </c>
      <c r="AB416" s="10" t="str" cm="1">
        <f t="array" ref="AB416">_xlfn.IFS(AA416 &lt;= 15%, "Low Hike[11-15%]", AA416 &lt;= 20%, "Moderate Hike[16-20%]", AA416 &lt;= 25%,"High Hike[21-25%]")</f>
        <v>Moderate Hike[16-20%]</v>
      </c>
      <c r="AC416" s="1">
        <v>3</v>
      </c>
      <c r="AD416" s="1">
        <v>2</v>
      </c>
      <c r="AE416" s="1">
        <v>80</v>
      </c>
      <c r="AF416" s="1">
        <v>0</v>
      </c>
      <c r="AG416" s="1">
        <v>6</v>
      </c>
      <c r="AH416" s="9" t="str" cm="1">
        <f t="array" ref="AH416">_xlfn.IFS(AG416 &lt;= 5, "New[1-5]", AG416 &lt;= 10, "Early Career[6-10]", AG416 &lt;= 20, "Established[11-20]", AG416 &lt;= 30, "Veteran[21-30]", AG416 &lt;= 40, "Late Career[31-40]")</f>
        <v>Early Career[6-10]</v>
      </c>
      <c r="AI416" s="1">
        <v>4</v>
      </c>
      <c r="AJ416" s="1">
        <v>3</v>
      </c>
      <c r="AK416" s="1">
        <v>5</v>
      </c>
      <c r="AL416" s="9" t="str" cm="1">
        <f t="array" ref="AL416">_xlfn.IFS(AK416 &lt;= 5, "New[1-5]", AK416 &lt;= 10, "Early Career[6-10]", AK416 &lt;= 20, "Established[11-20]", AK416 &lt;= 30, "Veteran[21-30]", AK416 &lt;= 40, "Late Career[31-40]")</f>
        <v>New[1-5]</v>
      </c>
      <c r="AM416" s="1">
        <v>3</v>
      </c>
      <c r="AN416" s="9" t="str" cm="1">
        <f t="array" ref="AN416">_xlfn.IFS(AM416 &lt;= 3, "New to Role[1-3]", AM416 &lt;= 7, "Settled[4-7]", AM416 &lt;= 12, "Experienced[[8-12]", AM416 &lt;= 18, "Long Tenured[13-18]")</f>
        <v>New to Role[1-3]</v>
      </c>
      <c r="AO416" s="1">
        <v>1</v>
      </c>
      <c r="AP416" s="9" t="str" cm="1">
        <f t="array" ref="AP416">_xlfn.IFS(AO416 &lt;= 3, "Recently[1-3]", AO416 &lt;= 6, "Due Soon[4-6]", AO416 &lt;= 10, "Overdue[7-10]", AO416 &lt;= 15, "Long Overdue[11-15]")</f>
        <v>Recently[1-3]</v>
      </c>
      <c r="AQ416" s="9" t="str" cm="1">
        <f t="array" ref="AQ416">_xlfn.IFS(AR416 &lt;= 3, "New Relationship[1-3]", AR416 &lt;= 7, "Established Relationship[4-7]", AR416 &lt;= 12, "Long Term Relationship[8-12]", AR416 &lt;= 17, "Very Long Term Relationship[13-17]")</f>
        <v>Established Relationship[4-7]</v>
      </c>
      <c r="AR416" s="1">
        <v>4</v>
      </c>
    </row>
    <row r="417" spans="1:44" x14ac:dyDescent="0.25">
      <c r="A417" s="1">
        <v>34</v>
      </c>
      <c r="B417" s="8" t="str" cm="1">
        <f t="array" ref="B417">_xlfn.IFS(A417 &lt;= 25, "[18-25]", A417 &lt;= 35, "[26-35]", A417 &lt;=45, "[36-45]", A417 &lt;= 60, "[46- 60]")</f>
        <v>[26-35]</v>
      </c>
      <c r="C417" s="3" t="s">
        <v>35</v>
      </c>
      <c r="D417">
        <f t="shared" si="6"/>
        <v>1</v>
      </c>
      <c r="E417" t="s">
        <v>44</v>
      </c>
      <c r="F417" s="1">
        <v>296</v>
      </c>
      <c r="G417" s="3" t="s">
        <v>37</v>
      </c>
      <c r="H417" s="1">
        <v>6</v>
      </c>
      <c r="I417" s="9" t="str" cm="1">
        <f t="array" ref="I417">_xlfn.IFS(H417 &lt;= 2, "[1-2] very close", H417 &lt;= 10, "[3-10] close", H417 &lt;= 20, "[11-20] moderate", H417 &lt;= 30, "[21-30] far")</f>
        <v>[3-10] close</v>
      </c>
      <c r="J417" s="1">
        <v>2</v>
      </c>
      <c r="K417" s="3" t="s">
        <v>59</v>
      </c>
      <c r="L417" s="1">
        <v>1</v>
      </c>
      <c r="M417" s="1">
        <v>555</v>
      </c>
      <c r="N417" s="1">
        <v>4</v>
      </c>
      <c r="O417" s="3" t="s">
        <v>39</v>
      </c>
      <c r="P417" s="1">
        <v>33</v>
      </c>
      <c r="Q417" s="1">
        <v>1</v>
      </c>
      <c r="R417" s="1">
        <v>1</v>
      </c>
      <c r="S417" s="3" t="s">
        <v>57</v>
      </c>
      <c r="T417" s="1">
        <v>3</v>
      </c>
      <c r="U417" s="3" t="s">
        <v>52</v>
      </c>
      <c r="V417" s="4">
        <v>2351</v>
      </c>
      <c r="W417" s="1">
        <v>12253</v>
      </c>
      <c r="X417" s="1">
        <v>0</v>
      </c>
      <c r="Y417" s="3" t="s">
        <v>42</v>
      </c>
      <c r="Z417" s="3" t="s">
        <v>43</v>
      </c>
      <c r="AA417" s="5">
        <v>0.16</v>
      </c>
      <c r="AB417" s="10" t="str" cm="1">
        <f t="array" ref="AB417">_xlfn.IFS(AA417 &lt;= 15%, "Low Hike[11-15%]", AA417 &lt;= 20%, "Moderate Hike[16-20%]", AA417 &lt;= 25%,"High Hike[21-25%]")</f>
        <v>Moderate Hike[16-20%]</v>
      </c>
      <c r="AC417" s="1">
        <v>3</v>
      </c>
      <c r="AD417" s="1">
        <v>4</v>
      </c>
      <c r="AE417" s="1">
        <v>80</v>
      </c>
      <c r="AF417" s="1">
        <v>1</v>
      </c>
      <c r="AG417" s="1">
        <v>3</v>
      </c>
      <c r="AH417" s="9" t="str" cm="1">
        <f t="array" ref="AH417">_xlfn.IFS(AG417 &lt;= 5, "New[1-5]", AG417 &lt;= 10, "Early Career[6-10]", AG417 &lt;= 20, "Established[11-20]", AG417 &lt;= 30, "Veteran[21-30]", AG417 &lt;= 40, "Late Career[31-40]")</f>
        <v>New[1-5]</v>
      </c>
      <c r="AI417" s="1">
        <v>3</v>
      </c>
      <c r="AJ417" s="1">
        <v>2</v>
      </c>
      <c r="AK417" s="1">
        <v>2</v>
      </c>
      <c r="AL417" s="9" t="str" cm="1">
        <f t="array" ref="AL417">_xlfn.IFS(AK417 &lt;= 5, "New[1-5]", AK417 &lt;= 10, "Early Career[6-10]", AK417 &lt;= 20, "Established[11-20]", AK417 &lt;= 30, "Veteran[21-30]", AK417 &lt;= 40, "Late Career[31-40]")</f>
        <v>New[1-5]</v>
      </c>
      <c r="AM417" s="1">
        <v>2</v>
      </c>
      <c r="AN417" s="9" t="str" cm="1">
        <f t="array" ref="AN417">_xlfn.IFS(AM417 &lt;= 3, "New to Role[1-3]", AM417 &lt;= 7, "Settled[4-7]", AM417 &lt;= 12, "Experienced[[8-12]", AM417 &lt;= 18, "Long Tenured[13-18]")</f>
        <v>New to Role[1-3]</v>
      </c>
      <c r="AO417" s="1">
        <v>1</v>
      </c>
      <c r="AP417" s="9" t="str" cm="1">
        <f t="array" ref="AP417">_xlfn.IFS(AO417 &lt;= 3, "Recently[1-3]", AO417 &lt;= 6, "Due Soon[4-6]", AO417 &lt;= 10, "Overdue[7-10]", AO417 &lt;= 15, "Long Overdue[11-15]")</f>
        <v>Recently[1-3]</v>
      </c>
      <c r="AQ417" s="9" t="str" cm="1">
        <f t="array" ref="AQ417">_xlfn.IFS(AR417 &lt;= 3, "New Relationship[1-3]", AR417 &lt;= 7, "Established Relationship[4-7]", AR417 &lt;= 12, "Long Term Relationship[8-12]", AR417 &lt;= 17, "Very Long Term Relationship[13-17]")</f>
        <v>New Relationship[1-3]</v>
      </c>
      <c r="AR417" s="1">
        <v>0</v>
      </c>
    </row>
    <row r="418" spans="1:44" x14ac:dyDescent="0.25">
      <c r="A418" s="1">
        <v>38</v>
      </c>
      <c r="B418" s="8" t="str" cm="1">
        <f t="array" ref="B418">_xlfn.IFS(A418 &lt;= 25, "[18-25]", A418 &lt;= 35, "[26-35]", A418 &lt;=45, "[36-45]", A418 &lt;= 60, "[46- 60]")</f>
        <v>[36-45]</v>
      </c>
      <c r="C418" s="3" t="s">
        <v>43</v>
      </c>
      <c r="D418">
        <f t="shared" si="6"/>
        <v>0</v>
      </c>
      <c r="E418" t="s">
        <v>44</v>
      </c>
      <c r="F418" s="1">
        <v>1490</v>
      </c>
      <c r="G418" s="3" t="s">
        <v>45</v>
      </c>
      <c r="H418" s="1">
        <v>2</v>
      </c>
      <c r="I418" s="9" t="str" cm="1">
        <f t="array" ref="I418">_xlfn.IFS(H418 &lt;= 2, "[1-2] very close", H418 &lt;= 10, "[3-10] close", H418 &lt;= 20, "[11-20] moderate", H418 &lt;= 30, "[21-30] far")</f>
        <v>[1-2] very close</v>
      </c>
      <c r="J418" s="1">
        <v>2</v>
      </c>
      <c r="K418" s="3" t="s">
        <v>38</v>
      </c>
      <c r="L418" s="1">
        <v>1</v>
      </c>
      <c r="M418" s="1">
        <v>556</v>
      </c>
      <c r="N418" s="1">
        <v>4</v>
      </c>
      <c r="O418" s="3" t="s">
        <v>46</v>
      </c>
      <c r="P418" s="1">
        <v>42</v>
      </c>
      <c r="Q418" s="1">
        <v>3</v>
      </c>
      <c r="R418" s="1">
        <v>1</v>
      </c>
      <c r="S418" s="3" t="s">
        <v>50</v>
      </c>
      <c r="T418" s="1">
        <v>4</v>
      </c>
      <c r="U418" s="3" t="s">
        <v>48</v>
      </c>
      <c r="V418" s="4">
        <v>1702</v>
      </c>
      <c r="W418" s="1">
        <v>12106</v>
      </c>
      <c r="X418" s="1">
        <v>1</v>
      </c>
      <c r="Y418" s="3" t="s">
        <v>42</v>
      </c>
      <c r="Z418" s="3" t="s">
        <v>35</v>
      </c>
      <c r="AA418" s="5">
        <v>0.23</v>
      </c>
      <c r="AB418" s="10" t="str" cm="1">
        <f t="array" ref="AB418">_xlfn.IFS(AA418 &lt;= 15%, "Low Hike[11-15%]", AA418 &lt;= 20%, "Moderate Hike[16-20%]", AA418 &lt;= 25%,"High Hike[21-25%]")</f>
        <v>High Hike[21-25%]</v>
      </c>
      <c r="AC418" s="1">
        <v>4</v>
      </c>
      <c r="AD418" s="1">
        <v>3</v>
      </c>
      <c r="AE418" s="1">
        <v>80</v>
      </c>
      <c r="AF418" s="1">
        <v>1</v>
      </c>
      <c r="AG418" s="1">
        <v>1</v>
      </c>
      <c r="AH418" s="9" t="str" cm="1">
        <f t="array" ref="AH418">_xlfn.IFS(AG418 &lt;= 5, "New[1-5]", AG418 &lt;= 10, "Early Career[6-10]", AG418 &lt;= 20, "Established[11-20]", AG418 &lt;= 30, "Veteran[21-30]", AG418 &lt;= 40, "Late Career[31-40]")</f>
        <v>New[1-5]</v>
      </c>
      <c r="AI418" s="1">
        <v>3</v>
      </c>
      <c r="AJ418" s="1">
        <v>3</v>
      </c>
      <c r="AK418" s="1">
        <v>1</v>
      </c>
      <c r="AL418" s="9" t="str" cm="1">
        <f t="array" ref="AL418">_xlfn.IFS(AK418 &lt;= 5, "New[1-5]", AK418 &lt;= 10, "Early Career[6-10]", AK418 &lt;= 20, "Established[11-20]", AK418 &lt;= 30, "Veteran[21-30]", AK418 &lt;= 40, "Late Career[31-40]")</f>
        <v>New[1-5]</v>
      </c>
      <c r="AM418" s="1">
        <v>0</v>
      </c>
      <c r="AN418" s="9" t="str" cm="1">
        <f t="array" ref="AN418">_xlfn.IFS(AM418 &lt;= 3, "New to Role[1-3]", AM418 &lt;= 7, "Settled[4-7]", AM418 &lt;= 12, "Experienced[[8-12]", AM418 &lt;= 18, "Long Tenured[13-18]")</f>
        <v>New to Role[1-3]</v>
      </c>
      <c r="AO418" s="1">
        <v>0</v>
      </c>
      <c r="AP418" s="9" t="str" cm="1">
        <f t="array" ref="AP418">_xlfn.IFS(AO418 &lt;= 3, "Recently[1-3]", AO418 &lt;= 6, "Due Soon[4-6]", AO418 &lt;= 10, "Overdue[7-10]", AO418 &lt;= 15, "Long Overdue[11-15]")</f>
        <v>Recently[1-3]</v>
      </c>
      <c r="AQ418" s="9" t="str" cm="1">
        <f t="array" ref="AQ418">_xlfn.IFS(AR418 &lt;= 3, "New Relationship[1-3]", AR418 &lt;= 7, "Established Relationship[4-7]", AR418 &lt;= 12, "Long Term Relationship[8-12]", AR418 &lt;= 17, "Very Long Term Relationship[13-17]")</f>
        <v>New Relationship[1-3]</v>
      </c>
      <c r="AR418" s="1">
        <v>0</v>
      </c>
    </row>
    <row r="419" spans="1:44" x14ac:dyDescent="0.25">
      <c r="A419" s="1">
        <v>40</v>
      </c>
      <c r="B419" s="8" t="str" cm="1">
        <f t="array" ref="B419">_xlfn.IFS(A419 &lt;= 25, "[18-25]", A419 &lt;= 35, "[26-35]", A419 &lt;=45, "[36-45]", A419 &lt;= 60, "[46- 60]")</f>
        <v>[36-45]</v>
      </c>
      <c r="C419" s="3" t="s">
        <v>43</v>
      </c>
      <c r="D419">
        <f t="shared" si="6"/>
        <v>0</v>
      </c>
      <c r="E419" t="s">
        <v>36</v>
      </c>
      <c r="F419" s="1">
        <v>1398</v>
      </c>
      <c r="G419" s="3" t="s">
        <v>37</v>
      </c>
      <c r="H419" s="1">
        <v>2</v>
      </c>
      <c r="I419" s="9" t="str" cm="1">
        <f t="array" ref="I419">_xlfn.IFS(H419 &lt;= 2, "[1-2] very close", H419 &lt;= 10, "[3-10] close", H419 &lt;= 20, "[11-20] moderate", H419 &lt;= 30, "[21-30] far")</f>
        <v>[1-2] very close</v>
      </c>
      <c r="J419" s="1">
        <v>4</v>
      </c>
      <c r="K419" s="3" t="s">
        <v>38</v>
      </c>
      <c r="L419" s="1">
        <v>1</v>
      </c>
      <c r="M419" s="1">
        <v>558</v>
      </c>
      <c r="N419" s="1">
        <v>3</v>
      </c>
      <c r="O419" s="3" t="s">
        <v>39</v>
      </c>
      <c r="P419" s="1">
        <v>79</v>
      </c>
      <c r="Q419" s="1">
        <v>3</v>
      </c>
      <c r="R419" s="1">
        <v>5</v>
      </c>
      <c r="S419" s="3" t="s">
        <v>56</v>
      </c>
      <c r="T419" s="1">
        <v>3</v>
      </c>
      <c r="U419" s="3" t="s">
        <v>48</v>
      </c>
      <c r="V419" s="4">
        <v>18041</v>
      </c>
      <c r="W419" s="1">
        <v>13022</v>
      </c>
      <c r="X419" s="1">
        <v>0</v>
      </c>
      <c r="Y419" s="3" t="s">
        <v>42</v>
      </c>
      <c r="Z419" s="3" t="s">
        <v>43</v>
      </c>
      <c r="AA419" s="5">
        <v>0.14000000000000001</v>
      </c>
      <c r="AB419" s="10" t="str" cm="1">
        <f t="array" ref="AB419">_xlfn.IFS(AA419 &lt;= 15%, "Low Hike[11-15%]", AA419 &lt;= 20%, "Moderate Hike[16-20%]", AA419 &lt;= 25%,"High Hike[21-25%]")</f>
        <v>Low Hike[11-15%]</v>
      </c>
      <c r="AC419" s="1">
        <v>3</v>
      </c>
      <c r="AD419" s="1">
        <v>4</v>
      </c>
      <c r="AE419" s="1">
        <v>80</v>
      </c>
      <c r="AF419" s="1">
        <v>0</v>
      </c>
      <c r="AG419" s="1">
        <v>21</v>
      </c>
      <c r="AH419" s="9" t="str" cm="1">
        <f t="array" ref="AH419">_xlfn.IFS(AG419 &lt;= 5, "New[1-5]", AG419 &lt;= 10, "Early Career[6-10]", AG419 &lt;= 20, "Established[11-20]", AG419 &lt;= 30, "Veteran[21-30]", AG419 &lt;= 40, "Late Career[31-40]")</f>
        <v>Veteran[21-30]</v>
      </c>
      <c r="AI419" s="1">
        <v>2</v>
      </c>
      <c r="AJ419" s="1">
        <v>3</v>
      </c>
      <c r="AK419" s="1">
        <v>20</v>
      </c>
      <c r="AL419" s="9" t="str" cm="1">
        <f t="array" ref="AL419">_xlfn.IFS(AK419 &lt;= 5, "New[1-5]", AK419 &lt;= 10, "Early Career[6-10]", AK419 &lt;= 20, "Established[11-20]", AK419 &lt;= 30, "Veteran[21-30]", AK419 &lt;= 40, "Late Career[31-40]")</f>
        <v>Established[11-20]</v>
      </c>
      <c r="AM419" s="1">
        <v>15</v>
      </c>
      <c r="AN419" s="9" t="str" cm="1">
        <f t="array" ref="AN419">_xlfn.IFS(AM419 &lt;= 3, "New to Role[1-3]", AM419 &lt;= 7, "Settled[4-7]", AM419 &lt;= 12, "Experienced[[8-12]", AM419 &lt;= 18, "Long Tenured[13-18]")</f>
        <v>Long Tenured[13-18]</v>
      </c>
      <c r="AO419" s="1">
        <v>1</v>
      </c>
      <c r="AP419" s="9" t="str" cm="1">
        <f t="array" ref="AP419">_xlfn.IFS(AO419 &lt;= 3, "Recently[1-3]", AO419 &lt;= 6, "Due Soon[4-6]", AO419 &lt;= 10, "Overdue[7-10]", AO419 &lt;= 15, "Long Overdue[11-15]")</f>
        <v>Recently[1-3]</v>
      </c>
      <c r="AQ419" s="9" t="str" cm="1">
        <f t="array" ref="AQ419">_xlfn.IFS(AR419 &lt;= 3, "New Relationship[1-3]", AR419 &lt;= 7, "Established Relationship[4-7]", AR419 &lt;= 12, "Long Term Relationship[8-12]", AR419 &lt;= 17, "Very Long Term Relationship[13-17]")</f>
        <v>Long Term Relationship[8-12]</v>
      </c>
      <c r="AR419" s="1">
        <v>12</v>
      </c>
    </row>
    <row r="420" spans="1:44" x14ac:dyDescent="0.25">
      <c r="A420" s="1">
        <v>26</v>
      </c>
      <c r="B420" s="8" t="str" cm="1">
        <f t="array" ref="B420">_xlfn.IFS(A420 &lt;= 25, "[18-25]", A420 &lt;= 35, "[26-35]", A420 &lt;=45, "[36-45]", A420 &lt;= 60, "[46- 60]")</f>
        <v>[26-35]</v>
      </c>
      <c r="C420" s="3" t="s">
        <v>43</v>
      </c>
      <c r="D420">
        <f t="shared" si="6"/>
        <v>0</v>
      </c>
      <c r="E420" t="s">
        <v>36</v>
      </c>
      <c r="F420" s="1">
        <v>1349</v>
      </c>
      <c r="G420" s="3" t="s">
        <v>45</v>
      </c>
      <c r="H420" s="1">
        <v>23</v>
      </c>
      <c r="I420" s="9" t="str" cm="1">
        <f t="array" ref="I420">_xlfn.IFS(H420 &lt;= 2, "[1-2] very close", H420 &lt;= 10, "[3-10] close", H420 &lt;= 20, "[11-20] moderate", H420 &lt;= 30, "[21-30] far")</f>
        <v>[21-30] far</v>
      </c>
      <c r="J420" s="1">
        <v>3</v>
      </c>
      <c r="K420" s="3" t="s">
        <v>38</v>
      </c>
      <c r="L420" s="1">
        <v>1</v>
      </c>
      <c r="M420" s="1">
        <v>560</v>
      </c>
      <c r="N420" s="1">
        <v>1</v>
      </c>
      <c r="O420" s="3" t="s">
        <v>39</v>
      </c>
      <c r="P420" s="1">
        <v>90</v>
      </c>
      <c r="Q420" s="1">
        <v>3</v>
      </c>
      <c r="R420" s="1">
        <v>1</v>
      </c>
      <c r="S420" s="3" t="s">
        <v>47</v>
      </c>
      <c r="T420" s="1">
        <v>4</v>
      </c>
      <c r="U420" s="3" t="s">
        <v>52</v>
      </c>
      <c r="V420" s="4">
        <v>2886</v>
      </c>
      <c r="W420" s="1">
        <v>3032</v>
      </c>
      <c r="X420" s="1">
        <v>1</v>
      </c>
      <c r="Y420" s="3" t="s">
        <v>42</v>
      </c>
      <c r="Z420" s="3" t="s">
        <v>43</v>
      </c>
      <c r="AA420" s="5">
        <v>0.22</v>
      </c>
      <c r="AB420" s="10" t="str" cm="1">
        <f t="array" ref="AB420">_xlfn.IFS(AA420 &lt;= 15%, "Low Hike[11-15%]", AA420 &lt;= 20%, "Moderate Hike[16-20%]", AA420 &lt;= 25%,"High Hike[21-25%]")</f>
        <v>High Hike[21-25%]</v>
      </c>
      <c r="AC420" s="1">
        <v>4</v>
      </c>
      <c r="AD420" s="1">
        <v>2</v>
      </c>
      <c r="AE420" s="1">
        <v>80</v>
      </c>
      <c r="AF420" s="1">
        <v>2</v>
      </c>
      <c r="AG420" s="1">
        <v>3</v>
      </c>
      <c r="AH420" s="9" t="str" cm="1">
        <f t="array" ref="AH420">_xlfn.IFS(AG420 &lt;= 5, "New[1-5]", AG420 &lt;= 10, "Early Career[6-10]", AG420 &lt;= 20, "Established[11-20]", AG420 &lt;= 30, "Veteran[21-30]", AG420 &lt;= 40, "Late Career[31-40]")</f>
        <v>New[1-5]</v>
      </c>
      <c r="AI420" s="1">
        <v>3</v>
      </c>
      <c r="AJ420" s="1">
        <v>1</v>
      </c>
      <c r="AK420" s="1">
        <v>3</v>
      </c>
      <c r="AL420" s="9" t="str" cm="1">
        <f t="array" ref="AL420">_xlfn.IFS(AK420 &lt;= 5, "New[1-5]", AK420 &lt;= 10, "Early Career[6-10]", AK420 &lt;= 20, "Established[11-20]", AK420 &lt;= 30, "Veteran[21-30]", AK420 &lt;= 40, "Late Career[31-40]")</f>
        <v>New[1-5]</v>
      </c>
      <c r="AM420" s="1">
        <v>2</v>
      </c>
      <c r="AN420" s="9" t="str" cm="1">
        <f t="array" ref="AN420">_xlfn.IFS(AM420 &lt;= 3, "New to Role[1-3]", AM420 &lt;= 7, "Settled[4-7]", AM420 &lt;= 12, "Experienced[[8-12]", AM420 &lt;= 18, "Long Tenured[13-18]")</f>
        <v>New to Role[1-3]</v>
      </c>
      <c r="AO420" s="1">
        <v>0</v>
      </c>
      <c r="AP420" s="9" t="str" cm="1">
        <f t="array" ref="AP420">_xlfn.IFS(AO420 &lt;= 3, "Recently[1-3]", AO420 &lt;= 6, "Due Soon[4-6]", AO420 &lt;= 10, "Overdue[7-10]", AO420 &lt;= 15, "Long Overdue[11-15]")</f>
        <v>Recently[1-3]</v>
      </c>
      <c r="AQ420" s="9" t="str" cm="1">
        <f t="array" ref="AQ420">_xlfn.IFS(AR420 &lt;= 3, "New Relationship[1-3]", AR420 &lt;= 7, "Established Relationship[4-7]", AR420 &lt;= 12, "Long Term Relationship[8-12]", AR420 &lt;= 17, "Very Long Term Relationship[13-17]")</f>
        <v>New Relationship[1-3]</v>
      </c>
      <c r="AR420" s="1">
        <v>2</v>
      </c>
    </row>
    <row r="421" spans="1:44" x14ac:dyDescent="0.25">
      <c r="A421" s="1">
        <v>30</v>
      </c>
      <c r="B421" s="8" t="str" cm="1">
        <f t="array" ref="B421">_xlfn.IFS(A421 &lt;= 25, "[18-25]", A421 &lt;= 35, "[26-35]", A421 &lt;=45, "[36-45]", A421 &lt;= 60, "[46- 60]")</f>
        <v>[26-35]</v>
      </c>
      <c r="C421" s="3" t="s">
        <v>43</v>
      </c>
      <c r="D421">
        <f t="shared" si="6"/>
        <v>0</v>
      </c>
      <c r="E421" t="s">
        <v>62</v>
      </c>
      <c r="F421" s="1">
        <v>1400</v>
      </c>
      <c r="G421" s="3" t="s">
        <v>45</v>
      </c>
      <c r="H421" s="1">
        <v>3</v>
      </c>
      <c r="I421" s="9" t="str" cm="1">
        <f t="array" ref="I421">_xlfn.IFS(H421 &lt;= 2, "[1-2] very close", H421 &lt;= 10, "[3-10] close", H421 &lt;= 20, "[11-20] moderate", H421 &lt;= 30, "[21-30] far")</f>
        <v>[3-10] close</v>
      </c>
      <c r="J421" s="1">
        <v>3</v>
      </c>
      <c r="K421" s="3" t="s">
        <v>38</v>
      </c>
      <c r="L421" s="1">
        <v>1</v>
      </c>
      <c r="M421" s="1">
        <v>562</v>
      </c>
      <c r="N421" s="1">
        <v>3</v>
      </c>
      <c r="O421" s="3" t="s">
        <v>46</v>
      </c>
      <c r="P421" s="1">
        <v>53</v>
      </c>
      <c r="Q421" s="1">
        <v>3</v>
      </c>
      <c r="R421" s="1">
        <v>1</v>
      </c>
      <c r="S421" s="3" t="s">
        <v>50</v>
      </c>
      <c r="T421" s="1">
        <v>4</v>
      </c>
      <c r="U421" s="3" t="s">
        <v>48</v>
      </c>
      <c r="V421" s="4">
        <v>2097</v>
      </c>
      <c r="W421" s="1">
        <v>16734</v>
      </c>
      <c r="X421" s="1">
        <v>4</v>
      </c>
      <c r="Y421" s="3" t="s">
        <v>42</v>
      </c>
      <c r="Z421" s="3" t="s">
        <v>43</v>
      </c>
      <c r="AA421" s="5">
        <v>0.15</v>
      </c>
      <c r="AB421" s="10" t="str" cm="1">
        <f t="array" ref="AB421">_xlfn.IFS(AA421 &lt;= 15%, "Low Hike[11-15%]", AA421 &lt;= 20%, "Moderate Hike[16-20%]", AA421 &lt;= 25%,"High Hike[21-25%]")</f>
        <v>Low Hike[11-15%]</v>
      </c>
      <c r="AC421" s="1">
        <v>3</v>
      </c>
      <c r="AD421" s="1">
        <v>3</v>
      </c>
      <c r="AE421" s="1">
        <v>80</v>
      </c>
      <c r="AF421" s="1">
        <v>1</v>
      </c>
      <c r="AG421" s="1">
        <v>9</v>
      </c>
      <c r="AH421" s="9" t="str" cm="1">
        <f t="array" ref="AH421">_xlfn.IFS(AG421 &lt;= 5, "New[1-5]", AG421 &lt;= 10, "Early Career[6-10]", AG421 &lt;= 20, "Established[11-20]", AG421 &lt;= 30, "Veteran[21-30]", AG421 &lt;= 40, "Late Career[31-40]")</f>
        <v>Early Career[6-10]</v>
      </c>
      <c r="AI421" s="1">
        <v>3</v>
      </c>
      <c r="AJ421" s="1">
        <v>1</v>
      </c>
      <c r="AK421" s="1">
        <v>5</v>
      </c>
      <c r="AL421" s="9" t="str" cm="1">
        <f t="array" ref="AL421">_xlfn.IFS(AK421 &lt;= 5, "New[1-5]", AK421 &lt;= 10, "Early Career[6-10]", AK421 &lt;= 20, "Established[11-20]", AK421 &lt;= 30, "Veteran[21-30]", AK421 &lt;= 40, "Late Career[31-40]")</f>
        <v>New[1-5]</v>
      </c>
      <c r="AM421" s="1">
        <v>3</v>
      </c>
      <c r="AN421" s="9" t="str" cm="1">
        <f t="array" ref="AN421">_xlfn.IFS(AM421 &lt;= 3, "New to Role[1-3]", AM421 &lt;= 7, "Settled[4-7]", AM421 &lt;= 12, "Experienced[[8-12]", AM421 &lt;= 18, "Long Tenured[13-18]")</f>
        <v>New to Role[1-3]</v>
      </c>
      <c r="AO421" s="1">
        <v>1</v>
      </c>
      <c r="AP421" s="9" t="str" cm="1">
        <f t="array" ref="AP421">_xlfn.IFS(AO421 &lt;= 3, "Recently[1-3]", AO421 &lt;= 6, "Due Soon[4-6]", AO421 &lt;= 10, "Overdue[7-10]", AO421 &lt;= 15, "Long Overdue[11-15]")</f>
        <v>Recently[1-3]</v>
      </c>
      <c r="AQ421" s="9" t="str" cm="1">
        <f t="array" ref="AQ421">_xlfn.IFS(AR421 &lt;= 3, "New Relationship[1-3]", AR421 &lt;= 7, "Established Relationship[4-7]", AR421 &lt;= 12, "Long Term Relationship[8-12]", AR421 &lt;= 17, "Very Long Term Relationship[13-17]")</f>
        <v>Established Relationship[4-7]</v>
      </c>
      <c r="AR421" s="1">
        <v>4</v>
      </c>
    </row>
    <row r="422" spans="1:44" x14ac:dyDescent="0.25">
      <c r="A422" s="1">
        <v>29</v>
      </c>
      <c r="B422" s="8" t="str" cm="1">
        <f t="array" ref="B422">_xlfn.IFS(A422 &lt;= 25, "[18-25]", A422 &lt;= 35, "[26-35]", A422 &lt;=45, "[36-45]", A422 &lt;= 60, "[46- 60]")</f>
        <v>[26-35]</v>
      </c>
      <c r="C422" s="3" t="s">
        <v>43</v>
      </c>
      <c r="D422">
        <f t="shared" si="6"/>
        <v>0</v>
      </c>
      <c r="E422" t="s">
        <v>36</v>
      </c>
      <c r="F422" s="1">
        <v>986</v>
      </c>
      <c r="G422" s="3" t="s">
        <v>45</v>
      </c>
      <c r="H422" s="1">
        <v>3</v>
      </c>
      <c r="I422" s="9" t="str" cm="1">
        <f t="array" ref="I422">_xlfn.IFS(H422 &lt;= 2, "[1-2] very close", H422 &lt;= 10, "[3-10] close", H422 &lt;= 20, "[11-20] moderate", H422 &lt;= 30, "[21-30] far")</f>
        <v>[3-10] close</v>
      </c>
      <c r="J422" s="1">
        <v>4</v>
      </c>
      <c r="K422" s="3" t="s">
        <v>51</v>
      </c>
      <c r="L422" s="1">
        <v>1</v>
      </c>
      <c r="M422" s="1">
        <v>564</v>
      </c>
      <c r="N422" s="1">
        <v>2</v>
      </c>
      <c r="O422" s="3" t="s">
        <v>46</v>
      </c>
      <c r="P422" s="1">
        <v>93</v>
      </c>
      <c r="Q422" s="1">
        <v>2</v>
      </c>
      <c r="R422" s="1">
        <v>3</v>
      </c>
      <c r="S422" s="3" t="s">
        <v>58</v>
      </c>
      <c r="T422" s="1">
        <v>3</v>
      </c>
      <c r="U422" s="3" t="s">
        <v>48</v>
      </c>
      <c r="V422" s="4">
        <v>11935</v>
      </c>
      <c r="W422" s="1">
        <v>21526</v>
      </c>
      <c r="X422" s="1">
        <v>1</v>
      </c>
      <c r="Y422" s="3" t="s">
        <v>42</v>
      </c>
      <c r="Z422" s="3" t="s">
        <v>43</v>
      </c>
      <c r="AA422" s="5">
        <v>0.18</v>
      </c>
      <c r="AB422" s="10" t="str" cm="1">
        <f t="array" ref="AB422">_xlfn.IFS(AA422 &lt;= 15%, "Low Hike[11-15%]", AA422 &lt;= 20%, "Moderate Hike[16-20%]", AA422 &lt;= 25%,"High Hike[21-25%]")</f>
        <v>Moderate Hike[16-20%]</v>
      </c>
      <c r="AC422" s="1">
        <v>3</v>
      </c>
      <c r="AD422" s="1">
        <v>3</v>
      </c>
      <c r="AE422" s="1">
        <v>80</v>
      </c>
      <c r="AF422" s="1">
        <v>0</v>
      </c>
      <c r="AG422" s="1">
        <v>10</v>
      </c>
      <c r="AH422" s="9" t="str" cm="1">
        <f t="array" ref="AH422">_xlfn.IFS(AG422 &lt;= 5, "New[1-5]", AG422 &lt;= 10, "Early Career[6-10]", AG422 &lt;= 20, "Established[11-20]", AG422 &lt;= 30, "Veteran[21-30]", AG422 &lt;= 40, "Late Career[31-40]")</f>
        <v>Early Career[6-10]</v>
      </c>
      <c r="AI422" s="1">
        <v>2</v>
      </c>
      <c r="AJ422" s="1">
        <v>3</v>
      </c>
      <c r="AK422" s="1">
        <v>10</v>
      </c>
      <c r="AL422" s="9" t="str" cm="1">
        <f t="array" ref="AL422">_xlfn.IFS(AK422 &lt;= 5, "New[1-5]", AK422 &lt;= 10, "Early Career[6-10]", AK422 &lt;= 20, "Established[11-20]", AK422 &lt;= 30, "Veteran[21-30]", AK422 &lt;= 40, "Late Career[31-40]")</f>
        <v>Early Career[6-10]</v>
      </c>
      <c r="AM422" s="1">
        <v>2</v>
      </c>
      <c r="AN422" s="9" t="str" cm="1">
        <f t="array" ref="AN422">_xlfn.IFS(AM422 &lt;= 3, "New to Role[1-3]", AM422 &lt;= 7, "Settled[4-7]", AM422 &lt;= 12, "Experienced[[8-12]", AM422 &lt;= 18, "Long Tenured[13-18]")</f>
        <v>New to Role[1-3]</v>
      </c>
      <c r="AO422" s="1">
        <v>0</v>
      </c>
      <c r="AP422" s="9" t="str" cm="1">
        <f t="array" ref="AP422">_xlfn.IFS(AO422 &lt;= 3, "Recently[1-3]", AO422 &lt;= 6, "Due Soon[4-6]", AO422 &lt;= 10, "Overdue[7-10]", AO422 &lt;= 15, "Long Overdue[11-15]")</f>
        <v>Recently[1-3]</v>
      </c>
      <c r="AQ422" s="9" t="str" cm="1">
        <f t="array" ref="AQ422">_xlfn.IFS(AR422 &lt;= 3, "New Relationship[1-3]", AR422 &lt;= 7, "Established Relationship[4-7]", AR422 &lt;= 12, "Long Term Relationship[8-12]", AR422 &lt;= 17, "Very Long Term Relationship[13-17]")</f>
        <v>Established Relationship[4-7]</v>
      </c>
      <c r="AR422" s="1">
        <v>7</v>
      </c>
    </row>
    <row r="423" spans="1:44" x14ac:dyDescent="0.25">
      <c r="A423" s="1">
        <v>29</v>
      </c>
      <c r="B423" s="8" t="str" cm="1">
        <f t="array" ref="B423">_xlfn.IFS(A423 &lt;= 25, "[18-25]", A423 &lt;= 35, "[26-35]", A423 &lt;=45, "[36-45]", A423 &lt;= 60, "[46- 60]")</f>
        <v>[26-35]</v>
      </c>
      <c r="C423" s="3" t="s">
        <v>35</v>
      </c>
      <c r="D423">
        <f t="shared" si="6"/>
        <v>1</v>
      </c>
      <c r="E423" t="s">
        <v>36</v>
      </c>
      <c r="F423" s="1">
        <v>408</v>
      </c>
      <c r="G423" s="3" t="s">
        <v>45</v>
      </c>
      <c r="H423" s="1">
        <v>25</v>
      </c>
      <c r="I423" s="9" t="str" cm="1">
        <f t="array" ref="I423">_xlfn.IFS(H423 &lt;= 2, "[1-2] very close", H423 &lt;= 10, "[3-10] close", H423 &lt;= 20, "[11-20] moderate", H423 &lt;= 30, "[21-30] far")</f>
        <v>[21-30] far</v>
      </c>
      <c r="J423" s="1">
        <v>5</v>
      </c>
      <c r="K423" s="3" t="s">
        <v>60</v>
      </c>
      <c r="L423" s="1">
        <v>1</v>
      </c>
      <c r="M423" s="1">
        <v>565</v>
      </c>
      <c r="N423" s="1">
        <v>3</v>
      </c>
      <c r="O423" s="3" t="s">
        <v>39</v>
      </c>
      <c r="P423" s="1">
        <v>71</v>
      </c>
      <c r="Q423" s="1">
        <v>2</v>
      </c>
      <c r="R423" s="1">
        <v>1</v>
      </c>
      <c r="S423" s="3" t="s">
        <v>47</v>
      </c>
      <c r="T423" s="1">
        <v>2</v>
      </c>
      <c r="U423" s="3" t="s">
        <v>48</v>
      </c>
      <c r="V423" s="4">
        <v>2546</v>
      </c>
      <c r="W423" s="1">
        <v>18300</v>
      </c>
      <c r="X423" s="1">
        <v>5</v>
      </c>
      <c r="Y423" s="3" t="s">
        <v>42</v>
      </c>
      <c r="Z423" s="3" t="s">
        <v>43</v>
      </c>
      <c r="AA423" s="5">
        <v>0.16</v>
      </c>
      <c r="AB423" s="10" t="str" cm="1">
        <f t="array" ref="AB423">_xlfn.IFS(AA423 &lt;= 15%, "Low Hike[11-15%]", AA423 &lt;= 20%, "Moderate Hike[16-20%]", AA423 &lt;= 25%,"High Hike[21-25%]")</f>
        <v>Moderate Hike[16-20%]</v>
      </c>
      <c r="AC423" s="1">
        <v>3</v>
      </c>
      <c r="AD423" s="1">
        <v>2</v>
      </c>
      <c r="AE423" s="1">
        <v>80</v>
      </c>
      <c r="AF423" s="1">
        <v>0</v>
      </c>
      <c r="AG423" s="1">
        <v>6</v>
      </c>
      <c r="AH423" s="9" t="str" cm="1">
        <f t="array" ref="AH423">_xlfn.IFS(AG423 &lt;= 5, "New[1-5]", AG423 &lt;= 10, "Early Career[6-10]", AG423 &lt;= 20, "Established[11-20]", AG423 &lt;= 30, "Veteran[21-30]", AG423 &lt;= 40, "Late Career[31-40]")</f>
        <v>Early Career[6-10]</v>
      </c>
      <c r="AI423" s="1">
        <v>2</v>
      </c>
      <c r="AJ423" s="1">
        <v>4</v>
      </c>
      <c r="AK423" s="1">
        <v>2</v>
      </c>
      <c r="AL423" s="9" t="str" cm="1">
        <f t="array" ref="AL423">_xlfn.IFS(AK423 &lt;= 5, "New[1-5]", AK423 &lt;= 10, "Early Career[6-10]", AK423 &lt;= 20, "Established[11-20]", AK423 &lt;= 30, "Veteran[21-30]", AK423 &lt;= 40, "Late Career[31-40]")</f>
        <v>New[1-5]</v>
      </c>
      <c r="AM423" s="1">
        <v>2</v>
      </c>
      <c r="AN423" s="9" t="str" cm="1">
        <f t="array" ref="AN423">_xlfn.IFS(AM423 &lt;= 3, "New to Role[1-3]", AM423 &lt;= 7, "Settled[4-7]", AM423 &lt;= 12, "Experienced[[8-12]", AM423 &lt;= 18, "Long Tenured[13-18]")</f>
        <v>New to Role[1-3]</v>
      </c>
      <c r="AO423" s="1">
        <v>1</v>
      </c>
      <c r="AP423" s="9" t="str" cm="1">
        <f t="array" ref="AP423">_xlfn.IFS(AO423 &lt;= 3, "Recently[1-3]", AO423 &lt;= 6, "Due Soon[4-6]", AO423 &lt;= 10, "Overdue[7-10]", AO423 &lt;= 15, "Long Overdue[11-15]")</f>
        <v>Recently[1-3]</v>
      </c>
      <c r="AQ423" s="9" t="str" cm="1">
        <f t="array" ref="AQ423">_xlfn.IFS(AR423 &lt;= 3, "New Relationship[1-3]", AR423 &lt;= 7, "Established Relationship[4-7]", AR423 &lt;= 12, "Long Term Relationship[8-12]", AR423 &lt;= 17, "Very Long Term Relationship[13-17]")</f>
        <v>New Relationship[1-3]</v>
      </c>
      <c r="AR423" s="1">
        <v>1</v>
      </c>
    </row>
    <row r="424" spans="1:44" x14ac:dyDescent="0.25">
      <c r="A424" s="1">
        <v>19</v>
      </c>
      <c r="B424" s="8" t="str" cm="1">
        <f t="array" ref="B424">_xlfn.IFS(A424 &lt;= 25, "[18-25]", A424 &lt;= 35, "[26-35]", A424 &lt;=45, "[36-45]", A424 &lt;= 60, "[46- 60]")</f>
        <v>[18-25]</v>
      </c>
      <c r="C424" s="3" t="s">
        <v>35</v>
      </c>
      <c r="D424">
        <f t="shared" si="6"/>
        <v>1</v>
      </c>
      <c r="E424" t="s">
        <v>36</v>
      </c>
      <c r="F424" s="1">
        <v>489</v>
      </c>
      <c r="G424" s="3" t="s">
        <v>61</v>
      </c>
      <c r="H424" s="1">
        <v>2</v>
      </c>
      <c r="I424" s="9" t="str" cm="1">
        <f t="array" ref="I424">_xlfn.IFS(H424 &lt;= 2, "[1-2] very close", H424 &lt;= 10, "[3-10] close", H424 &lt;= 20, "[11-20] moderate", H424 &lt;= 30, "[21-30] far")</f>
        <v>[1-2] very close</v>
      </c>
      <c r="J424" s="1">
        <v>2</v>
      </c>
      <c r="K424" s="3" t="s">
        <v>60</v>
      </c>
      <c r="L424" s="1">
        <v>1</v>
      </c>
      <c r="M424" s="1">
        <v>566</v>
      </c>
      <c r="N424" s="1">
        <v>1</v>
      </c>
      <c r="O424" s="3" t="s">
        <v>46</v>
      </c>
      <c r="P424" s="1">
        <v>52</v>
      </c>
      <c r="Q424" s="1">
        <v>2</v>
      </c>
      <c r="R424" s="1">
        <v>1</v>
      </c>
      <c r="S424" s="3" t="s">
        <v>61</v>
      </c>
      <c r="T424" s="1">
        <v>4</v>
      </c>
      <c r="U424" s="3" t="s">
        <v>41</v>
      </c>
      <c r="V424" s="4">
        <v>2564</v>
      </c>
      <c r="W424" s="1">
        <v>18437</v>
      </c>
      <c r="X424" s="1">
        <v>1</v>
      </c>
      <c r="Y424" s="3" t="s">
        <v>42</v>
      </c>
      <c r="Z424" s="3" t="s">
        <v>43</v>
      </c>
      <c r="AA424" s="5">
        <v>0.12</v>
      </c>
      <c r="AB424" s="10" t="str" cm="1">
        <f t="array" ref="AB424">_xlfn.IFS(AA424 &lt;= 15%, "Low Hike[11-15%]", AA424 &lt;= 20%, "Moderate Hike[16-20%]", AA424 &lt;= 25%,"High Hike[21-25%]")</f>
        <v>Low Hike[11-15%]</v>
      </c>
      <c r="AC424" s="1">
        <v>3</v>
      </c>
      <c r="AD424" s="1">
        <v>3</v>
      </c>
      <c r="AE424" s="1">
        <v>80</v>
      </c>
      <c r="AF424" s="1">
        <v>0</v>
      </c>
      <c r="AG424" s="1">
        <v>1</v>
      </c>
      <c r="AH424" s="9" t="str" cm="1">
        <f t="array" ref="AH424">_xlfn.IFS(AG424 &lt;= 5, "New[1-5]", AG424 &lt;= 10, "Early Career[6-10]", AG424 &lt;= 20, "Established[11-20]", AG424 &lt;= 30, "Veteran[21-30]", AG424 &lt;= 40, "Late Career[31-40]")</f>
        <v>New[1-5]</v>
      </c>
      <c r="AI424" s="1">
        <v>3</v>
      </c>
      <c r="AJ424" s="1">
        <v>4</v>
      </c>
      <c r="AK424" s="1">
        <v>1</v>
      </c>
      <c r="AL424" s="9" t="str" cm="1">
        <f t="array" ref="AL424">_xlfn.IFS(AK424 &lt;= 5, "New[1-5]", AK424 &lt;= 10, "Early Career[6-10]", AK424 &lt;= 20, "Established[11-20]", AK424 &lt;= 30, "Veteran[21-30]", AK424 &lt;= 40, "Late Career[31-40]")</f>
        <v>New[1-5]</v>
      </c>
      <c r="AM424" s="1">
        <v>0</v>
      </c>
      <c r="AN424" s="9" t="str" cm="1">
        <f t="array" ref="AN424">_xlfn.IFS(AM424 &lt;= 3, "New to Role[1-3]", AM424 &lt;= 7, "Settled[4-7]", AM424 &lt;= 12, "Experienced[[8-12]", AM424 &lt;= 18, "Long Tenured[13-18]")</f>
        <v>New to Role[1-3]</v>
      </c>
      <c r="AO424" s="1">
        <v>0</v>
      </c>
      <c r="AP424" s="9" t="str" cm="1">
        <f t="array" ref="AP424">_xlfn.IFS(AO424 &lt;= 3, "Recently[1-3]", AO424 &lt;= 6, "Due Soon[4-6]", AO424 &lt;= 10, "Overdue[7-10]", AO424 &lt;= 15, "Long Overdue[11-15]")</f>
        <v>Recently[1-3]</v>
      </c>
      <c r="AQ424" s="9" t="str" cm="1">
        <f t="array" ref="AQ424">_xlfn.IFS(AR424 &lt;= 3, "New Relationship[1-3]", AR424 &lt;= 7, "Established Relationship[4-7]", AR424 &lt;= 12, "Long Term Relationship[8-12]", AR424 &lt;= 17, "Very Long Term Relationship[13-17]")</f>
        <v>New Relationship[1-3]</v>
      </c>
      <c r="AR424" s="1">
        <v>0</v>
      </c>
    </row>
    <row r="425" spans="1:44" x14ac:dyDescent="0.25">
      <c r="A425" s="1">
        <v>30</v>
      </c>
      <c r="B425" s="8" t="str" cm="1">
        <f t="array" ref="B425">_xlfn.IFS(A425 &lt;= 25, "[18-25]", A425 &lt;= 35, "[26-35]", A425 &lt;=45, "[36-45]", A425 &lt;= 60, "[46- 60]")</f>
        <v>[26-35]</v>
      </c>
      <c r="C425" s="3" t="s">
        <v>43</v>
      </c>
      <c r="D425">
        <f t="shared" si="6"/>
        <v>0</v>
      </c>
      <c r="E425" t="s">
        <v>62</v>
      </c>
      <c r="F425" s="1">
        <v>1398</v>
      </c>
      <c r="G425" s="3" t="s">
        <v>37</v>
      </c>
      <c r="H425" s="1">
        <v>22</v>
      </c>
      <c r="I425" s="9" t="str" cm="1">
        <f t="array" ref="I425">_xlfn.IFS(H425 &lt;= 2, "[1-2] very close", H425 &lt;= 10, "[3-10] close", H425 &lt;= 20, "[11-20] moderate", H425 &lt;= 30, "[21-30] far")</f>
        <v>[21-30] far</v>
      </c>
      <c r="J425" s="1">
        <v>4</v>
      </c>
      <c r="K425" s="3" t="s">
        <v>49</v>
      </c>
      <c r="L425" s="1">
        <v>1</v>
      </c>
      <c r="M425" s="1">
        <v>567</v>
      </c>
      <c r="N425" s="1">
        <v>3</v>
      </c>
      <c r="O425" s="3" t="s">
        <v>39</v>
      </c>
      <c r="P425" s="1">
        <v>69</v>
      </c>
      <c r="Q425" s="1">
        <v>3</v>
      </c>
      <c r="R425" s="1">
        <v>3</v>
      </c>
      <c r="S425" s="3" t="s">
        <v>40</v>
      </c>
      <c r="T425" s="1">
        <v>1</v>
      </c>
      <c r="U425" s="3" t="s">
        <v>48</v>
      </c>
      <c r="V425" s="4">
        <v>8412</v>
      </c>
      <c r="W425" s="1">
        <v>2890</v>
      </c>
      <c r="X425" s="1">
        <v>0</v>
      </c>
      <c r="Y425" s="3" t="s">
        <v>42</v>
      </c>
      <c r="Z425" s="3" t="s">
        <v>43</v>
      </c>
      <c r="AA425" s="5">
        <v>0.11</v>
      </c>
      <c r="AB425" s="10" t="str" cm="1">
        <f t="array" ref="AB425">_xlfn.IFS(AA425 &lt;= 15%, "Low Hike[11-15%]", AA425 &lt;= 20%, "Moderate Hike[16-20%]", AA425 &lt;= 25%,"High Hike[21-25%]")</f>
        <v>Low Hike[11-15%]</v>
      </c>
      <c r="AC425" s="1">
        <v>3</v>
      </c>
      <c r="AD425" s="1">
        <v>3</v>
      </c>
      <c r="AE425" s="1">
        <v>80</v>
      </c>
      <c r="AF425" s="1">
        <v>0</v>
      </c>
      <c r="AG425" s="1">
        <v>10</v>
      </c>
      <c r="AH425" s="9" t="str" cm="1">
        <f t="array" ref="AH425">_xlfn.IFS(AG425 &lt;= 5, "New[1-5]", AG425 &lt;= 10, "Early Career[6-10]", AG425 &lt;= 20, "Established[11-20]", AG425 &lt;= 30, "Veteran[21-30]", AG425 &lt;= 40, "Late Career[31-40]")</f>
        <v>Early Career[6-10]</v>
      </c>
      <c r="AI425" s="1">
        <v>3</v>
      </c>
      <c r="AJ425" s="1">
        <v>3</v>
      </c>
      <c r="AK425" s="1">
        <v>9</v>
      </c>
      <c r="AL425" s="9" t="str" cm="1">
        <f t="array" ref="AL425">_xlfn.IFS(AK425 &lt;= 5, "New[1-5]", AK425 &lt;= 10, "Early Career[6-10]", AK425 &lt;= 20, "Established[11-20]", AK425 &lt;= 30, "Veteran[21-30]", AK425 &lt;= 40, "Late Career[31-40]")</f>
        <v>Early Career[6-10]</v>
      </c>
      <c r="AM425" s="1">
        <v>8</v>
      </c>
      <c r="AN425" s="9" t="str" cm="1">
        <f t="array" ref="AN425">_xlfn.IFS(AM425 &lt;= 3, "New to Role[1-3]", AM425 &lt;= 7, "Settled[4-7]", AM425 &lt;= 12, "Experienced[[8-12]", AM425 &lt;= 18, "Long Tenured[13-18]")</f>
        <v>Experienced[[8-12]</v>
      </c>
      <c r="AO425" s="1">
        <v>7</v>
      </c>
      <c r="AP425" s="9" t="str" cm="1">
        <f t="array" ref="AP425">_xlfn.IFS(AO425 &lt;= 3, "Recently[1-3]", AO425 &lt;= 6, "Due Soon[4-6]", AO425 &lt;= 10, "Overdue[7-10]", AO425 &lt;= 15, "Long Overdue[11-15]")</f>
        <v>Overdue[7-10]</v>
      </c>
      <c r="AQ425" s="9" t="str" cm="1">
        <f t="array" ref="AQ425">_xlfn.IFS(AR425 &lt;= 3, "New Relationship[1-3]", AR425 &lt;= 7, "Established Relationship[4-7]", AR425 &lt;= 12, "Long Term Relationship[8-12]", AR425 &lt;= 17, "Very Long Term Relationship[13-17]")</f>
        <v>Long Term Relationship[8-12]</v>
      </c>
      <c r="AR425" s="1">
        <v>8</v>
      </c>
    </row>
    <row r="426" spans="1:44" x14ac:dyDescent="0.25">
      <c r="A426" s="1">
        <v>57</v>
      </c>
      <c r="B426" s="8" t="str" cm="1">
        <f t="array" ref="B426">_xlfn.IFS(A426 &lt;= 25, "[18-25]", A426 &lt;= 35, "[26-35]", A426 &lt;=45, "[36-45]", A426 &lt;= 60, "[46- 60]")</f>
        <v>[46- 60]</v>
      </c>
      <c r="C426" s="3" t="s">
        <v>43</v>
      </c>
      <c r="D426">
        <f t="shared" si="6"/>
        <v>0</v>
      </c>
      <c r="E426" t="s">
        <v>36</v>
      </c>
      <c r="F426" s="1">
        <v>210</v>
      </c>
      <c r="G426" s="3" t="s">
        <v>37</v>
      </c>
      <c r="H426" s="1">
        <v>29</v>
      </c>
      <c r="I426" s="9" t="str" cm="1">
        <f t="array" ref="I426">_xlfn.IFS(H426 &lt;= 2, "[1-2] very close", H426 &lt;= 10, "[3-10] close", H426 &lt;= 20, "[11-20] moderate", H426 &lt;= 30, "[21-30] far")</f>
        <v>[21-30] far</v>
      </c>
      <c r="J426" s="1">
        <v>3</v>
      </c>
      <c r="K426" s="3" t="s">
        <v>59</v>
      </c>
      <c r="L426" s="1">
        <v>1</v>
      </c>
      <c r="M426" s="1">
        <v>568</v>
      </c>
      <c r="N426" s="1">
        <v>1</v>
      </c>
      <c r="O426" s="3" t="s">
        <v>46</v>
      </c>
      <c r="P426" s="1">
        <v>56</v>
      </c>
      <c r="Q426" s="1">
        <v>2</v>
      </c>
      <c r="R426" s="1">
        <v>4</v>
      </c>
      <c r="S426" s="3" t="s">
        <v>56</v>
      </c>
      <c r="T426" s="1">
        <v>4</v>
      </c>
      <c r="U426" s="3" t="s">
        <v>52</v>
      </c>
      <c r="V426" s="4">
        <v>14118</v>
      </c>
      <c r="W426" s="1">
        <v>22102</v>
      </c>
      <c r="X426" s="1">
        <v>3</v>
      </c>
      <c r="Y426" s="3" t="s">
        <v>42</v>
      </c>
      <c r="Z426" s="3" t="s">
        <v>43</v>
      </c>
      <c r="AA426" s="5">
        <v>0.12</v>
      </c>
      <c r="AB426" s="10" t="str" cm="1">
        <f t="array" ref="AB426">_xlfn.IFS(AA426 &lt;= 15%, "Low Hike[11-15%]", AA426 &lt;= 20%, "Moderate Hike[16-20%]", AA426 &lt;= 25%,"High Hike[21-25%]")</f>
        <v>Low Hike[11-15%]</v>
      </c>
      <c r="AC426" s="1">
        <v>3</v>
      </c>
      <c r="AD426" s="1">
        <v>3</v>
      </c>
      <c r="AE426" s="1">
        <v>80</v>
      </c>
      <c r="AF426" s="1">
        <v>1</v>
      </c>
      <c r="AG426" s="1">
        <v>32</v>
      </c>
      <c r="AH426" s="9" t="str" cm="1">
        <f t="array" ref="AH426">_xlfn.IFS(AG426 &lt;= 5, "New[1-5]", AG426 &lt;= 10, "Early Career[6-10]", AG426 &lt;= 20, "Established[11-20]", AG426 &lt;= 30, "Veteran[21-30]", AG426 &lt;= 40, "Late Career[31-40]")</f>
        <v>Late Career[31-40]</v>
      </c>
      <c r="AI426" s="1">
        <v>3</v>
      </c>
      <c r="AJ426" s="1">
        <v>2</v>
      </c>
      <c r="AK426" s="1">
        <v>1</v>
      </c>
      <c r="AL426" s="9" t="str" cm="1">
        <f t="array" ref="AL426">_xlfn.IFS(AK426 &lt;= 5, "New[1-5]", AK426 &lt;= 10, "Early Career[6-10]", AK426 &lt;= 20, "Established[11-20]", AK426 &lt;= 30, "Veteran[21-30]", AK426 &lt;= 40, "Late Career[31-40]")</f>
        <v>New[1-5]</v>
      </c>
      <c r="AM426" s="1">
        <v>0</v>
      </c>
      <c r="AN426" s="9" t="str" cm="1">
        <f t="array" ref="AN426">_xlfn.IFS(AM426 &lt;= 3, "New to Role[1-3]", AM426 &lt;= 7, "Settled[4-7]", AM426 &lt;= 12, "Experienced[[8-12]", AM426 &lt;= 18, "Long Tenured[13-18]")</f>
        <v>New to Role[1-3]</v>
      </c>
      <c r="AO426" s="1">
        <v>0</v>
      </c>
      <c r="AP426" s="9" t="str" cm="1">
        <f t="array" ref="AP426">_xlfn.IFS(AO426 &lt;= 3, "Recently[1-3]", AO426 &lt;= 6, "Due Soon[4-6]", AO426 &lt;= 10, "Overdue[7-10]", AO426 &lt;= 15, "Long Overdue[11-15]")</f>
        <v>Recently[1-3]</v>
      </c>
      <c r="AQ426" s="9" t="str" cm="1">
        <f t="array" ref="AQ426">_xlfn.IFS(AR426 &lt;= 3, "New Relationship[1-3]", AR426 &lt;= 7, "Established Relationship[4-7]", AR426 &lt;= 12, "Long Term Relationship[8-12]", AR426 &lt;= 17, "Very Long Term Relationship[13-17]")</f>
        <v>New Relationship[1-3]</v>
      </c>
      <c r="AR426" s="1">
        <v>0</v>
      </c>
    </row>
    <row r="427" spans="1:44" x14ac:dyDescent="0.25">
      <c r="A427" s="1">
        <v>50</v>
      </c>
      <c r="B427" s="8" t="str" cm="1">
        <f t="array" ref="B427">_xlfn.IFS(A427 &lt;= 25, "[18-25]", A427 &lt;= 35, "[26-35]", A427 &lt;=45, "[36-45]", A427 &lt;= 60, "[46- 60]")</f>
        <v>[46- 60]</v>
      </c>
      <c r="C427" s="3" t="s">
        <v>43</v>
      </c>
      <c r="D427">
        <f t="shared" si="6"/>
        <v>0</v>
      </c>
      <c r="E427" t="s">
        <v>36</v>
      </c>
      <c r="F427" s="1">
        <v>1099</v>
      </c>
      <c r="G427" s="3" t="s">
        <v>45</v>
      </c>
      <c r="H427" s="1">
        <v>29</v>
      </c>
      <c r="I427" s="9" t="str" cm="1">
        <f t="array" ref="I427">_xlfn.IFS(H427 &lt;= 2, "[1-2] very close", H427 &lt;= 10, "[3-10] close", H427 &lt;= 20, "[11-20] moderate", H427 &lt;= 30, "[21-30] far")</f>
        <v>[21-30] far</v>
      </c>
      <c r="J427" s="1">
        <v>4</v>
      </c>
      <c r="K427" s="3" t="s">
        <v>38</v>
      </c>
      <c r="L427" s="1">
        <v>1</v>
      </c>
      <c r="M427" s="1">
        <v>569</v>
      </c>
      <c r="N427" s="1">
        <v>2</v>
      </c>
      <c r="O427" s="3" t="s">
        <v>46</v>
      </c>
      <c r="P427" s="1">
        <v>88</v>
      </c>
      <c r="Q427" s="1">
        <v>2</v>
      </c>
      <c r="R427" s="1">
        <v>4</v>
      </c>
      <c r="S427" s="3" t="s">
        <v>56</v>
      </c>
      <c r="T427" s="1">
        <v>3</v>
      </c>
      <c r="U427" s="3" t="s">
        <v>48</v>
      </c>
      <c r="V427" s="4">
        <v>17046</v>
      </c>
      <c r="W427" s="1">
        <v>9314</v>
      </c>
      <c r="X427" s="1">
        <v>0</v>
      </c>
      <c r="Y427" s="3" t="s">
        <v>42</v>
      </c>
      <c r="Z427" s="3" t="s">
        <v>43</v>
      </c>
      <c r="AA427" s="5">
        <v>0.15</v>
      </c>
      <c r="AB427" s="10" t="str" cm="1">
        <f t="array" ref="AB427">_xlfn.IFS(AA427 &lt;= 15%, "Low Hike[11-15%]", AA427 &lt;= 20%, "Moderate Hike[16-20%]", AA427 &lt;= 25%,"High Hike[21-25%]")</f>
        <v>Low Hike[11-15%]</v>
      </c>
      <c r="AC427" s="1">
        <v>3</v>
      </c>
      <c r="AD427" s="1">
        <v>2</v>
      </c>
      <c r="AE427" s="1">
        <v>80</v>
      </c>
      <c r="AF427" s="1">
        <v>1</v>
      </c>
      <c r="AG427" s="1">
        <v>28</v>
      </c>
      <c r="AH427" s="9" t="str" cm="1">
        <f t="array" ref="AH427">_xlfn.IFS(AG427 &lt;= 5, "New[1-5]", AG427 &lt;= 10, "Early Career[6-10]", AG427 &lt;= 20, "Established[11-20]", AG427 &lt;= 30, "Veteran[21-30]", AG427 &lt;= 40, "Late Career[31-40]")</f>
        <v>Veteran[21-30]</v>
      </c>
      <c r="AI427" s="1">
        <v>2</v>
      </c>
      <c r="AJ427" s="1">
        <v>3</v>
      </c>
      <c r="AK427" s="1">
        <v>27</v>
      </c>
      <c r="AL427" s="9" t="str" cm="1">
        <f t="array" ref="AL427">_xlfn.IFS(AK427 &lt;= 5, "New[1-5]", AK427 &lt;= 10, "Early Career[6-10]", AK427 &lt;= 20, "Established[11-20]", AK427 &lt;= 30, "Veteran[21-30]", AK427 &lt;= 40, "Late Career[31-40]")</f>
        <v>Veteran[21-30]</v>
      </c>
      <c r="AM427" s="1">
        <v>10</v>
      </c>
      <c r="AN427" s="9" t="str" cm="1">
        <f t="array" ref="AN427">_xlfn.IFS(AM427 &lt;= 3, "New to Role[1-3]", AM427 &lt;= 7, "Settled[4-7]", AM427 &lt;= 12, "Experienced[[8-12]", AM427 &lt;= 18, "Long Tenured[13-18]")</f>
        <v>Experienced[[8-12]</v>
      </c>
      <c r="AO427" s="1">
        <v>15</v>
      </c>
      <c r="AP427" s="9" t="str" cm="1">
        <f t="array" ref="AP427">_xlfn.IFS(AO427 &lt;= 3, "Recently[1-3]", AO427 &lt;= 6, "Due Soon[4-6]", AO427 &lt;= 10, "Overdue[7-10]", AO427 &lt;= 15, "Long Overdue[11-15]")</f>
        <v>Long Overdue[11-15]</v>
      </c>
      <c r="AQ427" s="9" t="str" cm="1">
        <f t="array" ref="AQ427">_xlfn.IFS(AR427 &lt;= 3, "New Relationship[1-3]", AR427 &lt;= 7, "Established Relationship[4-7]", AR427 &lt;= 12, "Long Term Relationship[8-12]", AR427 &lt;= 17, "Very Long Term Relationship[13-17]")</f>
        <v>Established Relationship[4-7]</v>
      </c>
      <c r="AR427" s="1">
        <v>7</v>
      </c>
    </row>
    <row r="428" spans="1:44" x14ac:dyDescent="0.25">
      <c r="A428" s="1">
        <v>30</v>
      </c>
      <c r="B428" s="8" t="str" cm="1">
        <f t="array" ref="B428">_xlfn.IFS(A428 &lt;= 25, "[18-25]", A428 &lt;= 35, "[26-35]", A428 &lt;=45, "[36-45]", A428 &lt;= 60, "[46- 60]")</f>
        <v>[26-35]</v>
      </c>
      <c r="C428" s="3" t="s">
        <v>43</v>
      </c>
      <c r="D428">
        <f t="shared" si="6"/>
        <v>0</v>
      </c>
      <c r="E428" t="s">
        <v>62</v>
      </c>
      <c r="F428" s="1">
        <v>1116</v>
      </c>
      <c r="G428" s="3" t="s">
        <v>45</v>
      </c>
      <c r="H428" s="1">
        <v>2</v>
      </c>
      <c r="I428" s="9" t="str" cm="1">
        <f t="array" ref="I428">_xlfn.IFS(H428 &lt;= 2, "[1-2] very close", H428 &lt;= 10, "[3-10] close", H428 &lt;= 20, "[11-20] moderate", H428 &lt;= 30, "[21-30] far")</f>
        <v>[1-2] very close</v>
      </c>
      <c r="J428" s="1">
        <v>3</v>
      </c>
      <c r="K428" s="3" t="s">
        <v>51</v>
      </c>
      <c r="L428" s="1">
        <v>1</v>
      </c>
      <c r="M428" s="1">
        <v>571</v>
      </c>
      <c r="N428" s="1">
        <v>3</v>
      </c>
      <c r="O428" s="3" t="s">
        <v>39</v>
      </c>
      <c r="P428" s="1">
        <v>49</v>
      </c>
      <c r="Q428" s="1">
        <v>3</v>
      </c>
      <c r="R428" s="1">
        <v>1</v>
      </c>
      <c r="S428" s="3" t="s">
        <v>50</v>
      </c>
      <c r="T428" s="1">
        <v>4</v>
      </c>
      <c r="U428" s="3" t="s">
        <v>41</v>
      </c>
      <c r="V428" s="4">
        <v>2564</v>
      </c>
      <c r="W428" s="1">
        <v>7181</v>
      </c>
      <c r="X428" s="1">
        <v>0</v>
      </c>
      <c r="Y428" s="3" t="s">
        <v>42</v>
      </c>
      <c r="Z428" s="3" t="s">
        <v>43</v>
      </c>
      <c r="AA428" s="5">
        <v>0.14000000000000001</v>
      </c>
      <c r="AB428" s="10" t="str" cm="1">
        <f t="array" ref="AB428">_xlfn.IFS(AA428 &lt;= 15%, "Low Hike[11-15%]", AA428 &lt;= 20%, "Moderate Hike[16-20%]", AA428 &lt;= 25%,"High Hike[21-25%]")</f>
        <v>Low Hike[11-15%]</v>
      </c>
      <c r="AC428" s="1">
        <v>3</v>
      </c>
      <c r="AD428" s="1">
        <v>3</v>
      </c>
      <c r="AE428" s="1">
        <v>80</v>
      </c>
      <c r="AF428" s="1">
        <v>0</v>
      </c>
      <c r="AG428" s="1">
        <v>12</v>
      </c>
      <c r="AH428" s="9" t="str" cm="1">
        <f t="array" ref="AH428">_xlfn.IFS(AG428 &lt;= 5, "New[1-5]", AG428 &lt;= 10, "Early Career[6-10]", AG428 &lt;= 20, "Established[11-20]", AG428 &lt;= 30, "Veteran[21-30]", AG428 &lt;= 40, "Late Career[31-40]")</f>
        <v>Established[11-20]</v>
      </c>
      <c r="AI428" s="1">
        <v>2</v>
      </c>
      <c r="AJ428" s="1">
        <v>2</v>
      </c>
      <c r="AK428" s="1">
        <v>11</v>
      </c>
      <c r="AL428" s="9" t="str" cm="1">
        <f t="array" ref="AL428">_xlfn.IFS(AK428 &lt;= 5, "New[1-5]", AK428 &lt;= 10, "Early Career[6-10]", AK428 &lt;= 20, "Established[11-20]", AK428 &lt;= 30, "Veteran[21-30]", AK428 &lt;= 40, "Late Career[31-40]")</f>
        <v>Established[11-20]</v>
      </c>
      <c r="AM428" s="1">
        <v>7</v>
      </c>
      <c r="AN428" s="9" t="str" cm="1">
        <f t="array" ref="AN428">_xlfn.IFS(AM428 &lt;= 3, "New to Role[1-3]", AM428 &lt;= 7, "Settled[4-7]", AM428 &lt;= 12, "Experienced[[8-12]", AM428 &lt;= 18, "Long Tenured[13-18]")</f>
        <v>Settled[4-7]</v>
      </c>
      <c r="AO428" s="1">
        <v>6</v>
      </c>
      <c r="AP428" s="9" t="str" cm="1">
        <f t="array" ref="AP428">_xlfn.IFS(AO428 &lt;= 3, "Recently[1-3]", AO428 &lt;= 6, "Due Soon[4-6]", AO428 &lt;= 10, "Overdue[7-10]", AO428 &lt;= 15, "Long Overdue[11-15]")</f>
        <v>Due Soon[4-6]</v>
      </c>
      <c r="AQ428" s="9" t="str" cm="1">
        <f t="array" ref="AQ428">_xlfn.IFS(AR428 &lt;= 3, "New Relationship[1-3]", AR428 &lt;= 7, "Established Relationship[4-7]", AR428 &lt;= 12, "Long Term Relationship[8-12]", AR428 &lt;= 17, "Very Long Term Relationship[13-17]")</f>
        <v>Established Relationship[4-7]</v>
      </c>
      <c r="AR428" s="1">
        <v>7</v>
      </c>
    </row>
    <row r="429" spans="1:44" x14ac:dyDescent="0.25">
      <c r="A429" s="1">
        <v>60</v>
      </c>
      <c r="B429" s="8" t="str" cm="1">
        <f t="array" ref="B429">_xlfn.IFS(A429 &lt;= 25, "[18-25]", A429 &lt;= 35, "[26-35]", A429 &lt;=45, "[36-45]", A429 &lt;= 60, "[46- 60]")</f>
        <v>[46- 60]</v>
      </c>
      <c r="C429" s="3" t="s">
        <v>43</v>
      </c>
      <c r="D429">
        <f t="shared" si="6"/>
        <v>0</v>
      </c>
      <c r="E429" t="s">
        <v>44</v>
      </c>
      <c r="F429" s="1">
        <v>1499</v>
      </c>
      <c r="G429" s="3" t="s">
        <v>37</v>
      </c>
      <c r="H429" s="1">
        <v>28</v>
      </c>
      <c r="I429" s="9" t="str" cm="1">
        <f t="array" ref="I429">_xlfn.IFS(H429 &lt;= 2, "[1-2] very close", H429 &lt;= 10, "[3-10] close", H429 &lt;= 20, "[11-20] moderate", H429 &lt;= 30, "[21-30] far")</f>
        <v>[21-30] far</v>
      </c>
      <c r="J429" s="1">
        <v>3</v>
      </c>
      <c r="K429" s="3" t="s">
        <v>59</v>
      </c>
      <c r="L429" s="1">
        <v>1</v>
      </c>
      <c r="M429" s="1">
        <v>573</v>
      </c>
      <c r="N429" s="1">
        <v>3</v>
      </c>
      <c r="O429" s="3" t="s">
        <v>39</v>
      </c>
      <c r="P429" s="1">
        <v>80</v>
      </c>
      <c r="Q429" s="1">
        <v>2</v>
      </c>
      <c r="R429" s="1">
        <v>3</v>
      </c>
      <c r="S429" s="3" t="s">
        <v>40</v>
      </c>
      <c r="T429" s="1">
        <v>1</v>
      </c>
      <c r="U429" s="3" t="s">
        <v>48</v>
      </c>
      <c r="V429" s="4">
        <v>10266</v>
      </c>
      <c r="W429" s="1">
        <v>2845</v>
      </c>
      <c r="X429" s="1">
        <v>4</v>
      </c>
      <c r="Y429" s="3" t="s">
        <v>42</v>
      </c>
      <c r="Z429" s="3" t="s">
        <v>43</v>
      </c>
      <c r="AA429" s="5">
        <v>0.19</v>
      </c>
      <c r="AB429" s="10" t="str" cm="1">
        <f t="array" ref="AB429">_xlfn.IFS(AA429 &lt;= 15%, "Low Hike[11-15%]", AA429 &lt;= 20%, "Moderate Hike[16-20%]", AA429 &lt;= 25%,"High Hike[21-25%]")</f>
        <v>Moderate Hike[16-20%]</v>
      </c>
      <c r="AC429" s="1">
        <v>3</v>
      </c>
      <c r="AD429" s="1">
        <v>4</v>
      </c>
      <c r="AE429" s="1">
        <v>80</v>
      </c>
      <c r="AF429" s="1">
        <v>0</v>
      </c>
      <c r="AG429" s="1">
        <v>22</v>
      </c>
      <c r="AH429" s="9" t="str" cm="1">
        <f t="array" ref="AH429">_xlfn.IFS(AG429 &lt;= 5, "New[1-5]", AG429 &lt;= 10, "Early Career[6-10]", AG429 &lt;= 20, "Established[11-20]", AG429 &lt;= 30, "Veteran[21-30]", AG429 &lt;= 40, "Late Career[31-40]")</f>
        <v>Veteran[21-30]</v>
      </c>
      <c r="AI429" s="1">
        <v>5</v>
      </c>
      <c r="AJ429" s="1">
        <v>4</v>
      </c>
      <c r="AK429" s="1">
        <v>18</v>
      </c>
      <c r="AL429" s="9" t="str" cm="1">
        <f t="array" ref="AL429">_xlfn.IFS(AK429 &lt;= 5, "New[1-5]", AK429 &lt;= 10, "Early Career[6-10]", AK429 &lt;= 20, "Established[11-20]", AK429 &lt;= 30, "Veteran[21-30]", AK429 &lt;= 40, "Late Career[31-40]")</f>
        <v>Established[11-20]</v>
      </c>
      <c r="AM429" s="1">
        <v>13</v>
      </c>
      <c r="AN429" s="9" t="str" cm="1">
        <f t="array" ref="AN429">_xlfn.IFS(AM429 &lt;= 3, "New to Role[1-3]", AM429 &lt;= 7, "Settled[4-7]", AM429 &lt;= 12, "Experienced[[8-12]", AM429 &lt;= 18, "Long Tenured[13-18]")</f>
        <v>Long Tenured[13-18]</v>
      </c>
      <c r="AO429" s="1">
        <v>13</v>
      </c>
      <c r="AP429" s="9" t="str" cm="1">
        <f t="array" ref="AP429">_xlfn.IFS(AO429 &lt;= 3, "Recently[1-3]", AO429 &lt;= 6, "Due Soon[4-6]", AO429 &lt;= 10, "Overdue[7-10]", AO429 &lt;= 15, "Long Overdue[11-15]")</f>
        <v>Long Overdue[11-15]</v>
      </c>
      <c r="AQ429" s="9" t="str" cm="1">
        <f t="array" ref="AQ429">_xlfn.IFS(AR429 &lt;= 3, "New Relationship[1-3]", AR429 &lt;= 7, "Established Relationship[4-7]", AR429 &lt;= 12, "Long Term Relationship[8-12]", AR429 &lt;= 17, "Very Long Term Relationship[13-17]")</f>
        <v>Long Term Relationship[8-12]</v>
      </c>
      <c r="AR429" s="1">
        <v>11</v>
      </c>
    </row>
    <row r="430" spans="1:44" x14ac:dyDescent="0.25">
      <c r="A430" s="1">
        <v>47</v>
      </c>
      <c r="B430" s="8" t="str" cm="1">
        <f t="array" ref="B430">_xlfn.IFS(A430 &lt;= 25, "[18-25]", A430 &lt;= 35, "[26-35]", A430 &lt;=45, "[36-45]", A430 &lt;= 60, "[46- 60]")</f>
        <v>[46- 60]</v>
      </c>
      <c r="C430" s="3" t="s">
        <v>43</v>
      </c>
      <c r="D430">
        <f t="shared" si="6"/>
        <v>0</v>
      </c>
      <c r="E430" t="s">
        <v>36</v>
      </c>
      <c r="F430" s="1">
        <v>983</v>
      </c>
      <c r="G430" s="3" t="s">
        <v>45</v>
      </c>
      <c r="H430" s="1">
        <v>2</v>
      </c>
      <c r="I430" s="9" t="str" cm="1">
        <f t="array" ref="I430">_xlfn.IFS(H430 &lt;= 2, "[1-2] very close", H430 &lt;= 10, "[3-10] close", H430 &lt;= 20, "[11-20] moderate", H430 &lt;= 30, "[21-30] far")</f>
        <v>[1-2] very close</v>
      </c>
      <c r="J430" s="1">
        <v>2</v>
      </c>
      <c r="K430" s="3" t="s">
        <v>51</v>
      </c>
      <c r="L430" s="1">
        <v>1</v>
      </c>
      <c r="M430" s="1">
        <v>574</v>
      </c>
      <c r="N430" s="1">
        <v>1</v>
      </c>
      <c r="O430" s="3" t="s">
        <v>39</v>
      </c>
      <c r="P430" s="1">
        <v>65</v>
      </c>
      <c r="Q430" s="1">
        <v>3</v>
      </c>
      <c r="R430" s="1">
        <v>2</v>
      </c>
      <c r="S430" s="3" t="s">
        <v>53</v>
      </c>
      <c r="T430" s="1">
        <v>4</v>
      </c>
      <c r="U430" s="3" t="s">
        <v>52</v>
      </c>
      <c r="V430" s="4">
        <v>5070</v>
      </c>
      <c r="W430" s="1">
        <v>7389</v>
      </c>
      <c r="X430" s="1">
        <v>5</v>
      </c>
      <c r="Y430" s="3" t="s">
        <v>42</v>
      </c>
      <c r="Z430" s="3" t="s">
        <v>43</v>
      </c>
      <c r="AA430" s="5">
        <v>0.13</v>
      </c>
      <c r="AB430" s="10" t="str" cm="1">
        <f t="array" ref="AB430">_xlfn.IFS(AA430 &lt;= 15%, "Low Hike[11-15%]", AA430 &lt;= 20%, "Moderate Hike[16-20%]", AA430 &lt;= 25%,"High Hike[21-25%]")</f>
        <v>Low Hike[11-15%]</v>
      </c>
      <c r="AC430" s="1">
        <v>3</v>
      </c>
      <c r="AD430" s="1">
        <v>3</v>
      </c>
      <c r="AE430" s="1">
        <v>80</v>
      </c>
      <c r="AF430" s="1">
        <v>3</v>
      </c>
      <c r="AG430" s="1">
        <v>20</v>
      </c>
      <c r="AH430" s="9" t="str" cm="1">
        <f t="array" ref="AH430">_xlfn.IFS(AG430 &lt;= 5, "New[1-5]", AG430 &lt;= 10, "Early Career[6-10]", AG430 &lt;= 20, "Established[11-20]", AG430 &lt;= 30, "Veteran[21-30]", AG430 &lt;= 40, "Late Career[31-40]")</f>
        <v>Established[11-20]</v>
      </c>
      <c r="AI430" s="1">
        <v>2</v>
      </c>
      <c r="AJ430" s="1">
        <v>3</v>
      </c>
      <c r="AK430" s="1">
        <v>5</v>
      </c>
      <c r="AL430" s="9" t="str" cm="1">
        <f t="array" ref="AL430">_xlfn.IFS(AK430 &lt;= 5, "New[1-5]", AK430 &lt;= 10, "Early Career[6-10]", AK430 &lt;= 20, "Established[11-20]", AK430 &lt;= 30, "Veteran[21-30]", AK430 &lt;= 40, "Late Career[31-40]")</f>
        <v>New[1-5]</v>
      </c>
      <c r="AM430" s="1">
        <v>0</v>
      </c>
      <c r="AN430" s="9" t="str" cm="1">
        <f t="array" ref="AN430">_xlfn.IFS(AM430 &lt;= 3, "New to Role[1-3]", AM430 &lt;= 7, "Settled[4-7]", AM430 &lt;= 12, "Experienced[[8-12]", AM430 &lt;= 18, "Long Tenured[13-18]")</f>
        <v>New to Role[1-3]</v>
      </c>
      <c r="AO430" s="1">
        <v>0</v>
      </c>
      <c r="AP430" s="9" t="str" cm="1">
        <f t="array" ref="AP430">_xlfn.IFS(AO430 &lt;= 3, "Recently[1-3]", AO430 &lt;= 6, "Due Soon[4-6]", AO430 &lt;= 10, "Overdue[7-10]", AO430 &lt;= 15, "Long Overdue[11-15]")</f>
        <v>Recently[1-3]</v>
      </c>
      <c r="AQ430" s="9" t="str" cm="1">
        <f t="array" ref="AQ430">_xlfn.IFS(AR430 &lt;= 3, "New Relationship[1-3]", AR430 &lt;= 7, "Established Relationship[4-7]", AR430 &lt;= 12, "Long Term Relationship[8-12]", AR430 &lt;= 17, "Very Long Term Relationship[13-17]")</f>
        <v>Established Relationship[4-7]</v>
      </c>
      <c r="AR430" s="1">
        <v>4</v>
      </c>
    </row>
    <row r="431" spans="1:44" x14ac:dyDescent="0.25">
      <c r="A431" s="1">
        <v>46</v>
      </c>
      <c r="B431" s="8" t="str" cm="1">
        <f t="array" ref="B431">_xlfn.IFS(A431 &lt;= 25, "[18-25]", A431 &lt;= 35, "[26-35]", A431 &lt;=45, "[36-45]", A431 &lt;= 60, "[46- 60]")</f>
        <v>[46- 60]</v>
      </c>
      <c r="C431" s="3" t="s">
        <v>43</v>
      </c>
      <c r="D431">
        <f t="shared" si="6"/>
        <v>0</v>
      </c>
      <c r="E431" t="s">
        <v>36</v>
      </c>
      <c r="F431" s="1">
        <v>1009</v>
      </c>
      <c r="G431" s="3" t="s">
        <v>45</v>
      </c>
      <c r="H431" s="1">
        <v>2</v>
      </c>
      <c r="I431" s="9" t="str" cm="1">
        <f t="array" ref="I431">_xlfn.IFS(H431 &lt;= 2, "[1-2] very close", H431 &lt;= 10, "[3-10] close", H431 &lt;= 20, "[11-20] moderate", H431 &lt;= 30, "[21-30] far")</f>
        <v>[1-2] very close</v>
      </c>
      <c r="J431" s="1">
        <v>3</v>
      </c>
      <c r="K431" s="3" t="s">
        <v>38</v>
      </c>
      <c r="L431" s="1">
        <v>1</v>
      </c>
      <c r="M431" s="1">
        <v>575</v>
      </c>
      <c r="N431" s="1">
        <v>1</v>
      </c>
      <c r="O431" s="3" t="s">
        <v>46</v>
      </c>
      <c r="P431" s="1">
        <v>51</v>
      </c>
      <c r="Q431" s="1">
        <v>3</v>
      </c>
      <c r="R431" s="1">
        <v>4</v>
      </c>
      <c r="S431" s="3" t="s">
        <v>58</v>
      </c>
      <c r="T431" s="1">
        <v>3</v>
      </c>
      <c r="U431" s="3" t="s">
        <v>48</v>
      </c>
      <c r="V431" s="4">
        <v>17861</v>
      </c>
      <c r="W431" s="1">
        <v>2288</v>
      </c>
      <c r="X431" s="1">
        <v>6</v>
      </c>
      <c r="Y431" s="3" t="s">
        <v>42</v>
      </c>
      <c r="Z431" s="3" t="s">
        <v>43</v>
      </c>
      <c r="AA431" s="5">
        <v>0.13</v>
      </c>
      <c r="AB431" s="10" t="str" cm="1">
        <f t="array" ref="AB431">_xlfn.IFS(AA431 &lt;= 15%, "Low Hike[11-15%]", AA431 &lt;= 20%, "Moderate Hike[16-20%]", AA431 &lt;= 25%,"High Hike[21-25%]")</f>
        <v>Low Hike[11-15%]</v>
      </c>
      <c r="AC431" s="1">
        <v>3</v>
      </c>
      <c r="AD431" s="1">
        <v>3</v>
      </c>
      <c r="AE431" s="1">
        <v>80</v>
      </c>
      <c r="AF431" s="1">
        <v>0</v>
      </c>
      <c r="AG431" s="1">
        <v>26</v>
      </c>
      <c r="AH431" s="9" t="str" cm="1">
        <f t="array" ref="AH431">_xlfn.IFS(AG431 &lt;= 5, "New[1-5]", AG431 &lt;= 10, "Early Career[6-10]", AG431 &lt;= 20, "Established[11-20]", AG431 &lt;= 30, "Veteran[21-30]", AG431 &lt;= 40, "Late Career[31-40]")</f>
        <v>Veteran[21-30]</v>
      </c>
      <c r="AI431" s="1">
        <v>2</v>
      </c>
      <c r="AJ431" s="1">
        <v>1</v>
      </c>
      <c r="AK431" s="1">
        <v>3</v>
      </c>
      <c r="AL431" s="9" t="str" cm="1">
        <f t="array" ref="AL431">_xlfn.IFS(AK431 &lt;= 5, "New[1-5]", AK431 &lt;= 10, "Early Career[6-10]", AK431 &lt;= 20, "Established[11-20]", AK431 &lt;= 30, "Veteran[21-30]", AK431 &lt;= 40, "Late Career[31-40]")</f>
        <v>New[1-5]</v>
      </c>
      <c r="AM431" s="1">
        <v>2</v>
      </c>
      <c r="AN431" s="9" t="str" cm="1">
        <f t="array" ref="AN431">_xlfn.IFS(AM431 &lt;= 3, "New to Role[1-3]", AM431 &lt;= 7, "Settled[4-7]", AM431 &lt;= 12, "Experienced[[8-12]", AM431 &lt;= 18, "Long Tenured[13-18]")</f>
        <v>New to Role[1-3]</v>
      </c>
      <c r="AO431" s="1">
        <v>0</v>
      </c>
      <c r="AP431" s="9" t="str" cm="1">
        <f t="array" ref="AP431">_xlfn.IFS(AO431 &lt;= 3, "Recently[1-3]", AO431 &lt;= 6, "Due Soon[4-6]", AO431 &lt;= 10, "Overdue[7-10]", AO431 &lt;= 15, "Long Overdue[11-15]")</f>
        <v>Recently[1-3]</v>
      </c>
      <c r="AQ431" s="9" t="str" cm="1">
        <f t="array" ref="AQ431">_xlfn.IFS(AR431 &lt;= 3, "New Relationship[1-3]", AR431 &lt;= 7, "Established Relationship[4-7]", AR431 &lt;= 12, "Long Term Relationship[8-12]", AR431 &lt;= 17, "Very Long Term Relationship[13-17]")</f>
        <v>New Relationship[1-3]</v>
      </c>
      <c r="AR431" s="1">
        <v>1</v>
      </c>
    </row>
    <row r="432" spans="1:44" x14ac:dyDescent="0.25">
      <c r="A432" s="1">
        <v>35</v>
      </c>
      <c r="B432" s="8" t="str" cm="1">
        <f t="array" ref="B432">_xlfn.IFS(A432 &lt;= 25, "[18-25]", A432 &lt;= 35, "[26-35]", A432 &lt;=45, "[36-45]", A432 &lt;= 60, "[46- 60]")</f>
        <v>[26-35]</v>
      </c>
      <c r="C432" s="3" t="s">
        <v>43</v>
      </c>
      <c r="D432">
        <f t="shared" si="6"/>
        <v>0</v>
      </c>
      <c r="E432" t="s">
        <v>36</v>
      </c>
      <c r="F432" s="1">
        <v>144</v>
      </c>
      <c r="G432" s="3" t="s">
        <v>45</v>
      </c>
      <c r="H432" s="1">
        <v>22</v>
      </c>
      <c r="I432" s="9" t="str" cm="1">
        <f t="array" ref="I432">_xlfn.IFS(H432 &lt;= 2, "[1-2] very close", H432 &lt;= 10, "[3-10] close", H432 &lt;= 20, "[11-20] moderate", H432 &lt;= 30, "[21-30] far")</f>
        <v>[21-30] far</v>
      </c>
      <c r="J432" s="1">
        <v>3</v>
      </c>
      <c r="K432" s="3" t="s">
        <v>38</v>
      </c>
      <c r="L432" s="1">
        <v>1</v>
      </c>
      <c r="M432" s="1">
        <v>577</v>
      </c>
      <c r="N432" s="1">
        <v>4</v>
      </c>
      <c r="O432" s="3" t="s">
        <v>46</v>
      </c>
      <c r="P432" s="1">
        <v>46</v>
      </c>
      <c r="Q432" s="1">
        <v>1</v>
      </c>
      <c r="R432" s="1">
        <v>1</v>
      </c>
      <c r="S432" s="3" t="s">
        <v>50</v>
      </c>
      <c r="T432" s="1">
        <v>3</v>
      </c>
      <c r="U432" s="3" t="s">
        <v>41</v>
      </c>
      <c r="V432" s="4">
        <v>4230</v>
      </c>
      <c r="W432" s="1">
        <v>19225</v>
      </c>
      <c r="X432" s="1">
        <v>0</v>
      </c>
      <c r="Y432" s="3" t="s">
        <v>42</v>
      </c>
      <c r="Z432" s="3" t="s">
        <v>43</v>
      </c>
      <c r="AA432" s="5">
        <v>0.15</v>
      </c>
      <c r="AB432" s="10" t="str" cm="1">
        <f t="array" ref="AB432">_xlfn.IFS(AA432 &lt;= 15%, "Low Hike[11-15%]", AA432 &lt;= 20%, "Moderate Hike[16-20%]", AA432 &lt;= 25%,"High Hike[21-25%]")</f>
        <v>Low Hike[11-15%]</v>
      </c>
      <c r="AC432" s="1">
        <v>3</v>
      </c>
      <c r="AD432" s="1">
        <v>3</v>
      </c>
      <c r="AE432" s="1">
        <v>80</v>
      </c>
      <c r="AF432" s="1">
        <v>0</v>
      </c>
      <c r="AG432" s="1">
        <v>6</v>
      </c>
      <c r="AH432" s="9" t="str" cm="1">
        <f t="array" ref="AH432">_xlfn.IFS(AG432 &lt;= 5, "New[1-5]", AG432 &lt;= 10, "Early Career[6-10]", AG432 &lt;= 20, "Established[11-20]", AG432 &lt;= 30, "Veteran[21-30]", AG432 &lt;= 40, "Late Career[31-40]")</f>
        <v>Early Career[6-10]</v>
      </c>
      <c r="AI432" s="1">
        <v>2</v>
      </c>
      <c r="AJ432" s="1">
        <v>3</v>
      </c>
      <c r="AK432" s="1">
        <v>5</v>
      </c>
      <c r="AL432" s="9" t="str" cm="1">
        <f t="array" ref="AL432">_xlfn.IFS(AK432 &lt;= 5, "New[1-5]", AK432 &lt;= 10, "Early Career[6-10]", AK432 &lt;= 20, "Established[11-20]", AK432 &lt;= 30, "Veteran[21-30]", AK432 &lt;= 40, "Late Career[31-40]")</f>
        <v>New[1-5]</v>
      </c>
      <c r="AM432" s="1">
        <v>4</v>
      </c>
      <c r="AN432" s="9" t="str" cm="1">
        <f t="array" ref="AN432">_xlfn.IFS(AM432 &lt;= 3, "New to Role[1-3]", AM432 &lt;= 7, "Settled[4-7]", AM432 &lt;= 12, "Experienced[[8-12]", AM432 &lt;= 18, "Long Tenured[13-18]")</f>
        <v>Settled[4-7]</v>
      </c>
      <c r="AO432" s="1">
        <v>4</v>
      </c>
      <c r="AP432" s="9" t="str" cm="1">
        <f t="array" ref="AP432">_xlfn.IFS(AO432 &lt;= 3, "Recently[1-3]", AO432 &lt;= 6, "Due Soon[4-6]", AO432 &lt;= 10, "Overdue[7-10]", AO432 &lt;= 15, "Long Overdue[11-15]")</f>
        <v>Due Soon[4-6]</v>
      </c>
      <c r="AQ432" s="9" t="str" cm="1">
        <f t="array" ref="AQ432">_xlfn.IFS(AR432 &lt;= 3, "New Relationship[1-3]", AR432 &lt;= 7, "Established Relationship[4-7]", AR432 &lt;= 12, "Long Term Relationship[8-12]", AR432 &lt;= 17, "Very Long Term Relationship[13-17]")</f>
        <v>New Relationship[1-3]</v>
      </c>
      <c r="AR432" s="1">
        <v>3</v>
      </c>
    </row>
    <row r="433" spans="1:44" x14ac:dyDescent="0.25">
      <c r="A433" s="1">
        <v>54</v>
      </c>
      <c r="B433" s="8" t="str" cm="1">
        <f t="array" ref="B433">_xlfn.IFS(A433 &lt;= 25, "[18-25]", A433 &lt;= 35, "[26-35]", A433 &lt;=45, "[36-45]", A433 &lt;= 60, "[46- 60]")</f>
        <v>[46- 60]</v>
      </c>
      <c r="C433" s="3" t="s">
        <v>43</v>
      </c>
      <c r="D433">
        <f t="shared" si="6"/>
        <v>0</v>
      </c>
      <c r="E433" t="s">
        <v>36</v>
      </c>
      <c r="F433" s="1">
        <v>548</v>
      </c>
      <c r="G433" s="3" t="s">
        <v>45</v>
      </c>
      <c r="H433" s="1">
        <v>8</v>
      </c>
      <c r="I433" s="9" t="str" cm="1">
        <f t="array" ref="I433">_xlfn.IFS(H433 &lt;= 2, "[1-2] very close", H433 &lt;= 10, "[3-10] close", H433 &lt;= 20, "[11-20] moderate", H433 &lt;= 30, "[21-30] far")</f>
        <v>[3-10] close</v>
      </c>
      <c r="J433" s="1">
        <v>4</v>
      </c>
      <c r="K433" s="3" t="s">
        <v>38</v>
      </c>
      <c r="L433" s="1">
        <v>1</v>
      </c>
      <c r="M433" s="1">
        <v>578</v>
      </c>
      <c r="N433" s="1">
        <v>3</v>
      </c>
      <c r="O433" s="3" t="s">
        <v>39</v>
      </c>
      <c r="P433" s="1">
        <v>42</v>
      </c>
      <c r="Q433" s="1">
        <v>3</v>
      </c>
      <c r="R433" s="1">
        <v>2</v>
      </c>
      <c r="S433" s="3" t="s">
        <v>50</v>
      </c>
      <c r="T433" s="1">
        <v>3</v>
      </c>
      <c r="U433" s="3" t="s">
        <v>41</v>
      </c>
      <c r="V433" s="4">
        <v>3780</v>
      </c>
      <c r="W433" s="1">
        <v>23428</v>
      </c>
      <c r="X433" s="1">
        <v>7</v>
      </c>
      <c r="Y433" s="3" t="s">
        <v>42</v>
      </c>
      <c r="Z433" s="3" t="s">
        <v>43</v>
      </c>
      <c r="AA433" s="5">
        <v>0.11</v>
      </c>
      <c r="AB433" s="10" t="str" cm="1">
        <f t="array" ref="AB433">_xlfn.IFS(AA433 &lt;= 15%, "Low Hike[11-15%]", AA433 &lt;= 20%, "Moderate Hike[16-20%]", AA433 &lt;= 25%,"High Hike[21-25%]")</f>
        <v>Low Hike[11-15%]</v>
      </c>
      <c r="AC433" s="1">
        <v>3</v>
      </c>
      <c r="AD433" s="1">
        <v>3</v>
      </c>
      <c r="AE433" s="1">
        <v>80</v>
      </c>
      <c r="AF433" s="1">
        <v>0</v>
      </c>
      <c r="AG433" s="1">
        <v>19</v>
      </c>
      <c r="AH433" s="9" t="str" cm="1">
        <f t="array" ref="AH433">_xlfn.IFS(AG433 &lt;= 5, "New[1-5]", AG433 &lt;= 10, "Early Career[6-10]", AG433 &lt;= 20, "Established[11-20]", AG433 &lt;= 30, "Veteran[21-30]", AG433 &lt;= 40, "Late Career[31-40]")</f>
        <v>Established[11-20]</v>
      </c>
      <c r="AI433" s="1">
        <v>3</v>
      </c>
      <c r="AJ433" s="1">
        <v>3</v>
      </c>
      <c r="AK433" s="1">
        <v>1</v>
      </c>
      <c r="AL433" s="9" t="str" cm="1">
        <f t="array" ref="AL433">_xlfn.IFS(AK433 &lt;= 5, "New[1-5]", AK433 &lt;= 10, "Early Career[6-10]", AK433 &lt;= 20, "Established[11-20]", AK433 &lt;= 30, "Veteran[21-30]", AK433 &lt;= 40, "Late Career[31-40]")</f>
        <v>New[1-5]</v>
      </c>
      <c r="AM433" s="1">
        <v>0</v>
      </c>
      <c r="AN433" s="9" t="str" cm="1">
        <f t="array" ref="AN433">_xlfn.IFS(AM433 &lt;= 3, "New to Role[1-3]", AM433 &lt;= 7, "Settled[4-7]", AM433 &lt;= 12, "Experienced[[8-12]", AM433 &lt;= 18, "Long Tenured[13-18]")</f>
        <v>New to Role[1-3]</v>
      </c>
      <c r="AO433" s="1">
        <v>0</v>
      </c>
      <c r="AP433" s="9" t="str" cm="1">
        <f t="array" ref="AP433">_xlfn.IFS(AO433 &lt;= 3, "Recently[1-3]", AO433 &lt;= 6, "Due Soon[4-6]", AO433 &lt;= 10, "Overdue[7-10]", AO433 &lt;= 15, "Long Overdue[11-15]")</f>
        <v>Recently[1-3]</v>
      </c>
      <c r="AQ433" s="9" t="str" cm="1">
        <f t="array" ref="AQ433">_xlfn.IFS(AR433 &lt;= 3, "New Relationship[1-3]", AR433 &lt;= 7, "Established Relationship[4-7]", AR433 &lt;= 12, "Long Term Relationship[8-12]", AR433 &lt;= 17, "Very Long Term Relationship[13-17]")</f>
        <v>New Relationship[1-3]</v>
      </c>
      <c r="AR433" s="1">
        <v>0</v>
      </c>
    </row>
    <row r="434" spans="1:44" x14ac:dyDescent="0.25">
      <c r="A434" s="1">
        <v>34</v>
      </c>
      <c r="B434" s="8" t="str" cm="1">
        <f t="array" ref="B434">_xlfn.IFS(A434 &lt;= 25, "[18-25]", A434 &lt;= 35, "[26-35]", A434 &lt;=45, "[36-45]", A434 &lt;= 60, "[46- 60]")</f>
        <v>[26-35]</v>
      </c>
      <c r="C434" s="3" t="s">
        <v>43</v>
      </c>
      <c r="D434">
        <f t="shared" si="6"/>
        <v>0</v>
      </c>
      <c r="E434" t="s">
        <v>36</v>
      </c>
      <c r="F434" s="1">
        <v>1303</v>
      </c>
      <c r="G434" s="3" t="s">
        <v>45</v>
      </c>
      <c r="H434" s="1">
        <v>2</v>
      </c>
      <c r="I434" s="9" t="str" cm="1">
        <f t="array" ref="I434">_xlfn.IFS(H434 &lt;= 2, "[1-2] very close", H434 &lt;= 10, "[3-10] close", H434 &lt;= 20, "[11-20] moderate", H434 &lt;= 30, "[21-30] far")</f>
        <v>[1-2] very close</v>
      </c>
      <c r="J434" s="1">
        <v>4</v>
      </c>
      <c r="K434" s="3" t="s">
        <v>38</v>
      </c>
      <c r="L434" s="1">
        <v>1</v>
      </c>
      <c r="M434" s="1">
        <v>579</v>
      </c>
      <c r="N434" s="1">
        <v>4</v>
      </c>
      <c r="O434" s="3" t="s">
        <v>46</v>
      </c>
      <c r="P434" s="1">
        <v>62</v>
      </c>
      <c r="Q434" s="1">
        <v>2</v>
      </c>
      <c r="R434" s="1">
        <v>1</v>
      </c>
      <c r="S434" s="3" t="s">
        <v>47</v>
      </c>
      <c r="T434" s="1">
        <v>3</v>
      </c>
      <c r="U434" s="3" t="s">
        <v>52</v>
      </c>
      <c r="V434" s="4">
        <v>2768</v>
      </c>
      <c r="W434" s="1">
        <v>8416</v>
      </c>
      <c r="X434" s="1">
        <v>3</v>
      </c>
      <c r="Y434" s="3" t="s">
        <v>42</v>
      </c>
      <c r="Z434" s="3" t="s">
        <v>43</v>
      </c>
      <c r="AA434" s="5">
        <v>0.12</v>
      </c>
      <c r="AB434" s="10" t="str" cm="1">
        <f t="array" ref="AB434">_xlfn.IFS(AA434 &lt;= 15%, "Low Hike[11-15%]", AA434 &lt;= 20%, "Moderate Hike[16-20%]", AA434 &lt;= 25%,"High Hike[21-25%]")</f>
        <v>Low Hike[11-15%]</v>
      </c>
      <c r="AC434" s="1">
        <v>3</v>
      </c>
      <c r="AD434" s="1">
        <v>3</v>
      </c>
      <c r="AE434" s="1">
        <v>80</v>
      </c>
      <c r="AF434" s="1">
        <v>1</v>
      </c>
      <c r="AG434" s="1">
        <v>14</v>
      </c>
      <c r="AH434" s="9" t="str" cm="1">
        <f t="array" ref="AH434">_xlfn.IFS(AG434 &lt;= 5, "New[1-5]", AG434 &lt;= 10, "Early Career[6-10]", AG434 &lt;= 20, "Established[11-20]", AG434 &lt;= 30, "Veteran[21-30]", AG434 &lt;= 40, "Late Career[31-40]")</f>
        <v>Established[11-20]</v>
      </c>
      <c r="AI434" s="1">
        <v>3</v>
      </c>
      <c r="AJ434" s="1">
        <v>3</v>
      </c>
      <c r="AK434" s="1">
        <v>7</v>
      </c>
      <c r="AL434" s="9" t="str" cm="1">
        <f t="array" ref="AL434">_xlfn.IFS(AK434 &lt;= 5, "New[1-5]", AK434 &lt;= 10, "Early Career[6-10]", AK434 &lt;= 20, "Established[11-20]", AK434 &lt;= 30, "Veteran[21-30]", AK434 &lt;= 40, "Late Career[31-40]")</f>
        <v>Early Career[6-10]</v>
      </c>
      <c r="AM434" s="1">
        <v>3</v>
      </c>
      <c r="AN434" s="9" t="str" cm="1">
        <f t="array" ref="AN434">_xlfn.IFS(AM434 &lt;= 3, "New to Role[1-3]", AM434 &lt;= 7, "Settled[4-7]", AM434 &lt;= 12, "Experienced[[8-12]", AM434 &lt;= 18, "Long Tenured[13-18]")</f>
        <v>New to Role[1-3]</v>
      </c>
      <c r="AO434" s="1">
        <v>5</v>
      </c>
      <c r="AP434" s="9" t="str" cm="1">
        <f t="array" ref="AP434">_xlfn.IFS(AO434 &lt;= 3, "Recently[1-3]", AO434 &lt;= 6, "Due Soon[4-6]", AO434 &lt;= 10, "Overdue[7-10]", AO434 &lt;= 15, "Long Overdue[11-15]")</f>
        <v>Due Soon[4-6]</v>
      </c>
      <c r="AQ434" s="9" t="str" cm="1">
        <f t="array" ref="AQ434">_xlfn.IFS(AR434 &lt;= 3, "New Relationship[1-3]", AR434 &lt;= 7, "Established Relationship[4-7]", AR434 &lt;= 12, "Long Term Relationship[8-12]", AR434 &lt;= 17, "Very Long Term Relationship[13-17]")</f>
        <v>Established Relationship[4-7]</v>
      </c>
      <c r="AR434" s="1">
        <v>7</v>
      </c>
    </row>
    <row r="435" spans="1:44" x14ac:dyDescent="0.25">
      <c r="A435" s="1">
        <v>46</v>
      </c>
      <c r="B435" s="8" t="str" cm="1">
        <f t="array" ref="B435">_xlfn.IFS(A435 &lt;= 25, "[18-25]", A435 &lt;= 35, "[26-35]", A435 &lt;=45, "[36-45]", A435 &lt;= 60, "[46- 60]")</f>
        <v>[46- 60]</v>
      </c>
      <c r="C435" s="3" t="s">
        <v>43</v>
      </c>
      <c r="D435">
        <f t="shared" si="6"/>
        <v>0</v>
      </c>
      <c r="E435" t="s">
        <v>36</v>
      </c>
      <c r="F435" s="1">
        <v>1125</v>
      </c>
      <c r="G435" s="3" t="s">
        <v>37</v>
      </c>
      <c r="H435" s="1">
        <v>10</v>
      </c>
      <c r="I435" s="9" t="str" cm="1">
        <f t="array" ref="I435">_xlfn.IFS(H435 &lt;= 2, "[1-2] very close", H435 &lt;= 10, "[3-10] close", H435 &lt;= 20, "[11-20] moderate", H435 &lt;= 30, "[21-30] far")</f>
        <v>[3-10] close</v>
      </c>
      <c r="J435" s="1">
        <v>3</v>
      </c>
      <c r="K435" s="3" t="s">
        <v>59</v>
      </c>
      <c r="L435" s="1">
        <v>1</v>
      </c>
      <c r="M435" s="1">
        <v>580</v>
      </c>
      <c r="N435" s="1">
        <v>3</v>
      </c>
      <c r="O435" s="3" t="s">
        <v>39</v>
      </c>
      <c r="P435" s="1">
        <v>94</v>
      </c>
      <c r="Q435" s="1">
        <v>2</v>
      </c>
      <c r="R435" s="1">
        <v>3</v>
      </c>
      <c r="S435" s="3" t="s">
        <v>40</v>
      </c>
      <c r="T435" s="1">
        <v>4</v>
      </c>
      <c r="U435" s="3" t="s">
        <v>48</v>
      </c>
      <c r="V435" s="4">
        <v>9071</v>
      </c>
      <c r="W435" s="1">
        <v>11563</v>
      </c>
      <c r="X435" s="1">
        <v>2</v>
      </c>
      <c r="Y435" s="3" t="s">
        <v>42</v>
      </c>
      <c r="Z435" s="3" t="s">
        <v>35</v>
      </c>
      <c r="AA435" s="5">
        <v>0.19</v>
      </c>
      <c r="AB435" s="10" t="str" cm="1">
        <f t="array" ref="AB435">_xlfn.IFS(AA435 &lt;= 15%, "Low Hike[11-15%]", AA435 &lt;= 20%, "Moderate Hike[16-20%]", AA435 &lt;= 25%,"High Hike[21-25%]")</f>
        <v>Moderate Hike[16-20%]</v>
      </c>
      <c r="AC435" s="1">
        <v>3</v>
      </c>
      <c r="AD435" s="1">
        <v>3</v>
      </c>
      <c r="AE435" s="1">
        <v>80</v>
      </c>
      <c r="AF435" s="1">
        <v>1</v>
      </c>
      <c r="AG435" s="1">
        <v>15</v>
      </c>
      <c r="AH435" s="9" t="str" cm="1">
        <f t="array" ref="AH435">_xlfn.IFS(AG435 &lt;= 5, "New[1-5]", AG435 &lt;= 10, "Early Career[6-10]", AG435 &lt;= 20, "Established[11-20]", AG435 &lt;= 30, "Veteran[21-30]", AG435 &lt;= 40, "Late Career[31-40]")</f>
        <v>Established[11-20]</v>
      </c>
      <c r="AI435" s="1">
        <v>3</v>
      </c>
      <c r="AJ435" s="1">
        <v>3</v>
      </c>
      <c r="AK435" s="1">
        <v>3</v>
      </c>
      <c r="AL435" s="9" t="str" cm="1">
        <f t="array" ref="AL435">_xlfn.IFS(AK435 &lt;= 5, "New[1-5]", AK435 &lt;= 10, "Early Career[6-10]", AK435 &lt;= 20, "Established[11-20]", AK435 &lt;= 30, "Veteran[21-30]", AK435 &lt;= 40, "Late Career[31-40]")</f>
        <v>New[1-5]</v>
      </c>
      <c r="AM435" s="1">
        <v>2</v>
      </c>
      <c r="AN435" s="9" t="str" cm="1">
        <f t="array" ref="AN435">_xlfn.IFS(AM435 &lt;= 3, "New to Role[1-3]", AM435 &lt;= 7, "Settled[4-7]", AM435 &lt;= 12, "Experienced[[8-12]", AM435 &lt;= 18, "Long Tenured[13-18]")</f>
        <v>New to Role[1-3]</v>
      </c>
      <c r="AO435" s="1">
        <v>1</v>
      </c>
      <c r="AP435" s="9" t="str" cm="1">
        <f t="array" ref="AP435">_xlfn.IFS(AO435 &lt;= 3, "Recently[1-3]", AO435 &lt;= 6, "Due Soon[4-6]", AO435 &lt;= 10, "Overdue[7-10]", AO435 &lt;= 15, "Long Overdue[11-15]")</f>
        <v>Recently[1-3]</v>
      </c>
      <c r="AQ435" s="9" t="str" cm="1">
        <f t="array" ref="AQ435">_xlfn.IFS(AR435 &lt;= 3, "New Relationship[1-3]", AR435 &lt;= 7, "Established Relationship[4-7]", AR435 &lt;= 12, "Long Term Relationship[8-12]", AR435 &lt;= 17, "Very Long Term Relationship[13-17]")</f>
        <v>New Relationship[1-3]</v>
      </c>
      <c r="AR435" s="1">
        <v>2</v>
      </c>
    </row>
    <row r="436" spans="1:44" x14ac:dyDescent="0.25">
      <c r="A436" s="1">
        <v>31</v>
      </c>
      <c r="B436" s="8" t="str" cm="1">
        <f t="array" ref="B436">_xlfn.IFS(A436 &lt;= 25, "[18-25]", A436 &lt;= 35, "[26-35]", A436 &lt;=45, "[36-45]", A436 &lt;= 60, "[46- 60]")</f>
        <v>[26-35]</v>
      </c>
      <c r="C436" s="3" t="s">
        <v>43</v>
      </c>
      <c r="D436">
        <f t="shared" si="6"/>
        <v>0</v>
      </c>
      <c r="E436" t="s">
        <v>36</v>
      </c>
      <c r="F436" s="1">
        <v>1274</v>
      </c>
      <c r="G436" s="3" t="s">
        <v>45</v>
      </c>
      <c r="H436" s="1">
        <v>9</v>
      </c>
      <c r="I436" s="9" t="str" cm="1">
        <f t="array" ref="I436">_xlfn.IFS(H436 &lt;= 2, "[1-2] very close", H436 &lt;= 10, "[3-10] close", H436 &lt;= 20, "[11-20] moderate", H436 &lt;= 30, "[21-30] far")</f>
        <v>[3-10] close</v>
      </c>
      <c r="J436" s="1">
        <v>1</v>
      </c>
      <c r="K436" s="3" t="s">
        <v>38</v>
      </c>
      <c r="L436" s="1">
        <v>1</v>
      </c>
      <c r="M436" s="1">
        <v>581</v>
      </c>
      <c r="N436" s="1">
        <v>3</v>
      </c>
      <c r="O436" s="3" t="s">
        <v>46</v>
      </c>
      <c r="P436" s="1">
        <v>33</v>
      </c>
      <c r="Q436" s="1">
        <v>3</v>
      </c>
      <c r="R436" s="1">
        <v>3</v>
      </c>
      <c r="S436" s="3" t="s">
        <v>53</v>
      </c>
      <c r="T436" s="1">
        <v>2</v>
      </c>
      <c r="U436" s="3" t="s">
        <v>52</v>
      </c>
      <c r="V436" s="4">
        <v>10648</v>
      </c>
      <c r="W436" s="1">
        <v>14394</v>
      </c>
      <c r="X436" s="1">
        <v>1</v>
      </c>
      <c r="Y436" s="3" t="s">
        <v>42</v>
      </c>
      <c r="Z436" s="3" t="s">
        <v>43</v>
      </c>
      <c r="AA436" s="5">
        <v>0.25</v>
      </c>
      <c r="AB436" s="10" t="str" cm="1">
        <f t="array" ref="AB436">_xlfn.IFS(AA436 &lt;= 15%, "Low Hike[11-15%]", AA436 &lt;= 20%, "Moderate Hike[16-20%]", AA436 &lt;= 25%,"High Hike[21-25%]")</f>
        <v>High Hike[21-25%]</v>
      </c>
      <c r="AC436" s="1">
        <v>4</v>
      </c>
      <c r="AD436" s="1">
        <v>4</v>
      </c>
      <c r="AE436" s="1">
        <v>80</v>
      </c>
      <c r="AF436" s="1">
        <v>1</v>
      </c>
      <c r="AG436" s="1">
        <v>13</v>
      </c>
      <c r="AH436" s="9" t="str" cm="1">
        <f t="array" ref="AH436">_xlfn.IFS(AG436 &lt;= 5, "New[1-5]", AG436 &lt;= 10, "Early Career[6-10]", AG436 &lt;= 20, "Established[11-20]", AG436 &lt;= 30, "Veteran[21-30]", AG436 &lt;= 40, "Late Career[31-40]")</f>
        <v>Established[11-20]</v>
      </c>
      <c r="AI436" s="1">
        <v>6</v>
      </c>
      <c r="AJ436" s="1">
        <v>4</v>
      </c>
      <c r="AK436" s="1">
        <v>13</v>
      </c>
      <c r="AL436" s="9" t="str" cm="1">
        <f t="array" ref="AL436">_xlfn.IFS(AK436 &lt;= 5, "New[1-5]", AK436 &lt;= 10, "Early Career[6-10]", AK436 &lt;= 20, "Established[11-20]", AK436 &lt;= 30, "Veteran[21-30]", AK436 &lt;= 40, "Late Career[31-40]")</f>
        <v>Established[11-20]</v>
      </c>
      <c r="AM436" s="1">
        <v>8</v>
      </c>
      <c r="AN436" s="9" t="str" cm="1">
        <f t="array" ref="AN436">_xlfn.IFS(AM436 &lt;= 3, "New to Role[1-3]", AM436 &lt;= 7, "Settled[4-7]", AM436 &lt;= 12, "Experienced[[8-12]", AM436 &lt;= 18, "Long Tenured[13-18]")</f>
        <v>Experienced[[8-12]</v>
      </c>
      <c r="AO436" s="1">
        <v>0</v>
      </c>
      <c r="AP436" s="9" t="str" cm="1">
        <f t="array" ref="AP436">_xlfn.IFS(AO436 &lt;= 3, "Recently[1-3]", AO436 &lt;= 6, "Due Soon[4-6]", AO436 &lt;= 10, "Overdue[7-10]", AO436 &lt;= 15, "Long Overdue[11-15]")</f>
        <v>Recently[1-3]</v>
      </c>
      <c r="AQ436" s="9" t="str" cm="1">
        <f t="array" ref="AQ436">_xlfn.IFS(AR436 &lt;= 3, "New Relationship[1-3]", AR436 &lt;= 7, "Established Relationship[4-7]", AR436 &lt;= 12, "Long Term Relationship[8-12]", AR436 &lt;= 17, "Very Long Term Relationship[13-17]")</f>
        <v>Long Term Relationship[8-12]</v>
      </c>
      <c r="AR436" s="1">
        <v>8</v>
      </c>
    </row>
    <row r="437" spans="1:44" x14ac:dyDescent="0.25">
      <c r="A437" s="1">
        <v>33</v>
      </c>
      <c r="B437" s="8" t="str" cm="1">
        <f t="array" ref="B437">_xlfn.IFS(A437 &lt;= 25, "[18-25]", A437 &lt;= 35, "[26-35]", A437 &lt;=45, "[36-45]", A437 &lt;= 60, "[46- 60]")</f>
        <v>[26-35]</v>
      </c>
      <c r="C437" s="3" t="s">
        <v>35</v>
      </c>
      <c r="D437">
        <f t="shared" si="6"/>
        <v>1</v>
      </c>
      <c r="E437" t="s">
        <v>36</v>
      </c>
      <c r="F437" s="1">
        <v>1277</v>
      </c>
      <c r="G437" s="3" t="s">
        <v>45</v>
      </c>
      <c r="H437" s="1">
        <v>15</v>
      </c>
      <c r="I437" s="9" t="str" cm="1">
        <f t="array" ref="I437">_xlfn.IFS(H437 &lt;= 2, "[1-2] very close", H437 &lt;= 10, "[3-10] close", H437 &lt;= 20, "[11-20] moderate", H437 &lt;= 30, "[21-30] far")</f>
        <v>[11-20] moderate</v>
      </c>
      <c r="J437" s="1">
        <v>1</v>
      </c>
      <c r="K437" s="3" t="s">
        <v>51</v>
      </c>
      <c r="L437" s="1">
        <v>1</v>
      </c>
      <c r="M437" s="1">
        <v>582</v>
      </c>
      <c r="N437" s="1">
        <v>2</v>
      </c>
      <c r="O437" s="3" t="s">
        <v>46</v>
      </c>
      <c r="P437" s="1">
        <v>56</v>
      </c>
      <c r="Q437" s="1">
        <v>3</v>
      </c>
      <c r="R437" s="1">
        <v>3</v>
      </c>
      <c r="S437" s="3" t="s">
        <v>56</v>
      </c>
      <c r="T437" s="1">
        <v>3</v>
      </c>
      <c r="U437" s="3" t="s">
        <v>48</v>
      </c>
      <c r="V437" s="4">
        <v>13610</v>
      </c>
      <c r="W437" s="1">
        <v>24619</v>
      </c>
      <c r="X437" s="1">
        <v>7</v>
      </c>
      <c r="Y437" s="3" t="s">
        <v>42</v>
      </c>
      <c r="Z437" s="3" t="s">
        <v>35</v>
      </c>
      <c r="AA437" s="5">
        <v>0.12</v>
      </c>
      <c r="AB437" s="10" t="str" cm="1">
        <f t="array" ref="AB437">_xlfn.IFS(AA437 &lt;= 15%, "Low Hike[11-15%]", AA437 &lt;= 20%, "Moderate Hike[16-20%]", AA437 &lt;= 25%,"High Hike[21-25%]")</f>
        <v>Low Hike[11-15%]</v>
      </c>
      <c r="AC437" s="1">
        <v>3</v>
      </c>
      <c r="AD437" s="1">
        <v>4</v>
      </c>
      <c r="AE437" s="1">
        <v>80</v>
      </c>
      <c r="AF437" s="1">
        <v>0</v>
      </c>
      <c r="AG437" s="1">
        <v>15</v>
      </c>
      <c r="AH437" s="9" t="str" cm="1">
        <f t="array" ref="AH437">_xlfn.IFS(AG437 &lt;= 5, "New[1-5]", AG437 &lt;= 10, "Early Career[6-10]", AG437 &lt;= 20, "Established[11-20]", AG437 &lt;= 30, "Veteran[21-30]", AG437 &lt;= 40, "Late Career[31-40]")</f>
        <v>Established[11-20]</v>
      </c>
      <c r="AI437" s="1">
        <v>2</v>
      </c>
      <c r="AJ437" s="1">
        <v>4</v>
      </c>
      <c r="AK437" s="1">
        <v>7</v>
      </c>
      <c r="AL437" s="9" t="str" cm="1">
        <f t="array" ref="AL437">_xlfn.IFS(AK437 &lt;= 5, "New[1-5]", AK437 &lt;= 10, "Early Career[6-10]", AK437 &lt;= 20, "Established[11-20]", AK437 &lt;= 30, "Veteran[21-30]", AK437 &lt;= 40, "Late Career[31-40]")</f>
        <v>Early Career[6-10]</v>
      </c>
      <c r="AM437" s="1">
        <v>6</v>
      </c>
      <c r="AN437" s="9" t="str" cm="1">
        <f t="array" ref="AN437">_xlfn.IFS(AM437 &lt;= 3, "New to Role[1-3]", AM437 &lt;= 7, "Settled[4-7]", AM437 &lt;= 12, "Experienced[[8-12]", AM437 &lt;= 18, "Long Tenured[13-18]")</f>
        <v>Settled[4-7]</v>
      </c>
      <c r="AO437" s="1">
        <v>7</v>
      </c>
      <c r="AP437" s="9" t="str" cm="1">
        <f t="array" ref="AP437">_xlfn.IFS(AO437 &lt;= 3, "Recently[1-3]", AO437 &lt;= 6, "Due Soon[4-6]", AO437 &lt;= 10, "Overdue[7-10]", AO437 &lt;= 15, "Long Overdue[11-15]")</f>
        <v>Overdue[7-10]</v>
      </c>
      <c r="AQ437" s="9" t="str" cm="1">
        <f t="array" ref="AQ437">_xlfn.IFS(AR437 &lt;= 3, "New Relationship[1-3]", AR437 &lt;= 7, "Established Relationship[4-7]", AR437 &lt;= 12, "Long Term Relationship[8-12]", AR437 &lt;= 17, "Very Long Term Relationship[13-17]")</f>
        <v>Established Relationship[4-7]</v>
      </c>
      <c r="AR437" s="1">
        <v>7</v>
      </c>
    </row>
    <row r="438" spans="1:44" x14ac:dyDescent="0.25">
      <c r="A438" s="1">
        <v>33</v>
      </c>
      <c r="B438" s="8" t="str" cm="1">
        <f t="array" ref="B438">_xlfn.IFS(A438 &lt;= 25, "[18-25]", A438 &lt;= 35, "[26-35]", A438 &lt;=45, "[36-45]", A438 &lt;= 60, "[46- 60]")</f>
        <v>[26-35]</v>
      </c>
      <c r="C438" s="3" t="s">
        <v>35</v>
      </c>
      <c r="D438">
        <f t="shared" si="6"/>
        <v>1</v>
      </c>
      <c r="E438" t="s">
        <v>36</v>
      </c>
      <c r="F438" s="1">
        <v>587</v>
      </c>
      <c r="G438" s="3" t="s">
        <v>45</v>
      </c>
      <c r="H438" s="1">
        <v>10</v>
      </c>
      <c r="I438" s="9" t="str" cm="1">
        <f t="array" ref="I438">_xlfn.IFS(H438 &lt;= 2, "[1-2] very close", H438 &lt;= 10, "[3-10] close", H438 &lt;= 20, "[11-20] moderate", H438 &lt;= 30, "[21-30] far")</f>
        <v>[3-10] close</v>
      </c>
      <c r="J438" s="1">
        <v>1</v>
      </c>
      <c r="K438" s="3" t="s">
        <v>51</v>
      </c>
      <c r="L438" s="1">
        <v>1</v>
      </c>
      <c r="M438" s="1">
        <v>584</v>
      </c>
      <c r="N438" s="1">
        <v>1</v>
      </c>
      <c r="O438" s="3" t="s">
        <v>46</v>
      </c>
      <c r="P438" s="1">
        <v>38</v>
      </c>
      <c r="Q438" s="1">
        <v>1</v>
      </c>
      <c r="R438" s="1">
        <v>1</v>
      </c>
      <c r="S438" s="3" t="s">
        <v>50</v>
      </c>
      <c r="T438" s="1">
        <v>4</v>
      </c>
      <c r="U438" s="3" t="s">
        <v>52</v>
      </c>
      <c r="V438" s="4">
        <v>3408</v>
      </c>
      <c r="W438" s="1">
        <v>6705</v>
      </c>
      <c r="X438" s="1">
        <v>7</v>
      </c>
      <c r="Y438" s="3" t="s">
        <v>42</v>
      </c>
      <c r="Z438" s="3" t="s">
        <v>43</v>
      </c>
      <c r="AA438" s="5">
        <v>0.13</v>
      </c>
      <c r="AB438" s="10" t="str" cm="1">
        <f t="array" ref="AB438">_xlfn.IFS(AA438 &lt;= 15%, "Low Hike[11-15%]", AA438 &lt;= 20%, "Moderate Hike[16-20%]", AA438 &lt;= 25%,"High Hike[21-25%]")</f>
        <v>Low Hike[11-15%]</v>
      </c>
      <c r="AC438" s="1">
        <v>3</v>
      </c>
      <c r="AD438" s="1">
        <v>1</v>
      </c>
      <c r="AE438" s="1">
        <v>80</v>
      </c>
      <c r="AF438" s="1">
        <v>3</v>
      </c>
      <c r="AG438" s="1">
        <v>8</v>
      </c>
      <c r="AH438" s="9" t="str" cm="1">
        <f t="array" ref="AH438">_xlfn.IFS(AG438 &lt;= 5, "New[1-5]", AG438 &lt;= 10, "Early Career[6-10]", AG438 &lt;= 20, "Established[11-20]", AG438 &lt;= 30, "Veteran[21-30]", AG438 &lt;= 40, "Late Career[31-40]")</f>
        <v>Early Career[6-10]</v>
      </c>
      <c r="AI438" s="1">
        <v>2</v>
      </c>
      <c r="AJ438" s="1">
        <v>3</v>
      </c>
      <c r="AK438" s="1">
        <v>4</v>
      </c>
      <c r="AL438" s="9" t="str" cm="1">
        <f t="array" ref="AL438">_xlfn.IFS(AK438 &lt;= 5, "New[1-5]", AK438 &lt;= 10, "Early Career[6-10]", AK438 &lt;= 20, "Established[11-20]", AK438 &lt;= 30, "Veteran[21-30]", AK438 &lt;= 40, "Late Career[31-40]")</f>
        <v>New[1-5]</v>
      </c>
      <c r="AM438" s="1">
        <v>3</v>
      </c>
      <c r="AN438" s="9" t="str" cm="1">
        <f t="array" ref="AN438">_xlfn.IFS(AM438 &lt;= 3, "New to Role[1-3]", AM438 &lt;= 7, "Settled[4-7]", AM438 &lt;= 12, "Experienced[[8-12]", AM438 &lt;= 18, "Long Tenured[13-18]")</f>
        <v>New to Role[1-3]</v>
      </c>
      <c r="AO438" s="1">
        <v>1</v>
      </c>
      <c r="AP438" s="9" t="str" cm="1">
        <f t="array" ref="AP438">_xlfn.IFS(AO438 &lt;= 3, "Recently[1-3]", AO438 &lt;= 6, "Due Soon[4-6]", AO438 &lt;= 10, "Overdue[7-10]", AO438 &lt;= 15, "Long Overdue[11-15]")</f>
        <v>Recently[1-3]</v>
      </c>
      <c r="AQ438" s="9" t="str" cm="1">
        <f t="array" ref="AQ438">_xlfn.IFS(AR438 &lt;= 3, "New Relationship[1-3]", AR438 &lt;= 7, "Established Relationship[4-7]", AR438 &lt;= 12, "Long Term Relationship[8-12]", AR438 &lt;= 17, "Very Long Term Relationship[13-17]")</f>
        <v>New Relationship[1-3]</v>
      </c>
      <c r="AR438" s="1">
        <v>3</v>
      </c>
    </row>
    <row r="439" spans="1:44" x14ac:dyDescent="0.25">
      <c r="A439" s="1">
        <v>30</v>
      </c>
      <c r="B439" s="8" t="str" cm="1">
        <f t="array" ref="B439">_xlfn.IFS(A439 &lt;= 25, "[18-25]", A439 &lt;= 35, "[26-35]", A439 &lt;=45, "[36-45]", A439 &lt;= 60, "[46- 60]")</f>
        <v>[26-35]</v>
      </c>
      <c r="C439" s="3" t="s">
        <v>43</v>
      </c>
      <c r="D439">
        <f t="shared" si="6"/>
        <v>0</v>
      </c>
      <c r="E439" t="s">
        <v>36</v>
      </c>
      <c r="F439" s="1">
        <v>413</v>
      </c>
      <c r="G439" s="3" t="s">
        <v>37</v>
      </c>
      <c r="H439" s="1">
        <v>7</v>
      </c>
      <c r="I439" s="9" t="str" cm="1">
        <f t="array" ref="I439">_xlfn.IFS(H439 &lt;= 2, "[1-2] very close", H439 &lt;= 10, "[3-10] close", H439 &lt;= 20, "[11-20] moderate", H439 &lt;= 30, "[21-30] far")</f>
        <v>[3-10] close</v>
      </c>
      <c r="J439" s="1">
        <v>1</v>
      </c>
      <c r="K439" s="3" t="s">
        <v>59</v>
      </c>
      <c r="L439" s="1">
        <v>1</v>
      </c>
      <c r="M439" s="1">
        <v>585</v>
      </c>
      <c r="N439" s="1">
        <v>4</v>
      </c>
      <c r="O439" s="3" t="s">
        <v>46</v>
      </c>
      <c r="P439" s="1">
        <v>57</v>
      </c>
      <c r="Q439" s="1">
        <v>3</v>
      </c>
      <c r="R439" s="1">
        <v>1</v>
      </c>
      <c r="S439" s="3" t="s">
        <v>57</v>
      </c>
      <c r="T439" s="1">
        <v>2</v>
      </c>
      <c r="U439" s="3" t="s">
        <v>41</v>
      </c>
      <c r="V439" s="4">
        <v>2983</v>
      </c>
      <c r="W439" s="1">
        <v>18398</v>
      </c>
      <c r="X439" s="1">
        <v>0</v>
      </c>
      <c r="Y439" s="3" t="s">
        <v>42</v>
      </c>
      <c r="Z439" s="3" t="s">
        <v>43</v>
      </c>
      <c r="AA439" s="5">
        <v>0.14000000000000001</v>
      </c>
      <c r="AB439" s="10" t="str" cm="1">
        <f t="array" ref="AB439">_xlfn.IFS(AA439 &lt;= 15%, "Low Hike[11-15%]", AA439 &lt;= 20%, "Moderate Hike[16-20%]", AA439 &lt;= 25%,"High Hike[21-25%]")</f>
        <v>Low Hike[11-15%]</v>
      </c>
      <c r="AC439" s="1">
        <v>3</v>
      </c>
      <c r="AD439" s="1">
        <v>1</v>
      </c>
      <c r="AE439" s="1">
        <v>80</v>
      </c>
      <c r="AF439" s="1">
        <v>0</v>
      </c>
      <c r="AG439" s="1">
        <v>4</v>
      </c>
      <c r="AH439" s="9" t="str" cm="1">
        <f t="array" ref="AH439">_xlfn.IFS(AG439 &lt;= 5, "New[1-5]", AG439 &lt;= 10, "Early Career[6-10]", AG439 &lt;= 20, "Established[11-20]", AG439 &lt;= 30, "Veteran[21-30]", AG439 &lt;= 40, "Late Career[31-40]")</f>
        <v>New[1-5]</v>
      </c>
      <c r="AI439" s="1">
        <v>3</v>
      </c>
      <c r="AJ439" s="1">
        <v>3</v>
      </c>
      <c r="AK439" s="1">
        <v>3</v>
      </c>
      <c r="AL439" s="9" t="str" cm="1">
        <f t="array" ref="AL439">_xlfn.IFS(AK439 &lt;= 5, "New[1-5]", AK439 &lt;= 10, "Early Career[6-10]", AK439 &lt;= 20, "Established[11-20]", AK439 &lt;= 30, "Veteran[21-30]", AK439 &lt;= 40, "Late Career[31-40]")</f>
        <v>New[1-5]</v>
      </c>
      <c r="AM439" s="1">
        <v>2</v>
      </c>
      <c r="AN439" s="9" t="str" cm="1">
        <f t="array" ref="AN439">_xlfn.IFS(AM439 &lt;= 3, "New to Role[1-3]", AM439 &lt;= 7, "Settled[4-7]", AM439 &lt;= 12, "Experienced[[8-12]", AM439 &lt;= 18, "Long Tenured[13-18]")</f>
        <v>New to Role[1-3]</v>
      </c>
      <c r="AO439" s="1">
        <v>1</v>
      </c>
      <c r="AP439" s="9" t="str" cm="1">
        <f t="array" ref="AP439">_xlfn.IFS(AO439 &lt;= 3, "Recently[1-3]", AO439 &lt;= 6, "Due Soon[4-6]", AO439 &lt;= 10, "Overdue[7-10]", AO439 &lt;= 15, "Long Overdue[11-15]")</f>
        <v>Recently[1-3]</v>
      </c>
      <c r="AQ439" s="9" t="str" cm="1">
        <f t="array" ref="AQ439">_xlfn.IFS(AR439 &lt;= 3, "New Relationship[1-3]", AR439 &lt;= 7, "Established Relationship[4-7]", AR439 &lt;= 12, "Long Term Relationship[8-12]", AR439 &lt;= 17, "Very Long Term Relationship[13-17]")</f>
        <v>New Relationship[1-3]</v>
      </c>
      <c r="AR439" s="1">
        <v>2</v>
      </c>
    </row>
    <row r="440" spans="1:44" x14ac:dyDescent="0.25">
      <c r="A440" s="1">
        <v>35</v>
      </c>
      <c r="B440" s="8" t="str" cm="1">
        <f t="array" ref="B440">_xlfn.IFS(A440 &lt;= 25, "[18-25]", A440 &lt;= 35, "[26-35]", A440 &lt;=45, "[36-45]", A440 &lt;= 60, "[46- 60]")</f>
        <v>[26-35]</v>
      </c>
      <c r="C440" s="3" t="s">
        <v>43</v>
      </c>
      <c r="D440">
        <f t="shared" si="6"/>
        <v>0</v>
      </c>
      <c r="E440" t="s">
        <v>36</v>
      </c>
      <c r="F440" s="1">
        <v>1276</v>
      </c>
      <c r="G440" s="3" t="s">
        <v>45</v>
      </c>
      <c r="H440" s="1">
        <v>16</v>
      </c>
      <c r="I440" s="9" t="str" cm="1">
        <f t="array" ref="I440">_xlfn.IFS(H440 &lt;= 2, "[1-2] very close", H440 &lt;= 10, "[3-10] close", H440 &lt;= 20, "[11-20] moderate", H440 &lt;= 30, "[21-30] far")</f>
        <v>[11-20] moderate</v>
      </c>
      <c r="J440" s="1">
        <v>3</v>
      </c>
      <c r="K440" s="3" t="s">
        <v>38</v>
      </c>
      <c r="L440" s="1">
        <v>1</v>
      </c>
      <c r="M440" s="1">
        <v>586</v>
      </c>
      <c r="N440" s="1">
        <v>4</v>
      </c>
      <c r="O440" s="3" t="s">
        <v>46</v>
      </c>
      <c r="P440" s="1">
        <v>72</v>
      </c>
      <c r="Q440" s="1">
        <v>3</v>
      </c>
      <c r="R440" s="1">
        <v>3</v>
      </c>
      <c r="S440" s="3" t="s">
        <v>54</v>
      </c>
      <c r="T440" s="1">
        <v>3</v>
      </c>
      <c r="U440" s="3" t="s">
        <v>48</v>
      </c>
      <c r="V440" s="4">
        <v>7632</v>
      </c>
      <c r="W440" s="1">
        <v>14295</v>
      </c>
      <c r="X440" s="1">
        <v>4</v>
      </c>
      <c r="Y440" s="3" t="s">
        <v>42</v>
      </c>
      <c r="Z440" s="3" t="s">
        <v>35</v>
      </c>
      <c r="AA440" s="5">
        <v>0.12</v>
      </c>
      <c r="AB440" s="10" t="str" cm="1">
        <f t="array" ref="AB440">_xlfn.IFS(AA440 &lt;= 15%, "Low Hike[11-15%]", AA440 &lt;= 20%, "Moderate Hike[16-20%]", AA440 &lt;= 25%,"High Hike[21-25%]")</f>
        <v>Low Hike[11-15%]</v>
      </c>
      <c r="AC440" s="1">
        <v>3</v>
      </c>
      <c r="AD440" s="1">
        <v>3</v>
      </c>
      <c r="AE440" s="1">
        <v>80</v>
      </c>
      <c r="AF440" s="1">
        <v>0</v>
      </c>
      <c r="AG440" s="1">
        <v>10</v>
      </c>
      <c r="AH440" s="9" t="str" cm="1">
        <f t="array" ref="AH440">_xlfn.IFS(AG440 &lt;= 5, "New[1-5]", AG440 &lt;= 10, "Early Career[6-10]", AG440 &lt;= 20, "Established[11-20]", AG440 &lt;= 30, "Veteran[21-30]", AG440 &lt;= 40, "Late Career[31-40]")</f>
        <v>Early Career[6-10]</v>
      </c>
      <c r="AI440" s="1">
        <v>2</v>
      </c>
      <c r="AJ440" s="1">
        <v>3</v>
      </c>
      <c r="AK440" s="1">
        <v>8</v>
      </c>
      <c r="AL440" s="9" t="str" cm="1">
        <f t="array" ref="AL440">_xlfn.IFS(AK440 &lt;= 5, "New[1-5]", AK440 &lt;= 10, "Early Career[6-10]", AK440 &lt;= 20, "Established[11-20]", AK440 &lt;= 30, "Veteran[21-30]", AK440 &lt;= 40, "Late Career[31-40]")</f>
        <v>Early Career[6-10]</v>
      </c>
      <c r="AM440" s="1">
        <v>7</v>
      </c>
      <c r="AN440" s="9" t="str" cm="1">
        <f t="array" ref="AN440">_xlfn.IFS(AM440 &lt;= 3, "New to Role[1-3]", AM440 &lt;= 7, "Settled[4-7]", AM440 &lt;= 12, "Experienced[[8-12]", AM440 &lt;= 18, "Long Tenured[13-18]")</f>
        <v>Settled[4-7]</v>
      </c>
      <c r="AO440" s="1">
        <v>0</v>
      </c>
      <c r="AP440" s="9" t="str" cm="1">
        <f t="array" ref="AP440">_xlfn.IFS(AO440 &lt;= 3, "Recently[1-3]", AO440 &lt;= 6, "Due Soon[4-6]", AO440 &lt;= 10, "Overdue[7-10]", AO440 &lt;= 15, "Long Overdue[11-15]")</f>
        <v>Recently[1-3]</v>
      </c>
      <c r="AQ440" s="9" t="str" cm="1">
        <f t="array" ref="AQ440">_xlfn.IFS(AR440 &lt;= 3, "New Relationship[1-3]", AR440 &lt;= 7, "Established Relationship[4-7]", AR440 &lt;= 12, "Long Term Relationship[8-12]", AR440 &lt;= 17, "Very Long Term Relationship[13-17]")</f>
        <v>New Relationship[1-3]</v>
      </c>
      <c r="AR440" s="1">
        <v>0</v>
      </c>
    </row>
    <row r="441" spans="1:44" x14ac:dyDescent="0.25">
      <c r="A441" s="1">
        <v>31</v>
      </c>
      <c r="B441" s="8" t="str" cm="1">
        <f t="array" ref="B441">_xlfn.IFS(A441 &lt;= 25, "[18-25]", A441 &lt;= 35, "[26-35]", A441 &lt;=45, "[36-45]", A441 &lt;= 60, "[46- 60]")</f>
        <v>[26-35]</v>
      </c>
      <c r="C441" s="3" t="s">
        <v>35</v>
      </c>
      <c r="D441">
        <f t="shared" si="6"/>
        <v>1</v>
      </c>
      <c r="E441" t="s">
        <v>44</v>
      </c>
      <c r="F441" s="1">
        <v>534</v>
      </c>
      <c r="G441" s="3" t="s">
        <v>45</v>
      </c>
      <c r="H441" s="1">
        <v>20</v>
      </c>
      <c r="I441" s="9" t="str" cm="1">
        <f t="array" ref="I441">_xlfn.IFS(H441 &lt;= 2, "[1-2] very close", H441 &lt;= 10, "[3-10] close", H441 &lt;= 20, "[11-20] moderate", H441 &lt;= 30, "[21-30] far")</f>
        <v>[11-20] moderate</v>
      </c>
      <c r="J441" s="1">
        <v>3</v>
      </c>
      <c r="K441" s="3" t="s">
        <v>38</v>
      </c>
      <c r="L441" s="1">
        <v>1</v>
      </c>
      <c r="M441" s="1">
        <v>587</v>
      </c>
      <c r="N441" s="1">
        <v>1</v>
      </c>
      <c r="O441" s="3" t="s">
        <v>46</v>
      </c>
      <c r="P441" s="1">
        <v>66</v>
      </c>
      <c r="Q441" s="1">
        <v>3</v>
      </c>
      <c r="R441" s="1">
        <v>3</v>
      </c>
      <c r="S441" s="3" t="s">
        <v>54</v>
      </c>
      <c r="T441" s="1">
        <v>3</v>
      </c>
      <c r="U441" s="3" t="s">
        <v>48</v>
      </c>
      <c r="V441" s="4">
        <v>9824</v>
      </c>
      <c r="W441" s="1">
        <v>22908</v>
      </c>
      <c r="X441" s="1">
        <v>3</v>
      </c>
      <c r="Y441" s="3" t="s">
        <v>42</v>
      </c>
      <c r="Z441" s="3" t="s">
        <v>43</v>
      </c>
      <c r="AA441" s="5">
        <v>0.12</v>
      </c>
      <c r="AB441" s="10" t="str" cm="1">
        <f t="array" ref="AB441">_xlfn.IFS(AA441 &lt;= 15%, "Low Hike[11-15%]", AA441 &lt;= 20%, "Moderate Hike[16-20%]", AA441 &lt;= 25%,"High Hike[21-25%]")</f>
        <v>Low Hike[11-15%]</v>
      </c>
      <c r="AC441" s="1">
        <v>3</v>
      </c>
      <c r="AD441" s="1">
        <v>1</v>
      </c>
      <c r="AE441" s="1">
        <v>80</v>
      </c>
      <c r="AF441" s="1">
        <v>0</v>
      </c>
      <c r="AG441" s="1">
        <v>12</v>
      </c>
      <c r="AH441" s="9" t="str" cm="1">
        <f t="array" ref="AH441">_xlfn.IFS(AG441 &lt;= 5, "New[1-5]", AG441 &lt;= 10, "Early Career[6-10]", AG441 &lt;= 20, "Established[11-20]", AG441 &lt;= 30, "Veteran[21-30]", AG441 &lt;= 40, "Late Career[31-40]")</f>
        <v>Established[11-20]</v>
      </c>
      <c r="AI441" s="1">
        <v>2</v>
      </c>
      <c r="AJ441" s="1">
        <v>3</v>
      </c>
      <c r="AK441" s="1">
        <v>1</v>
      </c>
      <c r="AL441" s="9" t="str" cm="1">
        <f t="array" ref="AL441">_xlfn.IFS(AK441 &lt;= 5, "New[1-5]", AK441 &lt;= 10, "Early Career[6-10]", AK441 &lt;= 20, "Established[11-20]", AK441 &lt;= 30, "Veteran[21-30]", AK441 &lt;= 40, "Late Career[31-40]")</f>
        <v>New[1-5]</v>
      </c>
      <c r="AM441" s="1">
        <v>0</v>
      </c>
      <c r="AN441" s="9" t="str" cm="1">
        <f t="array" ref="AN441">_xlfn.IFS(AM441 &lt;= 3, "New to Role[1-3]", AM441 &lt;= 7, "Settled[4-7]", AM441 &lt;= 12, "Experienced[[8-12]", AM441 &lt;= 18, "Long Tenured[13-18]")</f>
        <v>New to Role[1-3]</v>
      </c>
      <c r="AO441" s="1">
        <v>0</v>
      </c>
      <c r="AP441" s="9" t="str" cm="1">
        <f t="array" ref="AP441">_xlfn.IFS(AO441 &lt;= 3, "Recently[1-3]", AO441 &lt;= 6, "Due Soon[4-6]", AO441 &lt;= 10, "Overdue[7-10]", AO441 &lt;= 15, "Long Overdue[11-15]")</f>
        <v>Recently[1-3]</v>
      </c>
      <c r="AQ441" s="9" t="str" cm="1">
        <f t="array" ref="AQ441">_xlfn.IFS(AR441 &lt;= 3, "New Relationship[1-3]", AR441 &lt;= 7, "Established Relationship[4-7]", AR441 &lt;= 12, "Long Term Relationship[8-12]", AR441 &lt;= 17, "Very Long Term Relationship[13-17]")</f>
        <v>New Relationship[1-3]</v>
      </c>
      <c r="AR441" s="1">
        <v>0</v>
      </c>
    </row>
    <row r="442" spans="1:44" x14ac:dyDescent="0.25">
      <c r="A442" s="1">
        <v>34</v>
      </c>
      <c r="B442" s="8" t="str" cm="1">
        <f t="array" ref="B442">_xlfn.IFS(A442 &lt;= 25, "[18-25]", A442 &lt;= 35, "[26-35]", A442 &lt;=45, "[36-45]", A442 &lt;= 60, "[46- 60]")</f>
        <v>[26-35]</v>
      </c>
      <c r="C442" s="3" t="s">
        <v>35</v>
      </c>
      <c r="D442">
        <f t="shared" si="6"/>
        <v>1</v>
      </c>
      <c r="E442" t="s">
        <v>44</v>
      </c>
      <c r="F442" s="1">
        <v>988</v>
      </c>
      <c r="G442" s="3" t="s">
        <v>61</v>
      </c>
      <c r="H442" s="1">
        <v>23</v>
      </c>
      <c r="I442" s="9" t="str" cm="1">
        <f t="array" ref="I442">_xlfn.IFS(H442 &lt;= 2, "[1-2] very close", H442 &lt;= 10, "[3-10] close", H442 &lt;= 20, "[11-20] moderate", H442 &lt;= 30, "[21-30] far")</f>
        <v>[21-30] far</v>
      </c>
      <c r="J442" s="1">
        <v>3</v>
      </c>
      <c r="K442" s="3" t="s">
        <v>61</v>
      </c>
      <c r="L442" s="1">
        <v>1</v>
      </c>
      <c r="M442" s="1">
        <v>590</v>
      </c>
      <c r="N442" s="1">
        <v>2</v>
      </c>
      <c r="O442" s="3" t="s">
        <v>39</v>
      </c>
      <c r="P442" s="1">
        <v>43</v>
      </c>
      <c r="Q442" s="1">
        <v>3</v>
      </c>
      <c r="R442" s="1">
        <v>3</v>
      </c>
      <c r="S442" s="3" t="s">
        <v>61</v>
      </c>
      <c r="T442" s="1">
        <v>1</v>
      </c>
      <c r="U442" s="3" t="s">
        <v>52</v>
      </c>
      <c r="V442" s="4">
        <v>9950</v>
      </c>
      <c r="W442" s="1">
        <v>11533</v>
      </c>
      <c r="X442" s="1">
        <v>9</v>
      </c>
      <c r="Y442" s="3" t="s">
        <v>42</v>
      </c>
      <c r="Z442" s="3" t="s">
        <v>35</v>
      </c>
      <c r="AA442" s="5">
        <v>0.15</v>
      </c>
      <c r="AB442" s="10" t="str" cm="1">
        <f t="array" ref="AB442">_xlfn.IFS(AA442 &lt;= 15%, "Low Hike[11-15%]", AA442 &lt;= 20%, "Moderate Hike[16-20%]", AA442 &lt;= 25%,"High Hike[21-25%]")</f>
        <v>Low Hike[11-15%]</v>
      </c>
      <c r="AC442" s="1">
        <v>3</v>
      </c>
      <c r="AD442" s="1">
        <v>3</v>
      </c>
      <c r="AE442" s="1">
        <v>80</v>
      </c>
      <c r="AF442" s="1">
        <v>3</v>
      </c>
      <c r="AG442" s="1">
        <v>11</v>
      </c>
      <c r="AH442" s="9" t="str" cm="1">
        <f t="array" ref="AH442">_xlfn.IFS(AG442 &lt;= 5, "New[1-5]", AG442 &lt;= 10, "Early Career[6-10]", AG442 &lt;= 20, "Established[11-20]", AG442 &lt;= 30, "Veteran[21-30]", AG442 &lt;= 40, "Late Career[31-40]")</f>
        <v>Established[11-20]</v>
      </c>
      <c r="AI442" s="1">
        <v>2</v>
      </c>
      <c r="AJ442" s="1">
        <v>3</v>
      </c>
      <c r="AK442" s="1">
        <v>3</v>
      </c>
      <c r="AL442" s="9" t="str" cm="1">
        <f t="array" ref="AL442">_xlfn.IFS(AK442 &lt;= 5, "New[1-5]", AK442 &lt;= 10, "Early Career[6-10]", AK442 &lt;= 20, "Established[11-20]", AK442 &lt;= 30, "Veteran[21-30]", AK442 &lt;= 40, "Late Career[31-40]")</f>
        <v>New[1-5]</v>
      </c>
      <c r="AM442" s="1">
        <v>2</v>
      </c>
      <c r="AN442" s="9" t="str" cm="1">
        <f t="array" ref="AN442">_xlfn.IFS(AM442 &lt;= 3, "New to Role[1-3]", AM442 &lt;= 7, "Settled[4-7]", AM442 &lt;= 12, "Experienced[[8-12]", AM442 &lt;= 18, "Long Tenured[13-18]")</f>
        <v>New to Role[1-3]</v>
      </c>
      <c r="AO442" s="1">
        <v>0</v>
      </c>
      <c r="AP442" s="9" t="str" cm="1">
        <f t="array" ref="AP442">_xlfn.IFS(AO442 &lt;= 3, "Recently[1-3]", AO442 &lt;= 6, "Due Soon[4-6]", AO442 &lt;= 10, "Overdue[7-10]", AO442 &lt;= 15, "Long Overdue[11-15]")</f>
        <v>Recently[1-3]</v>
      </c>
      <c r="AQ442" s="9" t="str" cm="1">
        <f t="array" ref="AQ442">_xlfn.IFS(AR442 &lt;= 3, "New Relationship[1-3]", AR442 &lt;= 7, "Established Relationship[4-7]", AR442 &lt;= 12, "Long Term Relationship[8-12]", AR442 &lt;= 17, "Very Long Term Relationship[13-17]")</f>
        <v>New Relationship[1-3]</v>
      </c>
      <c r="AR442" s="1">
        <v>2</v>
      </c>
    </row>
    <row r="443" spans="1:44" x14ac:dyDescent="0.25">
      <c r="A443" s="1">
        <v>42</v>
      </c>
      <c r="B443" s="8" t="str" cm="1">
        <f t="array" ref="B443">_xlfn.IFS(A443 &lt;= 25, "[18-25]", A443 &lt;= 35, "[26-35]", A443 &lt;=45, "[36-45]", A443 &lt;= 60, "[46- 60]")</f>
        <v>[36-45]</v>
      </c>
      <c r="C443" s="3" t="s">
        <v>43</v>
      </c>
      <c r="D443">
        <f t="shared" si="6"/>
        <v>0</v>
      </c>
      <c r="E443" t="s">
        <v>44</v>
      </c>
      <c r="F443" s="1">
        <v>1474</v>
      </c>
      <c r="G443" s="3" t="s">
        <v>45</v>
      </c>
      <c r="H443" s="1">
        <v>5</v>
      </c>
      <c r="I443" s="9" t="str" cm="1">
        <f t="array" ref="I443">_xlfn.IFS(H443 &lt;= 2, "[1-2] very close", H443 &lt;= 10, "[3-10] close", H443 &lt;= 20, "[11-20] moderate", H443 &lt;= 30, "[21-30] far")</f>
        <v>[3-10] close</v>
      </c>
      <c r="J443" s="1">
        <v>2</v>
      </c>
      <c r="K443" s="3" t="s">
        <v>49</v>
      </c>
      <c r="L443" s="1">
        <v>1</v>
      </c>
      <c r="M443" s="1">
        <v>591</v>
      </c>
      <c r="N443" s="1">
        <v>2</v>
      </c>
      <c r="O443" s="3" t="s">
        <v>46</v>
      </c>
      <c r="P443" s="1">
        <v>97</v>
      </c>
      <c r="Q443" s="1">
        <v>3</v>
      </c>
      <c r="R443" s="1">
        <v>1</v>
      </c>
      <c r="S443" s="3" t="s">
        <v>50</v>
      </c>
      <c r="T443" s="1">
        <v>3</v>
      </c>
      <c r="U443" s="3" t="s">
        <v>48</v>
      </c>
      <c r="V443" s="4">
        <v>2093</v>
      </c>
      <c r="W443" s="1">
        <v>9260</v>
      </c>
      <c r="X443" s="1">
        <v>4</v>
      </c>
      <c r="Y443" s="3" t="s">
        <v>42</v>
      </c>
      <c r="Z443" s="3" t="s">
        <v>43</v>
      </c>
      <c r="AA443" s="5">
        <v>0.17</v>
      </c>
      <c r="AB443" s="10" t="str" cm="1">
        <f t="array" ref="AB443">_xlfn.IFS(AA443 &lt;= 15%, "Low Hike[11-15%]", AA443 &lt;= 20%, "Moderate Hike[16-20%]", AA443 &lt;= 25%,"High Hike[21-25%]")</f>
        <v>Moderate Hike[16-20%]</v>
      </c>
      <c r="AC443" s="1">
        <v>3</v>
      </c>
      <c r="AD443" s="1">
        <v>4</v>
      </c>
      <c r="AE443" s="1">
        <v>80</v>
      </c>
      <c r="AF443" s="1">
        <v>1</v>
      </c>
      <c r="AG443" s="1">
        <v>8</v>
      </c>
      <c r="AH443" s="9" t="str" cm="1">
        <f t="array" ref="AH443">_xlfn.IFS(AG443 &lt;= 5, "New[1-5]", AG443 &lt;= 10, "Early Career[6-10]", AG443 &lt;= 20, "Established[11-20]", AG443 &lt;= 30, "Veteran[21-30]", AG443 &lt;= 40, "Late Career[31-40]")</f>
        <v>Early Career[6-10]</v>
      </c>
      <c r="AI443" s="1">
        <v>4</v>
      </c>
      <c r="AJ443" s="1">
        <v>3</v>
      </c>
      <c r="AK443" s="1">
        <v>2</v>
      </c>
      <c r="AL443" s="9" t="str" cm="1">
        <f t="array" ref="AL443">_xlfn.IFS(AK443 &lt;= 5, "New[1-5]", AK443 &lt;= 10, "Early Career[6-10]", AK443 &lt;= 20, "Established[11-20]", AK443 &lt;= 30, "Veteran[21-30]", AK443 &lt;= 40, "Late Career[31-40]")</f>
        <v>New[1-5]</v>
      </c>
      <c r="AM443" s="1">
        <v>2</v>
      </c>
      <c r="AN443" s="9" t="str" cm="1">
        <f t="array" ref="AN443">_xlfn.IFS(AM443 &lt;= 3, "New to Role[1-3]", AM443 &lt;= 7, "Settled[4-7]", AM443 &lt;= 12, "Experienced[[8-12]", AM443 &lt;= 18, "Long Tenured[13-18]")</f>
        <v>New to Role[1-3]</v>
      </c>
      <c r="AO443" s="1">
        <v>2</v>
      </c>
      <c r="AP443" s="9" t="str" cm="1">
        <f t="array" ref="AP443">_xlfn.IFS(AO443 &lt;= 3, "Recently[1-3]", AO443 &lt;= 6, "Due Soon[4-6]", AO443 &lt;= 10, "Overdue[7-10]", AO443 &lt;= 15, "Long Overdue[11-15]")</f>
        <v>Recently[1-3]</v>
      </c>
      <c r="AQ443" s="9" t="str" cm="1">
        <f t="array" ref="AQ443">_xlfn.IFS(AR443 &lt;= 3, "New Relationship[1-3]", AR443 &lt;= 7, "Established Relationship[4-7]", AR443 &lt;= 12, "Long Term Relationship[8-12]", AR443 &lt;= 17, "Very Long Term Relationship[13-17]")</f>
        <v>New Relationship[1-3]</v>
      </c>
      <c r="AR443" s="1">
        <v>0</v>
      </c>
    </row>
    <row r="444" spans="1:44" x14ac:dyDescent="0.25">
      <c r="A444" s="1">
        <v>36</v>
      </c>
      <c r="B444" s="8" t="str" cm="1">
        <f t="array" ref="B444">_xlfn.IFS(A444 &lt;= 25, "[18-25]", A444 &lt;= 35, "[26-35]", A444 &lt;=45, "[36-45]", A444 &lt;= 60, "[46- 60]")</f>
        <v>[36-45]</v>
      </c>
      <c r="C444" s="3" t="s">
        <v>43</v>
      </c>
      <c r="D444">
        <f t="shared" si="6"/>
        <v>0</v>
      </c>
      <c r="E444" t="s">
        <v>62</v>
      </c>
      <c r="F444" s="1">
        <v>635</v>
      </c>
      <c r="G444" s="3" t="s">
        <v>37</v>
      </c>
      <c r="H444" s="1">
        <v>10</v>
      </c>
      <c r="I444" s="9" t="str" cm="1">
        <f t="array" ref="I444">_xlfn.IFS(H444 &lt;= 2, "[1-2] very close", H444 &lt;= 10, "[3-10] close", H444 &lt;= 20, "[11-20] moderate", H444 &lt;= 30, "[21-30] far")</f>
        <v>[3-10] close</v>
      </c>
      <c r="J444" s="1">
        <v>4</v>
      </c>
      <c r="K444" s="3" t="s">
        <v>51</v>
      </c>
      <c r="L444" s="1">
        <v>1</v>
      </c>
      <c r="M444" s="1">
        <v>592</v>
      </c>
      <c r="N444" s="1">
        <v>2</v>
      </c>
      <c r="O444" s="3" t="s">
        <v>46</v>
      </c>
      <c r="P444" s="1">
        <v>32</v>
      </c>
      <c r="Q444" s="1">
        <v>3</v>
      </c>
      <c r="R444" s="1">
        <v>3</v>
      </c>
      <c r="S444" s="3" t="s">
        <v>40</v>
      </c>
      <c r="T444" s="1">
        <v>4</v>
      </c>
      <c r="U444" s="3" t="s">
        <v>41</v>
      </c>
      <c r="V444" s="4">
        <v>9980</v>
      </c>
      <c r="W444" s="1">
        <v>15318</v>
      </c>
      <c r="X444" s="1">
        <v>1</v>
      </c>
      <c r="Y444" s="3" t="s">
        <v>42</v>
      </c>
      <c r="Z444" s="3" t="s">
        <v>43</v>
      </c>
      <c r="AA444" s="5">
        <v>0.14000000000000001</v>
      </c>
      <c r="AB444" s="10" t="str" cm="1">
        <f t="array" ref="AB444">_xlfn.IFS(AA444 &lt;= 15%, "Low Hike[11-15%]", AA444 &lt;= 20%, "Moderate Hike[16-20%]", AA444 &lt;= 25%,"High Hike[21-25%]")</f>
        <v>Low Hike[11-15%]</v>
      </c>
      <c r="AC444" s="1">
        <v>3</v>
      </c>
      <c r="AD444" s="1">
        <v>4</v>
      </c>
      <c r="AE444" s="1">
        <v>80</v>
      </c>
      <c r="AF444" s="1">
        <v>0</v>
      </c>
      <c r="AG444" s="1">
        <v>10</v>
      </c>
      <c r="AH444" s="9" t="str" cm="1">
        <f t="array" ref="AH444">_xlfn.IFS(AG444 &lt;= 5, "New[1-5]", AG444 &lt;= 10, "Early Career[6-10]", AG444 &lt;= 20, "Established[11-20]", AG444 &lt;= 30, "Veteran[21-30]", AG444 &lt;= 40, "Late Career[31-40]")</f>
        <v>Early Career[6-10]</v>
      </c>
      <c r="AI444" s="1">
        <v>3</v>
      </c>
      <c r="AJ444" s="1">
        <v>2</v>
      </c>
      <c r="AK444" s="1">
        <v>10</v>
      </c>
      <c r="AL444" s="9" t="str" cm="1">
        <f t="array" ref="AL444">_xlfn.IFS(AK444 &lt;= 5, "New[1-5]", AK444 &lt;= 10, "Early Career[6-10]", AK444 &lt;= 20, "Established[11-20]", AK444 &lt;= 30, "Veteran[21-30]", AK444 &lt;= 40, "Late Career[31-40]")</f>
        <v>Early Career[6-10]</v>
      </c>
      <c r="AM444" s="1">
        <v>3</v>
      </c>
      <c r="AN444" s="9" t="str" cm="1">
        <f t="array" ref="AN444">_xlfn.IFS(AM444 &lt;= 3, "New to Role[1-3]", AM444 &lt;= 7, "Settled[4-7]", AM444 &lt;= 12, "Experienced[[8-12]", AM444 &lt;= 18, "Long Tenured[13-18]")</f>
        <v>New to Role[1-3]</v>
      </c>
      <c r="AO444" s="1">
        <v>9</v>
      </c>
      <c r="AP444" s="9" t="str" cm="1">
        <f t="array" ref="AP444">_xlfn.IFS(AO444 &lt;= 3, "Recently[1-3]", AO444 &lt;= 6, "Due Soon[4-6]", AO444 &lt;= 10, "Overdue[7-10]", AO444 &lt;= 15, "Long Overdue[11-15]")</f>
        <v>Overdue[7-10]</v>
      </c>
      <c r="AQ444" s="9" t="str" cm="1">
        <f t="array" ref="AQ444">_xlfn.IFS(AR444 &lt;= 3, "New Relationship[1-3]", AR444 &lt;= 7, "Established Relationship[4-7]", AR444 &lt;= 12, "Long Term Relationship[8-12]", AR444 &lt;= 17, "Very Long Term Relationship[13-17]")</f>
        <v>Established Relationship[4-7]</v>
      </c>
      <c r="AR444" s="1">
        <v>7</v>
      </c>
    </row>
    <row r="445" spans="1:44" x14ac:dyDescent="0.25">
      <c r="A445" s="1">
        <v>22</v>
      </c>
      <c r="B445" s="8" t="str" cm="1">
        <f t="array" ref="B445">_xlfn.IFS(A445 &lt;= 25, "[18-25]", A445 &lt;= 35, "[26-35]", A445 &lt;=45, "[36-45]", A445 &lt;= 60, "[46- 60]")</f>
        <v>[18-25]</v>
      </c>
      <c r="C445" s="3" t="s">
        <v>35</v>
      </c>
      <c r="D445">
        <f t="shared" si="6"/>
        <v>1</v>
      </c>
      <c r="E445" t="s">
        <v>44</v>
      </c>
      <c r="F445" s="1">
        <v>1368</v>
      </c>
      <c r="G445" s="3" t="s">
        <v>45</v>
      </c>
      <c r="H445" s="1">
        <v>4</v>
      </c>
      <c r="I445" s="9" t="str" cm="1">
        <f t="array" ref="I445">_xlfn.IFS(H445 &lt;= 2, "[1-2] very close", H445 &lt;= 10, "[3-10] close", H445 &lt;= 20, "[11-20] moderate", H445 &lt;= 30, "[21-30] far")</f>
        <v>[3-10] close</v>
      </c>
      <c r="J445" s="1">
        <v>1</v>
      </c>
      <c r="K445" s="3" t="s">
        <v>60</v>
      </c>
      <c r="L445" s="1">
        <v>1</v>
      </c>
      <c r="M445" s="1">
        <v>593</v>
      </c>
      <c r="N445" s="1">
        <v>3</v>
      </c>
      <c r="O445" s="3" t="s">
        <v>46</v>
      </c>
      <c r="P445" s="1">
        <v>99</v>
      </c>
      <c r="Q445" s="1">
        <v>2</v>
      </c>
      <c r="R445" s="1">
        <v>1</v>
      </c>
      <c r="S445" s="3" t="s">
        <v>50</v>
      </c>
      <c r="T445" s="1">
        <v>3</v>
      </c>
      <c r="U445" s="3" t="s">
        <v>41</v>
      </c>
      <c r="V445" s="4">
        <v>3894</v>
      </c>
      <c r="W445" s="1">
        <v>9129</v>
      </c>
      <c r="X445" s="1">
        <v>5</v>
      </c>
      <c r="Y445" s="3" t="s">
        <v>42</v>
      </c>
      <c r="Z445" s="3" t="s">
        <v>43</v>
      </c>
      <c r="AA445" s="5">
        <v>0.16</v>
      </c>
      <c r="AB445" s="10" t="str" cm="1">
        <f t="array" ref="AB445">_xlfn.IFS(AA445 &lt;= 15%, "Low Hike[11-15%]", AA445 &lt;= 20%, "Moderate Hike[16-20%]", AA445 &lt;= 25%,"High Hike[21-25%]")</f>
        <v>Moderate Hike[16-20%]</v>
      </c>
      <c r="AC445" s="1">
        <v>3</v>
      </c>
      <c r="AD445" s="1">
        <v>3</v>
      </c>
      <c r="AE445" s="1">
        <v>80</v>
      </c>
      <c r="AF445" s="1">
        <v>0</v>
      </c>
      <c r="AG445" s="1">
        <v>4</v>
      </c>
      <c r="AH445" s="9" t="str" cm="1">
        <f t="array" ref="AH445">_xlfn.IFS(AG445 &lt;= 5, "New[1-5]", AG445 &lt;= 10, "Early Career[6-10]", AG445 &lt;= 20, "Established[11-20]", AG445 &lt;= 30, "Veteran[21-30]", AG445 &lt;= 40, "Late Career[31-40]")</f>
        <v>New[1-5]</v>
      </c>
      <c r="AI445" s="1">
        <v>3</v>
      </c>
      <c r="AJ445" s="1">
        <v>3</v>
      </c>
      <c r="AK445" s="1">
        <v>2</v>
      </c>
      <c r="AL445" s="9" t="str" cm="1">
        <f t="array" ref="AL445">_xlfn.IFS(AK445 &lt;= 5, "New[1-5]", AK445 &lt;= 10, "Early Career[6-10]", AK445 &lt;= 20, "Established[11-20]", AK445 &lt;= 30, "Veteran[21-30]", AK445 &lt;= 40, "Late Career[31-40]")</f>
        <v>New[1-5]</v>
      </c>
      <c r="AM445" s="1">
        <v>2</v>
      </c>
      <c r="AN445" s="9" t="str" cm="1">
        <f t="array" ref="AN445">_xlfn.IFS(AM445 &lt;= 3, "New to Role[1-3]", AM445 &lt;= 7, "Settled[4-7]", AM445 &lt;= 12, "Experienced[[8-12]", AM445 &lt;= 18, "Long Tenured[13-18]")</f>
        <v>New to Role[1-3]</v>
      </c>
      <c r="AO445" s="1">
        <v>1</v>
      </c>
      <c r="AP445" s="9" t="str" cm="1">
        <f t="array" ref="AP445">_xlfn.IFS(AO445 &lt;= 3, "Recently[1-3]", AO445 &lt;= 6, "Due Soon[4-6]", AO445 &lt;= 10, "Overdue[7-10]", AO445 &lt;= 15, "Long Overdue[11-15]")</f>
        <v>Recently[1-3]</v>
      </c>
      <c r="AQ445" s="9" t="str" cm="1">
        <f t="array" ref="AQ445">_xlfn.IFS(AR445 &lt;= 3, "New Relationship[1-3]", AR445 &lt;= 7, "Established Relationship[4-7]", AR445 &lt;= 12, "Long Term Relationship[8-12]", AR445 &lt;= 17, "Very Long Term Relationship[13-17]")</f>
        <v>New Relationship[1-3]</v>
      </c>
      <c r="AR445" s="1">
        <v>2</v>
      </c>
    </row>
    <row r="446" spans="1:44" x14ac:dyDescent="0.25">
      <c r="A446" s="1">
        <v>48</v>
      </c>
      <c r="B446" s="8" t="str" cm="1">
        <f t="array" ref="B446">_xlfn.IFS(A446 &lt;= 25, "[18-25]", A446 &lt;= 35, "[26-35]", A446 &lt;=45, "[36-45]", A446 &lt;= 60, "[46- 60]")</f>
        <v>[46- 60]</v>
      </c>
      <c r="C446" s="3" t="s">
        <v>43</v>
      </c>
      <c r="D446">
        <f t="shared" si="6"/>
        <v>0</v>
      </c>
      <c r="E446" t="s">
        <v>36</v>
      </c>
      <c r="F446" s="1">
        <v>163</v>
      </c>
      <c r="G446" s="3" t="s">
        <v>37</v>
      </c>
      <c r="H446" s="1">
        <v>2</v>
      </c>
      <c r="I446" s="9" t="str" cm="1">
        <f t="array" ref="I446">_xlfn.IFS(H446 &lt;= 2, "[1-2] very close", H446 &lt;= 10, "[3-10] close", H446 &lt;= 20, "[11-20] moderate", H446 &lt;= 30, "[21-30] far")</f>
        <v>[1-2] very close</v>
      </c>
      <c r="J446" s="1">
        <v>5</v>
      </c>
      <c r="K446" s="3" t="s">
        <v>59</v>
      </c>
      <c r="L446" s="1">
        <v>1</v>
      </c>
      <c r="M446" s="1">
        <v>595</v>
      </c>
      <c r="N446" s="1">
        <v>2</v>
      </c>
      <c r="O446" s="3" t="s">
        <v>39</v>
      </c>
      <c r="P446" s="1">
        <v>37</v>
      </c>
      <c r="Q446" s="1">
        <v>3</v>
      </c>
      <c r="R446" s="1">
        <v>2</v>
      </c>
      <c r="S446" s="3" t="s">
        <v>40</v>
      </c>
      <c r="T446" s="1">
        <v>4</v>
      </c>
      <c r="U446" s="3" t="s">
        <v>48</v>
      </c>
      <c r="V446" s="4">
        <v>4051</v>
      </c>
      <c r="W446" s="1">
        <v>19658</v>
      </c>
      <c r="X446" s="1">
        <v>2</v>
      </c>
      <c r="Y446" s="3" t="s">
        <v>42</v>
      </c>
      <c r="Z446" s="3" t="s">
        <v>43</v>
      </c>
      <c r="AA446" s="5">
        <v>0.14000000000000001</v>
      </c>
      <c r="AB446" s="10" t="str" cm="1">
        <f t="array" ref="AB446">_xlfn.IFS(AA446 &lt;= 15%, "Low Hike[11-15%]", AA446 &lt;= 20%, "Moderate Hike[16-20%]", AA446 &lt;= 25%,"High Hike[21-25%]")</f>
        <v>Low Hike[11-15%]</v>
      </c>
      <c r="AC446" s="1">
        <v>3</v>
      </c>
      <c r="AD446" s="1">
        <v>1</v>
      </c>
      <c r="AE446" s="1">
        <v>80</v>
      </c>
      <c r="AF446" s="1">
        <v>1</v>
      </c>
      <c r="AG446" s="1">
        <v>14</v>
      </c>
      <c r="AH446" s="9" t="str" cm="1">
        <f t="array" ref="AH446">_xlfn.IFS(AG446 &lt;= 5, "New[1-5]", AG446 &lt;= 10, "Early Career[6-10]", AG446 &lt;= 20, "Established[11-20]", AG446 &lt;= 30, "Veteran[21-30]", AG446 &lt;= 40, "Late Career[31-40]")</f>
        <v>Established[11-20]</v>
      </c>
      <c r="AI446" s="1">
        <v>2</v>
      </c>
      <c r="AJ446" s="1">
        <v>3</v>
      </c>
      <c r="AK446" s="1">
        <v>9</v>
      </c>
      <c r="AL446" s="9" t="str" cm="1">
        <f t="array" ref="AL446">_xlfn.IFS(AK446 &lt;= 5, "New[1-5]", AK446 &lt;= 10, "Early Career[6-10]", AK446 &lt;= 20, "Established[11-20]", AK446 &lt;= 30, "Veteran[21-30]", AK446 &lt;= 40, "Late Career[31-40]")</f>
        <v>Early Career[6-10]</v>
      </c>
      <c r="AM446" s="1">
        <v>7</v>
      </c>
      <c r="AN446" s="9" t="str" cm="1">
        <f t="array" ref="AN446">_xlfn.IFS(AM446 &lt;= 3, "New to Role[1-3]", AM446 &lt;= 7, "Settled[4-7]", AM446 &lt;= 12, "Experienced[[8-12]", AM446 &lt;= 18, "Long Tenured[13-18]")</f>
        <v>Settled[4-7]</v>
      </c>
      <c r="AO446" s="1">
        <v>6</v>
      </c>
      <c r="AP446" s="9" t="str" cm="1">
        <f t="array" ref="AP446">_xlfn.IFS(AO446 &lt;= 3, "Recently[1-3]", AO446 &lt;= 6, "Due Soon[4-6]", AO446 &lt;= 10, "Overdue[7-10]", AO446 &lt;= 15, "Long Overdue[11-15]")</f>
        <v>Due Soon[4-6]</v>
      </c>
      <c r="AQ446" s="9" t="str" cm="1">
        <f t="array" ref="AQ446">_xlfn.IFS(AR446 &lt;= 3, "New Relationship[1-3]", AR446 &lt;= 7, "Established Relationship[4-7]", AR446 &lt;= 12, "Long Term Relationship[8-12]", AR446 &lt;= 17, "Very Long Term Relationship[13-17]")</f>
        <v>Established Relationship[4-7]</v>
      </c>
      <c r="AR446" s="1">
        <v>7</v>
      </c>
    </row>
    <row r="447" spans="1:44" x14ac:dyDescent="0.25">
      <c r="A447" s="1">
        <v>55</v>
      </c>
      <c r="B447" s="8" t="str" cm="1">
        <f t="array" ref="B447">_xlfn.IFS(A447 &lt;= 25, "[18-25]", A447 &lt;= 35, "[26-35]", A447 &lt;=45, "[36-45]", A447 &lt;= 60, "[46- 60]")</f>
        <v>[46- 60]</v>
      </c>
      <c r="C447" s="3" t="s">
        <v>43</v>
      </c>
      <c r="D447">
        <f t="shared" si="6"/>
        <v>0</v>
      </c>
      <c r="E447" t="s">
        <v>36</v>
      </c>
      <c r="F447" s="1">
        <v>1117</v>
      </c>
      <c r="G447" s="3" t="s">
        <v>37</v>
      </c>
      <c r="H447" s="1">
        <v>18</v>
      </c>
      <c r="I447" s="9" t="str" cm="1">
        <f t="array" ref="I447">_xlfn.IFS(H447 &lt;= 2, "[1-2] very close", H447 &lt;= 10, "[3-10] close", H447 &lt;= 20, "[11-20] moderate", H447 &lt;= 30, "[21-30] far")</f>
        <v>[11-20] moderate</v>
      </c>
      <c r="J447" s="1">
        <v>5</v>
      </c>
      <c r="K447" s="3" t="s">
        <v>38</v>
      </c>
      <c r="L447" s="1">
        <v>1</v>
      </c>
      <c r="M447" s="1">
        <v>597</v>
      </c>
      <c r="N447" s="1">
        <v>1</v>
      </c>
      <c r="O447" s="3" t="s">
        <v>39</v>
      </c>
      <c r="P447" s="1">
        <v>83</v>
      </c>
      <c r="Q447" s="1">
        <v>3</v>
      </c>
      <c r="R447" s="1">
        <v>4</v>
      </c>
      <c r="S447" s="3" t="s">
        <v>56</v>
      </c>
      <c r="T447" s="1">
        <v>2</v>
      </c>
      <c r="U447" s="3" t="s">
        <v>41</v>
      </c>
      <c r="V447" s="4">
        <v>16835</v>
      </c>
      <c r="W447" s="1">
        <v>9873</v>
      </c>
      <c r="X447" s="1">
        <v>3</v>
      </c>
      <c r="Y447" s="3" t="s">
        <v>42</v>
      </c>
      <c r="Z447" s="3" t="s">
        <v>43</v>
      </c>
      <c r="AA447" s="5">
        <v>0.23</v>
      </c>
      <c r="AB447" s="10" t="str" cm="1">
        <f t="array" ref="AB447">_xlfn.IFS(AA447 &lt;= 15%, "Low Hike[11-15%]", AA447 &lt;= 20%, "Moderate Hike[16-20%]", AA447 &lt;= 25%,"High Hike[21-25%]")</f>
        <v>High Hike[21-25%]</v>
      </c>
      <c r="AC447" s="1">
        <v>4</v>
      </c>
      <c r="AD447" s="1">
        <v>4</v>
      </c>
      <c r="AE447" s="1">
        <v>80</v>
      </c>
      <c r="AF447" s="1">
        <v>0</v>
      </c>
      <c r="AG447" s="1">
        <v>37</v>
      </c>
      <c r="AH447" s="9" t="str" cm="1">
        <f t="array" ref="AH447">_xlfn.IFS(AG447 &lt;= 5, "New[1-5]", AG447 &lt;= 10, "Early Career[6-10]", AG447 &lt;= 20, "Established[11-20]", AG447 &lt;= 30, "Veteran[21-30]", AG447 &lt;= 40, "Late Career[31-40]")</f>
        <v>Late Career[31-40]</v>
      </c>
      <c r="AI447" s="1">
        <v>2</v>
      </c>
      <c r="AJ447" s="1">
        <v>3</v>
      </c>
      <c r="AK447" s="1">
        <v>10</v>
      </c>
      <c r="AL447" s="9" t="str" cm="1">
        <f t="array" ref="AL447">_xlfn.IFS(AK447 &lt;= 5, "New[1-5]", AK447 &lt;= 10, "Early Career[6-10]", AK447 &lt;= 20, "Established[11-20]", AK447 &lt;= 30, "Veteran[21-30]", AK447 &lt;= 40, "Late Career[31-40]")</f>
        <v>Early Career[6-10]</v>
      </c>
      <c r="AM447" s="1">
        <v>9</v>
      </c>
      <c r="AN447" s="9" t="str" cm="1">
        <f t="array" ref="AN447">_xlfn.IFS(AM447 &lt;= 3, "New to Role[1-3]", AM447 &lt;= 7, "Settled[4-7]", AM447 &lt;= 12, "Experienced[[8-12]", AM447 &lt;= 18, "Long Tenured[13-18]")</f>
        <v>Experienced[[8-12]</v>
      </c>
      <c r="AO447" s="1">
        <v>7</v>
      </c>
      <c r="AP447" s="9" t="str" cm="1">
        <f t="array" ref="AP447">_xlfn.IFS(AO447 &lt;= 3, "Recently[1-3]", AO447 &lt;= 6, "Due Soon[4-6]", AO447 &lt;= 10, "Overdue[7-10]", AO447 &lt;= 15, "Long Overdue[11-15]")</f>
        <v>Overdue[7-10]</v>
      </c>
      <c r="AQ447" s="9" t="str" cm="1">
        <f t="array" ref="AQ447">_xlfn.IFS(AR447 &lt;= 3, "New Relationship[1-3]", AR447 &lt;= 7, "Established Relationship[4-7]", AR447 &lt;= 12, "Long Term Relationship[8-12]", AR447 &lt;= 17, "Very Long Term Relationship[13-17]")</f>
        <v>Established Relationship[4-7]</v>
      </c>
      <c r="AR447" s="1">
        <v>7</v>
      </c>
    </row>
    <row r="448" spans="1:44" x14ac:dyDescent="0.25">
      <c r="A448" s="1">
        <v>41</v>
      </c>
      <c r="B448" s="8" t="str" cm="1">
        <f t="array" ref="B448">_xlfn.IFS(A448 &lt;= 25, "[18-25]", A448 &lt;= 35, "[26-35]", A448 &lt;=45, "[36-45]", A448 &lt;= 60, "[46- 60]")</f>
        <v>[36-45]</v>
      </c>
      <c r="C448" s="3" t="s">
        <v>43</v>
      </c>
      <c r="D448">
        <f t="shared" si="6"/>
        <v>0</v>
      </c>
      <c r="E448" t="s">
        <v>62</v>
      </c>
      <c r="F448" s="1">
        <v>267</v>
      </c>
      <c r="G448" s="3" t="s">
        <v>37</v>
      </c>
      <c r="H448" s="1">
        <v>10</v>
      </c>
      <c r="I448" s="9" t="str" cm="1">
        <f t="array" ref="I448">_xlfn.IFS(H448 &lt;= 2, "[1-2] very close", H448 &lt;= 10, "[3-10] close", H448 &lt;= 20, "[11-20] moderate", H448 &lt;= 30, "[21-30] far")</f>
        <v>[3-10] close</v>
      </c>
      <c r="J448" s="1">
        <v>2</v>
      </c>
      <c r="K448" s="3" t="s">
        <v>38</v>
      </c>
      <c r="L448" s="1">
        <v>1</v>
      </c>
      <c r="M448" s="1">
        <v>599</v>
      </c>
      <c r="N448" s="1">
        <v>4</v>
      </c>
      <c r="O448" s="3" t="s">
        <v>46</v>
      </c>
      <c r="P448" s="1">
        <v>56</v>
      </c>
      <c r="Q448" s="1">
        <v>3</v>
      </c>
      <c r="R448" s="1">
        <v>2</v>
      </c>
      <c r="S448" s="3" t="s">
        <v>40</v>
      </c>
      <c r="T448" s="1">
        <v>4</v>
      </c>
      <c r="U448" s="3" t="s">
        <v>41</v>
      </c>
      <c r="V448" s="4">
        <v>6230</v>
      </c>
      <c r="W448" s="1">
        <v>13430</v>
      </c>
      <c r="X448" s="1">
        <v>7</v>
      </c>
      <c r="Y448" s="3" t="s">
        <v>42</v>
      </c>
      <c r="Z448" s="3" t="s">
        <v>43</v>
      </c>
      <c r="AA448" s="5">
        <v>0.14000000000000001</v>
      </c>
      <c r="AB448" s="10" t="str" cm="1">
        <f t="array" ref="AB448">_xlfn.IFS(AA448 &lt;= 15%, "Low Hike[11-15%]", AA448 &lt;= 20%, "Moderate Hike[16-20%]", AA448 &lt;= 25%,"High Hike[21-25%]")</f>
        <v>Low Hike[11-15%]</v>
      </c>
      <c r="AC448" s="1">
        <v>3</v>
      </c>
      <c r="AD448" s="1">
        <v>4</v>
      </c>
      <c r="AE448" s="1">
        <v>80</v>
      </c>
      <c r="AF448" s="1">
        <v>0</v>
      </c>
      <c r="AG448" s="1">
        <v>16</v>
      </c>
      <c r="AH448" s="9" t="str" cm="1">
        <f t="array" ref="AH448">_xlfn.IFS(AG448 &lt;= 5, "New[1-5]", AG448 &lt;= 10, "Early Career[6-10]", AG448 &lt;= 20, "Established[11-20]", AG448 &lt;= 30, "Veteran[21-30]", AG448 &lt;= 40, "Late Career[31-40]")</f>
        <v>Established[11-20]</v>
      </c>
      <c r="AI448" s="1">
        <v>3</v>
      </c>
      <c r="AJ448" s="1">
        <v>3</v>
      </c>
      <c r="AK448" s="1">
        <v>14</v>
      </c>
      <c r="AL448" s="9" t="str" cm="1">
        <f t="array" ref="AL448">_xlfn.IFS(AK448 &lt;= 5, "New[1-5]", AK448 &lt;= 10, "Early Career[6-10]", AK448 &lt;= 20, "Established[11-20]", AK448 &lt;= 30, "Veteran[21-30]", AK448 &lt;= 40, "Late Career[31-40]")</f>
        <v>Established[11-20]</v>
      </c>
      <c r="AM448" s="1">
        <v>3</v>
      </c>
      <c r="AN448" s="9" t="str" cm="1">
        <f t="array" ref="AN448">_xlfn.IFS(AM448 &lt;= 3, "New to Role[1-3]", AM448 &lt;= 7, "Settled[4-7]", AM448 &lt;= 12, "Experienced[[8-12]", AM448 &lt;= 18, "Long Tenured[13-18]")</f>
        <v>New to Role[1-3]</v>
      </c>
      <c r="AO448" s="1">
        <v>1</v>
      </c>
      <c r="AP448" s="9" t="str" cm="1">
        <f t="array" ref="AP448">_xlfn.IFS(AO448 &lt;= 3, "Recently[1-3]", AO448 &lt;= 6, "Due Soon[4-6]", AO448 &lt;= 10, "Overdue[7-10]", AO448 &lt;= 15, "Long Overdue[11-15]")</f>
        <v>Recently[1-3]</v>
      </c>
      <c r="AQ448" s="9" t="str" cm="1">
        <f t="array" ref="AQ448">_xlfn.IFS(AR448 &lt;= 3, "New Relationship[1-3]", AR448 &lt;= 7, "Established Relationship[4-7]", AR448 &lt;= 12, "Long Term Relationship[8-12]", AR448 &lt;= 17, "Very Long Term Relationship[13-17]")</f>
        <v>Long Term Relationship[8-12]</v>
      </c>
      <c r="AR448" s="1">
        <v>10</v>
      </c>
    </row>
    <row r="449" spans="1:44" x14ac:dyDescent="0.25">
      <c r="A449" s="1">
        <v>35</v>
      </c>
      <c r="B449" s="8" t="str" cm="1">
        <f t="array" ref="B449">_xlfn.IFS(A449 &lt;= 25, "[18-25]", A449 &lt;= 35, "[26-35]", A449 &lt;=45, "[36-45]", A449 &lt;= 60, "[46- 60]")</f>
        <v>[26-35]</v>
      </c>
      <c r="C449" s="3" t="s">
        <v>43</v>
      </c>
      <c r="D449">
        <f t="shared" si="6"/>
        <v>0</v>
      </c>
      <c r="E449" t="s">
        <v>36</v>
      </c>
      <c r="F449" s="1">
        <v>619</v>
      </c>
      <c r="G449" s="3" t="s">
        <v>37</v>
      </c>
      <c r="H449" s="1">
        <v>1</v>
      </c>
      <c r="I449" s="9" t="str" cm="1">
        <f t="array" ref="I449">_xlfn.IFS(H449 &lt;= 2, "[1-2] very close", H449 &lt;= 10, "[3-10] close", H449 &lt;= 20, "[11-20] moderate", H449 &lt;= 30, "[21-30] far")</f>
        <v>[1-2] very close</v>
      </c>
      <c r="J449" s="1">
        <v>3</v>
      </c>
      <c r="K449" s="3" t="s">
        <v>59</v>
      </c>
      <c r="L449" s="1">
        <v>1</v>
      </c>
      <c r="M449" s="1">
        <v>600</v>
      </c>
      <c r="N449" s="1">
        <v>2</v>
      </c>
      <c r="O449" s="3" t="s">
        <v>46</v>
      </c>
      <c r="P449" s="1">
        <v>85</v>
      </c>
      <c r="Q449" s="1">
        <v>3</v>
      </c>
      <c r="R449" s="1">
        <v>2</v>
      </c>
      <c r="S449" s="3" t="s">
        <v>40</v>
      </c>
      <c r="T449" s="1">
        <v>3</v>
      </c>
      <c r="U449" s="3" t="s">
        <v>48</v>
      </c>
      <c r="V449" s="4">
        <v>4717</v>
      </c>
      <c r="W449" s="1">
        <v>18659</v>
      </c>
      <c r="X449" s="1">
        <v>9</v>
      </c>
      <c r="Y449" s="3" t="s">
        <v>42</v>
      </c>
      <c r="Z449" s="3" t="s">
        <v>43</v>
      </c>
      <c r="AA449" s="5">
        <v>0.11</v>
      </c>
      <c r="AB449" s="10" t="str" cm="1">
        <f t="array" ref="AB449">_xlfn.IFS(AA449 &lt;= 15%, "Low Hike[11-15%]", AA449 &lt;= 20%, "Moderate Hike[16-20%]", AA449 &lt;= 25%,"High Hike[21-25%]")</f>
        <v>Low Hike[11-15%]</v>
      </c>
      <c r="AC449" s="1">
        <v>3</v>
      </c>
      <c r="AD449" s="1">
        <v>3</v>
      </c>
      <c r="AE449" s="1">
        <v>80</v>
      </c>
      <c r="AF449" s="1">
        <v>0</v>
      </c>
      <c r="AG449" s="1">
        <v>15</v>
      </c>
      <c r="AH449" s="9" t="str" cm="1">
        <f t="array" ref="AH449">_xlfn.IFS(AG449 &lt;= 5, "New[1-5]", AG449 &lt;= 10, "Early Career[6-10]", AG449 &lt;= 20, "Established[11-20]", AG449 &lt;= 30, "Veteran[21-30]", AG449 &lt;= 40, "Late Career[31-40]")</f>
        <v>Established[11-20]</v>
      </c>
      <c r="AI449" s="1">
        <v>2</v>
      </c>
      <c r="AJ449" s="1">
        <v>3</v>
      </c>
      <c r="AK449" s="1">
        <v>11</v>
      </c>
      <c r="AL449" s="9" t="str" cm="1">
        <f t="array" ref="AL449">_xlfn.IFS(AK449 &lt;= 5, "New[1-5]", AK449 &lt;= 10, "Early Career[6-10]", AK449 &lt;= 20, "Established[11-20]", AK449 &lt;= 30, "Veteran[21-30]", AK449 &lt;= 40, "Late Career[31-40]")</f>
        <v>Established[11-20]</v>
      </c>
      <c r="AM449" s="1">
        <v>9</v>
      </c>
      <c r="AN449" s="9" t="str" cm="1">
        <f t="array" ref="AN449">_xlfn.IFS(AM449 &lt;= 3, "New to Role[1-3]", AM449 &lt;= 7, "Settled[4-7]", AM449 &lt;= 12, "Experienced[[8-12]", AM449 &lt;= 18, "Long Tenured[13-18]")</f>
        <v>Experienced[[8-12]</v>
      </c>
      <c r="AO449" s="1">
        <v>6</v>
      </c>
      <c r="AP449" s="9" t="str" cm="1">
        <f t="array" ref="AP449">_xlfn.IFS(AO449 &lt;= 3, "Recently[1-3]", AO449 &lt;= 6, "Due Soon[4-6]", AO449 &lt;= 10, "Overdue[7-10]", AO449 &lt;= 15, "Long Overdue[11-15]")</f>
        <v>Due Soon[4-6]</v>
      </c>
      <c r="AQ449" s="9" t="str" cm="1">
        <f t="array" ref="AQ449">_xlfn.IFS(AR449 &lt;= 3, "New Relationship[1-3]", AR449 &lt;= 7, "Established Relationship[4-7]", AR449 &lt;= 12, "Long Term Relationship[8-12]", AR449 &lt;= 17, "Very Long Term Relationship[13-17]")</f>
        <v>Long Term Relationship[8-12]</v>
      </c>
      <c r="AR449" s="1">
        <v>9</v>
      </c>
    </row>
    <row r="450" spans="1:44" x14ac:dyDescent="0.25">
      <c r="A450" s="1">
        <v>40</v>
      </c>
      <c r="B450" s="8" t="str" cm="1">
        <f t="array" ref="B450">_xlfn.IFS(A450 &lt;= 25, "[18-25]", A450 &lt;= 35, "[26-35]", A450 &lt;=45, "[36-45]", A450 &lt;= 60, "[46- 60]")</f>
        <v>[36-45]</v>
      </c>
      <c r="C450" s="3" t="s">
        <v>43</v>
      </c>
      <c r="D450">
        <f t="shared" ref="D450:D513" si="7">IF(C450 = "Yes",1, 0)</f>
        <v>0</v>
      </c>
      <c r="E450" t="s">
        <v>36</v>
      </c>
      <c r="F450" s="1">
        <v>302</v>
      </c>
      <c r="G450" s="3" t="s">
        <v>45</v>
      </c>
      <c r="H450" s="1">
        <v>6</v>
      </c>
      <c r="I450" s="9" t="str" cm="1">
        <f t="array" ref="I450">_xlfn.IFS(H450 &lt;= 2, "[1-2] very close", H450 &lt;= 10, "[3-10] close", H450 &lt;= 20, "[11-20] moderate", H450 &lt;= 30, "[21-30] far")</f>
        <v>[3-10] close</v>
      </c>
      <c r="J450" s="1">
        <v>3</v>
      </c>
      <c r="K450" s="3" t="s">
        <v>38</v>
      </c>
      <c r="L450" s="1">
        <v>1</v>
      </c>
      <c r="M450" s="1">
        <v>601</v>
      </c>
      <c r="N450" s="1">
        <v>2</v>
      </c>
      <c r="O450" s="3" t="s">
        <v>39</v>
      </c>
      <c r="P450" s="1">
        <v>75</v>
      </c>
      <c r="Q450" s="1">
        <v>3</v>
      </c>
      <c r="R450" s="1">
        <v>4</v>
      </c>
      <c r="S450" s="3" t="s">
        <v>53</v>
      </c>
      <c r="T450" s="1">
        <v>3</v>
      </c>
      <c r="U450" s="3" t="s">
        <v>41</v>
      </c>
      <c r="V450" s="4">
        <v>13237</v>
      </c>
      <c r="W450" s="1">
        <v>20364</v>
      </c>
      <c r="X450" s="1">
        <v>7</v>
      </c>
      <c r="Y450" s="3" t="s">
        <v>42</v>
      </c>
      <c r="Z450" s="3" t="s">
        <v>43</v>
      </c>
      <c r="AA450" s="5">
        <v>0.15</v>
      </c>
      <c r="AB450" s="10" t="str" cm="1">
        <f t="array" ref="AB450">_xlfn.IFS(AA450 &lt;= 15%, "Low Hike[11-15%]", AA450 &lt;= 20%, "Moderate Hike[16-20%]", AA450 &lt;= 25%,"High Hike[21-25%]")</f>
        <v>Low Hike[11-15%]</v>
      </c>
      <c r="AC450" s="1">
        <v>3</v>
      </c>
      <c r="AD450" s="1">
        <v>3</v>
      </c>
      <c r="AE450" s="1">
        <v>80</v>
      </c>
      <c r="AF450" s="1">
        <v>0</v>
      </c>
      <c r="AG450" s="1">
        <v>22</v>
      </c>
      <c r="AH450" s="9" t="str" cm="1">
        <f t="array" ref="AH450">_xlfn.IFS(AG450 &lt;= 5, "New[1-5]", AG450 &lt;= 10, "Early Career[6-10]", AG450 &lt;= 20, "Established[11-20]", AG450 &lt;= 30, "Veteran[21-30]", AG450 &lt;= 40, "Late Career[31-40]")</f>
        <v>Veteran[21-30]</v>
      </c>
      <c r="AI450" s="1">
        <v>3</v>
      </c>
      <c r="AJ450" s="1">
        <v>3</v>
      </c>
      <c r="AK450" s="1">
        <v>20</v>
      </c>
      <c r="AL450" s="9" t="str" cm="1">
        <f t="array" ref="AL450">_xlfn.IFS(AK450 &lt;= 5, "New[1-5]", AK450 &lt;= 10, "Early Career[6-10]", AK450 &lt;= 20, "Established[11-20]", AK450 &lt;= 30, "Veteran[21-30]", AK450 &lt;= 40, "Late Career[31-40]")</f>
        <v>Established[11-20]</v>
      </c>
      <c r="AM450" s="1">
        <v>6</v>
      </c>
      <c r="AN450" s="9" t="str" cm="1">
        <f t="array" ref="AN450">_xlfn.IFS(AM450 &lt;= 3, "New to Role[1-3]", AM450 &lt;= 7, "Settled[4-7]", AM450 &lt;= 12, "Experienced[[8-12]", AM450 &lt;= 18, "Long Tenured[13-18]")</f>
        <v>Settled[4-7]</v>
      </c>
      <c r="AO450" s="1">
        <v>5</v>
      </c>
      <c r="AP450" s="9" t="str" cm="1">
        <f t="array" ref="AP450">_xlfn.IFS(AO450 &lt;= 3, "Recently[1-3]", AO450 &lt;= 6, "Due Soon[4-6]", AO450 &lt;= 10, "Overdue[7-10]", AO450 &lt;= 15, "Long Overdue[11-15]")</f>
        <v>Due Soon[4-6]</v>
      </c>
      <c r="AQ450" s="9" t="str" cm="1">
        <f t="array" ref="AQ450">_xlfn.IFS(AR450 &lt;= 3, "New Relationship[1-3]", AR450 &lt;= 7, "Established Relationship[4-7]", AR450 &lt;= 12, "Long Term Relationship[8-12]", AR450 &lt;= 17, "Very Long Term Relationship[13-17]")</f>
        <v>Very Long Term Relationship[13-17]</v>
      </c>
      <c r="AR450" s="1">
        <v>13</v>
      </c>
    </row>
    <row r="451" spans="1:44" x14ac:dyDescent="0.25">
      <c r="A451" s="1">
        <v>39</v>
      </c>
      <c r="B451" s="8" t="str" cm="1">
        <f t="array" ref="B451">_xlfn.IFS(A451 &lt;= 25, "[18-25]", A451 &lt;= 35, "[26-35]", A451 &lt;=45, "[36-45]", A451 &lt;= 60, "[46- 60]")</f>
        <v>[36-45]</v>
      </c>
      <c r="C451" s="3" t="s">
        <v>43</v>
      </c>
      <c r="D451">
        <f t="shared" si="7"/>
        <v>0</v>
      </c>
      <c r="E451" t="s">
        <v>44</v>
      </c>
      <c r="F451" s="1">
        <v>443</v>
      </c>
      <c r="G451" s="3" t="s">
        <v>45</v>
      </c>
      <c r="H451" s="1">
        <v>8</v>
      </c>
      <c r="I451" s="9" t="str" cm="1">
        <f t="array" ref="I451">_xlfn.IFS(H451 &lt;= 2, "[1-2] very close", H451 &lt;= 10, "[3-10] close", H451 &lt;= 20, "[11-20] moderate", H451 &lt;= 30, "[21-30] far")</f>
        <v>[3-10] close</v>
      </c>
      <c r="J451" s="1">
        <v>1</v>
      </c>
      <c r="K451" s="3" t="s">
        <v>38</v>
      </c>
      <c r="L451" s="1">
        <v>1</v>
      </c>
      <c r="M451" s="1">
        <v>602</v>
      </c>
      <c r="N451" s="1">
        <v>3</v>
      </c>
      <c r="O451" s="3" t="s">
        <v>39</v>
      </c>
      <c r="P451" s="1">
        <v>48</v>
      </c>
      <c r="Q451" s="1">
        <v>3</v>
      </c>
      <c r="R451" s="1">
        <v>1</v>
      </c>
      <c r="S451" s="3" t="s">
        <v>50</v>
      </c>
      <c r="T451" s="1">
        <v>3</v>
      </c>
      <c r="U451" s="3" t="s">
        <v>48</v>
      </c>
      <c r="V451" s="4">
        <v>3755</v>
      </c>
      <c r="W451" s="1">
        <v>17872</v>
      </c>
      <c r="X451" s="1">
        <v>1</v>
      </c>
      <c r="Y451" s="3" t="s">
        <v>42</v>
      </c>
      <c r="Z451" s="3" t="s">
        <v>43</v>
      </c>
      <c r="AA451" s="5">
        <v>0.11</v>
      </c>
      <c r="AB451" s="10" t="str" cm="1">
        <f t="array" ref="AB451">_xlfn.IFS(AA451 &lt;= 15%, "Low Hike[11-15%]", AA451 &lt;= 20%, "Moderate Hike[16-20%]", AA451 &lt;= 25%,"High Hike[21-25%]")</f>
        <v>Low Hike[11-15%]</v>
      </c>
      <c r="AC451" s="1">
        <v>3</v>
      </c>
      <c r="AD451" s="1">
        <v>1</v>
      </c>
      <c r="AE451" s="1">
        <v>80</v>
      </c>
      <c r="AF451" s="1">
        <v>1</v>
      </c>
      <c r="AG451" s="1">
        <v>8</v>
      </c>
      <c r="AH451" s="9" t="str" cm="1">
        <f t="array" ref="AH451">_xlfn.IFS(AG451 &lt;= 5, "New[1-5]", AG451 &lt;= 10, "Early Career[6-10]", AG451 &lt;= 20, "Established[11-20]", AG451 &lt;= 30, "Veteran[21-30]", AG451 &lt;= 40, "Late Career[31-40]")</f>
        <v>Early Career[6-10]</v>
      </c>
      <c r="AI451" s="1">
        <v>3</v>
      </c>
      <c r="AJ451" s="1">
        <v>3</v>
      </c>
      <c r="AK451" s="1">
        <v>8</v>
      </c>
      <c r="AL451" s="9" t="str" cm="1">
        <f t="array" ref="AL451">_xlfn.IFS(AK451 &lt;= 5, "New[1-5]", AK451 &lt;= 10, "Early Career[6-10]", AK451 &lt;= 20, "Established[11-20]", AK451 &lt;= 30, "Veteran[21-30]", AK451 &lt;= 40, "Late Career[31-40]")</f>
        <v>Early Career[6-10]</v>
      </c>
      <c r="AM451" s="1">
        <v>3</v>
      </c>
      <c r="AN451" s="9" t="str" cm="1">
        <f t="array" ref="AN451">_xlfn.IFS(AM451 &lt;= 3, "New to Role[1-3]", AM451 &lt;= 7, "Settled[4-7]", AM451 &lt;= 12, "Experienced[[8-12]", AM451 &lt;= 18, "Long Tenured[13-18]")</f>
        <v>New to Role[1-3]</v>
      </c>
      <c r="AO451" s="1">
        <v>0</v>
      </c>
      <c r="AP451" s="9" t="str" cm="1">
        <f t="array" ref="AP451">_xlfn.IFS(AO451 &lt;= 3, "Recently[1-3]", AO451 &lt;= 6, "Due Soon[4-6]", AO451 &lt;= 10, "Overdue[7-10]", AO451 &lt;= 15, "Long Overdue[11-15]")</f>
        <v>Recently[1-3]</v>
      </c>
      <c r="AQ451" s="9" t="str" cm="1">
        <f t="array" ref="AQ451">_xlfn.IFS(AR451 &lt;= 3, "New Relationship[1-3]", AR451 &lt;= 7, "Established Relationship[4-7]", AR451 &lt;= 12, "Long Term Relationship[8-12]", AR451 &lt;= 17, "Very Long Term Relationship[13-17]")</f>
        <v>Established Relationship[4-7]</v>
      </c>
      <c r="AR451" s="1">
        <v>7</v>
      </c>
    </row>
    <row r="452" spans="1:44" x14ac:dyDescent="0.25">
      <c r="A452" s="1">
        <v>31</v>
      </c>
      <c r="B452" s="8" t="str" cm="1">
        <f t="array" ref="B452">_xlfn.IFS(A452 &lt;= 25, "[18-25]", A452 &lt;= 35, "[26-35]", A452 &lt;=45, "[36-45]", A452 &lt;= 60, "[46- 60]")</f>
        <v>[26-35]</v>
      </c>
      <c r="C452" s="3" t="s">
        <v>43</v>
      </c>
      <c r="D452">
        <f t="shared" si="7"/>
        <v>0</v>
      </c>
      <c r="E452" t="s">
        <v>36</v>
      </c>
      <c r="F452" s="1">
        <v>828</v>
      </c>
      <c r="G452" s="3" t="s">
        <v>37</v>
      </c>
      <c r="H452" s="1">
        <v>2</v>
      </c>
      <c r="I452" s="9" t="str" cm="1">
        <f t="array" ref="I452">_xlfn.IFS(H452 &lt;= 2, "[1-2] very close", H452 &lt;= 10, "[3-10] close", H452 &lt;= 20, "[11-20] moderate", H452 &lt;= 30, "[21-30] far")</f>
        <v>[1-2] very close</v>
      </c>
      <c r="J452" s="1">
        <v>1</v>
      </c>
      <c r="K452" s="3" t="s">
        <v>38</v>
      </c>
      <c r="L452" s="1">
        <v>1</v>
      </c>
      <c r="M452" s="1">
        <v>604</v>
      </c>
      <c r="N452" s="1">
        <v>2</v>
      </c>
      <c r="O452" s="3" t="s">
        <v>46</v>
      </c>
      <c r="P452" s="1">
        <v>77</v>
      </c>
      <c r="Q452" s="1">
        <v>3</v>
      </c>
      <c r="R452" s="1">
        <v>2</v>
      </c>
      <c r="S452" s="3" t="s">
        <v>40</v>
      </c>
      <c r="T452" s="1">
        <v>4</v>
      </c>
      <c r="U452" s="3" t="s">
        <v>41</v>
      </c>
      <c r="V452" s="4">
        <v>6582</v>
      </c>
      <c r="W452" s="1">
        <v>8346</v>
      </c>
      <c r="X452" s="1">
        <v>4</v>
      </c>
      <c r="Y452" s="3" t="s">
        <v>42</v>
      </c>
      <c r="Z452" s="3" t="s">
        <v>35</v>
      </c>
      <c r="AA452" s="5">
        <v>0.13</v>
      </c>
      <c r="AB452" s="10" t="str" cm="1">
        <f t="array" ref="AB452">_xlfn.IFS(AA452 &lt;= 15%, "Low Hike[11-15%]", AA452 &lt;= 20%, "Moderate Hike[16-20%]", AA452 &lt;= 25%,"High Hike[21-25%]")</f>
        <v>Low Hike[11-15%]</v>
      </c>
      <c r="AC452" s="1">
        <v>3</v>
      </c>
      <c r="AD452" s="1">
        <v>3</v>
      </c>
      <c r="AE452" s="1">
        <v>80</v>
      </c>
      <c r="AF452" s="1">
        <v>0</v>
      </c>
      <c r="AG452" s="1">
        <v>10</v>
      </c>
      <c r="AH452" s="9" t="str" cm="1">
        <f t="array" ref="AH452">_xlfn.IFS(AG452 &lt;= 5, "New[1-5]", AG452 &lt;= 10, "Early Career[6-10]", AG452 &lt;= 20, "Established[11-20]", AG452 &lt;= 30, "Veteran[21-30]", AG452 &lt;= 40, "Late Career[31-40]")</f>
        <v>Early Career[6-10]</v>
      </c>
      <c r="AI452" s="1">
        <v>2</v>
      </c>
      <c r="AJ452" s="1">
        <v>4</v>
      </c>
      <c r="AK452" s="1">
        <v>6</v>
      </c>
      <c r="AL452" s="9" t="str" cm="1">
        <f t="array" ref="AL452">_xlfn.IFS(AK452 &lt;= 5, "New[1-5]", AK452 &lt;= 10, "Early Career[6-10]", AK452 &lt;= 20, "Established[11-20]", AK452 &lt;= 30, "Veteran[21-30]", AK452 &lt;= 40, "Late Career[31-40]")</f>
        <v>Early Career[6-10]</v>
      </c>
      <c r="AM452" s="1">
        <v>5</v>
      </c>
      <c r="AN452" s="9" t="str" cm="1">
        <f t="array" ref="AN452">_xlfn.IFS(AM452 &lt;= 3, "New to Role[1-3]", AM452 &lt;= 7, "Settled[4-7]", AM452 &lt;= 12, "Experienced[[8-12]", AM452 &lt;= 18, "Long Tenured[13-18]")</f>
        <v>Settled[4-7]</v>
      </c>
      <c r="AO452" s="1">
        <v>0</v>
      </c>
      <c r="AP452" s="9" t="str" cm="1">
        <f t="array" ref="AP452">_xlfn.IFS(AO452 &lt;= 3, "Recently[1-3]", AO452 &lt;= 6, "Due Soon[4-6]", AO452 &lt;= 10, "Overdue[7-10]", AO452 &lt;= 15, "Long Overdue[11-15]")</f>
        <v>Recently[1-3]</v>
      </c>
      <c r="AQ452" s="9" t="str" cm="1">
        <f t="array" ref="AQ452">_xlfn.IFS(AR452 &lt;= 3, "New Relationship[1-3]", AR452 &lt;= 7, "Established Relationship[4-7]", AR452 &lt;= 12, "Long Term Relationship[8-12]", AR452 &lt;= 17, "Very Long Term Relationship[13-17]")</f>
        <v>Established Relationship[4-7]</v>
      </c>
      <c r="AR452" s="1">
        <v>5</v>
      </c>
    </row>
    <row r="453" spans="1:44" x14ac:dyDescent="0.25">
      <c r="A453" s="1">
        <v>42</v>
      </c>
      <c r="B453" s="8" t="str" cm="1">
        <f t="array" ref="B453">_xlfn.IFS(A453 &lt;= 25, "[18-25]", A453 &lt;= 35, "[26-35]", A453 &lt;=45, "[36-45]", A453 &lt;= 60, "[46- 60]")</f>
        <v>[36-45]</v>
      </c>
      <c r="C453" s="3" t="s">
        <v>43</v>
      </c>
      <c r="D453">
        <f t="shared" si="7"/>
        <v>0</v>
      </c>
      <c r="E453" t="s">
        <v>36</v>
      </c>
      <c r="F453" s="1">
        <v>319</v>
      </c>
      <c r="G453" s="3" t="s">
        <v>45</v>
      </c>
      <c r="H453" s="1">
        <v>24</v>
      </c>
      <c r="I453" s="9" t="str" cm="1">
        <f t="array" ref="I453">_xlfn.IFS(H453 &lt;= 2, "[1-2] very close", H453 &lt;= 10, "[3-10] close", H453 &lt;= 20, "[11-20] moderate", H453 &lt;= 30, "[21-30] far")</f>
        <v>[21-30] far</v>
      </c>
      <c r="J453" s="1">
        <v>3</v>
      </c>
      <c r="K453" s="3" t="s">
        <v>51</v>
      </c>
      <c r="L453" s="1">
        <v>1</v>
      </c>
      <c r="M453" s="1">
        <v>605</v>
      </c>
      <c r="N453" s="1">
        <v>4</v>
      </c>
      <c r="O453" s="3" t="s">
        <v>46</v>
      </c>
      <c r="P453" s="1">
        <v>56</v>
      </c>
      <c r="Q453" s="1">
        <v>3</v>
      </c>
      <c r="R453" s="1">
        <v>3</v>
      </c>
      <c r="S453" s="3" t="s">
        <v>53</v>
      </c>
      <c r="T453" s="1">
        <v>1</v>
      </c>
      <c r="U453" s="3" t="s">
        <v>48</v>
      </c>
      <c r="V453" s="4">
        <v>7406</v>
      </c>
      <c r="W453" s="1">
        <v>6950</v>
      </c>
      <c r="X453" s="1">
        <v>1</v>
      </c>
      <c r="Y453" s="3" t="s">
        <v>42</v>
      </c>
      <c r="Z453" s="3" t="s">
        <v>35</v>
      </c>
      <c r="AA453" s="5">
        <v>0.21</v>
      </c>
      <c r="AB453" s="10" t="str" cm="1">
        <f t="array" ref="AB453">_xlfn.IFS(AA453 &lt;= 15%, "Low Hike[11-15%]", AA453 &lt;= 20%, "Moderate Hike[16-20%]", AA453 &lt;= 25%,"High Hike[21-25%]")</f>
        <v>High Hike[21-25%]</v>
      </c>
      <c r="AC453" s="1">
        <v>4</v>
      </c>
      <c r="AD453" s="1">
        <v>4</v>
      </c>
      <c r="AE453" s="1">
        <v>80</v>
      </c>
      <c r="AF453" s="1">
        <v>1</v>
      </c>
      <c r="AG453" s="1">
        <v>10</v>
      </c>
      <c r="AH453" s="9" t="str" cm="1">
        <f t="array" ref="AH453">_xlfn.IFS(AG453 &lt;= 5, "New[1-5]", AG453 &lt;= 10, "Early Career[6-10]", AG453 &lt;= 20, "Established[11-20]", AG453 &lt;= 30, "Veteran[21-30]", AG453 &lt;= 40, "Late Career[31-40]")</f>
        <v>Early Career[6-10]</v>
      </c>
      <c r="AI453" s="1">
        <v>5</v>
      </c>
      <c r="AJ453" s="1">
        <v>2</v>
      </c>
      <c r="AK453" s="1">
        <v>10</v>
      </c>
      <c r="AL453" s="9" t="str" cm="1">
        <f t="array" ref="AL453">_xlfn.IFS(AK453 &lt;= 5, "New[1-5]", AK453 &lt;= 10, "Early Career[6-10]", AK453 &lt;= 20, "Established[11-20]", AK453 &lt;= 30, "Veteran[21-30]", AK453 &lt;= 40, "Late Career[31-40]")</f>
        <v>Early Career[6-10]</v>
      </c>
      <c r="AM453" s="1">
        <v>9</v>
      </c>
      <c r="AN453" s="9" t="str" cm="1">
        <f t="array" ref="AN453">_xlfn.IFS(AM453 &lt;= 3, "New to Role[1-3]", AM453 &lt;= 7, "Settled[4-7]", AM453 &lt;= 12, "Experienced[[8-12]", AM453 &lt;= 18, "Long Tenured[13-18]")</f>
        <v>Experienced[[8-12]</v>
      </c>
      <c r="AO453" s="1">
        <v>5</v>
      </c>
      <c r="AP453" s="9" t="str" cm="1">
        <f t="array" ref="AP453">_xlfn.IFS(AO453 &lt;= 3, "Recently[1-3]", AO453 &lt;= 6, "Due Soon[4-6]", AO453 &lt;= 10, "Overdue[7-10]", AO453 &lt;= 15, "Long Overdue[11-15]")</f>
        <v>Due Soon[4-6]</v>
      </c>
      <c r="AQ453" s="9" t="str" cm="1">
        <f t="array" ref="AQ453">_xlfn.IFS(AR453 &lt;= 3, "New Relationship[1-3]", AR453 &lt;= 7, "Established Relationship[4-7]", AR453 &lt;= 12, "Long Term Relationship[8-12]", AR453 &lt;= 17, "Very Long Term Relationship[13-17]")</f>
        <v>Long Term Relationship[8-12]</v>
      </c>
      <c r="AR453" s="1">
        <v>8</v>
      </c>
    </row>
    <row r="454" spans="1:44" x14ac:dyDescent="0.25">
      <c r="A454" s="1">
        <v>45</v>
      </c>
      <c r="B454" s="8" t="str" cm="1">
        <f t="array" ref="B454">_xlfn.IFS(A454 &lt;= 25, "[18-25]", A454 &lt;= 35, "[26-35]", A454 &lt;=45, "[36-45]", A454 &lt;= 60, "[46- 60]")</f>
        <v>[36-45]</v>
      </c>
      <c r="C454" s="3" t="s">
        <v>43</v>
      </c>
      <c r="D454">
        <f t="shared" si="7"/>
        <v>0</v>
      </c>
      <c r="E454" t="s">
        <v>36</v>
      </c>
      <c r="F454" s="1">
        <v>561</v>
      </c>
      <c r="G454" s="3" t="s">
        <v>37</v>
      </c>
      <c r="H454" s="1">
        <v>2</v>
      </c>
      <c r="I454" s="9" t="str" cm="1">
        <f t="array" ref="I454">_xlfn.IFS(H454 &lt;= 2, "[1-2] very close", H454 &lt;= 10, "[3-10] close", H454 &lt;= 20, "[11-20] moderate", H454 &lt;= 30, "[21-30] far")</f>
        <v>[1-2] very close</v>
      </c>
      <c r="J454" s="1">
        <v>3</v>
      </c>
      <c r="K454" s="3" t="s">
        <v>49</v>
      </c>
      <c r="L454" s="1">
        <v>1</v>
      </c>
      <c r="M454" s="1">
        <v>606</v>
      </c>
      <c r="N454" s="1">
        <v>4</v>
      </c>
      <c r="O454" s="3" t="s">
        <v>46</v>
      </c>
      <c r="P454" s="1">
        <v>61</v>
      </c>
      <c r="Q454" s="1">
        <v>3</v>
      </c>
      <c r="R454" s="1">
        <v>2</v>
      </c>
      <c r="S454" s="3" t="s">
        <v>40</v>
      </c>
      <c r="T454" s="1">
        <v>2</v>
      </c>
      <c r="U454" s="3" t="s">
        <v>48</v>
      </c>
      <c r="V454" s="4">
        <v>4805</v>
      </c>
      <c r="W454" s="1">
        <v>16177</v>
      </c>
      <c r="X454" s="1">
        <v>0</v>
      </c>
      <c r="Y454" s="3" t="s">
        <v>42</v>
      </c>
      <c r="Z454" s="3" t="s">
        <v>43</v>
      </c>
      <c r="AA454" s="5">
        <v>0.19</v>
      </c>
      <c r="AB454" s="10" t="str" cm="1">
        <f t="array" ref="AB454">_xlfn.IFS(AA454 &lt;= 15%, "Low Hike[11-15%]", AA454 &lt;= 20%, "Moderate Hike[16-20%]", AA454 &lt;= 25%,"High Hike[21-25%]")</f>
        <v>Moderate Hike[16-20%]</v>
      </c>
      <c r="AC454" s="1">
        <v>3</v>
      </c>
      <c r="AD454" s="1">
        <v>2</v>
      </c>
      <c r="AE454" s="1">
        <v>80</v>
      </c>
      <c r="AF454" s="1">
        <v>1</v>
      </c>
      <c r="AG454" s="1">
        <v>9</v>
      </c>
      <c r="AH454" s="9" t="str" cm="1">
        <f t="array" ref="AH454">_xlfn.IFS(AG454 &lt;= 5, "New[1-5]", AG454 &lt;= 10, "Early Career[6-10]", AG454 &lt;= 20, "Established[11-20]", AG454 &lt;= 30, "Veteran[21-30]", AG454 &lt;= 40, "Late Career[31-40]")</f>
        <v>Early Career[6-10]</v>
      </c>
      <c r="AI454" s="1">
        <v>3</v>
      </c>
      <c r="AJ454" s="1">
        <v>4</v>
      </c>
      <c r="AK454" s="1">
        <v>8</v>
      </c>
      <c r="AL454" s="9" t="str" cm="1">
        <f t="array" ref="AL454">_xlfn.IFS(AK454 &lt;= 5, "New[1-5]", AK454 &lt;= 10, "Early Career[6-10]", AK454 &lt;= 20, "Established[11-20]", AK454 &lt;= 30, "Veteran[21-30]", AK454 &lt;= 40, "Late Career[31-40]")</f>
        <v>Early Career[6-10]</v>
      </c>
      <c r="AM454" s="1">
        <v>7</v>
      </c>
      <c r="AN454" s="9" t="str" cm="1">
        <f t="array" ref="AN454">_xlfn.IFS(AM454 &lt;= 3, "New to Role[1-3]", AM454 &lt;= 7, "Settled[4-7]", AM454 &lt;= 12, "Experienced[[8-12]", AM454 &lt;= 18, "Long Tenured[13-18]")</f>
        <v>Settled[4-7]</v>
      </c>
      <c r="AO454" s="1">
        <v>3</v>
      </c>
      <c r="AP454" s="9" t="str" cm="1">
        <f t="array" ref="AP454">_xlfn.IFS(AO454 &lt;= 3, "Recently[1-3]", AO454 &lt;= 6, "Due Soon[4-6]", AO454 &lt;= 10, "Overdue[7-10]", AO454 &lt;= 15, "Long Overdue[11-15]")</f>
        <v>Recently[1-3]</v>
      </c>
      <c r="AQ454" s="9" t="str" cm="1">
        <f t="array" ref="AQ454">_xlfn.IFS(AR454 &lt;= 3, "New Relationship[1-3]", AR454 &lt;= 7, "Established Relationship[4-7]", AR454 &lt;= 12, "Long Term Relationship[8-12]", AR454 &lt;= 17, "Very Long Term Relationship[13-17]")</f>
        <v>Established Relationship[4-7]</v>
      </c>
      <c r="AR454" s="1">
        <v>7</v>
      </c>
    </row>
    <row r="455" spans="1:44" x14ac:dyDescent="0.25">
      <c r="A455" s="1">
        <v>26</v>
      </c>
      <c r="B455" s="8" t="str" cm="1">
        <f t="array" ref="B455">_xlfn.IFS(A455 &lt;= 25, "[18-25]", A455 &lt;= 35, "[26-35]", A455 &lt;=45, "[36-45]", A455 &lt;= 60, "[46- 60]")</f>
        <v>[26-35]</v>
      </c>
      <c r="C455" s="3" t="s">
        <v>35</v>
      </c>
      <c r="D455">
        <f t="shared" si="7"/>
        <v>1</v>
      </c>
      <c r="E455" t="s">
        <v>44</v>
      </c>
      <c r="F455" s="1">
        <v>426</v>
      </c>
      <c r="G455" s="3" t="s">
        <v>61</v>
      </c>
      <c r="H455" s="1">
        <v>17</v>
      </c>
      <c r="I455" s="9" t="str" cm="1">
        <f t="array" ref="I455">_xlfn.IFS(H455 &lt;= 2, "[1-2] very close", H455 &lt;= 10, "[3-10] close", H455 &lt;= 20, "[11-20] moderate", H455 &lt;= 30, "[21-30] far")</f>
        <v>[11-20] moderate</v>
      </c>
      <c r="J455" s="1">
        <v>4</v>
      </c>
      <c r="K455" s="3" t="s">
        <v>38</v>
      </c>
      <c r="L455" s="1">
        <v>1</v>
      </c>
      <c r="M455" s="1">
        <v>608</v>
      </c>
      <c r="N455" s="1">
        <v>2</v>
      </c>
      <c r="O455" s="3" t="s">
        <v>39</v>
      </c>
      <c r="P455" s="1">
        <v>58</v>
      </c>
      <c r="Q455" s="1">
        <v>3</v>
      </c>
      <c r="R455" s="1">
        <v>1</v>
      </c>
      <c r="S455" s="3" t="s">
        <v>61</v>
      </c>
      <c r="T455" s="1">
        <v>3</v>
      </c>
      <c r="U455" s="3" t="s">
        <v>52</v>
      </c>
      <c r="V455" s="4">
        <v>2741</v>
      </c>
      <c r="W455" s="1">
        <v>22808</v>
      </c>
      <c r="X455" s="1">
        <v>0</v>
      </c>
      <c r="Y455" s="3" t="s">
        <v>42</v>
      </c>
      <c r="Z455" s="3" t="s">
        <v>35</v>
      </c>
      <c r="AA455" s="5">
        <v>0.11</v>
      </c>
      <c r="AB455" s="10" t="str" cm="1">
        <f t="array" ref="AB455">_xlfn.IFS(AA455 &lt;= 15%, "Low Hike[11-15%]", AA455 &lt;= 20%, "Moderate Hike[16-20%]", AA455 &lt;= 25%,"High Hike[21-25%]")</f>
        <v>Low Hike[11-15%]</v>
      </c>
      <c r="AC455" s="1">
        <v>3</v>
      </c>
      <c r="AD455" s="1">
        <v>2</v>
      </c>
      <c r="AE455" s="1">
        <v>80</v>
      </c>
      <c r="AF455" s="1">
        <v>1</v>
      </c>
      <c r="AG455" s="1">
        <v>8</v>
      </c>
      <c r="AH455" s="9" t="str" cm="1">
        <f t="array" ref="AH455">_xlfn.IFS(AG455 &lt;= 5, "New[1-5]", AG455 &lt;= 10, "Early Career[6-10]", AG455 &lt;= 20, "Established[11-20]", AG455 &lt;= 30, "Veteran[21-30]", AG455 &lt;= 40, "Late Career[31-40]")</f>
        <v>Early Career[6-10]</v>
      </c>
      <c r="AI455" s="1">
        <v>2</v>
      </c>
      <c r="AJ455" s="1">
        <v>2</v>
      </c>
      <c r="AK455" s="1">
        <v>7</v>
      </c>
      <c r="AL455" s="9" t="str" cm="1">
        <f t="array" ref="AL455">_xlfn.IFS(AK455 &lt;= 5, "New[1-5]", AK455 &lt;= 10, "Early Career[6-10]", AK455 &lt;= 20, "Established[11-20]", AK455 &lt;= 30, "Veteran[21-30]", AK455 &lt;= 40, "Late Career[31-40]")</f>
        <v>Early Career[6-10]</v>
      </c>
      <c r="AM455" s="1">
        <v>7</v>
      </c>
      <c r="AN455" s="9" t="str" cm="1">
        <f t="array" ref="AN455">_xlfn.IFS(AM455 &lt;= 3, "New to Role[1-3]", AM455 &lt;= 7, "Settled[4-7]", AM455 &lt;= 12, "Experienced[[8-12]", AM455 &lt;= 18, "Long Tenured[13-18]")</f>
        <v>Settled[4-7]</v>
      </c>
      <c r="AO455" s="1">
        <v>1</v>
      </c>
      <c r="AP455" s="9" t="str" cm="1">
        <f t="array" ref="AP455">_xlfn.IFS(AO455 &lt;= 3, "Recently[1-3]", AO455 &lt;= 6, "Due Soon[4-6]", AO455 &lt;= 10, "Overdue[7-10]", AO455 &lt;= 15, "Long Overdue[11-15]")</f>
        <v>Recently[1-3]</v>
      </c>
      <c r="AQ455" s="9" t="str" cm="1">
        <f t="array" ref="AQ455">_xlfn.IFS(AR455 &lt;= 3, "New Relationship[1-3]", AR455 &lt;= 7, "Established Relationship[4-7]", AR455 &lt;= 12, "Long Term Relationship[8-12]", AR455 &lt;= 17, "Very Long Term Relationship[13-17]")</f>
        <v>New Relationship[1-3]</v>
      </c>
      <c r="AR455" s="1">
        <v>0</v>
      </c>
    </row>
    <row r="456" spans="1:44" x14ac:dyDescent="0.25">
      <c r="A456" s="1">
        <v>29</v>
      </c>
      <c r="B456" s="8" t="str" cm="1">
        <f t="array" ref="B456">_xlfn.IFS(A456 &lt;= 25, "[18-25]", A456 &lt;= 35, "[26-35]", A456 &lt;=45, "[36-45]", A456 &lt;= 60, "[46- 60]")</f>
        <v>[26-35]</v>
      </c>
      <c r="C456" s="3" t="s">
        <v>43</v>
      </c>
      <c r="D456">
        <f t="shared" si="7"/>
        <v>0</v>
      </c>
      <c r="E456" t="s">
        <v>36</v>
      </c>
      <c r="F456" s="1">
        <v>232</v>
      </c>
      <c r="G456" s="3" t="s">
        <v>45</v>
      </c>
      <c r="H456" s="1">
        <v>19</v>
      </c>
      <c r="I456" s="9" t="str" cm="1">
        <f t="array" ref="I456">_xlfn.IFS(H456 &lt;= 2, "[1-2] very close", H456 &lt;= 10, "[3-10] close", H456 &lt;= 20, "[11-20] moderate", H456 &lt;= 30, "[21-30] far")</f>
        <v>[11-20] moderate</v>
      </c>
      <c r="J456" s="1">
        <v>3</v>
      </c>
      <c r="K456" s="3" t="s">
        <v>60</v>
      </c>
      <c r="L456" s="1">
        <v>1</v>
      </c>
      <c r="M456" s="1">
        <v>611</v>
      </c>
      <c r="N456" s="1">
        <v>4</v>
      </c>
      <c r="O456" s="3" t="s">
        <v>46</v>
      </c>
      <c r="P456" s="1">
        <v>34</v>
      </c>
      <c r="Q456" s="1">
        <v>3</v>
      </c>
      <c r="R456" s="1">
        <v>2</v>
      </c>
      <c r="S456" s="3" t="s">
        <v>53</v>
      </c>
      <c r="T456" s="1">
        <v>4</v>
      </c>
      <c r="U456" s="3" t="s">
        <v>52</v>
      </c>
      <c r="V456" s="4">
        <v>4262</v>
      </c>
      <c r="W456" s="1">
        <v>22645</v>
      </c>
      <c r="X456" s="1">
        <v>4</v>
      </c>
      <c r="Y456" s="3" t="s">
        <v>42</v>
      </c>
      <c r="Z456" s="3" t="s">
        <v>43</v>
      </c>
      <c r="AA456" s="5">
        <v>0.12</v>
      </c>
      <c r="AB456" s="10" t="str" cm="1">
        <f t="array" ref="AB456">_xlfn.IFS(AA456 &lt;= 15%, "Low Hike[11-15%]", AA456 &lt;= 20%, "Moderate Hike[16-20%]", AA456 &lt;= 25%,"High Hike[21-25%]")</f>
        <v>Low Hike[11-15%]</v>
      </c>
      <c r="AC456" s="1">
        <v>3</v>
      </c>
      <c r="AD456" s="1">
        <v>2</v>
      </c>
      <c r="AE456" s="1">
        <v>80</v>
      </c>
      <c r="AF456" s="1">
        <v>2</v>
      </c>
      <c r="AG456" s="1">
        <v>8</v>
      </c>
      <c r="AH456" s="9" t="str" cm="1">
        <f t="array" ref="AH456">_xlfn.IFS(AG456 &lt;= 5, "New[1-5]", AG456 &lt;= 10, "Early Career[6-10]", AG456 &lt;= 20, "Established[11-20]", AG456 &lt;= 30, "Veteran[21-30]", AG456 &lt;= 40, "Late Career[31-40]")</f>
        <v>Early Career[6-10]</v>
      </c>
      <c r="AI456" s="1">
        <v>2</v>
      </c>
      <c r="AJ456" s="1">
        <v>4</v>
      </c>
      <c r="AK456" s="1">
        <v>3</v>
      </c>
      <c r="AL456" s="9" t="str" cm="1">
        <f t="array" ref="AL456">_xlfn.IFS(AK456 &lt;= 5, "New[1-5]", AK456 &lt;= 10, "Early Career[6-10]", AK456 &lt;= 20, "Established[11-20]", AK456 &lt;= 30, "Veteran[21-30]", AK456 &lt;= 40, "Late Career[31-40]")</f>
        <v>New[1-5]</v>
      </c>
      <c r="AM456" s="1">
        <v>2</v>
      </c>
      <c r="AN456" s="9" t="str" cm="1">
        <f t="array" ref="AN456">_xlfn.IFS(AM456 &lt;= 3, "New to Role[1-3]", AM456 &lt;= 7, "Settled[4-7]", AM456 &lt;= 12, "Experienced[[8-12]", AM456 &lt;= 18, "Long Tenured[13-18]")</f>
        <v>New to Role[1-3]</v>
      </c>
      <c r="AO456" s="1">
        <v>1</v>
      </c>
      <c r="AP456" s="9" t="str" cm="1">
        <f t="array" ref="AP456">_xlfn.IFS(AO456 &lt;= 3, "Recently[1-3]", AO456 &lt;= 6, "Due Soon[4-6]", AO456 &lt;= 10, "Overdue[7-10]", AO456 &lt;= 15, "Long Overdue[11-15]")</f>
        <v>Recently[1-3]</v>
      </c>
      <c r="AQ456" s="9" t="str" cm="1">
        <f t="array" ref="AQ456">_xlfn.IFS(AR456 &lt;= 3, "New Relationship[1-3]", AR456 &lt;= 7, "Established Relationship[4-7]", AR456 &lt;= 12, "Long Term Relationship[8-12]", AR456 &lt;= 17, "Very Long Term Relationship[13-17]")</f>
        <v>New Relationship[1-3]</v>
      </c>
      <c r="AR456" s="1">
        <v>2</v>
      </c>
    </row>
    <row r="457" spans="1:44" x14ac:dyDescent="0.25">
      <c r="A457" s="1">
        <v>33</v>
      </c>
      <c r="B457" s="8" t="str" cm="1">
        <f t="array" ref="B457">_xlfn.IFS(A457 &lt;= 25, "[18-25]", A457 &lt;= 35, "[26-35]", A457 &lt;=45, "[36-45]", A457 &lt;= 60, "[46- 60]")</f>
        <v>[26-35]</v>
      </c>
      <c r="C457" s="3" t="s">
        <v>43</v>
      </c>
      <c r="D457">
        <f t="shared" si="7"/>
        <v>0</v>
      </c>
      <c r="E457" t="s">
        <v>36</v>
      </c>
      <c r="F457" s="1">
        <v>922</v>
      </c>
      <c r="G457" s="3" t="s">
        <v>45</v>
      </c>
      <c r="H457" s="1">
        <v>1</v>
      </c>
      <c r="I457" s="9" t="str" cm="1">
        <f t="array" ref="I457">_xlfn.IFS(H457 &lt;= 2, "[1-2] very close", H457 &lt;= 10, "[3-10] close", H457 &lt;= 20, "[11-20] moderate", H457 &lt;= 30, "[21-30] far")</f>
        <v>[1-2] very close</v>
      </c>
      <c r="J457" s="1">
        <v>5</v>
      </c>
      <c r="K457" s="3" t="s">
        <v>51</v>
      </c>
      <c r="L457" s="1">
        <v>1</v>
      </c>
      <c r="M457" s="1">
        <v>612</v>
      </c>
      <c r="N457" s="1">
        <v>1</v>
      </c>
      <c r="O457" s="3" t="s">
        <v>39</v>
      </c>
      <c r="P457" s="1">
        <v>95</v>
      </c>
      <c r="Q457" s="1">
        <v>4</v>
      </c>
      <c r="R457" s="1">
        <v>4</v>
      </c>
      <c r="S457" s="3" t="s">
        <v>58</v>
      </c>
      <c r="T457" s="1">
        <v>3</v>
      </c>
      <c r="U457" s="3" t="s">
        <v>52</v>
      </c>
      <c r="V457" s="4">
        <v>16184</v>
      </c>
      <c r="W457" s="1">
        <v>22578</v>
      </c>
      <c r="X457" s="1">
        <v>4</v>
      </c>
      <c r="Y457" s="3" t="s">
        <v>42</v>
      </c>
      <c r="Z457" s="3" t="s">
        <v>43</v>
      </c>
      <c r="AA457" s="5">
        <v>0.19</v>
      </c>
      <c r="AB457" s="10" t="str" cm="1">
        <f t="array" ref="AB457">_xlfn.IFS(AA457 &lt;= 15%, "Low Hike[11-15%]", AA457 &lt;= 20%, "Moderate Hike[16-20%]", AA457 &lt;= 25%,"High Hike[21-25%]")</f>
        <v>Moderate Hike[16-20%]</v>
      </c>
      <c r="AC457" s="1">
        <v>3</v>
      </c>
      <c r="AD457" s="1">
        <v>3</v>
      </c>
      <c r="AE457" s="1">
        <v>80</v>
      </c>
      <c r="AF457" s="1">
        <v>1</v>
      </c>
      <c r="AG457" s="1">
        <v>10</v>
      </c>
      <c r="AH457" s="9" t="str" cm="1">
        <f t="array" ref="AH457">_xlfn.IFS(AG457 &lt;= 5, "New[1-5]", AG457 &lt;= 10, "Early Career[6-10]", AG457 &lt;= 20, "Established[11-20]", AG457 &lt;= 30, "Veteran[21-30]", AG457 &lt;= 40, "Late Career[31-40]")</f>
        <v>Early Career[6-10]</v>
      </c>
      <c r="AI457" s="1">
        <v>2</v>
      </c>
      <c r="AJ457" s="1">
        <v>3</v>
      </c>
      <c r="AK457" s="1">
        <v>6</v>
      </c>
      <c r="AL457" s="9" t="str" cm="1">
        <f t="array" ref="AL457">_xlfn.IFS(AK457 &lt;= 5, "New[1-5]", AK457 &lt;= 10, "Early Career[6-10]", AK457 &lt;= 20, "Established[11-20]", AK457 &lt;= 30, "Veteran[21-30]", AK457 &lt;= 40, "Late Career[31-40]")</f>
        <v>Early Career[6-10]</v>
      </c>
      <c r="AM457" s="1">
        <v>1</v>
      </c>
      <c r="AN457" s="9" t="str" cm="1">
        <f t="array" ref="AN457">_xlfn.IFS(AM457 &lt;= 3, "New to Role[1-3]", AM457 &lt;= 7, "Settled[4-7]", AM457 &lt;= 12, "Experienced[[8-12]", AM457 &lt;= 18, "Long Tenured[13-18]")</f>
        <v>New to Role[1-3]</v>
      </c>
      <c r="AO457" s="1">
        <v>0</v>
      </c>
      <c r="AP457" s="9" t="str" cm="1">
        <f t="array" ref="AP457">_xlfn.IFS(AO457 &lt;= 3, "Recently[1-3]", AO457 &lt;= 6, "Due Soon[4-6]", AO457 &lt;= 10, "Overdue[7-10]", AO457 &lt;= 15, "Long Overdue[11-15]")</f>
        <v>Recently[1-3]</v>
      </c>
      <c r="AQ457" s="9" t="str" cm="1">
        <f t="array" ref="AQ457">_xlfn.IFS(AR457 &lt;= 3, "New Relationship[1-3]", AR457 &lt;= 7, "Established Relationship[4-7]", AR457 &lt;= 12, "Long Term Relationship[8-12]", AR457 &lt;= 17, "Very Long Term Relationship[13-17]")</f>
        <v>Established Relationship[4-7]</v>
      </c>
      <c r="AR457" s="1">
        <v>5</v>
      </c>
    </row>
    <row r="458" spans="1:44" x14ac:dyDescent="0.25">
      <c r="A458" s="1">
        <v>31</v>
      </c>
      <c r="B458" s="8" t="str" cm="1">
        <f t="array" ref="B458">_xlfn.IFS(A458 &lt;= 25, "[18-25]", A458 &lt;= 35, "[26-35]", A458 &lt;=45, "[36-45]", A458 &lt;= 60, "[46- 60]")</f>
        <v>[26-35]</v>
      </c>
      <c r="C458" s="3" t="s">
        <v>43</v>
      </c>
      <c r="D458">
        <f t="shared" si="7"/>
        <v>0</v>
      </c>
      <c r="E458" t="s">
        <v>36</v>
      </c>
      <c r="F458" s="1">
        <v>688</v>
      </c>
      <c r="G458" s="3" t="s">
        <v>37</v>
      </c>
      <c r="H458" s="1">
        <v>7</v>
      </c>
      <c r="I458" s="9" t="str" cm="1">
        <f t="array" ref="I458">_xlfn.IFS(H458 &lt;= 2, "[1-2] very close", H458 &lt;= 10, "[3-10] close", H458 &lt;= 20, "[11-20] moderate", H458 &lt;= 30, "[21-30] far")</f>
        <v>[3-10] close</v>
      </c>
      <c r="J458" s="1">
        <v>3</v>
      </c>
      <c r="K458" s="3" t="s">
        <v>38</v>
      </c>
      <c r="L458" s="1">
        <v>1</v>
      </c>
      <c r="M458" s="1">
        <v>613</v>
      </c>
      <c r="N458" s="1">
        <v>3</v>
      </c>
      <c r="O458" s="3" t="s">
        <v>46</v>
      </c>
      <c r="P458" s="1">
        <v>44</v>
      </c>
      <c r="Q458" s="1">
        <v>2</v>
      </c>
      <c r="R458" s="1">
        <v>3</v>
      </c>
      <c r="S458" s="3" t="s">
        <v>56</v>
      </c>
      <c r="T458" s="1">
        <v>4</v>
      </c>
      <c r="U458" s="3" t="s">
        <v>52</v>
      </c>
      <c r="V458" s="4">
        <v>11557</v>
      </c>
      <c r="W458" s="1">
        <v>25291</v>
      </c>
      <c r="X458" s="1">
        <v>9</v>
      </c>
      <c r="Y458" s="3" t="s">
        <v>42</v>
      </c>
      <c r="Z458" s="3" t="s">
        <v>43</v>
      </c>
      <c r="AA458" s="5">
        <v>0.21</v>
      </c>
      <c r="AB458" s="10" t="str" cm="1">
        <f t="array" ref="AB458">_xlfn.IFS(AA458 &lt;= 15%, "Low Hike[11-15%]", AA458 &lt;= 20%, "Moderate Hike[16-20%]", AA458 &lt;= 25%,"High Hike[21-25%]")</f>
        <v>High Hike[21-25%]</v>
      </c>
      <c r="AC458" s="1">
        <v>4</v>
      </c>
      <c r="AD458" s="1">
        <v>3</v>
      </c>
      <c r="AE458" s="1">
        <v>80</v>
      </c>
      <c r="AF458" s="1">
        <v>1</v>
      </c>
      <c r="AG458" s="1">
        <v>10</v>
      </c>
      <c r="AH458" s="9" t="str" cm="1">
        <f t="array" ref="AH458">_xlfn.IFS(AG458 &lt;= 5, "New[1-5]", AG458 &lt;= 10, "Early Career[6-10]", AG458 &lt;= 20, "Established[11-20]", AG458 &lt;= 30, "Veteran[21-30]", AG458 &lt;= 40, "Late Career[31-40]")</f>
        <v>Early Career[6-10]</v>
      </c>
      <c r="AI458" s="1">
        <v>3</v>
      </c>
      <c r="AJ458" s="1">
        <v>2</v>
      </c>
      <c r="AK458" s="1">
        <v>5</v>
      </c>
      <c r="AL458" s="9" t="str" cm="1">
        <f t="array" ref="AL458">_xlfn.IFS(AK458 &lt;= 5, "New[1-5]", AK458 &lt;= 10, "Early Career[6-10]", AK458 &lt;= 20, "Established[11-20]", AK458 &lt;= 30, "Veteran[21-30]", AK458 &lt;= 40, "Late Career[31-40]")</f>
        <v>New[1-5]</v>
      </c>
      <c r="AM458" s="1">
        <v>4</v>
      </c>
      <c r="AN458" s="9" t="str" cm="1">
        <f t="array" ref="AN458">_xlfn.IFS(AM458 &lt;= 3, "New to Role[1-3]", AM458 &lt;= 7, "Settled[4-7]", AM458 &lt;= 12, "Experienced[[8-12]", AM458 &lt;= 18, "Long Tenured[13-18]")</f>
        <v>Settled[4-7]</v>
      </c>
      <c r="AO458" s="1">
        <v>0</v>
      </c>
      <c r="AP458" s="9" t="str" cm="1">
        <f t="array" ref="AP458">_xlfn.IFS(AO458 &lt;= 3, "Recently[1-3]", AO458 &lt;= 6, "Due Soon[4-6]", AO458 &lt;= 10, "Overdue[7-10]", AO458 &lt;= 15, "Long Overdue[11-15]")</f>
        <v>Recently[1-3]</v>
      </c>
      <c r="AQ458" s="9" t="str" cm="1">
        <f t="array" ref="AQ458">_xlfn.IFS(AR458 &lt;= 3, "New Relationship[1-3]", AR458 &lt;= 7, "Established Relationship[4-7]", AR458 &lt;= 12, "Long Term Relationship[8-12]", AR458 &lt;= 17, "Very Long Term Relationship[13-17]")</f>
        <v>New Relationship[1-3]</v>
      </c>
      <c r="AR458" s="1">
        <v>1</v>
      </c>
    </row>
    <row r="459" spans="1:44" x14ac:dyDescent="0.25">
      <c r="A459" s="1">
        <v>18</v>
      </c>
      <c r="B459" s="8" t="str" cm="1">
        <f t="array" ref="B459">_xlfn.IFS(A459 &lt;= 25, "[18-25]", A459 &lt;= 35, "[26-35]", A459 &lt;=45, "[36-45]", A459 &lt;= 60, "[46- 60]")</f>
        <v>[18-25]</v>
      </c>
      <c r="C459" s="3" t="s">
        <v>35</v>
      </c>
      <c r="D459">
        <f t="shared" si="7"/>
        <v>1</v>
      </c>
      <c r="E459" t="s">
        <v>44</v>
      </c>
      <c r="F459" s="1">
        <v>1306</v>
      </c>
      <c r="G459" s="3" t="s">
        <v>37</v>
      </c>
      <c r="H459" s="1">
        <v>5</v>
      </c>
      <c r="I459" s="9" t="str" cm="1">
        <f t="array" ref="I459">_xlfn.IFS(H459 &lt;= 2, "[1-2] very close", H459 &lt;= 10, "[3-10] close", H459 &lt;= 20, "[11-20] moderate", H459 &lt;= 30, "[21-30] far")</f>
        <v>[3-10] close</v>
      </c>
      <c r="J459" s="1">
        <v>3</v>
      </c>
      <c r="K459" s="3" t="s">
        <v>59</v>
      </c>
      <c r="L459" s="1">
        <v>1</v>
      </c>
      <c r="M459" s="1">
        <v>614</v>
      </c>
      <c r="N459" s="1">
        <v>2</v>
      </c>
      <c r="O459" s="3" t="s">
        <v>46</v>
      </c>
      <c r="P459" s="1">
        <v>69</v>
      </c>
      <c r="Q459" s="1">
        <v>3</v>
      </c>
      <c r="R459" s="1">
        <v>1</v>
      </c>
      <c r="S459" s="3" t="s">
        <v>57</v>
      </c>
      <c r="T459" s="1">
        <v>2</v>
      </c>
      <c r="U459" s="3" t="s">
        <v>41</v>
      </c>
      <c r="V459" s="4">
        <v>1878</v>
      </c>
      <c r="W459" s="1">
        <v>8059</v>
      </c>
      <c r="X459" s="1">
        <v>1</v>
      </c>
      <c r="Y459" s="3" t="s">
        <v>42</v>
      </c>
      <c r="Z459" s="3" t="s">
        <v>35</v>
      </c>
      <c r="AA459" s="5">
        <v>0.14000000000000001</v>
      </c>
      <c r="AB459" s="10" t="str" cm="1">
        <f t="array" ref="AB459">_xlfn.IFS(AA459 &lt;= 15%, "Low Hike[11-15%]", AA459 &lt;= 20%, "Moderate Hike[16-20%]", AA459 &lt;= 25%,"High Hike[21-25%]")</f>
        <v>Low Hike[11-15%]</v>
      </c>
      <c r="AC459" s="1">
        <v>3</v>
      </c>
      <c r="AD459" s="1">
        <v>4</v>
      </c>
      <c r="AE459" s="1">
        <v>80</v>
      </c>
      <c r="AF459" s="1">
        <v>0</v>
      </c>
      <c r="AG459" s="1">
        <v>0</v>
      </c>
      <c r="AH459" s="9" t="str" cm="1">
        <f t="array" ref="AH459">_xlfn.IFS(AG459 &lt;= 5, "New[1-5]", AG459 &lt;= 10, "Early Career[6-10]", AG459 &lt;= 20, "Established[11-20]", AG459 &lt;= 30, "Veteran[21-30]", AG459 &lt;= 40, "Late Career[31-40]")</f>
        <v>New[1-5]</v>
      </c>
      <c r="AI459" s="1">
        <v>3</v>
      </c>
      <c r="AJ459" s="1">
        <v>3</v>
      </c>
      <c r="AK459" s="1">
        <v>0</v>
      </c>
      <c r="AL459" s="9" t="str" cm="1">
        <f t="array" ref="AL459">_xlfn.IFS(AK459 &lt;= 5, "New[1-5]", AK459 &lt;= 10, "Early Career[6-10]", AK459 &lt;= 20, "Established[11-20]", AK459 &lt;= 30, "Veteran[21-30]", AK459 &lt;= 40, "Late Career[31-40]")</f>
        <v>New[1-5]</v>
      </c>
      <c r="AM459" s="1">
        <v>0</v>
      </c>
      <c r="AN459" s="9" t="str" cm="1">
        <f t="array" ref="AN459">_xlfn.IFS(AM459 &lt;= 3, "New to Role[1-3]", AM459 &lt;= 7, "Settled[4-7]", AM459 &lt;= 12, "Experienced[[8-12]", AM459 &lt;= 18, "Long Tenured[13-18]")</f>
        <v>New to Role[1-3]</v>
      </c>
      <c r="AO459" s="1">
        <v>0</v>
      </c>
      <c r="AP459" s="9" t="str" cm="1">
        <f t="array" ref="AP459">_xlfn.IFS(AO459 &lt;= 3, "Recently[1-3]", AO459 &lt;= 6, "Due Soon[4-6]", AO459 &lt;= 10, "Overdue[7-10]", AO459 &lt;= 15, "Long Overdue[11-15]")</f>
        <v>Recently[1-3]</v>
      </c>
      <c r="AQ459" s="9" t="str" cm="1">
        <f t="array" ref="AQ459">_xlfn.IFS(AR459 &lt;= 3, "New Relationship[1-3]", AR459 &lt;= 7, "Established Relationship[4-7]", AR459 &lt;= 12, "Long Term Relationship[8-12]", AR459 &lt;= 17, "Very Long Term Relationship[13-17]")</f>
        <v>New Relationship[1-3]</v>
      </c>
      <c r="AR459" s="1">
        <v>0</v>
      </c>
    </row>
    <row r="460" spans="1:44" x14ac:dyDescent="0.25">
      <c r="A460" s="1">
        <v>40</v>
      </c>
      <c r="B460" s="8" t="str" cm="1">
        <f t="array" ref="B460">_xlfn.IFS(A460 &lt;= 25, "[18-25]", A460 &lt;= 35, "[26-35]", A460 &lt;=45, "[36-45]", A460 &lt;= 60, "[46- 60]")</f>
        <v>[36-45]</v>
      </c>
      <c r="C460" s="3" t="s">
        <v>43</v>
      </c>
      <c r="D460">
        <f t="shared" si="7"/>
        <v>0</v>
      </c>
      <c r="E460" t="s">
        <v>62</v>
      </c>
      <c r="F460" s="1">
        <v>1094</v>
      </c>
      <c r="G460" s="3" t="s">
        <v>37</v>
      </c>
      <c r="H460" s="1">
        <v>28</v>
      </c>
      <c r="I460" s="9" t="str" cm="1">
        <f t="array" ref="I460">_xlfn.IFS(H460 &lt;= 2, "[1-2] very close", H460 &lt;= 10, "[3-10] close", H460 &lt;= 20, "[11-20] moderate", H460 &lt;= 30, "[21-30] far")</f>
        <v>[21-30] far</v>
      </c>
      <c r="J460" s="1">
        <v>3</v>
      </c>
      <c r="K460" s="3" t="s">
        <v>49</v>
      </c>
      <c r="L460" s="1">
        <v>1</v>
      </c>
      <c r="M460" s="1">
        <v>615</v>
      </c>
      <c r="N460" s="1">
        <v>3</v>
      </c>
      <c r="O460" s="3" t="s">
        <v>46</v>
      </c>
      <c r="P460" s="1">
        <v>58</v>
      </c>
      <c r="Q460" s="1">
        <v>1</v>
      </c>
      <c r="R460" s="1">
        <v>3</v>
      </c>
      <c r="S460" s="3" t="s">
        <v>40</v>
      </c>
      <c r="T460" s="1">
        <v>1</v>
      </c>
      <c r="U460" s="3" t="s">
        <v>52</v>
      </c>
      <c r="V460" s="4">
        <v>10932</v>
      </c>
      <c r="W460" s="1">
        <v>11373</v>
      </c>
      <c r="X460" s="1">
        <v>3</v>
      </c>
      <c r="Y460" s="3" t="s">
        <v>42</v>
      </c>
      <c r="Z460" s="3" t="s">
        <v>43</v>
      </c>
      <c r="AA460" s="5">
        <v>0.15</v>
      </c>
      <c r="AB460" s="10" t="str" cm="1">
        <f t="array" ref="AB460">_xlfn.IFS(AA460 &lt;= 15%, "Low Hike[11-15%]", AA460 &lt;= 20%, "Moderate Hike[16-20%]", AA460 &lt;= 25%,"High Hike[21-25%]")</f>
        <v>Low Hike[11-15%]</v>
      </c>
      <c r="AC460" s="1">
        <v>3</v>
      </c>
      <c r="AD460" s="1">
        <v>3</v>
      </c>
      <c r="AE460" s="1">
        <v>80</v>
      </c>
      <c r="AF460" s="1">
        <v>1</v>
      </c>
      <c r="AG460" s="1">
        <v>20</v>
      </c>
      <c r="AH460" s="9" t="str" cm="1">
        <f t="array" ref="AH460">_xlfn.IFS(AG460 &lt;= 5, "New[1-5]", AG460 &lt;= 10, "Early Career[6-10]", AG460 &lt;= 20, "Established[11-20]", AG460 &lt;= 30, "Veteran[21-30]", AG460 &lt;= 40, "Late Career[31-40]")</f>
        <v>Established[11-20]</v>
      </c>
      <c r="AI460" s="1">
        <v>2</v>
      </c>
      <c r="AJ460" s="1">
        <v>3</v>
      </c>
      <c r="AK460" s="1">
        <v>1</v>
      </c>
      <c r="AL460" s="9" t="str" cm="1">
        <f t="array" ref="AL460">_xlfn.IFS(AK460 &lt;= 5, "New[1-5]", AK460 &lt;= 10, "Early Career[6-10]", AK460 &lt;= 20, "Established[11-20]", AK460 &lt;= 30, "Veteran[21-30]", AK460 &lt;= 40, "Late Career[31-40]")</f>
        <v>New[1-5]</v>
      </c>
      <c r="AM460" s="1">
        <v>0</v>
      </c>
      <c r="AN460" s="9" t="str" cm="1">
        <f t="array" ref="AN460">_xlfn.IFS(AM460 &lt;= 3, "New to Role[1-3]", AM460 &lt;= 7, "Settled[4-7]", AM460 &lt;= 12, "Experienced[[8-12]", AM460 &lt;= 18, "Long Tenured[13-18]")</f>
        <v>New to Role[1-3]</v>
      </c>
      <c r="AO460" s="1">
        <v>0</v>
      </c>
      <c r="AP460" s="9" t="str" cm="1">
        <f t="array" ref="AP460">_xlfn.IFS(AO460 &lt;= 3, "Recently[1-3]", AO460 &lt;= 6, "Due Soon[4-6]", AO460 &lt;= 10, "Overdue[7-10]", AO460 &lt;= 15, "Long Overdue[11-15]")</f>
        <v>Recently[1-3]</v>
      </c>
      <c r="AQ460" s="9" t="str" cm="1">
        <f t="array" ref="AQ460">_xlfn.IFS(AR460 &lt;= 3, "New Relationship[1-3]", AR460 &lt;= 7, "Established Relationship[4-7]", AR460 &lt;= 12, "Long Term Relationship[8-12]", AR460 &lt;= 17, "Very Long Term Relationship[13-17]")</f>
        <v>New Relationship[1-3]</v>
      </c>
      <c r="AR460" s="1">
        <v>1</v>
      </c>
    </row>
    <row r="461" spans="1:44" x14ac:dyDescent="0.25">
      <c r="A461" s="1">
        <v>41</v>
      </c>
      <c r="B461" s="8" t="str" cm="1">
        <f t="array" ref="B461">_xlfn.IFS(A461 &lt;= 25, "[18-25]", A461 &lt;= 35, "[26-35]", A461 &lt;=45, "[36-45]", A461 &lt;= 60, "[46- 60]")</f>
        <v>[36-45]</v>
      </c>
      <c r="C461" s="3" t="s">
        <v>43</v>
      </c>
      <c r="D461">
        <f t="shared" si="7"/>
        <v>0</v>
      </c>
      <c r="E461" t="s">
        <v>62</v>
      </c>
      <c r="F461" s="1">
        <v>509</v>
      </c>
      <c r="G461" s="3" t="s">
        <v>45</v>
      </c>
      <c r="H461" s="1">
        <v>2</v>
      </c>
      <c r="I461" s="9" t="str" cm="1">
        <f t="array" ref="I461">_xlfn.IFS(H461 &lt;= 2, "[1-2] very close", H461 &lt;= 10, "[3-10] close", H461 &lt;= 20, "[11-20] moderate", H461 &lt;= 30, "[21-30] far")</f>
        <v>[1-2] very close</v>
      </c>
      <c r="J461" s="1">
        <v>4</v>
      </c>
      <c r="K461" s="3" t="s">
        <v>49</v>
      </c>
      <c r="L461" s="1">
        <v>1</v>
      </c>
      <c r="M461" s="1">
        <v>616</v>
      </c>
      <c r="N461" s="1">
        <v>1</v>
      </c>
      <c r="O461" s="3" t="s">
        <v>39</v>
      </c>
      <c r="P461" s="1">
        <v>62</v>
      </c>
      <c r="Q461" s="1">
        <v>2</v>
      </c>
      <c r="R461" s="1">
        <v>2</v>
      </c>
      <c r="S461" s="3" t="s">
        <v>54</v>
      </c>
      <c r="T461" s="1">
        <v>3</v>
      </c>
      <c r="U461" s="3" t="s">
        <v>41</v>
      </c>
      <c r="V461" s="4">
        <v>6811</v>
      </c>
      <c r="W461" s="1">
        <v>2112</v>
      </c>
      <c r="X461" s="1">
        <v>2</v>
      </c>
      <c r="Y461" s="3" t="s">
        <v>42</v>
      </c>
      <c r="Z461" s="3" t="s">
        <v>35</v>
      </c>
      <c r="AA461" s="5">
        <v>0.17</v>
      </c>
      <c r="AB461" s="10" t="str" cm="1">
        <f t="array" ref="AB461">_xlfn.IFS(AA461 &lt;= 15%, "Low Hike[11-15%]", AA461 &lt;= 20%, "Moderate Hike[16-20%]", AA461 &lt;= 25%,"High Hike[21-25%]")</f>
        <v>Moderate Hike[16-20%]</v>
      </c>
      <c r="AC461" s="1">
        <v>3</v>
      </c>
      <c r="AD461" s="1">
        <v>1</v>
      </c>
      <c r="AE461" s="1">
        <v>80</v>
      </c>
      <c r="AF461" s="1">
        <v>0</v>
      </c>
      <c r="AG461" s="1">
        <v>10</v>
      </c>
      <c r="AH461" s="9" t="str" cm="1">
        <f t="array" ref="AH461">_xlfn.IFS(AG461 &lt;= 5, "New[1-5]", AG461 &lt;= 10, "Early Career[6-10]", AG461 &lt;= 20, "Established[11-20]", AG461 &lt;= 30, "Veteran[21-30]", AG461 &lt;= 40, "Late Career[31-40]")</f>
        <v>Early Career[6-10]</v>
      </c>
      <c r="AI461" s="1">
        <v>3</v>
      </c>
      <c r="AJ461" s="1">
        <v>3</v>
      </c>
      <c r="AK461" s="1">
        <v>8</v>
      </c>
      <c r="AL461" s="9" t="str" cm="1">
        <f t="array" ref="AL461">_xlfn.IFS(AK461 &lt;= 5, "New[1-5]", AK461 &lt;= 10, "Early Career[6-10]", AK461 &lt;= 20, "Established[11-20]", AK461 &lt;= 30, "Veteran[21-30]", AK461 &lt;= 40, "Late Career[31-40]")</f>
        <v>Early Career[6-10]</v>
      </c>
      <c r="AM461" s="1">
        <v>7</v>
      </c>
      <c r="AN461" s="9" t="str" cm="1">
        <f t="array" ref="AN461">_xlfn.IFS(AM461 &lt;= 3, "New to Role[1-3]", AM461 &lt;= 7, "Settled[4-7]", AM461 &lt;= 12, "Experienced[[8-12]", AM461 &lt;= 18, "Long Tenured[13-18]")</f>
        <v>Settled[4-7]</v>
      </c>
      <c r="AO461" s="1">
        <v>0</v>
      </c>
      <c r="AP461" s="9" t="str" cm="1">
        <f t="array" ref="AP461">_xlfn.IFS(AO461 &lt;= 3, "Recently[1-3]", AO461 &lt;= 6, "Due Soon[4-6]", AO461 &lt;= 10, "Overdue[7-10]", AO461 &lt;= 15, "Long Overdue[11-15]")</f>
        <v>Recently[1-3]</v>
      </c>
      <c r="AQ461" s="9" t="str" cm="1">
        <f t="array" ref="AQ461">_xlfn.IFS(AR461 &lt;= 3, "New Relationship[1-3]", AR461 &lt;= 7, "Established Relationship[4-7]", AR461 &lt;= 12, "Long Term Relationship[8-12]", AR461 &lt;= 17, "Very Long Term Relationship[13-17]")</f>
        <v>Established Relationship[4-7]</v>
      </c>
      <c r="AR461" s="1">
        <v>7</v>
      </c>
    </row>
    <row r="462" spans="1:44" x14ac:dyDescent="0.25">
      <c r="A462" s="1">
        <v>26</v>
      </c>
      <c r="B462" s="8" t="str" cm="1">
        <f t="array" ref="B462">_xlfn.IFS(A462 &lt;= 25, "[18-25]", A462 &lt;= 35, "[26-35]", A462 &lt;=45, "[36-45]", A462 &lt;= 60, "[46- 60]")</f>
        <v>[26-35]</v>
      </c>
      <c r="C462" s="3" t="s">
        <v>43</v>
      </c>
      <c r="D462">
        <f t="shared" si="7"/>
        <v>0</v>
      </c>
      <c r="E462" t="s">
        <v>36</v>
      </c>
      <c r="F462" s="1">
        <v>775</v>
      </c>
      <c r="G462" s="3" t="s">
        <v>37</v>
      </c>
      <c r="H462" s="1">
        <v>29</v>
      </c>
      <c r="I462" s="9" t="str" cm="1">
        <f t="array" ref="I462">_xlfn.IFS(H462 &lt;= 2, "[1-2] very close", H462 &lt;= 10, "[3-10] close", H462 &lt;= 20, "[11-20] moderate", H462 &lt;= 30, "[21-30] far")</f>
        <v>[21-30] far</v>
      </c>
      <c r="J462" s="1">
        <v>2</v>
      </c>
      <c r="K462" s="3" t="s">
        <v>51</v>
      </c>
      <c r="L462" s="1">
        <v>1</v>
      </c>
      <c r="M462" s="1">
        <v>618</v>
      </c>
      <c r="N462" s="1">
        <v>1</v>
      </c>
      <c r="O462" s="3" t="s">
        <v>46</v>
      </c>
      <c r="P462" s="1">
        <v>45</v>
      </c>
      <c r="Q462" s="1">
        <v>3</v>
      </c>
      <c r="R462" s="1">
        <v>2</v>
      </c>
      <c r="S462" s="3" t="s">
        <v>40</v>
      </c>
      <c r="T462" s="1">
        <v>3</v>
      </c>
      <c r="U462" s="3" t="s">
        <v>52</v>
      </c>
      <c r="V462" s="4">
        <v>4306</v>
      </c>
      <c r="W462" s="1">
        <v>4267</v>
      </c>
      <c r="X462" s="1">
        <v>5</v>
      </c>
      <c r="Y462" s="3" t="s">
        <v>42</v>
      </c>
      <c r="Z462" s="3" t="s">
        <v>43</v>
      </c>
      <c r="AA462" s="5">
        <v>0.12</v>
      </c>
      <c r="AB462" s="10" t="str" cm="1">
        <f t="array" ref="AB462">_xlfn.IFS(AA462 &lt;= 15%, "Low Hike[11-15%]", AA462 &lt;= 20%, "Moderate Hike[16-20%]", AA462 &lt;= 25%,"High Hike[21-25%]")</f>
        <v>Low Hike[11-15%]</v>
      </c>
      <c r="AC462" s="1">
        <v>3</v>
      </c>
      <c r="AD462" s="1">
        <v>1</v>
      </c>
      <c r="AE462" s="1">
        <v>80</v>
      </c>
      <c r="AF462" s="1">
        <v>2</v>
      </c>
      <c r="AG462" s="1">
        <v>8</v>
      </c>
      <c r="AH462" s="9" t="str" cm="1">
        <f t="array" ref="AH462">_xlfn.IFS(AG462 &lt;= 5, "New[1-5]", AG462 &lt;= 10, "Early Career[6-10]", AG462 &lt;= 20, "Established[11-20]", AG462 &lt;= 30, "Veteran[21-30]", AG462 &lt;= 40, "Late Career[31-40]")</f>
        <v>Early Career[6-10]</v>
      </c>
      <c r="AI462" s="1">
        <v>5</v>
      </c>
      <c r="AJ462" s="1">
        <v>3</v>
      </c>
      <c r="AK462" s="1">
        <v>0</v>
      </c>
      <c r="AL462" s="9" t="str" cm="1">
        <f t="array" ref="AL462">_xlfn.IFS(AK462 &lt;= 5, "New[1-5]", AK462 &lt;= 10, "Early Career[6-10]", AK462 &lt;= 20, "Established[11-20]", AK462 &lt;= 30, "Veteran[21-30]", AK462 &lt;= 40, "Late Career[31-40]")</f>
        <v>New[1-5]</v>
      </c>
      <c r="AM462" s="1">
        <v>0</v>
      </c>
      <c r="AN462" s="9" t="str" cm="1">
        <f t="array" ref="AN462">_xlfn.IFS(AM462 &lt;= 3, "New to Role[1-3]", AM462 &lt;= 7, "Settled[4-7]", AM462 &lt;= 12, "Experienced[[8-12]", AM462 &lt;= 18, "Long Tenured[13-18]")</f>
        <v>New to Role[1-3]</v>
      </c>
      <c r="AO462" s="1">
        <v>0</v>
      </c>
      <c r="AP462" s="9" t="str" cm="1">
        <f t="array" ref="AP462">_xlfn.IFS(AO462 &lt;= 3, "Recently[1-3]", AO462 &lt;= 6, "Due Soon[4-6]", AO462 &lt;= 10, "Overdue[7-10]", AO462 &lt;= 15, "Long Overdue[11-15]")</f>
        <v>Recently[1-3]</v>
      </c>
      <c r="AQ462" s="9" t="str" cm="1">
        <f t="array" ref="AQ462">_xlfn.IFS(AR462 &lt;= 3, "New Relationship[1-3]", AR462 &lt;= 7, "Established Relationship[4-7]", AR462 &lt;= 12, "Long Term Relationship[8-12]", AR462 &lt;= 17, "Very Long Term Relationship[13-17]")</f>
        <v>New Relationship[1-3]</v>
      </c>
      <c r="AR462" s="1">
        <v>0</v>
      </c>
    </row>
    <row r="463" spans="1:44" x14ac:dyDescent="0.25">
      <c r="A463" s="1">
        <v>35</v>
      </c>
      <c r="B463" s="8" t="str" cm="1">
        <f t="array" ref="B463">_xlfn.IFS(A463 &lt;= 25, "[18-25]", A463 &lt;= 35, "[26-35]", A463 &lt;=45, "[36-45]", A463 &lt;= 60, "[46- 60]")</f>
        <v>[26-35]</v>
      </c>
      <c r="C463" s="3" t="s">
        <v>43</v>
      </c>
      <c r="D463">
        <f t="shared" si="7"/>
        <v>0</v>
      </c>
      <c r="E463" t="s">
        <v>36</v>
      </c>
      <c r="F463" s="1">
        <v>195</v>
      </c>
      <c r="G463" s="3" t="s">
        <v>37</v>
      </c>
      <c r="H463" s="1">
        <v>1</v>
      </c>
      <c r="I463" s="9" t="str" cm="1">
        <f t="array" ref="I463">_xlfn.IFS(H463 &lt;= 2, "[1-2] very close", H463 &lt;= 10, "[3-10] close", H463 &lt;= 20, "[11-20] moderate", H463 &lt;= 30, "[21-30] far")</f>
        <v>[1-2] very close</v>
      </c>
      <c r="J463" s="1">
        <v>3</v>
      </c>
      <c r="K463" s="3" t="s">
        <v>51</v>
      </c>
      <c r="L463" s="1">
        <v>1</v>
      </c>
      <c r="M463" s="1">
        <v>620</v>
      </c>
      <c r="N463" s="1">
        <v>1</v>
      </c>
      <c r="O463" s="3" t="s">
        <v>39</v>
      </c>
      <c r="P463" s="1">
        <v>80</v>
      </c>
      <c r="Q463" s="1">
        <v>3</v>
      </c>
      <c r="R463" s="1">
        <v>2</v>
      </c>
      <c r="S463" s="3" t="s">
        <v>40</v>
      </c>
      <c r="T463" s="1">
        <v>3</v>
      </c>
      <c r="U463" s="3" t="s">
        <v>41</v>
      </c>
      <c r="V463" s="4">
        <v>4859</v>
      </c>
      <c r="W463" s="1">
        <v>6698</v>
      </c>
      <c r="X463" s="1">
        <v>1</v>
      </c>
      <c r="Y463" s="3" t="s">
        <v>42</v>
      </c>
      <c r="Z463" s="3" t="s">
        <v>43</v>
      </c>
      <c r="AA463" s="5">
        <v>0.16</v>
      </c>
      <c r="AB463" s="10" t="str" cm="1">
        <f t="array" ref="AB463">_xlfn.IFS(AA463 &lt;= 15%, "Low Hike[11-15%]", AA463 &lt;= 20%, "Moderate Hike[16-20%]", AA463 &lt;= 25%,"High Hike[21-25%]")</f>
        <v>Moderate Hike[16-20%]</v>
      </c>
      <c r="AC463" s="1">
        <v>3</v>
      </c>
      <c r="AD463" s="1">
        <v>4</v>
      </c>
      <c r="AE463" s="1">
        <v>80</v>
      </c>
      <c r="AF463" s="1">
        <v>0</v>
      </c>
      <c r="AG463" s="1">
        <v>5</v>
      </c>
      <c r="AH463" s="9" t="str" cm="1">
        <f t="array" ref="AH463">_xlfn.IFS(AG463 &lt;= 5, "New[1-5]", AG463 &lt;= 10, "Early Career[6-10]", AG463 &lt;= 20, "Established[11-20]", AG463 &lt;= 30, "Veteran[21-30]", AG463 &lt;= 40, "Late Career[31-40]")</f>
        <v>New[1-5]</v>
      </c>
      <c r="AI463" s="1">
        <v>3</v>
      </c>
      <c r="AJ463" s="1">
        <v>3</v>
      </c>
      <c r="AK463" s="1">
        <v>5</v>
      </c>
      <c r="AL463" s="9" t="str" cm="1">
        <f t="array" ref="AL463">_xlfn.IFS(AK463 &lt;= 5, "New[1-5]", AK463 &lt;= 10, "Early Career[6-10]", AK463 &lt;= 20, "Established[11-20]", AK463 &lt;= 30, "Veteran[21-30]", AK463 &lt;= 40, "Late Career[31-40]")</f>
        <v>New[1-5]</v>
      </c>
      <c r="AM463" s="1">
        <v>4</v>
      </c>
      <c r="AN463" s="9" t="str" cm="1">
        <f t="array" ref="AN463">_xlfn.IFS(AM463 &lt;= 3, "New to Role[1-3]", AM463 &lt;= 7, "Settled[4-7]", AM463 &lt;= 12, "Experienced[[8-12]", AM463 &lt;= 18, "Long Tenured[13-18]")</f>
        <v>Settled[4-7]</v>
      </c>
      <c r="AO463" s="1">
        <v>0</v>
      </c>
      <c r="AP463" s="9" t="str" cm="1">
        <f t="array" ref="AP463">_xlfn.IFS(AO463 &lt;= 3, "Recently[1-3]", AO463 &lt;= 6, "Due Soon[4-6]", AO463 &lt;= 10, "Overdue[7-10]", AO463 &lt;= 15, "Long Overdue[11-15]")</f>
        <v>Recently[1-3]</v>
      </c>
      <c r="AQ463" s="9" t="str" cm="1">
        <f t="array" ref="AQ463">_xlfn.IFS(AR463 &lt;= 3, "New Relationship[1-3]", AR463 &lt;= 7, "Established Relationship[4-7]", AR463 &lt;= 12, "Long Term Relationship[8-12]", AR463 &lt;= 17, "Very Long Term Relationship[13-17]")</f>
        <v>New Relationship[1-3]</v>
      </c>
      <c r="AR463" s="1">
        <v>3</v>
      </c>
    </row>
    <row r="464" spans="1:44" x14ac:dyDescent="0.25">
      <c r="A464" s="1">
        <v>34</v>
      </c>
      <c r="B464" s="8" t="str" cm="1">
        <f t="array" ref="B464">_xlfn.IFS(A464 &lt;= 25, "[18-25]", A464 &lt;= 35, "[26-35]", A464 &lt;=45, "[36-45]", A464 &lt;= 60, "[46- 60]")</f>
        <v>[26-35]</v>
      </c>
      <c r="C464" s="3" t="s">
        <v>43</v>
      </c>
      <c r="D464">
        <f t="shared" si="7"/>
        <v>0</v>
      </c>
      <c r="E464" t="s">
        <v>36</v>
      </c>
      <c r="F464" s="1">
        <v>258</v>
      </c>
      <c r="G464" s="3" t="s">
        <v>37</v>
      </c>
      <c r="H464" s="1">
        <v>21</v>
      </c>
      <c r="I464" s="9" t="str" cm="1">
        <f t="array" ref="I464">_xlfn.IFS(H464 &lt;= 2, "[1-2] very close", H464 &lt;= 10, "[3-10] close", H464 &lt;= 20, "[11-20] moderate", H464 &lt;= 30, "[21-30] far")</f>
        <v>[21-30] far</v>
      </c>
      <c r="J464" s="1">
        <v>4</v>
      </c>
      <c r="K464" s="3" t="s">
        <v>38</v>
      </c>
      <c r="L464" s="1">
        <v>1</v>
      </c>
      <c r="M464" s="1">
        <v>621</v>
      </c>
      <c r="N464" s="1">
        <v>4</v>
      </c>
      <c r="O464" s="3" t="s">
        <v>46</v>
      </c>
      <c r="P464" s="1">
        <v>74</v>
      </c>
      <c r="Q464" s="1">
        <v>4</v>
      </c>
      <c r="R464" s="1">
        <v>2</v>
      </c>
      <c r="S464" s="3" t="s">
        <v>40</v>
      </c>
      <c r="T464" s="1">
        <v>4</v>
      </c>
      <c r="U464" s="3" t="s">
        <v>41</v>
      </c>
      <c r="V464" s="4">
        <v>5337</v>
      </c>
      <c r="W464" s="1">
        <v>19921</v>
      </c>
      <c r="X464" s="1">
        <v>1</v>
      </c>
      <c r="Y464" s="3" t="s">
        <v>42</v>
      </c>
      <c r="Z464" s="3" t="s">
        <v>43</v>
      </c>
      <c r="AA464" s="5">
        <v>0.12</v>
      </c>
      <c r="AB464" s="10" t="str" cm="1">
        <f t="array" ref="AB464">_xlfn.IFS(AA464 &lt;= 15%, "Low Hike[11-15%]", AA464 &lt;= 20%, "Moderate Hike[16-20%]", AA464 &lt;= 25%,"High Hike[21-25%]")</f>
        <v>Low Hike[11-15%]</v>
      </c>
      <c r="AC464" s="1">
        <v>3</v>
      </c>
      <c r="AD464" s="1">
        <v>4</v>
      </c>
      <c r="AE464" s="1">
        <v>80</v>
      </c>
      <c r="AF464" s="1">
        <v>0</v>
      </c>
      <c r="AG464" s="1">
        <v>10</v>
      </c>
      <c r="AH464" s="9" t="str" cm="1">
        <f t="array" ref="AH464">_xlfn.IFS(AG464 &lt;= 5, "New[1-5]", AG464 &lt;= 10, "Early Career[6-10]", AG464 &lt;= 20, "Established[11-20]", AG464 &lt;= 30, "Veteran[21-30]", AG464 &lt;= 40, "Late Career[31-40]")</f>
        <v>Early Career[6-10]</v>
      </c>
      <c r="AI464" s="1">
        <v>3</v>
      </c>
      <c r="AJ464" s="1">
        <v>3</v>
      </c>
      <c r="AK464" s="1">
        <v>10</v>
      </c>
      <c r="AL464" s="9" t="str" cm="1">
        <f t="array" ref="AL464">_xlfn.IFS(AK464 &lt;= 5, "New[1-5]", AK464 &lt;= 10, "Early Career[6-10]", AK464 &lt;= 20, "Established[11-20]", AK464 &lt;= 30, "Veteran[21-30]", AK464 &lt;= 40, "Late Career[31-40]")</f>
        <v>Early Career[6-10]</v>
      </c>
      <c r="AM464" s="1">
        <v>7</v>
      </c>
      <c r="AN464" s="9" t="str" cm="1">
        <f t="array" ref="AN464">_xlfn.IFS(AM464 &lt;= 3, "New to Role[1-3]", AM464 &lt;= 7, "Settled[4-7]", AM464 &lt;= 12, "Experienced[[8-12]", AM464 &lt;= 18, "Long Tenured[13-18]")</f>
        <v>Settled[4-7]</v>
      </c>
      <c r="AO464" s="1">
        <v>5</v>
      </c>
      <c r="AP464" s="9" t="str" cm="1">
        <f t="array" ref="AP464">_xlfn.IFS(AO464 &lt;= 3, "Recently[1-3]", AO464 &lt;= 6, "Due Soon[4-6]", AO464 &lt;= 10, "Overdue[7-10]", AO464 &lt;= 15, "Long Overdue[11-15]")</f>
        <v>Due Soon[4-6]</v>
      </c>
      <c r="AQ464" s="9" t="str" cm="1">
        <f t="array" ref="AQ464">_xlfn.IFS(AR464 &lt;= 3, "New Relationship[1-3]", AR464 &lt;= 7, "Established Relationship[4-7]", AR464 &lt;= 12, "Long Term Relationship[8-12]", AR464 &lt;= 17, "Very Long Term Relationship[13-17]")</f>
        <v>Established Relationship[4-7]</v>
      </c>
      <c r="AR464" s="1">
        <v>7</v>
      </c>
    </row>
    <row r="465" spans="1:44" x14ac:dyDescent="0.25">
      <c r="A465" s="1">
        <v>26</v>
      </c>
      <c r="B465" s="8" t="str" cm="1">
        <f t="array" ref="B465">_xlfn.IFS(A465 &lt;= 25, "[18-25]", A465 &lt;= 35, "[26-35]", A465 &lt;=45, "[36-45]", A465 &lt;= 60, "[46- 60]")</f>
        <v>[26-35]</v>
      </c>
      <c r="C465" s="3" t="s">
        <v>35</v>
      </c>
      <c r="D465">
        <f t="shared" si="7"/>
        <v>1</v>
      </c>
      <c r="E465" t="s">
        <v>36</v>
      </c>
      <c r="F465" s="1">
        <v>471</v>
      </c>
      <c r="G465" s="3" t="s">
        <v>45</v>
      </c>
      <c r="H465" s="1">
        <v>24</v>
      </c>
      <c r="I465" s="9" t="str" cm="1">
        <f t="array" ref="I465">_xlfn.IFS(H465 &lt;= 2, "[1-2] very close", H465 &lt;= 10, "[3-10] close", H465 &lt;= 20, "[11-20] moderate", H465 &lt;= 30, "[21-30] far")</f>
        <v>[21-30] far</v>
      </c>
      <c r="J465" s="1">
        <v>3</v>
      </c>
      <c r="K465" s="3" t="s">
        <v>60</v>
      </c>
      <c r="L465" s="1">
        <v>1</v>
      </c>
      <c r="M465" s="1">
        <v>622</v>
      </c>
      <c r="N465" s="1">
        <v>3</v>
      </c>
      <c r="O465" s="3" t="s">
        <v>46</v>
      </c>
      <c r="P465" s="1">
        <v>66</v>
      </c>
      <c r="Q465" s="1">
        <v>1</v>
      </c>
      <c r="R465" s="1">
        <v>1</v>
      </c>
      <c r="S465" s="3" t="s">
        <v>50</v>
      </c>
      <c r="T465" s="1">
        <v>4</v>
      </c>
      <c r="U465" s="3" t="s">
        <v>41</v>
      </c>
      <c r="V465" s="4">
        <v>2340</v>
      </c>
      <c r="W465" s="1">
        <v>23213</v>
      </c>
      <c r="X465" s="1">
        <v>1</v>
      </c>
      <c r="Y465" s="3" t="s">
        <v>42</v>
      </c>
      <c r="Z465" s="3" t="s">
        <v>35</v>
      </c>
      <c r="AA465" s="5">
        <v>0.18</v>
      </c>
      <c r="AB465" s="10" t="str" cm="1">
        <f t="array" ref="AB465">_xlfn.IFS(AA465 &lt;= 15%, "Low Hike[11-15%]", AA465 &lt;= 20%, "Moderate Hike[16-20%]", AA465 &lt;= 25%,"High Hike[21-25%]")</f>
        <v>Moderate Hike[16-20%]</v>
      </c>
      <c r="AC465" s="1">
        <v>3</v>
      </c>
      <c r="AD465" s="1">
        <v>2</v>
      </c>
      <c r="AE465" s="1">
        <v>80</v>
      </c>
      <c r="AF465" s="1">
        <v>0</v>
      </c>
      <c r="AG465" s="1">
        <v>1</v>
      </c>
      <c r="AH465" s="9" t="str" cm="1">
        <f t="array" ref="AH465">_xlfn.IFS(AG465 &lt;= 5, "New[1-5]", AG465 &lt;= 10, "Early Career[6-10]", AG465 &lt;= 20, "Established[11-20]", AG465 &lt;= 30, "Veteran[21-30]", AG465 &lt;= 40, "Late Career[31-40]")</f>
        <v>New[1-5]</v>
      </c>
      <c r="AI465" s="1">
        <v>3</v>
      </c>
      <c r="AJ465" s="1">
        <v>1</v>
      </c>
      <c r="AK465" s="1">
        <v>1</v>
      </c>
      <c r="AL465" s="9" t="str" cm="1">
        <f t="array" ref="AL465">_xlfn.IFS(AK465 &lt;= 5, "New[1-5]", AK465 &lt;= 10, "Early Career[6-10]", AK465 &lt;= 20, "Established[11-20]", AK465 &lt;= 30, "Veteran[21-30]", AK465 &lt;= 40, "Late Career[31-40]")</f>
        <v>New[1-5]</v>
      </c>
      <c r="AM465" s="1">
        <v>0</v>
      </c>
      <c r="AN465" s="9" t="str" cm="1">
        <f t="array" ref="AN465">_xlfn.IFS(AM465 &lt;= 3, "New to Role[1-3]", AM465 &lt;= 7, "Settled[4-7]", AM465 &lt;= 12, "Experienced[[8-12]", AM465 &lt;= 18, "Long Tenured[13-18]")</f>
        <v>New to Role[1-3]</v>
      </c>
      <c r="AO465" s="1">
        <v>0</v>
      </c>
      <c r="AP465" s="9" t="str" cm="1">
        <f t="array" ref="AP465">_xlfn.IFS(AO465 &lt;= 3, "Recently[1-3]", AO465 &lt;= 6, "Due Soon[4-6]", AO465 &lt;= 10, "Overdue[7-10]", AO465 &lt;= 15, "Long Overdue[11-15]")</f>
        <v>Recently[1-3]</v>
      </c>
      <c r="AQ465" s="9" t="str" cm="1">
        <f t="array" ref="AQ465">_xlfn.IFS(AR465 &lt;= 3, "New Relationship[1-3]", AR465 &lt;= 7, "Established Relationship[4-7]", AR465 &lt;= 12, "Long Term Relationship[8-12]", AR465 &lt;= 17, "Very Long Term Relationship[13-17]")</f>
        <v>New Relationship[1-3]</v>
      </c>
      <c r="AR465" s="1">
        <v>0</v>
      </c>
    </row>
    <row r="466" spans="1:44" x14ac:dyDescent="0.25">
      <c r="A466" s="1">
        <v>37</v>
      </c>
      <c r="B466" s="8" t="str" cm="1">
        <f t="array" ref="B466">_xlfn.IFS(A466 &lt;= 25, "[18-25]", A466 &lt;= 35, "[26-35]", A466 &lt;=45, "[36-45]", A466 &lt;= 60, "[46- 60]")</f>
        <v>[36-45]</v>
      </c>
      <c r="C466" s="3" t="s">
        <v>43</v>
      </c>
      <c r="D466">
        <f t="shared" si="7"/>
        <v>0</v>
      </c>
      <c r="E466" t="s">
        <v>36</v>
      </c>
      <c r="F466" s="1">
        <v>799</v>
      </c>
      <c r="G466" s="3" t="s">
        <v>45</v>
      </c>
      <c r="H466" s="1">
        <v>1</v>
      </c>
      <c r="I466" s="9" t="str" cm="1">
        <f t="array" ref="I466">_xlfn.IFS(H466 &lt;= 2, "[1-2] very close", H466 &lt;= 10, "[3-10] close", H466 &lt;= 20, "[11-20] moderate", H466 &lt;= 30, "[21-30] far")</f>
        <v>[1-2] very close</v>
      </c>
      <c r="J466" s="1">
        <v>3</v>
      </c>
      <c r="K466" s="3" t="s">
        <v>60</v>
      </c>
      <c r="L466" s="1">
        <v>1</v>
      </c>
      <c r="M466" s="1">
        <v>623</v>
      </c>
      <c r="N466" s="1">
        <v>2</v>
      </c>
      <c r="O466" s="3" t="s">
        <v>39</v>
      </c>
      <c r="P466" s="1">
        <v>59</v>
      </c>
      <c r="Q466" s="1">
        <v>3</v>
      </c>
      <c r="R466" s="1">
        <v>3</v>
      </c>
      <c r="S466" s="3" t="s">
        <v>53</v>
      </c>
      <c r="T466" s="1">
        <v>4</v>
      </c>
      <c r="U466" s="3" t="s">
        <v>41</v>
      </c>
      <c r="V466" s="4">
        <v>7491</v>
      </c>
      <c r="W466" s="1">
        <v>23848</v>
      </c>
      <c r="X466" s="1">
        <v>4</v>
      </c>
      <c r="Y466" s="3" t="s">
        <v>42</v>
      </c>
      <c r="Z466" s="3" t="s">
        <v>43</v>
      </c>
      <c r="AA466" s="5">
        <v>0.17</v>
      </c>
      <c r="AB466" s="10" t="str" cm="1">
        <f t="array" ref="AB466">_xlfn.IFS(AA466 &lt;= 15%, "Low Hike[11-15%]", AA466 &lt;= 20%, "Moderate Hike[16-20%]", AA466 &lt;= 25%,"High Hike[21-25%]")</f>
        <v>Moderate Hike[16-20%]</v>
      </c>
      <c r="AC466" s="1">
        <v>3</v>
      </c>
      <c r="AD466" s="1">
        <v>4</v>
      </c>
      <c r="AE466" s="1">
        <v>80</v>
      </c>
      <c r="AF466" s="1">
        <v>0</v>
      </c>
      <c r="AG466" s="1">
        <v>12</v>
      </c>
      <c r="AH466" s="9" t="str" cm="1">
        <f t="array" ref="AH466">_xlfn.IFS(AG466 &lt;= 5, "New[1-5]", AG466 &lt;= 10, "Early Career[6-10]", AG466 &lt;= 20, "Established[11-20]", AG466 &lt;= 30, "Veteran[21-30]", AG466 &lt;= 40, "Late Career[31-40]")</f>
        <v>Established[11-20]</v>
      </c>
      <c r="AI466" s="1">
        <v>3</v>
      </c>
      <c r="AJ466" s="1">
        <v>4</v>
      </c>
      <c r="AK466" s="1">
        <v>6</v>
      </c>
      <c r="AL466" s="9" t="str" cm="1">
        <f t="array" ref="AL466">_xlfn.IFS(AK466 &lt;= 5, "New[1-5]", AK466 &lt;= 10, "Early Career[6-10]", AK466 &lt;= 20, "Established[11-20]", AK466 &lt;= 30, "Veteran[21-30]", AK466 &lt;= 40, "Late Career[31-40]")</f>
        <v>Early Career[6-10]</v>
      </c>
      <c r="AM466" s="1">
        <v>5</v>
      </c>
      <c r="AN466" s="9" t="str" cm="1">
        <f t="array" ref="AN466">_xlfn.IFS(AM466 &lt;= 3, "New to Role[1-3]", AM466 &lt;= 7, "Settled[4-7]", AM466 &lt;= 12, "Experienced[[8-12]", AM466 &lt;= 18, "Long Tenured[13-18]")</f>
        <v>Settled[4-7]</v>
      </c>
      <c r="AO466" s="1">
        <v>1</v>
      </c>
      <c r="AP466" s="9" t="str" cm="1">
        <f t="array" ref="AP466">_xlfn.IFS(AO466 &lt;= 3, "Recently[1-3]", AO466 &lt;= 6, "Due Soon[4-6]", AO466 &lt;= 10, "Overdue[7-10]", AO466 &lt;= 15, "Long Overdue[11-15]")</f>
        <v>Recently[1-3]</v>
      </c>
      <c r="AQ466" s="9" t="str" cm="1">
        <f t="array" ref="AQ466">_xlfn.IFS(AR466 &lt;= 3, "New Relationship[1-3]", AR466 &lt;= 7, "Established Relationship[4-7]", AR466 &lt;= 12, "Long Term Relationship[8-12]", AR466 &lt;= 17, "Very Long Term Relationship[13-17]")</f>
        <v>New Relationship[1-3]</v>
      </c>
      <c r="AR466" s="1">
        <v>2</v>
      </c>
    </row>
    <row r="467" spans="1:44" x14ac:dyDescent="0.25">
      <c r="A467" s="1">
        <v>46</v>
      </c>
      <c r="B467" s="8" t="str" cm="1">
        <f t="array" ref="B467">_xlfn.IFS(A467 &lt;= 25, "[18-25]", A467 &lt;= 35, "[26-35]", A467 &lt;=45, "[36-45]", A467 &lt;= 60, "[46- 60]")</f>
        <v>[46- 60]</v>
      </c>
      <c r="C467" s="3" t="s">
        <v>43</v>
      </c>
      <c r="D467">
        <f t="shared" si="7"/>
        <v>0</v>
      </c>
      <c r="E467" t="s">
        <v>44</v>
      </c>
      <c r="F467" s="1">
        <v>1034</v>
      </c>
      <c r="G467" s="3" t="s">
        <v>45</v>
      </c>
      <c r="H467" s="1">
        <v>18</v>
      </c>
      <c r="I467" s="9" t="str" cm="1">
        <f t="array" ref="I467">_xlfn.IFS(H467 &lt;= 2, "[1-2] very close", H467 &lt;= 10, "[3-10] close", H467 &lt;= 20, "[11-20] moderate", H467 &lt;= 30, "[21-30] far")</f>
        <v>[11-20] moderate</v>
      </c>
      <c r="J467" s="1">
        <v>1</v>
      </c>
      <c r="K467" s="3" t="s">
        <v>51</v>
      </c>
      <c r="L467" s="1">
        <v>1</v>
      </c>
      <c r="M467" s="1">
        <v>624</v>
      </c>
      <c r="N467" s="1">
        <v>1</v>
      </c>
      <c r="O467" s="3" t="s">
        <v>39</v>
      </c>
      <c r="P467" s="1">
        <v>86</v>
      </c>
      <c r="Q467" s="1">
        <v>3</v>
      </c>
      <c r="R467" s="1">
        <v>3</v>
      </c>
      <c r="S467" s="3" t="s">
        <v>54</v>
      </c>
      <c r="T467" s="1">
        <v>3</v>
      </c>
      <c r="U467" s="3" t="s">
        <v>48</v>
      </c>
      <c r="V467" s="4">
        <v>10527</v>
      </c>
      <c r="W467" s="1">
        <v>8984</v>
      </c>
      <c r="X467" s="1">
        <v>5</v>
      </c>
      <c r="Y467" s="3" t="s">
        <v>42</v>
      </c>
      <c r="Z467" s="3" t="s">
        <v>43</v>
      </c>
      <c r="AA467" s="5">
        <v>0.11</v>
      </c>
      <c r="AB467" s="10" t="str" cm="1">
        <f t="array" ref="AB467">_xlfn.IFS(AA467 &lt;= 15%, "Low Hike[11-15%]", AA467 &lt;= 20%, "Moderate Hike[16-20%]", AA467 &lt;= 25%,"High Hike[21-25%]")</f>
        <v>Low Hike[11-15%]</v>
      </c>
      <c r="AC467" s="1">
        <v>3</v>
      </c>
      <c r="AD467" s="1">
        <v>4</v>
      </c>
      <c r="AE467" s="1">
        <v>80</v>
      </c>
      <c r="AF467" s="1">
        <v>0</v>
      </c>
      <c r="AG467" s="1">
        <v>28</v>
      </c>
      <c r="AH467" s="9" t="str" cm="1">
        <f t="array" ref="AH467">_xlfn.IFS(AG467 &lt;= 5, "New[1-5]", AG467 &lt;= 10, "Early Career[6-10]", AG467 &lt;= 20, "Established[11-20]", AG467 &lt;= 30, "Veteran[21-30]", AG467 &lt;= 40, "Late Career[31-40]")</f>
        <v>Veteran[21-30]</v>
      </c>
      <c r="AI467" s="1">
        <v>3</v>
      </c>
      <c r="AJ467" s="1">
        <v>2</v>
      </c>
      <c r="AK467" s="1">
        <v>2</v>
      </c>
      <c r="AL467" s="9" t="str" cm="1">
        <f t="array" ref="AL467">_xlfn.IFS(AK467 &lt;= 5, "New[1-5]", AK467 &lt;= 10, "Early Career[6-10]", AK467 &lt;= 20, "Established[11-20]", AK467 &lt;= 30, "Veteran[21-30]", AK467 &lt;= 40, "Late Career[31-40]")</f>
        <v>New[1-5]</v>
      </c>
      <c r="AM467" s="1">
        <v>2</v>
      </c>
      <c r="AN467" s="9" t="str" cm="1">
        <f t="array" ref="AN467">_xlfn.IFS(AM467 &lt;= 3, "New to Role[1-3]", AM467 &lt;= 7, "Settled[4-7]", AM467 &lt;= 12, "Experienced[[8-12]", AM467 &lt;= 18, "Long Tenured[13-18]")</f>
        <v>New to Role[1-3]</v>
      </c>
      <c r="AO467" s="1">
        <v>1</v>
      </c>
      <c r="AP467" s="9" t="str" cm="1">
        <f t="array" ref="AP467">_xlfn.IFS(AO467 &lt;= 3, "Recently[1-3]", AO467 &lt;= 6, "Due Soon[4-6]", AO467 &lt;= 10, "Overdue[7-10]", AO467 &lt;= 15, "Long Overdue[11-15]")</f>
        <v>Recently[1-3]</v>
      </c>
      <c r="AQ467" s="9" t="str" cm="1">
        <f t="array" ref="AQ467">_xlfn.IFS(AR467 &lt;= 3, "New Relationship[1-3]", AR467 &lt;= 7, "Established Relationship[4-7]", AR467 &lt;= 12, "Long Term Relationship[8-12]", AR467 &lt;= 17, "Very Long Term Relationship[13-17]")</f>
        <v>New Relationship[1-3]</v>
      </c>
      <c r="AR467" s="1">
        <v>2</v>
      </c>
    </row>
    <row r="468" spans="1:44" x14ac:dyDescent="0.25">
      <c r="A468" s="1">
        <v>41</v>
      </c>
      <c r="B468" s="8" t="str" cm="1">
        <f t="array" ref="B468">_xlfn.IFS(A468 &lt;= 25, "[18-25]", A468 &lt;= 35, "[26-35]", A468 &lt;=45, "[36-45]", A468 &lt;= 60, "[46- 60]")</f>
        <v>[36-45]</v>
      </c>
      <c r="C468" s="3" t="s">
        <v>43</v>
      </c>
      <c r="D468">
        <f t="shared" si="7"/>
        <v>0</v>
      </c>
      <c r="E468" t="s">
        <v>36</v>
      </c>
      <c r="F468" s="1">
        <v>1276</v>
      </c>
      <c r="G468" s="3" t="s">
        <v>37</v>
      </c>
      <c r="H468" s="1">
        <v>2</v>
      </c>
      <c r="I468" s="9" t="str" cm="1">
        <f t="array" ref="I468">_xlfn.IFS(H468 &lt;= 2, "[1-2] very close", H468 &lt;= 10, "[3-10] close", H468 &lt;= 20, "[11-20] moderate", H468 &lt;= 30, "[21-30] far")</f>
        <v>[1-2] very close</v>
      </c>
      <c r="J468" s="1">
        <v>5</v>
      </c>
      <c r="K468" s="3" t="s">
        <v>38</v>
      </c>
      <c r="L468" s="1">
        <v>1</v>
      </c>
      <c r="M468" s="1">
        <v>625</v>
      </c>
      <c r="N468" s="1">
        <v>2</v>
      </c>
      <c r="O468" s="3" t="s">
        <v>39</v>
      </c>
      <c r="P468" s="1">
        <v>91</v>
      </c>
      <c r="Q468" s="1">
        <v>3</v>
      </c>
      <c r="R468" s="1">
        <v>4</v>
      </c>
      <c r="S468" s="3" t="s">
        <v>56</v>
      </c>
      <c r="T468" s="1">
        <v>1</v>
      </c>
      <c r="U468" s="3" t="s">
        <v>48</v>
      </c>
      <c r="V468" s="4">
        <v>16595</v>
      </c>
      <c r="W468" s="1">
        <v>5626</v>
      </c>
      <c r="X468" s="1">
        <v>7</v>
      </c>
      <c r="Y468" s="3" t="s">
        <v>42</v>
      </c>
      <c r="Z468" s="3" t="s">
        <v>43</v>
      </c>
      <c r="AA468" s="5">
        <v>0.16</v>
      </c>
      <c r="AB468" s="10" t="str" cm="1">
        <f t="array" ref="AB468">_xlfn.IFS(AA468 &lt;= 15%, "Low Hike[11-15%]", AA468 &lt;= 20%, "Moderate Hike[16-20%]", AA468 &lt;= 25%,"High Hike[21-25%]")</f>
        <v>Moderate Hike[16-20%]</v>
      </c>
      <c r="AC468" s="1">
        <v>3</v>
      </c>
      <c r="AD468" s="1">
        <v>2</v>
      </c>
      <c r="AE468" s="1">
        <v>80</v>
      </c>
      <c r="AF468" s="1">
        <v>1</v>
      </c>
      <c r="AG468" s="1">
        <v>22</v>
      </c>
      <c r="AH468" s="9" t="str" cm="1">
        <f t="array" ref="AH468">_xlfn.IFS(AG468 &lt;= 5, "New[1-5]", AG468 &lt;= 10, "Early Career[6-10]", AG468 &lt;= 20, "Established[11-20]", AG468 &lt;= 30, "Veteran[21-30]", AG468 &lt;= 40, "Late Career[31-40]")</f>
        <v>Veteran[21-30]</v>
      </c>
      <c r="AI468" s="1">
        <v>2</v>
      </c>
      <c r="AJ468" s="1">
        <v>3</v>
      </c>
      <c r="AK468" s="1">
        <v>18</v>
      </c>
      <c r="AL468" s="9" t="str" cm="1">
        <f t="array" ref="AL468">_xlfn.IFS(AK468 &lt;= 5, "New[1-5]", AK468 &lt;= 10, "Early Career[6-10]", AK468 &lt;= 20, "Established[11-20]", AK468 &lt;= 30, "Veteran[21-30]", AK468 &lt;= 40, "Late Career[31-40]")</f>
        <v>Established[11-20]</v>
      </c>
      <c r="AM468" s="1">
        <v>16</v>
      </c>
      <c r="AN468" s="9" t="str" cm="1">
        <f t="array" ref="AN468">_xlfn.IFS(AM468 &lt;= 3, "New to Role[1-3]", AM468 &lt;= 7, "Settled[4-7]", AM468 &lt;= 12, "Experienced[[8-12]", AM468 &lt;= 18, "Long Tenured[13-18]")</f>
        <v>Long Tenured[13-18]</v>
      </c>
      <c r="AO468" s="1">
        <v>11</v>
      </c>
      <c r="AP468" s="9" t="str" cm="1">
        <f t="array" ref="AP468">_xlfn.IFS(AO468 &lt;= 3, "Recently[1-3]", AO468 &lt;= 6, "Due Soon[4-6]", AO468 &lt;= 10, "Overdue[7-10]", AO468 &lt;= 15, "Long Overdue[11-15]")</f>
        <v>Long Overdue[11-15]</v>
      </c>
      <c r="AQ468" s="9" t="str" cm="1">
        <f t="array" ref="AQ468">_xlfn.IFS(AR468 &lt;= 3, "New Relationship[1-3]", AR468 &lt;= 7, "Established Relationship[4-7]", AR468 &lt;= 12, "Long Term Relationship[8-12]", AR468 &lt;= 17, "Very Long Term Relationship[13-17]")</f>
        <v>Long Term Relationship[8-12]</v>
      </c>
      <c r="AR468" s="1">
        <v>8</v>
      </c>
    </row>
    <row r="469" spans="1:44" x14ac:dyDescent="0.25">
      <c r="A469" s="1">
        <v>37</v>
      </c>
      <c r="B469" s="8" t="str" cm="1">
        <f t="array" ref="B469">_xlfn.IFS(A469 &lt;= 25, "[18-25]", A469 &lt;= 35, "[26-35]", A469 &lt;=45, "[36-45]", A469 &lt;= 60, "[46- 60]")</f>
        <v>[36-45]</v>
      </c>
      <c r="C469" s="3" t="s">
        <v>43</v>
      </c>
      <c r="D469">
        <f t="shared" si="7"/>
        <v>0</v>
      </c>
      <c r="E469" t="s">
        <v>62</v>
      </c>
      <c r="F469" s="1">
        <v>142</v>
      </c>
      <c r="G469" s="3" t="s">
        <v>37</v>
      </c>
      <c r="H469" s="1">
        <v>9</v>
      </c>
      <c r="I469" s="9" t="str" cm="1">
        <f t="array" ref="I469">_xlfn.IFS(H469 &lt;= 2, "[1-2] very close", H469 &lt;= 10, "[3-10] close", H469 &lt;= 20, "[11-20] moderate", H469 &lt;= 30, "[21-30] far")</f>
        <v>[3-10] close</v>
      </c>
      <c r="J469" s="1">
        <v>4</v>
      </c>
      <c r="K469" s="3" t="s">
        <v>51</v>
      </c>
      <c r="L469" s="1">
        <v>1</v>
      </c>
      <c r="M469" s="1">
        <v>626</v>
      </c>
      <c r="N469" s="1">
        <v>1</v>
      </c>
      <c r="O469" s="3" t="s">
        <v>46</v>
      </c>
      <c r="P469" s="1">
        <v>69</v>
      </c>
      <c r="Q469" s="1">
        <v>3</v>
      </c>
      <c r="R469" s="1">
        <v>3</v>
      </c>
      <c r="S469" s="3" t="s">
        <v>40</v>
      </c>
      <c r="T469" s="1">
        <v>2</v>
      </c>
      <c r="U469" s="3" t="s">
        <v>52</v>
      </c>
      <c r="V469" s="4">
        <v>8834</v>
      </c>
      <c r="W469" s="1">
        <v>24666</v>
      </c>
      <c r="X469" s="1">
        <v>1</v>
      </c>
      <c r="Y469" s="3" t="s">
        <v>42</v>
      </c>
      <c r="Z469" s="3" t="s">
        <v>43</v>
      </c>
      <c r="AA469" s="5">
        <v>0.13</v>
      </c>
      <c r="AB469" s="10" t="str" cm="1">
        <f t="array" ref="AB469">_xlfn.IFS(AA469 &lt;= 15%, "Low Hike[11-15%]", AA469 &lt;= 20%, "Moderate Hike[16-20%]", AA469 &lt;= 25%,"High Hike[21-25%]")</f>
        <v>Low Hike[11-15%]</v>
      </c>
      <c r="AC469" s="1">
        <v>3</v>
      </c>
      <c r="AD469" s="1">
        <v>4</v>
      </c>
      <c r="AE469" s="1">
        <v>80</v>
      </c>
      <c r="AF469" s="1">
        <v>1</v>
      </c>
      <c r="AG469" s="1">
        <v>9</v>
      </c>
      <c r="AH469" s="9" t="str" cm="1">
        <f t="array" ref="AH469">_xlfn.IFS(AG469 &lt;= 5, "New[1-5]", AG469 &lt;= 10, "Early Career[6-10]", AG469 &lt;= 20, "Established[11-20]", AG469 &lt;= 30, "Veteran[21-30]", AG469 &lt;= 40, "Late Career[31-40]")</f>
        <v>Early Career[6-10]</v>
      </c>
      <c r="AI469" s="1">
        <v>6</v>
      </c>
      <c r="AJ469" s="1">
        <v>3</v>
      </c>
      <c r="AK469" s="1">
        <v>9</v>
      </c>
      <c r="AL469" s="9" t="str" cm="1">
        <f t="array" ref="AL469">_xlfn.IFS(AK469 &lt;= 5, "New[1-5]", AK469 &lt;= 10, "Early Career[6-10]", AK469 &lt;= 20, "Established[11-20]", AK469 &lt;= 30, "Veteran[21-30]", AK469 &lt;= 40, "Late Career[31-40]")</f>
        <v>Early Career[6-10]</v>
      </c>
      <c r="AM469" s="1">
        <v>5</v>
      </c>
      <c r="AN469" s="9" t="str" cm="1">
        <f t="array" ref="AN469">_xlfn.IFS(AM469 &lt;= 3, "New to Role[1-3]", AM469 &lt;= 7, "Settled[4-7]", AM469 &lt;= 12, "Experienced[[8-12]", AM469 &lt;= 18, "Long Tenured[13-18]")</f>
        <v>Settled[4-7]</v>
      </c>
      <c r="AO469" s="1">
        <v>7</v>
      </c>
      <c r="AP469" s="9" t="str" cm="1">
        <f t="array" ref="AP469">_xlfn.IFS(AO469 &lt;= 3, "Recently[1-3]", AO469 &lt;= 6, "Due Soon[4-6]", AO469 &lt;= 10, "Overdue[7-10]", AO469 &lt;= 15, "Long Overdue[11-15]")</f>
        <v>Overdue[7-10]</v>
      </c>
      <c r="AQ469" s="9" t="str" cm="1">
        <f t="array" ref="AQ469">_xlfn.IFS(AR469 &lt;= 3, "New Relationship[1-3]", AR469 &lt;= 7, "Established Relationship[4-7]", AR469 &lt;= 12, "Long Term Relationship[8-12]", AR469 &lt;= 17, "Very Long Term Relationship[13-17]")</f>
        <v>Established Relationship[4-7]</v>
      </c>
      <c r="AR469" s="1">
        <v>7</v>
      </c>
    </row>
    <row r="470" spans="1:44" x14ac:dyDescent="0.25">
      <c r="A470" s="1">
        <v>52</v>
      </c>
      <c r="B470" s="8" t="str" cm="1">
        <f t="array" ref="B470">_xlfn.IFS(A470 &lt;= 25, "[18-25]", A470 &lt;= 35, "[26-35]", A470 &lt;=45, "[36-45]", A470 &lt;= 60, "[46- 60]")</f>
        <v>[46- 60]</v>
      </c>
      <c r="C470" s="3" t="s">
        <v>43</v>
      </c>
      <c r="D470">
        <f t="shared" si="7"/>
        <v>0</v>
      </c>
      <c r="E470" t="s">
        <v>36</v>
      </c>
      <c r="F470" s="1">
        <v>956</v>
      </c>
      <c r="G470" s="3" t="s">
        <v>45</v>
      </c>
      <c r="H470" s="1">
        <v>6</v>
      </c>
      <c r="I470" s="9" t="str" cm="1">
        <f t="array" ref="I470">_xlfn.IFS(H470 &lt;= 2, "[1-2] very close", H470 &lt;= 10, "[3-10] close", H470 &lt;= 20, "[11-20] moderate", H470 &lt;= 30, "[21-30] far")</f>
        <v>[3-10] close</v>
      </c>
      <c r="J470" s="1">
        <v>2</v>
      </c>
      <c r="K470" s="3" t="s">
        <v>60</v>
      </c>
      <c r="L470" s="1">
        <v>1</v>
      </c>
      <c r="M470" s="1">
        <v>630</v>
      </c>
      <c r="N470" s="1">
        <v>4</v>
      </c>
      <c r="O470" s="3" t="s">
        <v>46</v>
      </c>
      <c r="P470" s="1">
        <v>78</v>
      </c>
      <c r="Q470" s="1">
        <v>3</v>
      </c>
      <c r="R470" s="1">
        <v>2</v>
      </c>
      <c r="S470" s="3" t="s">
        <v>47</v>
      </c>
      <c r="T470" s="1">
        <v>1</v>
      </c>
      <c r="U470" s="3" t="s">
        <v>52</v>
      </c>
      <c r="V470" s="4">
        <v>5577</v>
      </c>
      <c r="W470" s="1">
        <v>22087</v>
      </c>
      <c r="X470" s="1">
        <v>3</v>
      </c>
      <c r="Y470" s="3" t="s">
        <v>42</v>
      </c>
      <c r="Z470" s="3" t="s">
        <v>35</v>
      </c>
      <c r="AA470" s="5">
        <v>0.12</v>
      </c>
      <c r="AB470" s="10" t="str" cm="1">
        <f t="array" ref="AB470">_xlfn.IFS(AA470 &lt;= 15%, "Low Hike[11-15%]", AA470 &lt;= 20%, "Moderate Hike[16-20%]", AA470 &lt;= 25%,"High Hike[21-25%]")</f>
        <v>Low Hike[11-15%]</v>
      </c>
      <c r="AC470" s="1">
        <v>3</v>
      </c>
      <c r="AD470" s="1">
        <v>2</v>
      </c>
      <c r="AE470" s="1">
        <v>80</v>
      </c>
      <c r="AF470" s="1">
        <v>2</v>
      </c>
      <c r="AG470" s="1">
        <v>18</v>
      </c>
      <c r="AH470" s="9" t="str" cm="1">
        <f t="array" ref="AH470">_xlfn.IFS(AG470 &lt;= 5, "New[1-5]", AG470 &lt;= 10, "Early Career[6-10]", AG470 &lt;= 20, "Established[11-20]", AG470 &lt;= 30, "Veteran[21-30]", AG470 &lt;= 40, "Late Career[31-40]")</f>
        <v>Established[11-20]</v>
      </c>
      <c r="AI470" s="1">
        <v>3</v>
      </c>
      <c r="AJ470" s="1">
        <v>3</v>
      </c>
      <c r="AK470" s="1">
        <v>10</v>
      </c>
      <c r="AL470" s="9" t="str" cm="1">
        <f t="array" ref="AL470">_xlfn.IFS(AK470 &lt;= 5, "New[1-5]", AK470 &lt;= 10, "Early Career[6-10]", AK470 &lt;= 20, "Established[11-20]", AK470 &lt;= 30, "Veteran[21-30]", AK470 &lt;= 40, "Late Career[31-40]")</f>
        <v>Early Career[6-10]</v>
      </c>
      <c r="AM470" s="1">
        <v>9</v>
      </c>
      <c r="AN470" s="9" t="str" cm="1">
        <f t="array" ref="AN470">_xlfn.IFS(AM470 &lt;= 3, "New to Role[1-3]", AM470 &lt;= 7, "Settled[4-7]", AM470 &lt;= 12, "Experienced[[8-12]", AM470 &lt;= 18, "Long Tenured[13-18]")</f>
        <v>Experienced[[8-12]</v>
      </c>
      <c r="AO470" s="1">
        <v>6</v>
      </c>
      <c r="AP470" s="9" t="str" cm="1">
        <f t="array" ref="AP470">_xlfn.IFS(AO470 &lt;= 3, "Recently[1-3]", AO470 &lt;= 6, "Due Soon[4-6]", AO470 &lt;= 10, "Overdue[7-10]", AO470 &lt;= 15, "Long Overdue[11-15]")</f>
        <v>Due Soon[4-6]</v>
      </c>
      <c r="AQ470" s="9" t="str" cm="1">
        <f t="array" ref="AQ470">_xlfn.IFS(AR470 &lt;= 3, "New Relationship[1-3]", AR470 &lt;= 7, "Established Relationship[4-7]", AR470 &lt;= 12, "Long Term Relationship[8-12]", AR470 &lt;= 17, "Very Long Term Relationship[13-17]")</f>
        <v>Long Term Relationship[8-12]</v>
      </c>
      <c r="AR470" s="1">
        <v>9</v>
      </c>
    </row>
    <row r="471" spans="1:44" x14ac:dyDescent="0.25">
      <c r="A471" s="1">
        <v>32</v>
      </c>
      <c r="B471" s="8" t="str" cm="1">
        <f t="array" ref="B471">_xlfn.IFS(A471 &lt;= 25, "[18-25]", A471 &lt;= 35, "[26-35]", A471 &lt;=45, "[36-45]", A471 &lt;= 60, "[46- 60]")</f>
        <v>[26-35]</v>
      </c>
      <c r="C471" s="3" t="s">
        <v>35</v>
      </c>
      <c r="D471">
        <f t="shared" si="7"/>
        <v>1</v>
      </c>
      <c r="E471" t="s">
        <v>62</v>
      </c>
      <c r="F471" s="1">
        <v>1474</v>
      </c>
      <c r="G471" s="3" t="s">
        <v>37</v>
      </c>
      <c r="H471" s="1">
        <v>11</v>
      </c>
      <c r="I471" s="9" t="str" cm="1">
        <f t="array" ref="I471">_xlfn.IFS(H471 &lt;= 2, "[1-2] very close", H471 &lt;= 10, "[3-10] close", H471 &lt;= 20, "[11-20] moderate", H471 &lt;= 30, "[21-30] far")</f>
        <v>[11-20] moderate</v>
      </c>
      <c r="J471" s="1">
        <v>4</v>
      </c>
      <c r="K471" s="3" t="s">
        <v>49</v>
      </c>
      <c r="L471" s="1">
        <v>1</v>
      </c>
      <c r="M471" s="1">
        <v>631</v>
      </c>
      <c r="N471" s="1">
        <v>4</v>
      </c>
      <c r="O471" s="3" t="s">
        <v>46</v>
      </c>
      <c r="P471" s="1">
        <v>60</v>
      </c>
      <c r="Q471" s="1">
        <v>4</v>
      </c>
      <c r="R471" s="1">
        <v>2</v>
      </c>
      <c r="S471" s="3" t="s">
        <v>40</v>
      </c>
      <c r="T471" s="1">
        <v>3</v>
      </c>
      <c r="U471" s="3" t="s">
        <v>48</v>
      </c>
      <c r="V471" s="4">
        <v>4707</v>
      </c>
      <c r="W471" s="1">
        <v>23914</v>
      </c>
      <c r="X471" s="1">
        <v>8</v>
      </c>
      <c r="Y471" s="3" t="s">
        <v>42</v>
      </c>
      <c r="Z471" s="3" t="s">
        <v>43</v>
      </c>
      <c r="AA471" s="5">
        <v>0.12</v>
      </c>
      <c r="AB471" s="10" t="str" cm="1">
        <f t="array" ref="AB471">_xlfn.IFS(AA471 &lt;= 15%, "Low Hike[11-15%]", AA471 &lt;= 20%, "Moderate Hike[16-20%]", AA471 &lt;= 25%,"High Hike[21-25%]")</f>
        <v>Low Hike[11-15%]</v>
      </c>
      <c r="AC471" s="1">
        <v>3</v>
      </c>
      <c r="AD471" s="1">
        <v>4</v>
      </c>
      <c r="AE471" s="1">
        <v>80</v>
      </c>
      <c r="AF471" s="1">
        <v>0</v>
      </c>
      <c r="AG471" s="1">
        <v>6</v>
      </c>
      <c r="AH471" s="9" t="str" cm="1">
        <f t="array" ref="AH471">_xlfn.IFS(AG471 &lt;= 5, "New[1-5]", AG471 &lt;= 10, "Early Career[6-10]", AG471 &lt;= 20, "Established[11-20]", AG471 &lt;= 30, "Veteran[21-30]", AG471 &lt;= 40, "Late Career[31-40]")</f>
        <v>Early Career[6-10]</v>
      </c>
      <c r="AI471" s="1">
        <v>2</v>
      </c>
      <c r="AJ471" s="1">
        <v>3</v>
      </c>
      <c r="AK471" s="1">
        <v>4</v>
      </c>
      <c r="AL471" s="9" t="str" cm="1">
        <f t="array" ref="AL471">_xlfn.IFS(AK471 &lt;= 5, "New[1-5]", AK471 &lt;= 10, "Early Career[6-10]", AK471 &lt;= 20, "Established[11-20]", AK471 &lt;= 30, "Veteran[21-30]", AK471 &lt;= 40, "Late Career[31-40]")</f>
        <v>New[1-5]</v>
      </c>
      <c r="AM471" s="1">
        <v>2</v>
      </c>
      <c r="AN471" s="9" t="str" cm="1">
        <f t="array" ref="AN471">_xlfn.IFS(AM471 &lt;= 3, "New to Role[1-3]", AM471 &lt;= 7, "Settled[4-7]", AM471 &lt;= 12, "Experienced[[8-12]", AM471 &lt;= 18, "Long Tenured[13-18]")</f>
        <v>New to Role[1-3]</v>
      </c>
      <c r="AO471" s="1">
        <v>1</v>
      </c>
      <c r="AP471" s="9" t="str" cm="1">
        <f t="array" ref="AP471">_xlfn.IFS(AO471 &lt;= 3, "Recently[1-3]", AO471 &lt;= 6, "Due Soon[4-6]", AO471 &lt;= 10, "Overdue[7-10]", AO471 &lt;= 15, "Long Overdue[11-15]")</f>
        <v>Recently[1-3]</v>
      </c>
      <c r="AQ471" s="9" t="str" cm="1">
        <f t="array" ref="AQ471">_xlfn.IFS(AR471 &lt;= 3, "New Relationship[1-3]", AR471 &lt;= 7, "Established Relationship[4-7]", AR471 &lt;= 12, "Long Term Relationship[8-12]", AR471 &lt;= 17, "Very Long Term Relationship[13-17]")</f>
        <v>New Relationship[1-3]</v>
      </c>
      <c r="AR471" s="1">
        <v>2</v>
      </c>
    </row>
    <row r="472" spans="1:44" x14ac:dyDescent="0.25">
      <c r="A472" s="1">
        <v>24</v>
      </c>
      <c r="B472" s="8" t="str" cm="1">
        <f t="array" ref="B472">_xlfn.IFS(A472 &lt;= 25, "[18-25]", A472 &lt;= 35, "[26-35]", A472 &lt;=45, "[36-45]", A472 &lt;= 60, "[46- 60]")</f>
        <v>[18-25]</v>
      </c>
      <c r="C472" s="3" t="s">
        <v>43</v>
      </c>
      <c r="D472">
        <f t="shared" si="7"/>
        <v>0</v>
      </c>
      <c r="E472" t="s">
        <v>44</v>
      </c>
      <c r="F472" s="1">
        <v>535</v>
      </c>
      <c r="G472" s="3" t="s">
        <v>37</v>
      </c>
      <c r="H472" s="1">
        <v>24</v>
      </c>
      <c r="I472" s="9" t="str" cm="1">
        <f t="array" ref="I472">_xlfn.IFS(H472 &lt;= 2, "[1-2] very close", H472 &lt;= 10, "[3-10] close", H472 &lt;= 20, "[11-20] moderate", H472 &lt;= 30, "[21-30] far")</f>
        <v>[21-30] far</v>
      </c>
      <c r="J472" s="1">
        <v>3</v>
      </c>
      <c r="K472" s="3" t="s">
        <v>51</v>
      </c>
      <c r="L472" s="1">
        <v>1</v>
      </c>
      <c r="M472" s="1">
        <v>632</v>
      </c>
      <c r="N472" s="1">
        <v>4</v>
      </c>
      <c r="O472" s="3" t="s">
        <v>46</v>
      </c>
      <c r="P472" s="1">
        <v>38</v>
      </c>
      <c r="Q472" s="1">
        <v>3</v>
      </c>
      <c r="R472" s="1">
        <v>1</v>
      </c>
      <c r="S472" s="3" t="s">
        <v>57</v>
      </c>
      <c r="T472" s="1">
        <v>4</v>
      </c>
      <c r="U472" s="3" t="s">
        <v>48</v>
      </c>
      <c r="V472" s="4">
        <v>2400</v>
      </c>
      <c r="W472" s="1">
        <v>5530</v>
      </c>
      <c r="X472" s="1">
        <v>0</v>
      </c>
      <c r="Y472" s="3" t="s">
        <v>42</v>
      </c>
      <c r="Z472" s="3" t="s">
        <v>43</v>
      </c>
      <c r="AA472" s="5">
        <v>0.13</v>
      </c>
      <c r="AB472" s="10" t="str" cm="1">
        <f t="array" ref="AB472">_xlfn.IFS(AA472 &lt;= 15%, "Low Hike[11-15%]", AA472 &lt;= 20%, "Moderate Hike[16-20%]", AA472 &lt;= 25%,"High Hike[21-25%]")</f>
        <v>Low Hike[11-15%]</v>
      </c>
      <c r="AC472" s="1">
        <v>3</v>
      </c>
      <c r="AD472" s="1">
        <v>3</v>
      </c>
      <c r="AE472" s="1">
        <v>80</v>
      </c>
      <c r="AF472" s="1">
        <v>2</v>
      </c>
      <c r="AG472" s="1">
        <v>3</v>
      </c>
      <c r="AH472" s="9" t="str" cm="1">
        <f t="array" ref="AH472">_xlfn.IFS(AG472 &lt;= 5, "New[1-5]", AG472 &lt;= 10, "Early Career[6-10]", AG472 &lt;= 20, "Established[11-20]", AG472 &lt;= 30, "Veteran[21-30]", AG472 &lt;= 40, "Late Career[31-40]")</f>
        <v>New[1-5]</v>
      </c>
      <c r="AI472" s="1">
        <v>3</v>
      </c>
      <c r="AJ472" s="1">
        <v>3</v>
      </c>
      <c r="AK472" s="1">
        <v>2</v>
      </c>
      <c r="AL472" s="9" t="str" cm="1">
        <f t="array" ref="AL472">_xlfn.IFS(AK472 &lt;= 5, "New[1-5]", AK472 &lt;= 10, "Early Career[6-10]", AK472 &lt;= 20, "Established[11-20]", AK472 &lt;= 30, "Veteran[21-30]", AK472 &lt;= 40, "Late Career[31-40]")</f>
        <v>New[1-5]</v>
      </c>
      <c r="AM472" s="1">
        <v>2</v>
      </c>
      <c r="AN472" s="9" t="str" cm="1">
        <f t="array" ref="AN472">_xlfn.IFS(AM472 &lt;= 3, "New to Role[1-3]", AM472 &lt;= 7, "Settled[4-7]", AM472 &lt;= 12, "Experienced[[8-12]", AM472 &lt;= 18, "Long Tenured[13-18]")</f>
        <v>New to Role[1-3]</v>
      </c>
      <c r="AO472" s="1">
        <v>2</v>
      </c>
      <c r="AP472" s="9" t="str" cm="1">
        <f t="array" ref="AP472">_xlfn.IFS(AO472 &lt;= 3, "Recently[1-3]", AO472 &lt;= 6, "Due Soon[4-6]", AO472 &lt;= 10, "Overdue[7-10]", AO472 &lt;= 15, "Long Overdue[11-15]")</f>
        <v>Recently[1-3]</v>
      </c>
      <c r="AQ472" s="9" t="str" cm="1">
        <f t="array" ref="AQ472">_xlfn.IFS(AR472 &lt;= 3, "New Relationship[1-3]", AR472 &lt;= 7, "Established Relationship[4-7]", AR472 &lt;= 12, "Long Term Relationship[8-12]", AR472 &lt;= 17, "Very Long Term Relationship[13-17]")</f>
        <v>New Relationship[1-3]</v>
      </c>
      <c r="AR472" s="1">
        <v>1</v>
      </c>
    </row>
    <row r="473" spans="1:44" x14ac:dyDescent="0.25">
      <c r="A473" s="1">
        <v>38</v>
      </c>
      <c r="B473" s="8" t="str" cm="1">
        <f t="array" ref="B473">_xlfn.IFS(A473 &lt;= 25, "[18-25]", A473 &lt;= 35, "[26-35]", A473 &lt;=45, "[36-45]", A473 &lt;= 60, "[46- 60]")</f>
        <v>[36-45]</v>
      </c>
      <c r="C473" s="3" t="s">
        <v>43</v>
      </c>
      <c r="D473">
        <f t="shared" si="7"/>
        <v>0</v>
      </c>
      <c r="E473" t="s">
        <v>36</v>
      </c>
      <c r="F473" s="1">
        <v>1495</v>
      </c>
      <c r="G473" s="3" t="s">
        <v>45</v>
      </c>
      <c r="H473" s="1">
        <v>10</v>
      </c>
      <c r="I473" s="9" t="str" cm="1">
        <f t="array" ref="I473">_xlfn.IFS(H473 &lt;= 2, "[1-2] very close", H473 &lt;= 10, "[3-10] close", H473 &lt;= 20, "[11-20] moderate", H473 &lt;= 30, "[21-30] far")</f>
        <v>[3-10] close</v>
      </c>
      <c r="J473" s="1">
        <v>3</v>
      </c>
      <c r="K473" s="3" t="s">
        <v>51</v>
      </c>
      <c r="L473" s="1">
        <v>1</v>
      </c>
      <c r="M473" s="1">
        <v>634</v>
      </c>
      <c r="N473" s="1">
        <v>3</v>
      </c>
      <c r="O473" s="3" t="s">
        <v>39</v>
      </c>
      <c r="P473" s="1">
        <v>76</v>
      </c>
      <c r="Q473" s="1">
        <v>3</v>
      </c>
      <c r="R473" s="1">
        <v>2</v>
      </c>
      <c r="S473" s="3" t="s">
        <v>54</v>
      </c>
      <c r="T473" s="1">
        <v>3</v>
      </c>
      <c r="U473" s="3" t="s">
        <v>48</v>
      </c>
      <c r="V473" s="4">
        <v>9824</v>
      </c>
      <c r="W473" s="1">
        <v>22174</v>
      </c>
      <c r="X473" s="1">
        <v>3</v>
      </c>
      <c r="Y473" s="3" t="s">
        <v>42</v>
      </c>
      <c r="Z473" s="3" t="s">
        <v>43</v>
      </c>
      <c r="AA473" s="5">
        <v>0.19</v>
      </c>
      <c r="AB473" s="10" t="str" cm="1">
        <f t="array" ref="AB473">_xlfn.IFS(AA473 &lt;= 15%, "Low Hike[11-15%]", AA473 &lt;= 20%, "Moderate Hike[16-20%]", AA473 &lt;= 25%,"High Hike[21-25%]")</f>
        <v>Moderate Hike[16-20%]</v>
      </c>
      <c r="AC473" s="1">
        <v>3</v>
      </c>
      <c r="AD473" s="1">
        <v>3</v>
      </c>
      <c r="AE473" s="1">
        <v>80</v>
      </c>
      <c r="AF473" s="1">
        <v>1</v>
      </c>
      <c r="AG473" s="1">
        <v>18</v>
      </c>
      <c r="AH473" s="9" t="str" cm="1">
        <f t="array" ref="AH473">_xlfn.IFS(AG473 &lt;= 5, "New[1-5]", AG473 &lt;= 10, "Early Career[6-10]", AG473 &lt;= 20, "Established[11-20]", AG473 &lt;= 30, "Veteran[21-30]", AG473 &lt;= 40, "Late Career[31-40]")</f>
        <v>Established[11-20]</v>
      </c>
      <c r="AI473" s="1">
        <v>4</v>
      </c>
      <c r="AJ473" s="1">
        <v>3</v>
      </c>
      <c r="AK473" s="1">
        <v>1</v>
      </c>
      <c r="AL473" s="9" t="str" cm="1">
        <f t="array" ref="AL473">_xlfn.IFS(AK473 &lt;= 5, "New[1-5]", AK473 &lt;= 10, "Early Career[6-10]", AK473 &lt;= 20, "Established[11-20]", AK473 &lt;= 30, "Veteran[21-30]", AK473 &lt;= 40, "Late Career[31-40]")</f>
        <v>New[1-5]</v>
      </c>
      <c r="AM473" s="1">
        <v>0</v>
      </c>
      <c r="AN473" s="9" t="str" cm="1">
        <f t="array" ref="AN473">_xlfn.IFS(AM473 &lt;= 3, "New to Role[1-3]", AM473 &lt;= 7, "Settled[4-7]", AM473 &lt;= 12, "Experienced[[8-12]", AM473 &lt;= 18, "Long Tenured[13-18]")</f>
        <v>New to Role[1-3]</v>
      </c>
      <c r="AO473" s="1">
        <v>0</v>
      </c>
      <c r="AP473" s="9" t="str" cm="1">
        <f t="array" ref="AP473">_xlfn.IFS(AO473 &lt;= 3, "Recently[1-3]", AO473 &lt;= 6, "Due Soon[4-6]", AO473 &lt;= 10, "Overdue[7-10]", AO473 &lt;= 15, "Long Overdue[11-15]")</f>
        <v>Recently[1-3]</v>
      </c>
      <c r="AQ473" s="9" t="str" cm="1">
        <f t="array" ref="AQ473">_xlfn.IFS(AR473 &lt;= 3, "New Relationship[1-3]", AR473 &lt;= 7, "Established Relationship[4-7]", AR473 &lt;= 12, "Long Term Relationship[8-12]", AR473 &lt;= 17, "Very Long Term Relationship[13-17]")</f>
        <v>New Relationship[1-3]</v>
      </c>
      <c r="AR473" s="1">
        <v>0</v>
      </c>
    </row>
    <row r="474" spans="1:44" x14ac:dyDescent="0.25">
      <c r="A474" s="1">
        <v>37</v>
      </c>
      <c r="B474" s="8" t="str" cm="1">
        <f t="array" ref="B474">_xlfn.IFS(A474 &lt;= 25, "[18-25]", A474 &lt;= 35, "[26-35]", A474 &lt;=45, "[36-45]", A474 &lt;= 60, "[46- 60]")</f>
        <v>[36-45]</v>
      </c>
      <c r="C474" s="3" t="s">
        <v>43</v>
      </c>
      <c r="D474">
        <f t="shared" si="7"/>
        <v>0</v>
      </c>
      <c r="E474" t="s">
        <v>36</v>
      </c>
      <c r="F474" s="1">
        <v>446</v>
      </c>
      <c r="G474" s="3" t="s">
        <v>45</v>
      </c>
      <c r="H474" s="1">
        <v>1</v>
      </c>
      <c r="I474" s="9" t="str" cm="1">
        <f t="array" ref="I474">_xlfn.IFS(H474 &lt;= 2, "[1-2] very close", H474 &lt;= 10, "[3-10] close", H474 &lt;= 20, "[11-20] moderate", H474 &lt;= 30, "[21-30] far")</f>
        <v>[1-2] very close</v>
      </c>
      <c r="J474" s="1">
        <v>4</v>
      </c>
      <c r="K474" s="3" t="s">
        <v>38</v>
      </c>
      <c r="L474" s="1">
        <v>1</v>
      </c>
      <c r="M474" s="1">
        <v>635</v>
      </c>
      <c r="N474" s="1">
        <v>2</v>
      </c>
      <c r="O474" s="3" t="s">
        <v>39</v>
      </c>
      <c r="P474" s="1">
        <v>65</v>
      </c>
      <c r="Q474" s="1">
        <v>3</v>
      </c>
      <c r="R474" s="1">
        <v>2</v>
      </c>
      <c r="S474" s="3" t="s">
        <v>53</v>
      </c>
      <c r="T474" s="1">
        <v>2</v>
      </c>
      <c r="U474" s="3" t="s">
        <v>48</v>
      </c>
      <c r="V474" s="4">
        <v>6447</v>
      </c>
      <c r="W474" s="1">
        <v>15701</v>
      </c>
      <c r="X474" s="1">
        <v>6</v>
      </c>
      <c r="Y474" s="3" t="s">
        <v>42</v>
      </c>
      <c r="Z474" s="3" t="s">
        <v>43</v>
      </c>
      <c r="AA474" s="5">
        <v>0.12</v>
      </c>
      <c r="AB474" s="10" t="str" cm="1">
        <f t="array" ref="AB474">_xlfn.IFS(AA474 &lt;= 15%, "Low Hike[11-15%]", AA474 &lt;= 20%, "Moderate Hike[16-20%]", AA474 &lt;= 25%,"High Hike[21-25%]")</f>
        <v>Low Hike[11-15%]</v>
      </c>
      <c r="AC474" s="1">
        <v>3</v>
      </c>
      <c r="AD474" s="1">
        <v>2</v>
      </c>
      <c r="AE474" s="1">
        <v>80</v>
      </c>
      <c r="AF474" s="1">
        <v>1</v>
      </c>
      <c r="AG474" s="1">
        <v>8</v>
      </c>
      <c r="AH474" s="9" t="str" cm="1">
        <f t="array" ref="AH474">_xlfn.IFS(AG474 &lt;= 5, "New[1-5]", AG474 &lt;= 10, "Early Career[6-10]", AG474 &lt;= 20, "Established[11-20]", AG474 &lt;= 30, "Veteran[21-30]", AG474 &lt;= 40, "Late Career[31-40]")</f>
        <v>Early Career[6-10]</v>
      </c>
      <c r="AI474" s="1">
        <v>2</v>
      </c>
      <c r="AJ474" s="1">
        <v>2</v>
      </c>
      <c r="AK474" s="1">
        <v>6</v>
      </c>
      <c r="AL474" s="9" t="str" cm="1">
        <f t="array" ref="AL474">_xlfn.IFS(AK474 &lt;= 5, "New[1-5]", AK474 &lt;= 10, "Early Career[6-10]", AK474 &lt;= 20, "Established[11-20]", AK474 &lt;= 30, "Veteran[21-30]", AK474 &lt;= 40, "Late Career[31-40]")</f>
        <v>Early Career[6-10]</v>
      </c>
      <c r="AM474" s="1">
        <v>5</v>
      </c>
      <c r="AN474" s="9" t="str" cm="1">
        <f t="array" ref="AN474">_xlfn.IFS(AM474 &lt;= 3, "New to Role[1-3]", AM474 &lt;= 7, "Settled[4-7]", AM474 &lt;= 12, "Experienced[[8-12]", AM474 &lt;= 18, "Long Tenured[13-18]")</f>
        <v>Settled[4-7]</v>
      </c>
      <c r="AO474" s="1">
        <v>4</v>
      </c>
      <c r="AP474" s="9" t="str" cm="1">
        <f t="array" ref="AP474">_xlfn.IFS(AO474 &lt;= 3, "Recently[1-3]", AO474 &lt;= 6, "Due Soon[4-6]", AO474 &lt;= 10, "Overdue[7-10]", AO474 &lt;= 15, "Long Overdue[11-15]")</f>
        <v>Due Soon[4-6]</v>
      </c>
      <c r="AQ474" s="9" t="str" cm="1">
        <f t="array" ref="AQ474">_xlfn.IFS(AR474 &lt;= 3, "New Relationship[1-3]", AR474 &lt;= 7, "Established Relationship[4-7]", AR474 &lt;= 12, "Long Term Relationship[8-12]", AR474 &lt;= 17, "Very Long Term Relationship[13-17]")</f>
        <v>New Relationship[1-3]</v>
      </c>
      <c r="AR474" s="1">
        <v>3</v>
      </c>
    </row>
    <row r="475" spans="1:44" x14ac:dyDescent="0.25">
      <c r="A475" s="1">
        <v>49</v>
      </c>
      <c r="B475" s="8" t="str" cm="1">
        <f t="array" ref="B475">_xlfn.IFS(A475 &lt;= 25, "[18-25]", A475 &lt;= 35, "[26-35]", A475 &lt;=45, "[36-45]", A475 &lt;= 60, "[46- 60]")</f>
        <v>[46- 60]</v>
      </c>
      <c r="C475" s="3" t="s">
        <v>43</v>
      </c>
      <c r="D475">
        <f t="shared" si="7"/>
        <v>0</v>
      </c>
      <c r="E475" t="s">
        <v>36</v>
      </c>
      <c r="F475" s="1">
        <v>1245</v>
      </c>
      <c r="G475" s="3" t="s">
        <v>45</v>
      </c>
      <c r="H475" s="1">
        <v>18</v>
      </c>
      <c r="I475" s="9" t="str" cm="1">
        <f t="array" ref="I475">_xlfn.IFS(H475 &lt;= 2, "[1-2] very close", H475 &lt;= 10, "[3-10] close", H475 &lt;= 20, "[11-20] moderate", H475 &lt;= 30, "[21-30] far")</f>
        <v>[11-20] moderate</v>
      </c>
      <c r="J475" s="1">
        <v>4</v>
      </c>
      <c r="K475" s="3" t="s">
        <v>38</v>
      </c>
      <c r="L475" s="1">
        <v>1</v>
      </c>
      <c r="M475" s="1">
        <v>638</v>
      </c>
      <c r="N475" s="1">
        <v>4</v>
      </c>
      <c r="O475" s="3" t="s">
        <v>46</v>
      </c>
      <c r="P475" s="1">
        <v>58</v>
      </c>
      <c r="Q475" s="1">
        <v>2</v>
      </c>
      <c r="R475" s="1">
        <v>5</v>
      </c>
      <c r="S475" s="3" t="s">
        <v>58</v>
      </c>
      <c r="T475" s="1">
        <v>3</v>
      </c>
      <c r="U475" s="3" t="s">
        <v>52</v>
      </c>
      <c r="V475" s="4">
        <v>19502</v>
      </c>
      <c r="W475" s="1">
        <v>2125</v>
      </c>
      <c r="X475" s="1">
        <v>1</v>
      </c>
      <c r="Y475" s="3" t="s">
        <v>42</v>
      </c>
      <c r="Z475" s="3" t="s">
        <v>35</v>
      </c>
      <c r="AA475" s="5">
        <v>0.17</v>
      </c>
      <c r="AB475" s="10" t="str" cm="1">
        <f t="array" ref="AB475">_xlfn.IFS(AA475 &lt;= 15%, "Low Hike[11-15%]", AA475 &lt;= 20%, "Moderate Hike[16-20%]", AA475 &lt;= 25%,"High Hike[21-25%]")</f>
        <v>Moderate Hike[16-20%]</v>
      </c>
      <c r="AC475" s="1">
        <v>3</v>
      </c>
      <c r="AD475" s="1">
        <v>3</v>
      </c>
      <c r="AE475" s="1">
        <v>80</v>
      </c>
      <c r="AF475" s="1">
        <v>1</v>
      </c>
      <c r="AG475" s="1">
        <v>31</v>
      </c>
      <c r="AH475" s="9" t="str" cm="1">
        <f t="array" ref="AH475">_xlfn.IFS(AG475 &lt;= 5, "New[1-5]", AG475 &lt;= 10, "Early Career[6-10]", AG475 &lt;= 20, "Established[11-20]", AG475 &lt;= 30, "Veteran[21-30]", AG475 &lt;= 40, "Late Career[31-40]")</f>
        <v>Late Career[31-40]</v>
      </c>
      <c r="AI475" s="1">
        <v>5</v>
      </c>
      <c r="AJ475" s="1">
        <v>3</v>
      </c>
      <c r="AK475" s="1">
        <v>31</v>
      </c>
      <c r="AL475" s="9" t="str" cm="1">
        <f t="array" ref="AL475">_xlfn.IFS(AK475 &lt;= 5, "New[1-5]", AK475 &lt;= 10, "Early Career[6-10]", AK475 &lt;= 20, "Established[11-20]", AK475 &lt;= 30, "Veteran[21-30]", AK475 &lt;= 40, "Late Career[31-40]")</f>
        <v>Late Career[31-40]</v>
      </c>
      <c r="AM475" s="1">
        <v>9</v>
      </c>
      <c r="AN475" s="9" t="str" cm="1">
        <f t="array" ref="AN475">_xlfn.IFS(AM475 &lt;= 3, "New to Role[1-3]", AM475 &lt;= 7, "Settled[4-7]", AM475 &lt;= 12, "Experienced[[8-12]", AM475 &lt;= 18, "Long Tenured[13-18]")</f>
        <v>Experienced[[8-12]</v>
      </c>
      <c r="AO475" s="1">
        <v>0</v>
      </c>
      <c r="AP475" s="9" t="str" cm="1">
        <f t="array" ref="AP475">_xlfn.IFS(AO475 &lt;= 3, "Recently[1-3]", AO475 &lt;= 6, "Due Soon[4-6]", AO475 &lt;= 10, "Overdue[7-10]", AO475 &lt;= 15, "Long Overdue[11-15]")</f>
        <v>Recently[1-3]</v>
      </c>
      <c r="AQ475" s="9" t="str" cm="1">
        <f t="array" ref="AQ475">_xlfn.IFS(AR475 &lt;= 3, "New Relationship[1-3]", AR475 &lt;= 7, "Established Relationship[4-7]", AR475 &lt;= 12, "Long Term Relationship[8-12]", AR475 &lt;= 17, "Very Long Term Relationship[13-17]")</f>
        <v>Long Term Relationship[8-12]</v>
      </c>
      <c r="AR475" s="1">
        <v>9</v>
      </c>
    </row>
    <row r="476" spans="1:44" x14ac:dyDescent="0.25">
      <c r="A476" s="1">
        <v>24</v>
      </c>
      <c r="B476" s="8" t="str" cm="1">
        <f t="array" ref="B476">_xlfn.IFS(A476 &lt;= 25, "[18-25]", A476 &lt;= 35, "[26-35]", A476 &lt;=45, "[36-45]", A476 &lt;= 60, "[46- 60]")</f>
        <v>[18-25]</v>
      </c>
      <c r="C476" s="3" t="s">
        <v>43</v>
      </c>
      <c r="D476">
        <f t="shared" si="7"/>
        <v>0</v>
      </c>
      <c r="E476" t="s">
        <v>36</v>
      </c>
      <c r="F476" s="1">
        <v>691</v>
      </c>
      <c r="G476" s="3" t="s">
        <v>45</v>
      </c>
      <c r="H476" s="1">
        <v>23</v>
      </c>
      <c r="I476" s="9" t="str" cm="1">
        <f t="array" ref="I476">_xlfn.IFS(H476 &lt;= 2, "[1-2] very close", H476 &lt;= 10, "[3-10] close", H476 &lt;= 20, "[11-20] moderate", H476 &lt;= 30, "[21-30] far")</f>
        <v>[21-30] far</v>
      </c>
      <c r="J476" s="1">
        <v>3</v>
      </c>
      <c r="K476" s="3" t="s">
        <v>51</v>
      </c>
      <c r="L476" s="1">
        <v>1</v>
      </c>
      <c r="M476" s="1">
        <v>639</v>
      </c>
      <c r="N476" s="1">
        <v>2</v>
      </c>
      <c r="O476" s="3" t="s">
        <v>46</v>
      </c>
      <c r="P476" s="1">
        <v>89</v>
      </c>
      <c r="Q476" s="1">
        <v>4</v>
      </c>
      <c r="R476" s="1">
        <v>1</v>
      </c>
      <c r="S476" s="3" t="s">
        <v>47</v>
      </c>
      <c r="T476" s="1">
        <v>4</v>
      </c>
      <c r="U476" s="3" t="s">
        <v>48</v>
      </c>
      <c r="V476" s="4">
        <v>2725</v>
      </c>
      <c r="W476" s="1">
        <v>21630</v>
      </c>
      <c r="X476" s="1">
        <v>1</v>
      </c>
      <c r="Y476" s="3" t="s">
        <v>42</v>
      </c>
      <c r="Z476" s="3" t="s">
        <v>35</v>
      </c>
      <c r="AA476" s="5">
        <v>0.11</v>
      </c>
      <c r="AB476" s="10" t="str" cm="1">
        <f t="array" ref="AB476">_xlfn.IFS(AA476 &lt;= 15%, "Low Hike[11-15%]", AA476 &lt;= 20%, "Moderate Hike[16-20%]", AA476 &lt;= 25%,"High Hike[21-25%]")</f>
        <v>Low Hike[11-15%]</v>
      </c>
      <c r="AC476" s="1">
        <v>3</v>
      </c>
      <c r="AD476" s="1">
        <v>2</v>
      </c>
      <c r="AE476" s="1">
        <v>80</v>
      </c>
      <c r="AF476" s="1">
        <v>2</v>
      </c>
      <c r="AG476" s="1">
        <v>6</v>
      </c>
      <c r="AH476" s="9" t="str" cm="1">
        <f t="array" ref="AH476">_xlfn.IFS(AG476 &lt;= 5, "New[1-5]", AG476 &lt;= 10, "Early Career[6-10]", AG476 &lt;= 20, "Established[11-20]", AG476 &lt;= 30, "Veteran[21-30]", AG476 &lt;= 40, "Late Career[31-40]")</f>
        <v>Early Career[6-10]</v>
      </c>
      <c r="AI476" s="1">
        <v>3</v>
      </c>
      <c r="AJ476" s="1">
        <v>3</v>
      </c>
      <c r="AK476" s="1">
        <v>6</v>
      </c>
      <c r="AL476" s="9" t="str" cm="1">
        <f t="array" ref="AL476">_xlfn.IFS(AK476 &lt;= 5, "New[1-5]", AK476 &lt;= 10, "Early Career[6-10]", AK476 &lt;= 20, "Established[11-20]", AK476 &lt;= 30, "Veteran[21-30]", AK476 &lt;= 40, "Late Career[31-40]")</f>
        <v>Early Career[6-10]</v>
      </c>
      <c r="AM476" s="1">
        <v>5</v>
      </c>
      <c r="AN476" s="9" t="str" cm="1">
        <f t="array" ref="AN476">_xlfn.IFS(AM476 &lt;= 3, "New to Role[1-3]", AM476 &lt;= 7, "Settled[4-7]", AM476 &lt;= 12, "Experienced[[8-12]", AM476 &lt;= 18, "Long Tenured[13-18]")</f>
        <v>Settled[4-7]</v>
      </c>
      <c r="AO476" s="1">
        <v>1</v>
      </c>
      <c r="AP476" s="9" t="str" cm="1">
        <f t="array" ref="AP476">_xlfn.IFS(AO476 &lt;= 3, "Recently[1-3]", AO476 &lt;= 6, "Due Soon[4-6]", AO476 &lt;= 10, "Overdue[7-10]", AO476 &lt;= 15, "Long Overdue[11-15]")</f>
        <v>Recently[1-3]</v>
      </c>
      <c r="AQ476" s="9" t="str" cm="1">
        <f t="array" ref="AQ476">_xlfn.IFS(AR476 &lt;= 3, "New Relationship[1-3]", AR476 &lt;= 7, "Established Relationship[4-7]", AR476 &lt;= 12, "Long Term Relationship[8-12]", AR476 &lt;= 17, "Very Long Term Relationship[13-17]")</f>
        <v>Established Relationship[4-7]</v>
      </c>
      <c r="AR476" s="1">
        <v>4</v>
      </c>
    </row>
    <row r="477" spans="1:44" x14ac:dyDescent="0.25">
      <c r="A477" s="1">
        <v>26</v>
      </c>
      <c r="B477" s="8" t="str" cm="1">
        <f t="array" ref="B477">_xlfn.IFS(A477 &lt;= 25, "[18-25]", A477 &lt;= 35, "[26-35]", A477 &lt;=45, "[36-45]", A477 &lt;= 60, "[46- 60]")</f>
        <v>[26-35]</v>
      </c>
      <c r="C477" s="3" t="s">
        <v>43</v>
      </c>
      <c r="D477">
        <f t="shared" si="7"/>
        <v>0</v>
      </c>
      <c r="E477" t="s">
        <v>36</v>
      </c>
      <c r="F477" s="1">
        <v>703</v>
      </c>
      <c r="G477" s="3" t="s">
        <v>37</v>
      </c>
      <c r="H477" s="1">
        <v>28</v>
      </c>
      <c r="I477" s="9" t="str" cm="1">
        <f t="array" ref="I477">_xlfn.IFS(H477 &lt;= 2, "[1-2] very close", H477 &lt;= 10, "[3-10] close", H477 &lt;= 20, "[11-20] moderate", H477 &lt;= 30, "[21-30] far")</f>
        <v>[21-30] far</v>
      </c>
      <c r="J477" s="1">
        <v>2</v>
      </c>
      <c r="K477" s="3" t="s">
        <v>59</v>
      </c>
      <c r="L477" s="1">
        <v>1</v>
      </c>
      <c r="M477" s="1">
        <v>641</v>
      </c>
      <c r="N477" s="1">
        <v>1</v>
      </c>
      <c r="O477" s="3" t="s">
        <v>46</v>
      </c>
      <c r="P477" s="1">
        <v>66</v>
      </c>
      <c r="Q477" s="1">
        <v>3</v>
      </c>
      <c r="R477" s="1">
        <v>2</v>
      </c>
      <c r="S477" s="3" t="s">
        <v>40</v>
      </c>
      <c r="T477" s="1">
        <v>2</v>
      </c>
      <c r="U477" s="3" t="s">
        <v>48</v>
      </c>
      <c r="V477" s="4">
        <v>6272</v>
      </c>
      <c r="W477" s="1">
        <v>7428</v>
      </c>
      <c r="X477" s="1">
        <v>1</v>
      </c>
      <c r="Y477" s="3" t="s">
        <v>42</v>
      </c>
      <c r="Z477" s="3" t="s">
        <v>43</v>
      </c>
      <c r="AA477" s="5">
        <v>0.2</v>
      </c>
      <c r="AB477" s="10" t="str" cm="1">
        <f t="array" ref="AB477">_xlfn.IFS(AA477 &lt;= 15%, "Low Hike[11-15%]", AA477 &lt;= 20%, "Moderate Hike[16-20%]", AA477 &lt;= 25%,"High Hike[21-25%]")</f>
        <v>Moderate Hike[16-20%]</v>
      </c>
      <c r="AC477" s="1">
        <v>4</v>
      </c>
      <c r="AD477" s="1">
        <v>4</v>
      </c>
      <c r="AE477" s="1">
        <v>80</v>
      </c>
      <c r="AF477" s="1">
        <v>2</v>
      </c>
      <c r="AG477" s="1">
        <v>6</v>
      </c>
      <c r="AH477" s="9" t="str" cm="1">
        <f t="array" ref="AH477">_xlfn.IFS(AG477 &lt;= 5, "New[1-5]", AG477 &lt;= 10, "Early Career[6-10]", AG477 &lt;= 20, "Established[11-20]", AG477 &lt;= 30, "Veteran[21-30]", AG477 &lt;= 40, "Late Career[31-40]")</f>
        <v>Early Career[6-10]</v>
      </c>
      <c r="AI477" s="1">
        <v>5</v>
      </c>
      <c r="AJ477" s="1">
        <v>4</v>
      </c>
      <c r="AK477" s="1">
        <v>5</v>
      </c>
      <c r="AL477" s="9" t="str" cm="1">
        <f t="array" ref="AL477">_xlfn.IFS(AK477 &lt;= 5, "New[1-5]", AK477 &lt;= 10, "Early Career[6-10]", AK477 &lt;= 20, "Established[11-20]", AK477 &lt;= 30, "Veteran[21-30]", AK477 &lt;= 40, "Late Career[31-40]")</f>
        <v>New[1-5]</v>
      </c>
      <c r="AM477" s="1">
        <v>3</v>
      </c>
      <c r="AN477" s="9" t="str" cm="1">
        <f t="array" ref="AN477">_xlfn.IFS(AM477 &lt;= 3, "New to Role[1-3]", AM477 &lt;= 7, "Settled[4-7]", AM477 &lt;= 12, "Experienced[[8-12]", AM477 &lt;= 18, "Long Tenured[13-18]")</f>
        <v>New to Role[1-3]</v>
      </c>
      <c r="AO477" s="1">
        <v>1</v>
      </c>
      <c r="AP477" s="9" t="str" cm="1">
        <f t="array" ref="AP477">_xlfn.IFS(AO477 &lt;= 3, "Recently[1-3]", AO477 &lt;= 6, "Due Soon[4-6]", AO477 &lt;= 10, "Overdue[7-10]", AO477 &lt;= 15, "Long Overdue[11-15]")</f>
        <v>Recently[1-3]</v>
      </c>
      <c r="AQ477" s="9" t="str" cm="1">
        <f t="array" ref="AQ477">_xlfn.IFS(AR477 &lt;= 3, "New Relationship[1-3]", AR477 &lt;= 7, "Established Relationship[4-7]", AR477 &lt;= 12, "Long Term Relationship[8-12]", AR477 &lt;= 17, "Very Long Term Relationship[13-17]")</f>
        <v>Established Relationship[4-7]</v>
      </c>
      <c r="AR477" s="1">
        <v>4</v>
      </c>
    </row>
    <row r="478" spans="1:44" x14ac:dyDescent="0.25">
      <c r="A478" s="1">
        <v>24</v>
      </c>
      <c r="B478" s="8" t="str" cm="1">
        <f t="array" ref="B478">_xlfn.IFS(A478 &lt;= 25, "[18-25]", A478 &lt;= 35, "[26-35]", A478 &lt;=45, "[36-45]", A478 &lt;= 60, "[46- 60]")</f>
        <v>[18-25]</v>
      </c>
      <c r="C478" s="3" t="s">
        <v>43</v>
      </c>
      <c r="D478">
        <f t="shared" si="7"/>
        <v>0</v>
      </c>
      <c r="E478" t="s">
        <v>36</v>
      </c>
      <c r="F478" s="1">
        <v>823</v>
      </c>
      <c r="G478" s="3" t="s">
        <v>45</v>
      </c>
      <c r="H478" s="1">
        <v>17</v>
      </c>
      <c r="I478" s="9" t="str" cm="1">
        <f t="array" ref="I478">_xlfn.IFS(H478 &lt;= 2, "[1-2] very close", H478 &lt;= 10, "[3-10] close", H478 &lt;= 20, "[11-20] moderate", H478 &lt;= 30, "[21-30] far")</f>
        <v>[11-20] moderate</v>
      </c>
      <c r="J478" s="1">
        <v>2</v>
      </c>
      <c r="K478" s="3" t="s">
        <v>49</v>
      </c>
      <c r="L478" s="1">
        <v>1</v>
      </c>
      <c r="M478" s="1">
        <v>643</v>
      </c>
      <c r="N478" s="1">
        <v>4</v>
      </c>
      <c r="O478" s="3" t="s">
        <v>46</v>
      </c>
      <c r="P478" s="1">
        <v>94</v>
      </c>
      <c r="Q478" s="1">
        <v>2</v>
      </c>
      <c r="R478" s="1">
        <v>1</v>
      </c>
      <c r="S478" s="3" t="s">
        <v>50</v>
      </c>
      <c r="T478" s="1">
        <v>2</v>
      </c>
      <c r="U478" s="3" t="s">
        <v>48</v>
      </c>
      <c r="V478" s="4">
        <v>2127</v>
      </c>
      <c r="W478" s="1">
        <v>9100</v>
      </c>
      <c r="X478" s="1">
        <v>1</v>
      </c>
      <c r="Y478" s="3" t="s">
        <v>42</v>
      </c>
      <c r="Z478" s="3" t="s">
        <v>43</v>
      </c>
      <c r="AA478" s="5">
        <v>0.21</v>
      </c>
      <c r="AB478" s="10" t="str" cm="1">
        <f t="array" ref="AB478">_xlfn.IFS(AA478 &lt;= 15%, "Low Hike[11-15%]", AA478 &lt;= 20%, "Moderate Hike[16-20%]", AA478 &lt;= 25%,"High Hike[21-25%]")</f>
        <v>High Hike[21-25%]</v>
      </c>
      <c r="AC478" s="1">
        <v>4</v>
      </c>
      <c r="AD478" s="1">
        <v>4</v>
      </c>
      <c r="AE478" s="1">
        <v>80</v>
      </c>
      <c r="AF478" s="1">
        <v>1</v>
      </c>
      <c r="AG478" s="1">
        <v>1</v>
      </c>
      <c r="AH478" s="9" t="str" cm="1">
        <f t="array" ref="AH478">_xlfn.IFS(AG478 &lt;= 5, "New[1-5]", AG478 &lt;= 10, "Early Career[6-10]", AG478 &lt;= 20, "Established[11-20]", AG478 &lt;= 30, "Veteran[21-30]", AG478 &lt;= 40, "Late Career[31-40]")</f>
        <v>New[1-5]</v>
      </c>
      <c r="AI478" s="1">
        <v>2</v>
      </c>
      <c r="AJ478" s="1">
        <v>3</v>
      </c>
      <c r="AK478" s="1">
        <v>1</v>
      </c>
      <c r="AL478" s="9" t="str" cm="1">
        <f t="array" ref="AL478">_xlfn.IFS(AK478 &lt;= 5, "New[1-5]", AK478 &lt;= 10, "Early Career[6-10]", AK478 &lt;= 20, "Established[11-20]", AK478 &lt;= 30, "Veteran[21-30]", AK478 &lt;= 40, "Late Career[31-40]")</f>
        <v>New[1-5]</v>
      </c>
      <c r="AM478" s="1">
        <v>0</v>
      </c>
      <c r="AN478" s="9" t="str" cm="1">
        <f t="array" ref="AN478">_xlfn.IFS(AM478 &lt;= 3, "New to Role[1-3]", AM478 &lt;= 7, "Settled[4-7]", AM478 &lt;= 12, "Experienced[[8-12]", AM478 &lt;= 18, "Long Tenured[13-18]")</f>
        <v>New to Role[1-3]</v>
      </c>
      <c r="AO478" s="1">
        <v>0</v>
      </c>
      <c r="AP478" s="9" t="str" cm="1">
        <f t="array" ref="AP478">_xlfn.IFS(AO478 &lt;= 3, "Recently[1-3]", AO478 &lt;= 6, "Due Soon[4-6]", AO478 &lt;= 10, "Overdue[7-10]", AO478 &lt;= 15, "Long Overdue[11-15]")</f>
        <v>Recently[1-3]</v>
      </c>
      <c r="AQ478" s="9" t="str" cm="1">
        <f t="array" ref="AQ478">_xlfn.IFS(AR478 &lt;= 3, "New Relationship[1-3]", AR478 &lt;= 7, "Established Relationship[4-7]", AR478 &lt;= 12, "Long Term Relationship[8-12]", AR478 &lt;= 17, "Very Long Term Relationship[13-17]")</f>
        <v>New Relationship[1-3]</v>
      </c>
      <c r="AR478" s="1">
        <v>0</v>
      </c>
    </row>
    <row r="479" spans="1:44" x14ac:dyDescent="0.25">
      <c r="A479" s="1">
        <v>50</v>
      </c>
      <c r="B479" s="8" t="str" cm="1">
        <f t="array" ref="B479">_xlfn.IFS(A479 &lt;= 25, "[18-25]", A479 &lt;= 35, "[26-35]", A479 &lt;=45, "[36-45]", A479 &lt;= 60, "[46- 60]")</f>
        <v>[46- 60]</v>
      </c>
      <c r="C479" s="3" t="s">
        <v>43</v>
      </c>
      <c r="D479">
        <f t="shared" si="7"/>
        <v>0</v>
      </c>
      <c r="E479" t="s">
        <v>44</v>
      </c>
      <c r="F479" s="1">
        <v>1246</v>
      </c>
      <c r="G479" s="3" t="s">
        <v>61</v>
      </c>
      <c r="H479" s="1">
        <v>3</v>
      </c>
      <c r="I479" s="9" t="str" cm="1">
        <f t="array" ref="I479">_xlfn.IFS(H479 &lt;= 2, "[1-2] very close", H479 &lt;= 10, "[3-10] close", H479 &lt;= 20, "[11-20] moderate", H479 &lt;= 30, "[21-30] far")</f>
        <v>[3-10] close</v>
      </c>
      <c r="J479" s="1">
        <v>3</v>
      </c>
      <c r="K479" s="3" t="s">
        <v>51</v>
      </c>
      <c r="L479" s="1">
        <v>1</v>
      </c>
      <c r="M479" s="1">
        <v>644</v>
      </c>
      <c r="N479" s="1">
        <v>1</v>
      </c>
      <c r="O479" s="3" t="s">
        <v>46</v>
      </c>
      <c r="P479" s="1">
        <v>99</v>
      </c>
      <c r="Q479" s="1">
        <v>3</v>
      </c>
      <c r="R479" s="1">
        <v>5</v>
      </c>
      <c r="S479" s="3" t="s">
        <v>56</v>
      </c>
      <c r="T479" s="1">
        <v>2</v>
      </c>
      <c r="U479" s="3" t="s">
        <v>48</v>
      </c>
      <c r="V479" s="4">
        <v>18200</v>
      </c>
      <c r="W479" s="1">
        <v>7999</v>
      </c>
      <c r="X479" s="1">
        <v>1</v>
      </c>
      <c r="Y479" s="3" t="s">
        <v>42</v>
      </c>
      <c r="Z479" s="3" t="s">
        <v>43</v>
      </c>
      <c r="AA479" s="5">
        <v>0.11</v>
      </c>
      <c r="AB479" s="10" t="str" cm="1">
        <f t="array" ref="AB479">_xlfn.IFS(AA479 &lt;= 15%, "Low Hike[11-15%]", AA479 &lt;= 20%, "Moderate Hike[16-20%]", AA479 &lt;= 25%,"High Hike[21-25%]")</f>
        <v>Low Hike[11-15%]</v>
      </c>
      <c r="AC479" s="1">
        <v>3</v>
      </c>
      <c r="AD479" s="1">
        <v>3</v>
      </c>
      <c r="AE479" s="1">
        <v>80</v>
      </c>
      <c r="AF479" s="1">
        <v>1</v>
      </c>
      <c r="AG479" s="1">
        <v>32</v>
      </c>
      <c r="AH479" s="9" t="str" cm="1">
        <f t="array" ref="AH479">_xlfn.IFS(AG479 &lt;= 5, "New[1-5]", AG479 &lt;= 10, "Early Career[6-10]", AG479 &lt;= 20, "Established[11-20]", AG479 &lt;= 30, "Veteran[21-30]", AG479 &lt;= 40, "Late Career[31-40]")</f>
        <v>Late Career[31-40]</v>
      </c>
      <c r="AI479" s="1">
        <v>2</v>
      </c>
      <c r="AJ479" s="1">
        <v>3</v>
      </c>
      <c r="AK479" s="1">
        <v>32</v>
      </c>
      <c r="AL479" s="9" t="str" cm="1">
        <f t="array" ref="AL479">_xlfn.IFS(AK479 &lt;= 5, "New[1-5]", AK479 &lt;= 10, "Early Career[6-10]", AK479 &lt;= 20, "Established[11-20]", AK479 &lt;= 30, "Veteran[21-30]", AK479 &lt;= 40, "Late Career[31-40]")</f>
        <v>Late Career[31-40]</v>
      </c>
      <c r="AM479" s="1">
        <v>5</v>
      </c>
      <c r="AN479" s="9" t="str" cm="1">
        <f t="array" ref="AN479">_xlfn.IFS(AM479 &lt;= 3, "New to Role[1-3]", AM479 &lt;= 7, "Settled[4-7]", AM479 &lt;= 12, "Experienced[[8-12]", AM479 &lt;= 18, "Long Tenured[13-18]")</f>
        <v>Settled[4-7]</v>
      </c>
      <c r="AO479" s="1">
        <v>10</v>
      </c>
      <c r="AP479" s="9" t="str" cm="1">
        <f t="array" ref="AP479">_xlfn.IFS(AO479 &lt;= 3, "Recently[1-3]", AO479 &lt;= 6, "Due Soon[4-6]", AO479 &lt;= 10, "Overdue[7-10]", AO479 &lt;= 15, "Long Overdue[11-15]")</f>
        <v>Overdue[7-10]</v>
      </c>
      <c r="AQ479" s="9" t="str" cm="1">
        <f t="array" ref="AQ479">_xlfn.IFS(AR479 &lt;= 3, "New Relationship[1-3]", AR479 &lt;= 7, "Established Relationship[4-7]", AR479 &lt;= 12, "Long Term Relationship[8-12]", AR479 &lt;= 17, "Very Long Term Relationship[13-17]")</f>
        <v>Established Relationship[4-7]</v>
      </c>
      <c r="AR479" s="1">
        <v>7</v>
      </c>
    </row>
    <row r="480" spans="1:44" x14ac:dyDescent="0.25">
      <c r="A480" s="1">
        <v>25</v>
      </c>
      <c r="B480" s="8" t="str" cm="1">
        <f t="array" ref="B480">_xlfn.IFS(A480 &lt;= 25, "[18-25]", A480 &lt;= 35, "[26-35]", A480 &lt;=45, "[36-45]", A480 &lt;= 60, "[46- 60]")</f>
        <v>[18-25]</v>
      </c>
      <c r="C480" s="3" t="s">
        <v>43</v>
      </c>
      <c r="D480">
        <f t="shared" si="7"/>
        <v>0</v>
      </c>
      <c r="E480" t="s">
        <v>36</v>
      </c>
      <c r="F480" s="1">
        <v>622</v>
      </c>
      <c r="G480" s="3" t="s">
        <v>37</v>
      </c>
      <c r="H480" s="1">
        <v>13</v>
      </c>
      <c r="I480" s="9" t="str" cm="1">
        <f t="array" ref="I480">_xlfn.IFS(H480 &lt;= 2, "[1-2] very close", H480 &lt;= 10, "[3-10] close", H480 &lt;= 20, "[11-20] moderate", H480 &lt;= 30, "[21-30] far")</f>
        <v>[11-20] moderate</v>
      </c>
      <c r="J480" s="1">
        <v>1</v>
      </c>
      <c r="K480" s="3" t="s">
        <v>51</v>
      </c>
      <c r="L480" s="1">
        <v>1</v>
      </c>
      <c r="M480" s="1">
        <v>645</v>
      </c>
      <c r="N480" s="1">
        <v>2</v>
      </c>
      <c r="O480" s="3" t="s">
        <v>46</v>
      </c>
      <c r="P480" s="1">
        <v>40</v>
      </c>
      <c r="Q480" s="1">
        <v>3</v>
      </c>
      <c r="R480" s="1">
        <v>1</v>
      </c>
      <c r="S480" s="3" t="s">
        <v>57</v>
      </c>
      <c r="T480" s="1">
        <v>3</v>
      </c>
      <c r="U480" s="3" t="s">
        <v>48</v>
      </c>
      <c r="V480" s="4">
        <v>2096</v>
      </c>
      <c r="W480" s="1">
        <v>26376</v>
      </c>
      <c r="X480" s="1">
        <v>1</v>
      </c>
      <c r="Y480" s="3" t="s">
        <v>42</v>
      </c>
      <c r="Z480" s="3" t="s">
        <v>43</v>
      </c>
      <c r="AA480" s="5">
        <v>0.11</v>
      </c>
      <c r="AB480" s="10" t="str" cm="1">
        <f t="array" ref="AB480">_xlfn.IFS(AA480 &lt;= 15%, "Low Hike[11-15%]", AA480 &lt;= 20%, "Moderate Hike[16-20%]", AA480 &lt;= 25%,"High Hike[21-25%]")</f>
        <v>Low Hike[11-15%]</v>
      </c>
      <c r="AC480" s="1">
        <v>3</v>
      </c>
      <c r="AD480" s="1">
        <v>3</v>
      </c>
      <c r="AE480" s="1">
        <v>80</v>
      </c>
      <c r="AF480" s="1">
        <v>0</v>
      </c>
      <c r="AG480" s="1">
        <v>7</v>
      </c>
      <c r="AH480" s="9" t="str" cm="1">
        <f t="array" ref="AH480">_xlfn.IFS(AG480 &lt;= 5, "New[1-5]", AG480 &lt;= 10, "Early Career[6-10]", AG480 &lt;= 20, "Established[11-20]", AG480 &lt;= 30, "Veteran[21-30]", AG480 &lt;= 40, "Late Career[31-40]")</f>
        <v>Early Career[6-10]</v>
      </c>
      <c r="AI480" s="1">
        <v>1</v>
      </c>
      <c r="AJ480" s="1">
        <v>3</v>
      </c>
      <c r="AK480" s="1">
        <v>7</v>
      </c>
      <c r="AL480" s="9" t="str" cm="1">
        <f t="array" ref="AL480">_xlfn.IFS(AK480 &lt;= 5, "New[1-5]", AK480 &lt;= 10, "Early Career[6-10]", AK480 &lt;= 20, "Established[11-20]", AK480 &lt;= 30, "Veteran[21-30]", AK480 &lt;= 40, "Late Career[31-40]")</f>
        <v>Early Career[6-10]</v>
      </c>
      <c r="AM480" s="1">
        <v>4</v>
      </c>
      <c r="AN480" s="9" t="str" cm="1">
        <f t="array" ref="AN480">_xlfn.IFS(AM480 &lt;= 3, "New to Role[1-3]", AM480 &lt;= 7, "Settled[4-7]", AM480 &lt;= 12, "Experienced[[8-12]", AM480 &lt;= 18, "Long Tenured[13-18]")</f>
        <v>Settled[4-7]</v>
      </c>
      <c r="AO480" s="1">
        <v>0</v>
      </c>
      <c r="AP480" s="9" t="str" cm="1">
        <f t="array" ref="AP480">_xlfn.IFS(AO480 &lt;= 3, "Recently[1-3]", AO480 &lt;= 6, "Due Soon[4-6]", AO480 &lt;= 10, "Overdue[7-10]", AO480 &lt;= 15, "Long Overdue[11-15]")</f>
        <v>Recently[1-3]</v>
      </c>
      <c r="AQ480" s="9" t="str" cm="1">
        <f t="array" ref="AQ480">_xlfn.IFS(AR480 &lt;= 3, "New Relationship[1-3]", AR480 &lt;= 7, "Established Relationship[4-7]", AR480 &lt;= 12, "Long Term Relationship[8-12]", AR480 &lt;= 17, "Very Long Term Relationship[13-17]")</f>
        <v>Established Relationship[4-7]</v>
      </c>
      <c r="AR480" s="1">
        <v>6</v>
      </c>
    </row>
    <row r="481" spans="1:44" x14ac:dyDescent="0.25">
      <c r="A481" s="1">
        <v>24</v>
      </c>
      <c r="B481" s="8" t="str" cm="1">
        <f t="array" ref="B481">_xlfn.IFS(A481 &lt;= 25, "[18-25]", A481 &lt;= 35, "[26-35]", A481 &lt;=45, "[36-45]", A481 &lt;= 60, "[46- 60]")</f>
        <v>[18-25]</v>
      </c>
      <c r="C481" s="3" t="s">
        <v>35</v>
      </c>
      <c r="D481">
        <f t="shared" si="7"/>
        <v>1</v>
      </c>
      <c r="E481" t="s">
        <v>44</v>
      </c>
      <c r="F481" s="1">
        <v>1287</v>
      </c>
      <c r="G481" s="3" t="s">
        <v>45</v>
      </c>
      <c r="H481" s="1">
        <v>7</v>
      </c>
      <c r="I481" s="9" t="str" cm="1">
        <f t="array" ref="I481">_xlfn.IFS(H481 &lt;= 2, "[1-2] very close", H481 &lt;= 10, "[3-10] close", H481 &lt;= 20, "[11-20] moderate", H481 &lt;= 30, "[21-30] far")</f>
        <v>[3-10] close</v>
      </c>
      <c r="J481" s="1">
        <v>3</v>
      </c>
      <c r="K481" s="3" t="s">
        <v>38</v>
      </c>
      <c r="L481" s="1">
        <v>1</v>
      </c>
      <c r="M481" s="1">
        <v>647</v>
      </c>
      <c r="N481" s="1">
        <v>1</v>
      </c>
      <c r="O481" s="3" t="s">
        <v>39</v>
      </c>
      <c r="P481" s="1">
        <v>55</v>
      </c>
      <c r="Q481" s="1">
        <v>3</v>
      </c>
      <c r="R481" s="1">
        <v>1</v>
      </c>
      <c r="S481" s="3" t="s">
        <v>50</v>
      </c>
      <c r="T481" s="1">
        <v>3</v>
      </c>
      <c r="U481" s="3" t="s">
        <v>48</v>
      </c>
      <c r="V481" s="4">
        <v>2886</v>
      </c>
      <c r="W481" s="1">
        <v>14168</v>
      </c>
      <c r="X481" s="1">
        <v>1</v>
      </c>
      <c r="Y481" s="3" t="s">
        <v>42</v>
      </c>
      <c r="Z481" s="3" t="s">
        <v>35</v>
      </c>
      <c r="AA481" s="5">
        <v>0.16</v>
      </c>
      <c r="AB481" s="10" t="str" cm="1">
        <f t="array" ref="AB481">_xlfn.IFS(AA481 &lt;= 15%, "Low Hike[11-15%]", AA481 &lt;= 20%, "Moderate Hike[16-20%]", AA481 &lt;= 25%,"High Hike[21-25%]")</f>
        <v>Moderate Hike[16-20%]</v>
      </c>
      <c r="AC481" s="1">
        <v>3</v>
      </c>
      <c r="AD481" s="1">
        <v>4</v>
      </c>
      <c r="AE481" s="1">
        <v>80</v>
      </c>
      <c r="AF481" s="1">
        <v>1</v>
      </c>
      <c r="AG481" s="1">
        <v>6</v>
      </c>
      <c r="AH481" s="9" t="str" cm="1">
        <f t="array" ref="AH481">_xlfn.IFS(AG481 &lt;= 5, "New[1-5]", AG481 &lt;= 10, "Early Career[6-10]", AG481 &lt;= 20, "Established[11-20]", AG481 &lt;= 30, "Veteran[21-30]", AG481 &lt;= 40, "Late Career[31-40]")</f>
        <v>Early Career[6-10]</v>
      </c>
      <c r="AI481" s="1">
        <v>4</v>
      </c>
      <c r="AJ481" s="1">
        <v>3</v>
      </c>
      <c r="AK481" s="1">
        <v>6</v>
      </c>
      <c r="AL481" s="9" t="str" cm="1">
        <f t="array" ref="AL481">_xlfn.IFS(AK481 &lt;= 5, "New[1-5]", AK481 &lt;= 10, "Early Career[6-10]", AK481 &lt;= 20, "Established[11-20]", AK481 &lt;= 30, "Veteran[21-30]", AK481 &lt;= 40, "Late Career[31-40]")</f>
        <v>Early Career[6-10]</v>
      </c>
      <c r="AM481" s="1">
        <v>3</v>
      </c>
      <c r="AN481" s="9" t="str" cm="1">
        <f t="array" ref="AN481">_xlfn.IFS(AM481 &lt;= 3, "New to Role[1-3]", AM481 &lt;= 7, "Settled[4-7]", AM481 &lt;= 12, "Experienced[[8-12]", AM481 &lt;= 18, "Long Tenured[13-18]")</f>
        <v>New to Role[1-3]</v>
      </c>
      <c r="AO481" s="1">
        <v>1</v>
      </c>
      <c r="AP481" s="9" t="str" cm="1">
        <f t="array" ref="AP481">_xlfn.IFS(AO481 &lt;= 3, "Recently[1-3]", AO481 &lt;= 6, "Due Soon[4-6]", AO481 &lt;= 10, "Overdue[7-10]", AO481 &lt;= 15, "Long Overdue[11-15]")</f>
        <v>Recently[1-3]</v>
      </c>
      <c r="AQ481" s="9" t="str" cm="1">
        <f t="array" ref="AQ481">_xlfn.IFS(AR481 &lt;= 3, "New Relationship[1-3]", AR481 &lt;= 7, "Established Relationship[4-7]", AR481 &lt;= 12, "Long Term Relationship[8-12]", AR481 &lt;= 17, "Very Long Term Relationship[13-17]")</f>
        <v>New Relationship[1-3]</v>
      </c>
      <c r="AR481" s="1">
        <v>2</v>
      </c>
    </row>
    <row r="482" spans="1:44" x14ac:dyDescent="0.25">
      <c r="A482" s="1">
        <v>30</v>
      </c>
      <c r="B482" s="8" t="str" cm="1">
        <f t="array" ref="B482">_xlfn.IFS(A482 &lt;= 25, "[18-25]", A482 &lt;= 35, "[26-35]", A482 &lt;=45, "[36-45]", A482 &lt;= 60, "[46- 60]")</f>
        <v>[26-35]</v>
      </c>
      <c r="C482" s="3" t="s">
        <v>35</v>
      </c>
      <c r="D482">
        <f t="shared" si="7"/>
        <v>1</v>
      </c>
      <c r="E482" t="s">
        <v>44</v>
      </c>
      <c r="F482" s="1">
        <v>448</v>
      </c>
      <c r="G482" s="3" t="s">
        <v>37</v>
      </c>
      <c r="H482" s="1">
        <v>12</v>
      </c>
      <c r="I482" s="9" t="str" cm="1">
        <f t="array" ref="I482">_xlfn.IFS(H482 &lt;= 2, "[1-2] very close", H482 &lt;= 10, "[3-10] close", H482 &lt;= 20, "[11-20] moderate", H482 &lt;= 30, "[21-30] far")</f>
        <v>[11-20] moderate</v>
      </c>
      <c r="J482" s="1">
        <v>4</v>
      </c>
      <c r="K482" s="3" t="s">
        <v>38</v>
      </c>
      <c r="L482" s="1">
        <v>1</v>
      </c>
      <c r="M482" s="1">
        <v>648</v>
      </c>
      <c r="N482" s="1">
        <v>2</v>
      </c>
      <c r="O482" s="3" t="s">
        <v>46</v>
      </c>
      <c r="P482" s="1">
        <v>74</v>
      </c>
      <c r="Q482" s="1">
        <v>2</v>
      </c>
      <c r="R482" s="1">
        <v>1</v>
      </c>
      <c r="S482" s="3" t="s">
        <v>57</v>
      </c>
      <c r="T482" s="1">
        <v>1</v>
      </c>
      <c r="U482" s="3" t="s">
        <v>48</v>
      </c>
      <c r="V482" s="4">
        <v>2033</v>
      </c>
      <c r="W482" s="1">
        <v>14470</v>
      </c>
      <c r="X482" s="1">
        <v>1</v>
      </c>
      <c r="Y482" s="3" t="s">
        <v>42</v>
      </c>
      <c r="Z482" s="3" t="s">
        <v>43</v>
      </c>
      <c r="AA482" s="5">
        <v>0.18</v>
      </c>
      <c r="AB482" s="10" t="str" cm="1">
        <f t="array" ref="AB482">_xlfn.IFS(AA482 &lt;= 15%, "Low Hike[11-15%]", AA482 &lt;= 20%, "Moderate Hike[16-20%]", AA482 &lt;= 25%,"High Hike[21-25%]")</f>
        <v>Moderate Hike[16-20%]</v>
      </c>
      <c r="AC482" s="1">
        <v>3</v>
      </c>
      <c r="AD482" s="1">
        <v>3</v>
      </c>
      <c r="AE482" s="1">
        <v>80</v>
      </c>
      <c r="AF482" s="1">
        <v>1</v>
      </c>
      <c r="AG482" s="1">
        <v>1</v>
      </c>
      <c r="AH482" s="9" t="str" cm="1">
        <f t="array" ref="AH482">_xlfn.IFS(AG482 &lt;= 5, "New[1-5]", AG482 &lt;= 10, "Early Career[6-10]", AG482 &lt;= 20, "Established[11-20]", AG482 &lt;= 30, "Veteran[21-30]", AG482 &lt;= 40, "Late Career[31-40]")</f>
        <v>New[1-5]</v>
      </c>
      <c r="AI482" s="1">
        <v>2</v>
      </c>
      <c r="AJ482" s="1">
        <v>4</v>
      </c>
      <c r="AK482" s="1">
        <v>1</v>
      </c>
      <c r="AL482" s="9" t="str" cm="1">
        <f t="array" ref="AL482">_xlfn.IFS(AK482 &lt;= 5, "New[1-5]", AK482 &lt;= 10, "Early Career[6-10]", AK482 &lt;= 20, "Established[11-20]", AK482 &lt;= 30, "Veteran[21-30]", AK482 &lt;= 40, "Late Career[31-40]")</f>
        <v>New[1-5]</v>
      </c>
      <c r="AM482" s="1">
        <v>0</v>
      </c>
      <c r="AN482" s="9" t="str" cm="1">
        <f t="array" ref="AN482">_xlfn.IFS(AM482 &lt;= 3, "New to Role[1-3]", AM482 &lt;= 7, "Settled[4-7]", AM482 &lt;= 12, "Experienced[[8-12]", AM482 &lt;= 18, "Long Tenured[13-18]")</f>
        <v>New to Role[1-3]</v>
      </c>
      <c r="AO482" s="1">
        <v>0</v>
      </c>
      <c r="AP482" s="9" t="str" cm="1">
        <f t="array" ref="AP482">_xlfn.IFS(AO482 &lt;= 3, "Recently[1-3]", AO482 &lt;= 6, "Due Soon[4-6]", AO482 &lt;= 10, "Overdue[7-10]", AO482 &lt;= 15, "Long Overdue[11-15]")</f>
        <v>Recently[1-3]</v>
      </c>
      <c r="AQ482" s="9" t="str" cm="1">
        <f t="array" ref="AQ482">_xlfn.IFS(AR482 &lt;= 3, "New Relationship[1-3]", AR482 &lt;= 7, "Established Relationship[4-7]", AR482 &lt;= 12, "Long Term Relationship[8-12]", AR482 &lt;= 17, "Very Long Term Relationship[13-17]")</f>
        <v>New Relationship[1-3]</v>
      </c>
      <c r="AR482" s="1">
        <v>0</v>
      </c>
    </row>
    <row r="483" spans="1:44" x14ac:dyDescent="0.25">
      <c r="A483" s="1">
        <v>34</v>
      </c>
      <c r="B483" s="8" t="str" cm="1">
        <f t="array" ref="B483">_xlfn.IFS(A483 &lt;= 25, "[18-25]", A483 &lt;= 35, "[26-35]", A483 &lt;=45, "[36-45]", A483 &lt;= 60, "[46- 60]")</f>
        <v>[26-35]</v>
      </c>
      <c r="C483" s="3" t="s">
        <v>43</v>
      </c>
      <c r="D483">
        <f t="shared" si="7"/>
        <v>0</v>
      </c>
      <c r="E483" t="s">
        <v>36</v>
      </c>
      <c r="F483" s="1">
        <v>254</v>
      </c>
      <c r="G483" s="3" t="s">
        <v>45</v>
      </c>
      <c r="H483" s="1">
        <v>1</v>
      </c>
      <c r="I483" s="9" t="str" cm="1">
        <f t="array" ref="I483">_xlfn.IFS(H483 &lt;= 2, "[1-2] very close", H483 &lt;= 10, "[3-10] close", H483 &lt;= 20, "[11-20] moderate", H483 &lt;= 30, "[21-30] far")</f>
        <v>[1-2] very close</v>
      </c>
      <c r="J483" s="1">
        <v>2</v>
      </c>
      <c r="K483" s="3" t="s">
        <v>38</v>
      </c>
      <c r="L483" s="1">
        <v>1</v>
      </c>
      <c r="M483" s="1">
        <v>649</v>
      </c>
      <c r="N483" s="1">
        <v>2</v>
      </c>
      <c r="O483" s="3" t="s">
        <v>46</v>
      </c>
      <c r="P483" s="1">
        <v>83</v>
      </c>
      <c r="Q483" s="1">
        <v>2</v>
      </c>
      <c r="R483" s="1">
        <v>1</v>
      </c>
      <c r="S483" s="3" t="s">
        <v>47</v>
      </c>
      <c r="T483" s="1">
        <v>4</v>
      </c>
      <c r="U483" s="3" t="s">
        <v>48</v>
      </c>
      <c r="V483" s="4">
        <v>3622</v>
      </c>
      <c r="W483" s="1">
        <v>22794</v>
      </c>
      <c r="X483" s="1">
        <v>1</v>
      </c>
      <c r="Y483" s="3" t="s">
        <v>42</v>
      </c>
      <c r="Z483" s="3" t="s">
        <v>35</v>
      </c>
      <c r="AA483" s="5">
        <v>0.13</v>
      </c>
      <c r="AB483" s="10" t="str" cm="1">
        <f t="array" ref="AB483">_xlfn.IFS(AA483 &lt;= 15%, "Low Hike[11-15%]", AA483 &lt;= 20%, "Moderate Hike[16-20%]", AA483 &lt;= 25%,"High Hike[21-25%]")</f>
        <v>Low Hike[11-15%]</v>
      </c>
      <c r="AC483" s="1">
        <v>3</v>
      </c>
      <c r="AD483" s="1">
        <v>4</v>
      </c>
      <c r="AE483" s="1">
        <v>80</v>
      </c>
      <c r="AF483" s="1">
        <v>1</v>
      </c>
      <c r="AG483" s="1">
        <v>6</v>
      </c>
      <c r="AH483" s="9" t="str" cm="1">
        <f t="array" ref="AH483">_xlfn.IFS(AG483 &lt;= 5, "New[1-5]", AG483 &lt;= 10, "Early Career[6-10]", AG483 &lt;= 20, "Established[11-20]", AG483 &lt;= 30, "Veteran[21-30]", AG483 &lt;= 40, "Late Career[31-40]")</f>
        <v>Early Career[6-10]</v>
      </c>
      <c r="AI483" s="1">
        <v>3</v>
      </c>
      <c r="AJ483" s="1">
        <v>3</v>
      </c>
      <c r="AK483" s="1">
        <v>6</v>
      </c>
      <c r="AL483" s="9" t="str" cm="1">
        <f t="array" ref="AL483">_xlfn.IFS(AK483 &lt;= 5, "New[1-5]", AK483 &lt;= 10, "Early Career[6-10]", AK483 &lt;= 20, "Established[11-20]", AK483 &lt;= 30, "Veteran[21-30]", AK483 &lt;= 40, "Late Career[31-40]")</f>
        <v>Early Career[6-10]</v>
      </c>
      <c r="AM483" s="1">
        <v>5</v>
      </c>
      <c r="AN483" s="9" t="str" cm="1">
        <f t="array" ref="AN483">_xlfn.IFS(AM483 &lt;= 3, "New to Role[1-3]", AM483 &lt;= 7, "Settled[4-7]", AM483 &lt;= 12, "Experienced[[8-12]", AM483 &lt;= 18, "Long Tenured[13-18]")</f>
        <v>Settled[4-7]</v>
      </c>
      <c r="AO483" s="1">
        <v>1</v>
      </c>
      <c r="AP483" s="9" t="str" cm="1">
        <f t="array" ref="AP483">_xlfn.IFS(AO483 &lt;= 3, "Recently[1-3]", AO483 &lt;= 6, "Due Soon[4-6]", AO483 &lt;= 10, "Overdue[7-10]", AO483 &lt;= 15, "Long Overdue[11-15]")</f>
        <v>Recently[1-3]</v>
      </c>
      <c r="AQ483" s="9" t="str" cm="1">
        <f t="array" ref="AQ483">_xlfn.IFS(AR483 &lt;= 3, "New Relationship[1-3]", AR483 &lt;= 7, "Established Relationship[4-7]", AR483 &lt;= 12, "Long Term Relationship[8-12]", AR483 &lt;= 17, "Very Long Term Relationship[13-17]")</f>
        <v>New Relationship[1-3]</v>
      </c>
      <c r="AR483" s="1">
        <v>3</v>
      </c>
    </row>
    <row r="484" spans="1:44" x14ac:dyDescent="0.25">
      <c r="A484" s="1">
        <v>31</v>
      </c>
      <c r="B484" s="8" t="str" cm="1">
        <f t="array" ref="B484">_xlfn.IFS(A484 &lt;= 25, "[18-25]", A484 &lt;= 35, "[26-35]", A484 &lt;=45, "[36-45]", A484 &lt;= 60, "[46- 60]")</f>
        <v>[26-35]</v>
      </c>
      <c r="C484" s="3" t="s">
        <v>35</v>
      </c>
      <c r="D484">
        <f t="shared" si="7"/>
        <v>1</v>
      </c>
      <c r="E484" t="s">
        <v>36</v>
      </c>
      <c r="F484" s="1">
        <v>1365</v>
      </c>
      <c r="G484" s="3" t="s">
        <v>37</v>
      </c>
      <c r="H484" s="1">
        <v>13</v>
      </c>
      <c r="I484" s="9" t="str" cm="1">
        <f t="array" ref="I484">_xlfn.IFS(H484 &lt;= 2, "[1-2] very close", H484 &lt;= 10, "[3-10] close", H484 &lt;= 20, "[11-20] moderate", H484 &lt;= 30, "[21-30] far")</f>
        <v>[11-20] moderate</v>
      </c>
      <c r="J484" s="1">
        <v>4</v>
      </c>
      <c r="K484" s="3" t="s">
        <v>51</v>
      </c>
      <c r="L484" s="1">
        <v>1</v>
      </c>
      <c r="M484" s="1">
        <v>650</v>
      </c>
      <c r="N484" s="1">
        <v>2</v>
      </c>
      <c r="O484" s="3" t="s">
        <v>46</v>
      </c>
      <c r="P484" s="1">
        <v>46</v>
      </c>
      <c r="Q484" s="1">
        <v>3</v>
      </c>
      <c r="R484" s="1">
        <v>2</v>
      </c>
      <c r="S484" s="3" t="s">
        <v>40</v>
      </c>
      <c r="T484" s="1">
        <v>1</v>
      </c>
      <c r="U484" s="3" t="s">
        <v>52</v>
      </c>
      <c r="V484" s="4">
        <v>4233</v>
      </c>
      <c r="W484" s="1">
        <v>11512</v>
      </c>
      <c r="X484" s="1">
        <v>2</v>
      </c>
      <c r="Y484" s="3" t="s">
        <v>42</v>
      </c>
      <c r="Z484" s="3" t="s">
        <v>43</v>
      </c>
      <c r="AA484" s="5">
        <v>0.17</v>
      </c>
      <c r="AB484" s="10" t="str" cm="1">
        <f t="array" ref="AB484">_xlfn.IFS(AA484 &lt;= 15%, "Low Hike[11-15%]", AA484 &lt;= 20%, "Moderate Hike[16-20%]", AA484 &lt;= 25%,"High Hike[21-25%]")</f>
        <v>Moderate Hike[16-20%]</v>
      </c>
      <c r="AC484" s="1">
        <v>3</v>
      </c>
      <c r="AD484" s="1">
        <v>3</v>
      </c>
      <c r="AE484" s="1">
        <v>80</v>
      </c>
      <c r="AF484" s="1">
        <v>0</v>
      </c>
      <c r="AG484" s="1">
        <v>9</v>
      </c>
      <c r="AH484" s="9" t="str" cm="1">
        <f t="array" ref="AH484">_xlfn.IFS(AG484 &lt;= 5, "New[1-5]", AG484 &lt;= 10, "Early Career[6-10]", AG484 &lt;= 20, "Established[11-20]", AG484 &lt;= 30, "Veteran[21-30]", AG484 &lt;= 40, "Late Career[31-40]")</f>
        <v>Early Career[6-10]</v>
      </c>
      <c r="AI484" s="1">
        <v>2</v>
      </c>
      <c r="AJ484" s="1">
        <v>1</v>
      </c>
      <c r="AK484" s="1">
        <v>3</v>
      </c>
      <c r="AL484" s="9" t="str" cm="1">
        <f t="array" ref="AL484">_xlfn.IFS(AK484 &lt;= 5, "New[1-5]", AK484 &lt;= 10, "Early Career[6-10]", AK484 &lt;= 20, "Established[11-20]", AK484 &lt;= 30, "Veteran[21-30]", AK484 &lt;= 40, "Late Career[31-40]")</f>
        <v>New[1-5]</v>
      </c>
      <c r="AM484" s="1">
        <v>1</v>
      </c>
      <c r="AN484" s="9" t="str" cm="1">
        <f t="array" ref="AN484">_xlfn.IFS(AM484 &lt;= 3, "New to Role[1-3]", AM484 &lt;= 7, "Settled[4-7]", AM484 &lt;= 12, "Experienced[[8-12]", AM484 &lt;= 18, "Long Tenured[13-18]")</f>
        <v>New to Role[1-3]</v>
      </c>
      <c r="AO484" s="1">
        <v>1</v>
      </c>
      <c r="AP484" s="9" t="str" cm="1">
        <f t="array" ref="AP484">_xlfn.IFS(AO484 &lt;= 3, "Recently[1-3]", AO484 &lt;= 6, "Due Soon[4-6]", AO484 &lt;= 10, "Overdue[7-10]", AO484 &lt;= 15, "Long Overdue[11-15]")</f>
        <v>Recently[1-3]</v>
      </c>
      <c r="AQ484" s="9" t="str" cm="1">
        <f t="array" ref="AQ484">_xlfn.IFS(AR484 &lt;= 3, "New Relationship[1-3]", AR484 &lt;= 7, "Established Relationship[4-7]", AR484 &lt;= 12, "Long Term Relationship[8-12]", AR484 &lt;= 17, "Very Long Term Relationship[13-17]")</f>
        <v>New Relationship[1-3]</v>
      </c>
      <c r="AR484" s="1">
        <v>2</v>
      </c>
    </row>
    <row r="485" spans="1:44" x14ac:dyDescent="0.25">
      <c r="A485" s="1">
        <v>35</v>
      </c>
      <c r="B485" s="8" t="str" cm="1">
        <f t="array" ref="B485">_xlfn.IFS(A485 &lt;= 25, "[18-25]", A485 &lt;= 35, "[26-35]", A485 &lt;=45, "[36-45]", A485 &lt;= 60, "[46- 60]")</f>
        <v>[26-35]</v>
      </c>
      <c r="C485" s="3" t="s">
        <v>43</v>
      </c>
      <c r="D485">
        <f t="shared" si="7"/>
        <v>0</v>
      </c>
      <c r="E485" t="s">
        <v>36</v>
      </c>
      <c r="F485" s="1">
        <v>538</v>
      </c>
      <c r="G485" s="3" t="s">
        <v>45</v>
      </c>
      <c r="H485" s="1">
        <v>25</v>
      </c>
      <c r="I485" s="9" t="str" cm="1">
        <f t="array" ref="I485">_xlfn.IFS(H485 &lt;= 2, "[1-2] very close", H485 &lt;= 10, "[3-10] close", H485 &lt;= 20, "[11-20] moderate", H485 &lt;= 30, "[21-30] far")</f>
        <v>[21-30] far</v>
      </c>
      <c r="J485" s="1">
        <v>2</v>
      </c>
      <c r="K485" s="3" t="s">
        <v>49</v>
      </c>
      <c r="L485" s="1">
        <v>1</v>
      </c>
      <c r="M485" s="1">
        <v>652</v>
      </c>
      <c r="N485" s="1">
        <v>1</v>
      </c>
      <c r="O485" s="3" t="s">
        <v>46</v>
      </c>
      <c r="P485" s="1">
        <v>54</v>
      </c>
      <c r="Q485" s="1">
        <v>2</v>
      </c>
      <c r="R485" s="1">
        <v>2</v>
      </c>
      <c r="S485" s="3" t="s">
        <v>50</v>
      </c>
      <c r="T485" s="1">
        <v>4</v>
      </c>
      <c r="U485" s="3" t="s">
        <v>41</v>
      </c>
      <c r="V485" s="4">
        <v>3681</v>
      </c>
      <c r="W485" s="1">
        <v>14004</v>
      </c>
      <c r="X485" s="1">
        <v>4</v>
      </c>
      <c r="Y485" s="3" t="s">
        <v>42</v>
      </c>
      <c r="Z485" s="3" t="s">
        <v>43</v>
      </c>
      <c r="AA485" s="5">
        <v>0.14000000000000001</v>
      </c>
      <c r="AB485" s="10" t="str" cm="1">
        <f t="array" ref="AB485">_xlfn.IFS(AA485 &lt;= 15%, "Low Hike[11-15%]", AA485 &lt;= 20%, "Moderate Hike[16-20%]", AA485 &lt;= 25%,"High Hike[21-25%]")</f>
        <v>Low Hike[11-15%]</v>
      </c>
      <c r="AC485" s="1">
        <v>3</v>
      </c>
      <c r="AD485" s="1">
        <v>4</v>
      </c>
      <c r="AE485" s="1">
        <v>80</v>
      </c>
      <c r="AF485" s="1">
        <v>0</v>
      </c>
      <c r="AG485" s="1">
        <v>9</v>
      </c>
      <c r="AH485" s="9" t="str" cm="1">
        <f t="array" ref="AH485">_xlfn.IFS(AG485 &lt;= 5, "New[1-5]", AG485 &lt;= 10, "Early Career[6-10]", AG485 &lt;= 20, "Established[11-20]", AG485 &lt;= 30, "Veteran[21-30]", AG485 &lt;= 40, "Late Career[31-40]")</f>
        <v>Early Career[6-10]</v>
      </c>
      <c r="AI485" s="1">
        <v>3</v>
      </c>
      <c r="AJ485" s="1">
        <v>3</v>
      </c>
      <c r="AK485" s="1">
        <v>3</v>
      </c>
      <c r="AL485" s="9" t="str" cm="1">
        <f t="array" ref="AL485">_xlfn.IFS(AK485 &lt;= 5, "New[1-5]", AK485 &lt;= 10, "Early Career[6-10]", AK485 &lt;= 20, "Established[11-20]", AK485 &lt;= 30, "Veteran[21-30]", AK485 &lt;= 40, "Late Career[31-40]")</f>
        <v>New[1-5]</v>
      </c>
      <c r="AM485" s="1">
        <v>2</v>
      </c>
      <c r="AN485" s="9" t="str" cm="1">
        <f t="array" ref="AN485">_xlfn.IFS(AM485 &lt;= 3, "New to Role[1-3]", AM485 &lt;= 7, "Settled[4-7]", AM485 &lt;= 12, "Experienced[[8-12]", AM485 &lt;= 18, "Long Tenured[13-18]")</f>
        <v>New to Role[1-3]</v>
      </c>
      <c r="AO485" s="1">
        <v>0</v>
      </c>
      <c r="AP485" s="9" t="str" cm="1">
        <f t="array" ref="AP485">_xlfn.IFS(AO485 &lt;= 3, "Recently[1-3]", AO485 &lt;= 6, "Due Soon[4-6]", AO485 &lt;= 10, "Overdue[7-10]", AO485 &lt;= 15, "Long Overdue[11-15]")</f>
        <v>Recently[1-3]</v>
      </c>
      <c r="AQ485" s="9" t="str" cm="1">
        <f t="array" ref="AQ485">_xlfn.IFS(AR485 &lt;= 3, "New Relationship[1-3]", AR485 &lt;= 7, "Established Relationship[4-7]", AR485 &lt;= 12, "Long Term Relationship[8-12]", AR485 &lt;= 17, "Very Long Term Relationship[13-17]")</f>
        <v>New Relationship[1-3]</v>
      </c>
      <c r="AR485" s="1">
        <v>2</v>
      </c>
    </row>
    <row r="486" spans="1:44" x14ac:dyDescent="0.25">
      <c r="A486" s="1">
        <v>31</v>
      </c>
      <c r="B486" s="8" t="str" cm="1">
        <f t="array" ref="B486">_xlfn.IFS(A486 &lt;= 25, "[18-25]", A486 &lt;= 35, "[26-35]", A486 &lt;=45, "[36-45]", A486 &lt;= 60, "[46- 60]")</f>
        <v>[26-35]</v>
      </c>
      <c r="C486" s="3" t="s">
        <v>43</v>
      </c>
      <c r="D486">
        <f t="shared" si="7"/>
        <v>0</v>
      </c>
      <c r="E486" t="s">
        <v>36</v>
      </c>
      <c r="F486" s="1">
        <v>525</v>
      </c>
      <c r="G486" s="3" t="s">
        <v>37</v>
      </c>
      <c r="H486" s="1">
        <v>6</v>
      </c>
      <c r="I486" s="9" t="str" cm="1">
        <f t="array" ref="I486">_xlfn.IFS(H486 &lt;= 2, "[1-2] very close", H486 &lt;= 10, "[3-10] close", H486 &lt;= 20, "[11-20] moderate", H486 &lt;= 30, "[21-30] far")</f>
        <v>[3-10] close</v>
      </c>
      <c r="J486" s="1">
        <v>4</v>
      </c>
      <c r="K486" s="3" t="s">
        <v>51</v>
      </c>
      <c r="L486" s="1">
        <v>1</v>
      </c>
      <c r="M486" s="1">
        <v>653</v>
      </c>
      <c r="N486" s="1">
        <v>1</v>
      </c>
      <c r="O486" s="3" t="s">
        <v>46</v>
      </c>
      <c r="P486" s="1">
        <v>66</v>
      </c>
      <c r="Q486" s="1">
        <v>4</v>
      </c>
      <c r="R486" s="1">
        <v>2</v>
      </c>
      <c r="S486" s="3" t="s">
        <v>40</v>
      </c>
      <c r="T486" s="1">
        <v>4</v>
      </c>
      <c r="U486" s="3" t="s">
        <v>52</v>
      </c>
      <c r="V486" s="4">
        <v>5460</v>
      </c>
      <c r="W486" s="1">
        <v>6219</v>
      </c>
      <c r="X486" s="1">
        <v>4</v>
      </c>
      <c r="Y486" s="3" t="s">
        <v>42</v>
      </c>
      <c r="Z486" s="3" t="s">
        <v>43</v>
      </c>
      <c r="AA486" s="5">
        <v>0.22</v>
      </c>
      <c r="AB486" s="10" t="str" cm="1">
        <f t="array" ref="AB486">_xlfn.IFS(AA486 &lt;= 15%, "Low Hike[11-15%]", AA486 &lt;= 20%, "Moderate Hike[16-20%]", AA486 &lt;= 25%,"High Hike[21-25%]")</f>
        <v>High Hike[21-25%]</v>
      </c>
      <c r="AC486" s="1">
        <v>4</v>
      </c>
      <c r="AD486" s="1">
        <v>4</v>
      </c>
      <c r="AE486" s="1">
        <v>80</v>
      </c>
      <c r="AF486" s="1">
        <v>2</v>
      </c>
      <c r="AG486" s="1">
        <v>13</v>
      </c>
      <c r="AH486" s="9" t="str" cm="1">
        <f t="array" ref="AH486">_xlfn.IFS(AG486 &lt;= 5, "New[1-5]", AG486 &lt;= 10, "Early Career[6-10]", AG486 &lt;= 20, "Established[11-20]", AG486 &lt;= 30, "Veteran[21-30]", AG486 &lt;= 40, "Late Career[31-40]")</f>
        <v>Established[11-20]</v>
      </c>
      <c r="AI486" s="1">
        <v>4</v>
      </c>
      <c r="AJ486" s="1">
        <v>4</v>
      </c>
      <c r="AK486" s="1">
        <v>7</v>
      </c>
      <c r="AL486" s="9" t="str" cm="1">
        <f t="array" ref="AL486">_xlfn.IFS(AK486 &lt;= 5, "New[1-5]", AK486 &lt;= 10, "Early Career[6-10]", AK486 &lt;= 20, "Established[11-20]", AK486 &lt;= 30, "Veteran[21-30]", AK486 &lt;= 40, "Late Career[31-40]")</f>
        <v>Early Career[6-10]</v>
      </c>
      <c r="AM486" s="1">
        <v>7</v>
      </c>
      <c r="AN486" s="9" t="str" cm="1">
        <f t="array" ref="AN486">_xlfn.IFS(AM486 &lt;= 3, "New to Role[1-3]", AM486 &lt;= 7, "Settled[4-7]", AM486 &lt;= 12, "Experienced[[8-12]", AM486 &lt;= 18, "Long Tenured[13-18]")</f>
        <v>Settled[4-7]</v>
      </c>
      <c r="AO486" s="1">
        <v>5</v>
      </c>
      <c r="AP486" s="9" t="str" cm="1">
        <f t="array" ref="AP486">_xlfn.IFS(AO486 &lt;= 3, "Recently[1-3]", AO486 &lt;= 6, "Due Soon[4-6]", AO486 &lt;= 10, "Overdue[7-10]", AO486 &lt;= 15, "Long Overdue[11-15]")</f>
        <v>Due Soon[4-6]</v>
      </c>
      <c r="AQ486" s="9" t="str" cm="1">
        <f t="array" ref="AQ486">_xlfn.IFS(AR486 &lt;= 3, "New Relationship[1-3]", AR486 &lt;= 7, "Established Relationship[4-7]", AR486 &lt;= 12, "Long Term Relationship[8-12]", AR486 &lt;= 17, "Very Long Term Relationship[13-17]")</f>
        <v>Established Relationship[4-7]</v>
      </c>
      <c r="AR486" s="1">
        <v>7</v>
      </c>
    </row>
    <row r="487" spans="1:44" x14ac:dyDescent="0.25">
      <c r="A487" s="1">
        <v>27</v>
      </c>
      <c r="B487" s="8" t="str" cm="1">
        <f t="array" ref="B487">_xlfn.IFS(A487 &lt;= 25, "[18-25]", A487 &lt;= 35, "[26-35]", A487 &lt;=45, "[36-45]", A487 &lt;= 60, "[46- 60]")</f>
        <v>[26-35]</v>
      </c>
      <c r="C487" s="3" t="s">
        <v>43</v>
      </c>
      <c r="D487">
        <f t="shared" si="7"/>
        <v>0</v>
      </c>
      <c r="E487" t="s">
        <v>36</v>
      </c>
      <c r="F487" s="1">
        <v>798</v>
      </c>
      <c r="G487" s="3" t="s">
        <v>45</v>
      </c>
      <c r="H487" s="1">
        <v>6</v>
      </c>
      <c r="I487" s="9" t="str" cm="1">
        <f t="array" ref="I487">_xlfn.IFS(H487 &lt;= 2, "[1-2] very close", H487 &lt;= 10, "[3-10] close", H487 &lt;= 20, "[11-20] moderate", H487 &lt;= 30, "[21-30] far")</f>
        <v>[3-10] close</v>
      </c>
      <c r="J487" s="1">
        <v>4</v>
      </c>
      <c r="K487" s="3" t="s">
        <v>51</v>
      </c>
      <c r="L487" s="1">
        <v>1</v>
      </c>
      <c r="M487" s="1">
        <v>655</v>
      </c>
      <c r="N487" s="1">
        <v>1</v>
      </c>
      <c r="O487" s="3" t="s">
        <v>39</v>
      </c>
      <c r="P487" s="1">
        <v>66</v>
      </c>
      <c r="Q487" s="1">
        <v>2</v>
      </c>
      <c r="R487" s="1">
        <v>1</v>
      </c>
      <c r="S487" s="3" t="s">
        <v>47</v>
      </c>
      <c r="T487" s="1">
        <v>3</v>
      </c>
      <c r="U487" s="3" t="s">
        <v>52</v>
      </c>
      <c r="V487" s="4">
        <v>2187</v>
      </c>
      <c r="W487" s="1">
        <v>5013</v>
      </c>
      <c r="X487" s="1">
        <v>0</v>
      </c>
      <c r="Y487" s="3" t="s">
        <v>42</v>
      </c>
      <c r="Z487" s="3" t="s">
        <v>43</v>
      </c>
      <c r="AA487" s="5">
        <v>0.12</v>
      </c>
      <c r="AB487" s="10" t="str" cm="1">
        <f t="array" ref="AB487">_xlfn.IFS(AA487 &lt;= 15%, "Low Hike[11-15%]", AA487 &lt;= 20%, "Moderate Hike[16-20%]", AA487 &lt;= 25%,"High Hike[21-25%]")</f>
        <v>Low Hike[11-15%]</v>
      </c>
      <c r="AC487" s="1">
        <v>3</v>
      </c>
      <c r="AD487" s="1">
        <v>3</v>
      </c>
      <c r="AE487" s="1">
        <v>80</v>
      </c>
      <c r="AF487" s="1">
        <v>2</v>
      </c>
      <c r="AG487" s="1">
        <v>6</v>
      </c>
      <c r="AH487" s="9" t="str" cm="1">
        <f t="array" ref="AH487">_xlfn.IFS(AG487 &lt;= 5, "New[1-5]", AG487 &lt;= 10, "Early Career[6-10]", AG487 &lt;= 20, "Established[11-20]", AG487 &lt;= 30, "Veteran[21-30]", AG487 &lt;= 40, "Late Career[31-40]")</f>
        <v>Early Career[6-10]</v>
      </c>
      <c r="AI487" s="1">
        <v>5</v>
      </c>
      <c r="AJ487" s="1">
        <v>2</v>
      </c>
      <c r="AK487" s="1">
        <v>5</v>
      </c>
      <c r="AL487" s="9" t="str" cm="1">
        <f t="array" ref="AL487">_xlfn.IFS(AK487 &lt;= 5, "New[1-5]", AK487 &lt;= 10, "Early Career[6-10]", AK487 &lt;= 20, "Established[11-20]", AK487 &lt;= 30, "Veteran[21-30]", AK487 &lt;= 40, "Late Career[31-40]")</f>
        <v>New[1-5]</v>
      </c>
      <c r="AM487" s="1">
        <v>3</v>
      </c>
      <c r="AN487" s="9" t="str" cm="1">
        <f t="array" ref="AN487">_xlfn.IFS(AM487 &lt;= 3, "New to Role[1-3]", AM487 &lt;= 7, "Settled[4-7]", AM487 &lt;= 12, "Experienced[[8-12]", AM487 &lt;= 18, "Long Tenured[13-18]")</f>
        <v>New to Role[1-3]</v>
      </c>
      <c r="AO487" s="1">
        <v>0</v>
      </c>
      <c r="AP487" s="9" t="str" cm="1">
        <f t="array" ref="AP487">_xlfn.IFS(AO487 &lt;= 3, "Recently[1-3]", AO487 &lt;= 6, "Due Soon[4-6]", AO487 &lt;= 10, "Overdue[7-10]", AO487 &lt;= 15, "Long Overdue[11-15]")</f>
        <v>Recently[1-3]</v>
      </c>
      <c r="AQ487" s="9" t="str" cm="1">
        <f t="array" ref="AQ487">_xlfn.IFS(AR487 &lt;= 3, "New Relationship[1-3]", AR487 &lt;= 7, "Established Relationship[4-7]", AR487 &lt;= 12, "Long Term Relationship[8-12]", AR487 &lt;= 17, "Very Long Term Relationship[13-17]")</f>
        <v>New Relationship[1-3]</v>
      </c>
      <c r="AR487" s="1">
        <v>3</v>
      </c>
    </row>
    <row r="488" spans="1:44" x14ac:dyDescent="0.25">
      <c r="A488" s="1">
        <v>37</v>
      </c>
      <c r="B488" s="8" t="str" cm="1">
        <f t="array" ref="B488">_xlfn.IFS(A488 &lt;= 25, "[18-25]", A488 &lt;= 35, "[26-35]", A488 &lt;=45, "[36-45]", A488 &lt;= 60, "[46- 60]")</f>
        <v>[36-45]</v>
      </c>
      <c r="C488" s="3" t="s">
        <v>43</v>
      </c>
      <c r="D488">
        <f t="shared" si="7"/>
        <v>0</v>
      </c>
      <c r="E488" t="s">
        <v>36</v>
      </c>
      <c r="F488" s="1">
        <v>558</v>
      </c>
      <c r="G488" s="3" t="s">
        <v>37</v>
      </c>
      <c r="H488" s="1">
        <v>2</v>
      </c>
      <c r="I488" s="9" t="str" cm="1">
        <f t="array" ref="I488">_xlfn.IFS(H488 &lt;= 2, "[1-2] very close", H488 &lt;= 10, "[3-10] close", H488 &lt;= 20, "[11-20] moderate", H488 &lt;= 30, "[21-30] far")</f>
        <v>[1-2] very close</v>
      </c>
      <c r="J488" s="1">
        <v>3</v>
      </c>
      <c r="K488" s="3" t="s">
        <v>59</v>
      </c>
      <c r="L488" s="1">
        <v>1</v>
      </c>
      <c r="M488" s="1">
        <v>656</v>
      </c>
      <c r="N488" s="1">
        <v>4</v>
      </c>
      <c r="O488" s="3" t="s">
        <v>46</v>
      </c>
      <c r="P488" s="1">
        <v>75</v>
      </c>
      <c r="Q488" s="1">
        <v>3</v>
      </c>
      <c r="R488" s="1">
        <v>2</v>
      </c>
      <c r="S488" s="3" t="s">
        <v>40</v>
      </c>
      <c r="T488" s="1">
        <v>3</v>
      </c>
      <c r="U488" s="3" t="s">
        <v>48</v>
      </c>
      <c r="V488" s="4">
        <v>9602</v>
      </c>
      <c r="W488" s="1">
        <v>3010</v>
      </c>
      <c r="X488" s="1">
        <v>4</v>
      </c>
      <c r="Y488" s="3" t="s">
        <v>42</v>
      </c>
      <c r="Z488" s="3" t="s">
        <v>35</v>
      </c>
      <c r="AA488" s="5">
        <v>0.11</v>
      </c>
      <c r="AB488" s="10" t="str" cm="1">
        <f t="array" ref="AB488">_xlfn.IFS(AA488 &lt;= 15%, "Low Hike[11-15%]", AA488 &lt;= 20%, "Moderate Hike[16-20%]", AA488 &lt;= 25%,"High Hike[21-25%]")</f>
        <v>Low Hike[11-15%]</v>
      </c>
      <c r="AC488" s="1">
        <v>3</v>
      </c>
      <c r="AD488" s="1">
        <v>3</v>
      </c>
      <c r="AE488" s="1">
        <v>80</v>
      </c>
      <c r="AF488" s="1">
        <v>1</v>
      </c>
      <c r="AG488" s="1">
        <v>17</v>
      </c>
      <c r="AH488" s="9" t="str" cm="1">
        <f t="array" ref="AH488">_xlfn.IFS(AG488 &lt;= 5, "New[1-5]", AG488 &lt;= 10, "Early Career[6-10]", AG488 &lt;= 20, "Established[11-20]", AG488 &lt;= 30, "Veteran[21-30]", AG488 &lt;= 40, "Late Career[31-40]")</f>
        <v>Established[11-20]</v>
      </c>
      <c r="AI488" s="1">
        <v>3</v>
      </c>
      <c r="AJ488" s="1">
        <v>2</v>
      </c>
      <c r="AK488" s="1">
        <v>3</v>
      </c>
      <c r="AL488" s="9" t="str" cm="1">
        <f t="array" ref="AL488">_xlfn.IFS(AK488 &lt;= 5, "New[1-5]", AK488 &lt;= 10, "Early Career[6-10]", AK488 &lt;= 20, "Established[11-20]", AK488 &lt;= 30, "Veteran[21-30]", AK488 &lt;= 40, "Late Career[31-40]")</f>
        <v>New[1-5]</v>
      </c>
      <c r="AM488" s="1">
        <v>0</v>
      </c>
      <c r="AN488" s="9" t="str" cm="1">
        <f t="array" ref="AN488">_xlfn.IFS(AM488 &lt;= 3, "New to Role[1-3]", AM488 &lt;= 7, "Settled[4-7]", AM488 &lt;= 12, "Experienced[[8-12]", AM488 &lt;= 18, "Long Tenured[13-18]")</f>
        <v>New to Role[1-3]</v>
      </c>
      <c r="AO488" s="1">
        <v>1</v>
      </c>
      <c r="AP488" s="9" t="str" cm="1">
        <f t="array" ref="AP488">_xlfn.IFS(AO488 &lt;= 3, "Recently[1-3]", AO488 &lt;= 6, "Due Soon[4-6]", AO488 &lt;= 10, "Overdue[7-10]", AO488 &lt;= 15, "Long Overdue[11-15]")</f>
        <v>Recently[1-3]</v>
      </c>
      <c r="AQ488" s="9" t="str" cm="1">
        <f t="array" ref="AQ488">_xlfn.IFS(AR488 &lt;= 3, "New Relationship[1-3]", AR488 &lt;= 7, "Established Relationship[4-7]", AR488 &lt;= 12, "Long Term Relationship[8-12]", AR488 &lt;= 17, "Very Long Term Relationship[13-17]")</f>
        <v>New Relationship[1-3]</v>
      </c>
      <c r="AR488" s="1">
        <v>0</v>
      </c>
    </row>
    <row r="489" spans="1:44" x14ac:dyDescent="0.25">
      <c r="A489" s="1">
        <v>20</v>
      </c>
      <c r="B489" s="8" t="str" cm="1">
        <f t="array" ref="B489">_xlfn.IFS(A489 &lt;= 25, "[18-25]", A489 &lt;= 35, "[26-35]", A489 &lt;=45, "[36-45]", A489 &lt;= 60, "[46- 60]")</f>
        <v>[18-25]</v>
      </c>
      <c r="C489" s="3" t="s">
        <v>43</v>
      </c>
      <c r="D489">
        <f t="shared" si="7"/>
        <v>0</v>
      </c>
      <c r="E489" t="s">
        <v>36</v>
      </c>
      <c r="F489" s="1">
        <v>959</v>
      </c>
      <c r="G489" s="3" t="s">
        <v>45</v>
      </c>
      <c r="H489" s="1">
        <v>1</v>
      </c>
      <c r="I489" s="9" t="str" cm="1">
        <f t="array" ref="I489">_xlfn.IFS(H489 &lt;= 2, "[1-2] very close", H489 &lt;= 10, "[3-10] close", H489 &lt;= 20, "[11-20] moderate", H489 &lt;= 30, "[21-30] far")</f>
        <v>[1-2] very close</v>
      </c>
      <c r="J489" s="1">
        <v>3</v>
      </c>
      <c r="K489" s="3" t="s">
        <v>38</v>
      </c>
      <c r="L489" s="1">
        <v>1</v>
      </c>
      <c r="M489" s="1">
        <v>657</v>
      </c>
      <c r="N489" s="1">
        <v>4</v>
      </c>
      <c r="O489" s="3" t="s">
        <v>39</v>
      </c>
      <c r="P489" s="1">
        <v>83</v>
      </c>
      <c r="Q489" s="1">
        <v>2</v>
      </c>
      <c r="R489" s="1">
        <v>1</v>
      </c>
      <c r="S489" s="3" t="s">
        <v>47</v>
      </c>
      <c r="T489" s="1">
        <v>2</v>
      </c>
      <c r="U489" s="3" t="s">
        <v>41</v>
      </c>
      <c r="V489" s="4">
        <v>2836</v>
      </c>
      <c r="W489" s="1">
        <v>11757</v>
      </c>
      <c r="X489" s="1">
        <v>1</v>
      </c>
      <c r="Y489" s="3" t="s">
        <v>42</v>
      </c>
      <c r="Z489" s="3" t="s">
        <v>43</v>
      </c>
      <c r="AA489" s="5">
        <v>0.13</v>
      </c>
      <c r="AB489" s="10" t="str" cm="1">
        <f t="array" ref="AB489">_xlfn.IFS(AA489 &lt;= 15%, "Low Hike[11-15%]", AA489 &lt;= 20%, "Moderate Hike[16-20%]", AA489 &lt;= 25%,"High Hike[21-25%]")</f>
        <v>Low Hike[11-15%]</v>
      </c>
      <c r="AC489" s="1">
        <v>3</v>
      </c>
      <c r="AD489" s="1">
        <v>4</v>
      </c>
      <c r="AE489" s="1">
        <v>80</v>
      </c>
      <c r="AF489" s="1">
        <v>0</v>
      </c>
      <c r="AG489" s="1">
        <v>1</v>
      </c>
      <c r="AH489" s="9" t="str" cm="1">
        <f t="array" ref="AH489">_xlfn.IFS(AG489 &lt;= 5, "New[1-5]", AG489 &lt;= 10, "Early Career[6-10]", AG489 &lt;= 20, "Established[11-20]", AG489 &lt;= 30, "Veteran[21-30]", AG489 &lt;= 40, "Late Career[31-40]")</f>
        <v>New[1-5]</v>
      </c>
      <c r="AI489" s="1">
        <v>0</v>
      </c>
      <c r="AJ489" s="1">
        <v>4</v>
      </c>
      <c r="AK489" s="1">
        <v>1</v>
      </c>
      <c r="AL489" s="9" t="str" cm="1">
        <f t="array" ref="AL489">_xlfn.IFS(AK489 &lt;= 5, "New[1-5]", AK489 &lt;= 10, "Early Career[6-10]", AK489 &lt;= 20, "Established[11-20]", AK489 &lt;= 30, "Veteran[21-30]", AK489 &lt;= 40, "Late Career[31-40]")</f>
        <v>New[1-5]</v>
      </c>
      <c r="AM489" s="1">
        <v>0</v>
      </c>
      <c r="AN489" s="9" t="str" cm="1">
        <f t="array" ref="AN489">_xlfn.IFS(AM489 &lt;= 3, "New to Role[1-3]", AM489 &lt;= 7, "Settled[4-7]", AM489 &lt;= 12, "Experienced[[8-12]", AM489 &lt;= 18, "Long Tenured[13-18]")</f>
        <v>New to Role[1-3]</v>
      </c>
      <c r="AO489" s="1">
        <v>0</v>
      </c>
      <c r="AP489" s="9" t="str" cm="1">
        <f t="array" ref="AP489">_xlfn.IFS(AO489 &lt;= 3, "Recently[1-3]", AO489 &lt;= 6, "Due Soon[4-6]", AO489 &lt;= 10, "Overdue[7-10]", AO489 &lt;= 15, "Long Overdue[11-15]")</f>
        <v>Recently[1-3]</v>
      </c>
      <c r="AQ489" s="9" t="str" cm="1">
        <f t="array" ref="AQ489">_xlfn.IFS(AR489 &lt;= 3, "New Relationship[1-3]", AR489 &lt;= 7, "Established Relationship[4-7]", AR489 &lt;= 12, "Long Term Relationship[8-12]", AR489 &lt;= 17, "Very Long Term Relationship[13-17]")</f>
        <v>New Relationship[1-3]</v>
      </c>
      <c r="AR489" s="1">
        <v>0</v>
      </c>
    </row>
    <row r="490" spans="1:44" x14ac:dyDescent="0.25">
      <c r="A490" s="1">
        <v>42</v>
      </c>
      <c r="B490" s="8" t="str" cm="1">
        <f t="array" ref="B490">_xlfn.IFS(A490 &lt;= 25, "[18-25]", A490 &lt;= 35, "[26-35]", A490 &lt;=45, "[36-45]", A490 &lt;= 60, "[46- 60]")</f>
        <v>[36-45]</v>
      </c>
      <c r="C490" s="3" t="s">
        <v>43</v>
      </c>
      <c r="D490">
        <f t="shared" si="7"/>
        <v>0</v>
      </c>
      <c r="E490" t="s">
        <v>36</v>
      </c>
      <c r="F490" s="1">
        <v>622</v>
      </c>
      <c r="G490" s="3" t="s">
        <v>45</v>
      </c>
      <c r="H490" s="1">
        <v>2</v>
      </c>
      <c r="I490" s="9" t="str" cm="1">
        <f t="array" ref="I490">_xlfn.IFS(H490 &lt;= 2, "[1-2] very close", H490 &lt;= 10, "[3-10] close", H490 &lt;= 20, "[11-20] moderate", H490 &lt;= 30, "[21-30] far")</f>
        <v>[1-2] very close</v>
      </c>
      <c r="J490" s="1">
        <v>4</v>
      </c>
      <c r="K490" s="3" t="s">
        <v>38</v>
      </c>
      <c r="L490" s="1">
        <v>1</v>
      </c>
      <c r="M490" s="1">
        <v>659</v>
      </c>
      <c r="N490" s="1">
        <v>3</v>
      </c>
      <c r="O490" s="3" t="s">
        <v>39</v>
      </c>
      <c r="P490" s="1">
        <v>81</v>
      </c>
      <c r="Q490" s="1">
        <v>3</v>
      </c>
      <c r="R490" s="1">
        <v>2</v>
      </c>
      <c r="S490" s="3" t="s">
        <v>54</v>
      </c>
      <c r="T490" s="1">
        <v>4</v>
      </c>
      <c r="U490" s="3" t="s">
        <v>48</v>
      </c>
      <c r="V490" s="4">
        <v>4089</v>
      </c>
      <c r="W490" s="1">
        <v>5718</v>
      </c>
      <c r="X490" s="1">
        <v>1</v>
      </c>
      <c r="Y490" s="3" t="s">
        <v>42</v>
      </c>
      <c r="Z490" s="3" t="s">
        <v>43</v>
      </c>
      <c r="AA490" s="5">
        <v>0.13</v>
      </c>
      <c r="AB490" s="10" t="str" cm="1">
        <f t="array" ref="AB490">_xlfn.IFS(AA490 &lt;= 15%, "Low Hike[11-15%]", AA490 &lt;= 20%, "Moderate Hike[16-20%]", AA490 &lt;= 25%,"High Hike[21-25%]")</f>
        <v>Low Hike[11-15%]</v>
      </c>
      <c r="AC490" s="1">
        <v>3</v>
      </c>
      <c r="AD490" s="1">
        <v>2</v>
      </c>
      <c r="AE490" s="1">
        <v>80</v>
      </c>
      <c r="AF490" s="1">
        <v>2</v>
      </c>
      <c r="AG490" s="1">
        <v>10</v>
      </c>
      <c r="AH490" s="9" t="str" cm="1">
        <f t="array" ref="AH490">_xlfn.IFS(AG490 &lt;= 5, "New[1-5]", AG490 &lt;= 10, "Early Career[6-10]", AG490 &lt;= 20, "Established[11-20]", AG490 &lt;= 30, "Veteran[21-30]", AG490 &lt;= 40, "Late Career[31-40]")</f>
        <v>Early Career[6-10]</v>
      </c>
      <c r="AI490" s="1">
        <v>4</v>
      </c>
      <c r="AJ490" s="1">
        <v>3</v>
      </c>
      <c r="AK490" s="1">
        <v>10</v>
      </c>
      <c r="AL490" s="9" t="str" cm="1">
        <f t="array" ref="AL490">_xlfn.IFS(AK490 &lt;= 5, "New[1-5]", AK490 &lt;= 10, "Early Career[6-10]", AK490 &lt;= 20, "Established[11-20]", AK490 &lt;= 30, "Veteran[21-30]", AK490 &lt;= 40, "Late Career[31-40]")</f>
        <v>Early Career[6-10]</v>
      </c>
      <c r="AM490" s="1">
        <v>2</v>
      </c>
      <c r="AN490" s="9" t="str" cm="1">
        <f t="array" ref="AN490">_xlfn.IFS(AM490 &lt;= 3, "New to Role[1-3]", AM490 &lt;= 7, "Settled[4-7]", AM490 &lt;= 12, "Experienced[[8-12]", AM490 &lt;= 18, "Long Tenured[13-18]")</f>
        <v>New to Role[1-3]</v>
      </c>
      <c r="AO490" s="1">
        <v>2</v>
      </c>
      <c r="AP490" s="9" t="str" cm="1">
        <f t="array" ref="AP490">_xlfn.IFS(AO490 &lt;= 3, "Recently[1-3]", AO490 &lt;= 6, "Due Soon[4-6]", AO490 &lt;= 10, "Overdue[7-10]", AO490 &lt;= 15, "Long Overdue[11-15]")</f>
        <v>Recently[1-3]</v>
      </c>
      <c r="AQ490" s="9" t="str" cm="1">
        <f t="array" ref="AQ490">_xlfn.IFS(AR490 &lt;= 3, "New Relationship[1-3]", AR490 &lt;= 7, "Established Relationship[4-7]", AR490 &lt;= 12, "Long Term Relationship[8-12]", AR490 &lt;= 17, "Very Long Term Relationship[13-17]")</f>
        <v>New Relationship[1-3]</v>
      </c>
      <c r="AR490" s="1">
        <v>2</v>
      </c>
    </row>
    <row r="491" spans="1:44" x14ac:dyDescent="0.25">
      <c r="A491" s="1">
        <v>43</v>
      </c>
      <c r="B491" s="8" t="str" cm="1">
        <f t="array" ref="B491">_xlfn.IFS(A491 &lt;= 25, "[18-25]", A491 &lt;= 35, "[26-35]", A491 &lt;=45, "[36-45]", A491 &lt;= 60, "[46- 60]")</f>
        <v>[36-45]</v>
      </c>
      <c r="C491" s="3" t="s">
        <v>43</v>
      </c>
      <c r="D491">
        <f t="shared" si="7"/>
        <v>0</v>
      </c>
      <c r="E491" t="s">
        <v>36</v>
      </c>
      <c r="F491" s="1">
        <v>782</v>
      </c>
      <c r="G491" s="3" t="s">
        <v>45</v>
      </c>
      <c r="H491" s="1">
        <v>6</v>
      </c>
      <c r="I491" s="9" t="str" cm="1">
        <f t="array" ref="I491">_xlfn.IFS(H491 &lt;= 2, "[1-2] very close", H491 &lt;= 10, "[3-10] close", H491 &lt;= 20, "[11-20] moderate", H491 &lt;= 30, "[21-30] far")</f>
        <v>[3-10] close</v>
      </c>
      <c r="J491" s="1">
        <v>4</v>
      </c>
      <c r="K491" s="3" t="s">
        <v>49</v>
      </c>
      <c r="L491" s="1">
        <v>1</v>
      </c>
      <c r="M491" s="1">
        <v>661</v>
      </c>
      <c r="N491" s="1">
        <v>2</v>
      </c>
      <c r="O491" s="3" t="s">
        <v>46</v>
      </c>
      <c r="P491" s="1">
        <v>50</v>
      </c>
      <c r="Q491" s="1">
        <v>2</v>
      </c>
      <c r="R491" s="1">
        <v>4</v>
      </c>
      <c r="S491" s="3" t="s">
        <v>58</v>
      </c>
      <c r="T491" s="1">
        <v>4</v>
      </c>
      <c r="U491" s="3" t="s">
        <v>52</v>
      </c>
      <c r="V491" s="4">
        <v>16627</v>
      </c>
      <c r="W491" s="1">
        <v>2671</v>
      </c>
      <c r="X491" s="1">
        <v>4</v>
      </c>
      <c r="Y491" s="3" t="s">
        <v>42</v>
      </c>
      <c r="Z491" s="3" t="s">
        <v>35</v>
      </c>
      <c r="AA491" s="5">
        <v>0.14000000000000001</v>
      </c>
      <c r="AB491" s="10" t="str" cm="1">
        <f t="array" ref="AB491">_xlfn.IFS(AA491 &lt;= 15%, "Low Hike[11-15%]", AA491 &lt;= 20%, "Moderate Hike[16-20%]", AA491 &lt;= 25%,"High Hike[21-25%]")</f>
        <v>Low Hike[11-15%]</v>
      </c>
      <c r="AC491" s="1">
        <v>3</v>
      </c>
      <c r="AD491" s="1">
        <v>3</v>
      </c>
      <c r="AE491" s="1">
        <v>80</v>
      </c>
      <c r="AF491" s="1">
        <v>1</v>
      </c>
      <c r="AG491" s="1">
        <v>21</v>
      </c>
      <c r="AH491" s="9" t="str" cm="1">
        <f t="array" ref="AH491">_xlfn.IFS(AG491 &lt;= 5, "New[1-5]", AG491 &lt;= 10, "Early Career[6-10]", AG491 &lt;= 20, "Established[11-20]", AG491 &lt;= 30, "Veteran[21-30]", AG491 &lt;= 40, "Late Career[31-40]")</f>
        <v>Veteran[21-30]</v>
      </c>
      <c r="AI491" s="1">
        <v>3</v>
      </c>
      <c r="AJ491" s="1">
        <v>2</v>
      </c>
      <c r="AK491" s="1">
        <v>1</v>
      </c>
      <c r="AL491" s="9" t="str" cm="1">
        <f t="array" ref="AL491">_xlfn.IFS(AK491 &lt;= 5, "New[1-5]", AK491 &lt;= 10, "Early Career[6-10]", AK491 &lt;= 20, "Established[11-20]", AK491 &lt;= 30, "Veteran[21-30]", AK491 &lt;= 40, "Late Career[31-40]")</f>
        <v>New[1-5]</v>
      </c>
      <c r="AM491" s="1">
        <v>0</v>
      </c>
      <c r="AN491" s="9" t="str" cm="1">
        <f t="array" ref="AN491">_xlfn.IFS(AM491 &lt;= 3, "New to Role[1-3]", AM491 &lt;= 7, "Settled[4-7]", AM491 &lt;= 12, "Experienced[[8-12]", AM491 &lt;= 18, "Long Tenured[13-18]")</f>
        <v>New to Role[1-3]</v>
      </c>
      <c r="AO491" s="1">
        <v>0</v>
      </c>
      <c r="AP491" s="9" t="str" cm="1">
        <f t="array" ref="AP491">_xlfn.IFS(AO491 &lt;= 3, "Recently[1-3]", AO491 &lt;= 6, "Due Soon[4-6]", AO491 &lt;= 10, "Overdue[7-10]", AO491 &lt;= 15, "Long Overdue[11-15]")</f>
        <v>Recently[1-3]</v>
      </c>
      <c r="AQ491" s="9" t="str" cm="1">
        <f t="array" ref="AQ491">_xlfn.IFS(AR491 &lt;= 3, "New Relationship[1-3]", AR491 &lt;= 7, "Established Relationship[4-7]", AR491 &lt;= 12, "Long Term Relationship[8-12]", AR491 &lt;= 17, "Very Long Term Relationship[13-17]")</f>
        <v>New Relationship[1-3]</v>
      </c>
      <c r="AR491" s="1">
        <v>0</v>
      </c>
    </row>
    <row r="492" spans="1:44" x14ac:dyDescent="0.25">
      <c r="A492" s="1">
        <v>38</v>
      </c>
      <c r="B492" s="8" t="str" cm="1">
        <f t="array" ref="B492">_xlfn.IFS(A492 &lt;= 25, "[18-25]", A492 &lt;= 35, "[26-35]", A492 &lt;=45, "[36-45]", A492 &lt;= 60, "[46- 60]")</f>
        <v>[36-45]</v>
      </c>
      <c r="C492" s="3" t="s">
        <v>43</v>
      </c>
      <c r="D492">
        <f t="shared" si="7"/>
        <v>0</v>
      </c>
      <c r="E492" t="s">
        <v>36</v>
      </c>
      <c r="F492" s="1">
        <v>362</v>
      </c>
      <c r="G492" s="3" t="s">
        <v>45</v>
      </c>
      <c r="H492" s="1">
        <v>1</v>
      </c>
      <c r="I492" s="9" t="str" cm="1">
        <f t="array" ref="I492">_xlfn.IFS(H492 &lt;= 2, "[1-2] very close", H492 &lt;= 10, "[3-10] close", H492 &lt;= 20, "[11-20] moderate", H492 &lt;= 30, "[21-30] far")</f>
        <v>[1-2] very close</v>
      </c>
      <c r="J492" s="1">
        <v>1</v>
      </c>
      <c r="K492" s="3" t="s">
        <v>38</v>
      </c>
      <c r="L492" s="1">
        <v>1</v>
      </c>
      <c r="M492" s="1">
        <v>662</v>
      </c>
      <c r="N492" s="1">
        <v>3</v>
      </c>
      <c r="O492" s="3" t="s">
        <v>39</v>
      </c>
      <c r="P492" s="1">
        <v>43</v>
      </c>
      <c r="Q492" s="1">
        <v>3</v>
      </c>
      <c r="R492" s="1">
        <v>1</v>
      </c>
      <c r="S492" s="3" t="s">
        <v>47</v>
      </c>
      <c r="T492" s="1">
        <v>1</v>
      </c>
      <c r="U492" s="3" t="s">
        <v>41</v>
      </c>
      <c r="V492" s="4">
        <v>2619</v>
      </c>
      <c r="W492" s="1">
        <v>14561</v>
      </c>
      <c r="X492" s="1">
        <v>3</v>
      </c>
      <c r="Y492" s="3" t="s">
        <v>42</v>
      </c>
      <c r="Z492" s="3" t="s">
        <v>43</v>
      </c>
      <c r="AA492" s="5">
        <v>0.17</v>
      </c>
      <c r="AB492" s="10" t="str" cm="1">
        <f t="array" ref="AB492">_xlfn.IFS(AA492 &lt;= 15%, "Low Hike[11-15%]", AA492 &lt;= 20%, "Moderate Hike[16-20%]", AA492 &lt;= 25%,"High Hike[21-25%]")</f>
        <v>Moderate Hike[16-20%]</v>
      </c>
      <c r="AC492" s="1">
        <v>3</v>
      </c>
      <c r="AD492" s="1">
        <v>4</v>
      </c>
      <c r="AE492" s="1">
        <v>80</v>
      </c>
      <c r="AF492" s="1">
        <v>0</v>
      </c>
      <c r="AG492" s="1">
        <v>8</v>
      </c>
      <c r="AH492" s="9" t="str" cm="1">
        <f t="array" ref="AH492">_xlfn.IFS(AG492 &lt;= 5, "New[1-5]", AG492 &lt;= 10, "Early Career[6-10]", AG492 &lt;= 20, "Established[11-20]", AG492 &lt;= 30, "Veteran[21-30]", AG492 &lt;= 40, "Late Career[31-40]")</f>
        <v>Early Career[6-10]</v>
      </c>
      <c r="AI492" s="1">
        <v>3</v>
      </c>
      <c r="AJ492" s="1">
        <v>2</v>
      </c>
      <c r="AK492" s="1">
        <v>0</v>
      </c>
      <c r="AL492" s="9" t="str" cm="1">
        <f t="array" ref="AL492">_xlfn.IFS(AK492 &lt;= 5, "New[1-5]", AK492 &lt;= 10, "Early Career[6-10]", AK492 &lt;= 20, "Established[11-20]", AK492 &lt;= 30, "Veteran[21-30]", AK492 &lt;= 40, "Late Career[31-40]")</f>
        <v>New[1-5]</v>
      </c>
      <c r="AM492" s="1">
        <v>0</v>
      </c>
      <c r="AN492" s="9" t="str" cm="1">
        <f t="array" ref="AN492">_xlfn.IFS(AM492 &lt;= 3, "New to Role[1-3]", AM492 &lt;= 7, "Settled[4-7]", AM492 &lt;= 12, "Experienced[[8-12]", AM492 &lt;= 18, "Long Tenured[13-18]")</f>
        <v>New to Role[1-3]</v>
      </c>
      <c r="AO492" s="1">
        <v>0</v>
      </c>
      <c r="AP492" s="9" t="str" cm="1">
        <f t="array" ref="AP492">_xlfn.IFS(AO492 &lt;= 3, "Recently[1-3]", AO492 &lt;= 6, "Due Soon[4-6]", AO492 &lt;= 10, "Overdue[7-10]", AO492 &lt;= 15, "Long Overdue[11-15]")</f>
        <v>Recently[1-3]</v>
      </c>
      <c r="AQ492" s="9" t="str" cm="1">
        <f t="array" ref="AQ492">_xlfn.IFS(AR492 &lt;= 3, "New Relationship[1-3]", AR492 &lt;= 7, "Established Relationship[4-7]", AR492 &lt;= 12, "Long Term Relationship[8-12]", AR492 &lt;= 17, "Very Long Term Relationship[13-17]")</f>
        <v>New Relationship[1-3]</v>
      </c>
      <c r="AR492" s="1">
        <v>0</v>
      </c>
    </row>
    <row r="493" spans="1:44" x14ac:dyDescent="0.25">
      <c r="A493" s="1">
        <v>43</v>
      </c>
      <c r="B493" s="8" t="str" cm="1">
        <f t="array" ref="B493">_xlfn.IFS(A493 &lt;= 25, "[18-25]", A493 &lt;= 35, "[26-35]", A493 &lt;=45, "[36-45]", A493 &lt;= 60, "[46- 60]")</f>
        <v>[36-45]</v>
      </c>
      <c r="C493" s="3" t="s">
        <v>43</v>
      </c>
      <c r="D493">
        <f t="shared" si="7"/>
        <v>0</v>
      </c>
      <c r="E493" t="s">
        <v>44</v>
      </c>
      <c r="F493" s="1">
        <v>1001</v>
      </c>
      <c r="G493" s="3" t="s">
        <v>45</v>
      </c>
      <c r="H493" s="1">
        <v>9</v>
      </c>
      <c r="I493" s="9" t="str" cm="1">
        <f t="array" ref="I493">_xlfn.IFS(H493 &lt;= 2, "[1-2] very close", H493 &lt;= 10, "[3-10] close", H493 &lt;= 20, "[11-20] moderate", H493 &lt;= 30, "[21-30] far")</f>
        <v>[3-10] close</v>
      </c>
      <c r="J493" s="1">
        <v>5</v>
      </c>
      <c r="K493" s="3" t="s">
        <v>51</v>
      </c>
      <c r="L493" s="1">
        <v>1</v>
      </c>
      <c r="M493" s="1">
        <v>663</v>
      </c>
      <c r="N493" s="1">
        <v>4</v>
      </c>
      <c r="O493" s="3" t="s">
        <v>46</v>
      </c>
      <c r="P493" s="1">
        <v>72</v>
      </c>
      <c r="Q493" s="1">
        <v>3</v>
      </c>
      <c r="R493" s="1">
        <v>2</v>
      </c>
      <c r="S493" s="3" t="s">
        <v>50</v>
      </c>
      <c r="T493" s="1">
        <v>3</v>
      </c>
      <c r="U493" s="3" t="s">
        <v>52</v>
      </c>
      <c r="V493" s="4">
        <v>5679</v>
      </c>
      <c r="W493" s="1">
        <v>19627</v>
      </c>
      <c r="X493" s="1">
        <v>3</v>
      </c>
      <c r="Y493" s="3" t="s">
        <v>42</v>
      </c>
      <c r="Z493" s="3" t="s">
        <v>35</v>
      </c>
      <c r="AA493" s="5">
        <v>0.13</v>
      </c>
      <c r="AB493" s="10" t="str" cm="1">
        <f t="array" ref="AB493">_xlfn.IFS(AA493 &lt;= 15%, "Low Hike[11-15%]", AA493 &lt;= 20%, "Moderate Hike[16-20%]", AA493 &lt;= 25%,"High Hike[21-25%]")</f>
        <v>Low Hike[11-15%]</v>
      </c>
      <c r="AC493" s="1">
        <v>3</v>
      </c>
      <c r="AD493" s="1">
        <v>2</v>
      </c>
      <c r="AE493" s="1">
        <v>80</v>
      </c>
      <c r="AF493" s="1">
        <v>1</v>
      </c>
      <c r="AG493" s="1">
        <v>10</v>
      </c>
      <c r="AH493" s="9" t="str" cm="1">
        <f t="array" ref="AH493">_xlfn.IFS(AG493 &lt;= 5, "New[1-5]", AG493 &lt;= 10, "Early Career[6-10]", AG493 &lt;= 20, "Established[11-20]", AG493 &lt;= 30, "Veteran[21-30]", AG493 &lt;= 40, "Late Career[31-40]")</f>
        <v>Early Career[6-10]</v>
      </c>
      <c r="AI493" s="1">
        <v>3</v>
      </c>
      <c r="AJ493" s="1">
        <v>3</v>
      </c>
      <c r="AK493" s="1">
        <v>8</v>
      </c>
      <c r="AL493" s="9" t="str" cm="1">
        <f t="array" ref="AL493">_xlfn.IFS(AK493 &lt;= 5, "New[1-5]", AK493 &lt;= 10, "Early Career[6-10]", AK493 &lt;= 20, "Established[11-20]", AK493 &lt;= 30, "Veteran[21-30]", AK493 &lt;= 40, "Late Career[31-40]")</f>
        <v>Early Career[6-10]</v>
      </c>
      <c r="AM493" s="1">
        <v>7</v>
      </c>
      <c r="AN493" s="9" t="str" cm="1">
        <f t="array" ref="AN493">_xlfn.IFS(AM493 &lt;= 3, "New to Role[1-3]", AM493 &lt;= 7, "Settled[4-7]", AM493 &lt;= 12, "Experienced[[8-12]", AM493 &lt;= 18, "Long Tenured[13-18]")</f>
        <v>Settled[4-7]</v>
      </c>
      <c r="AO493" s="1">
        <v>4</v>
      </c>
      <c r="AP493" s="9" t="str" cm="1">
        <f t="array" ref="AP493">_xlfn.IFS(AO493 &lt;= 3, "Recently[1-3]", AO493 &lt;= 6, "Due Soon[4-6]", AO493 &lt;= 10, "Overdue[7-10]", AO493 &lt;= 15, "Long Overdue[11-15]")</f>
        <v>Due Soon[4-6]</v>
      </c>
      <c r="AQ493" s="9" t="str" cm="1">
        <f t="array" ref="AQ493">_xlfn.IFS(AR493 &lt;= 3, "New Relationship[1-3]", AR493 &lt;= 7, "Established Relationship[4-7]", AR493 &lt;= 12, "Long Term Relationship[8-12]", AR493 &lt;= 17, "Very Long Term Relationship[13-17]")</f>
        <v>Established Relationship[4-7]</v>
      </c>
      <c r="AR493" s="1">
        <v>7</v>
      </c>
    </row>
    <row r="494" spans="1:44" x14ac:dyDescent="0.25">
      <c r="A494" s="1">
        <v>48</v>
      </c>
      <c r="B494" s="8" t="str" cm="1">
        <f t="array" ref="B494">_xlfn.IFS(A494 &lt;= 25, "[18-25]", A494 &lt;= 35, "[26-35]", A494 &lt;=45, "[36-45]", A494 &lt;= 60, "[46- 60]")</f>
        <v>[46- 60]</v>
      </c>
      <c r="C494" s="3" t="s">
        <v>43</v>
      </c>
      <c r="D494">
        <f t="shared" si="7"/>
        <v>0</v>
      </c>
      <c r="E494" t="s">
        <v>36</v>
      </c>
      <c r="F494" s="1">
        <v>1236</v>
      </c>
      <c r="G494" s="3" t="s">
        <v>45</v>
      </c>
      <c r="H494" s="1">
        <v>1</v>
      </c>
      <c r="I494" s="9" t="str" cm="1">
        <f t="array" ref="I494">_xlfn.IFS(H494 &lt;= 2, "[1-2] very close", H494 &lt;= 10, "[3-10] close", H494 &lt;= 20, "[11-20] moderate", H494 &lt;= 30, "[21-30] far")</f>
        <v>[1-2] very close</v>
      </c>
      <c r="J494" s="1">
        <v>4</v>
      </c>
      <c r="K494" s="3" t="s">
        <v>38</v>
      </c>
      <c r="L494" s="1">
        <v>1</v>
      </c>
      <c r="M494" s="1">
        <v>664</v>
      </c>
      <c r="N494" s="1">
        <v>4</v>
      </c>
      <c r="O494" s="3" t="s">
        <v>39</v>
      </c>
      <c r="P494" s="1">
        <v>40</v>
      </c>
      <c r="Q494" s="1">
        <v>2</v>
      </c>
      <c r="R494" s="1">
        <v>4</v>
      </c>
      <c r="S494" s="3" t="s">
        <v>56</v>
      </c>
      <c r="T494" s="1">
        <v>1</v>
      </c>
      <c r="U494" s="3" t="s">
        <v>48</v>
      </c>
      <c r="V494" s="4">
        <v>15402</v>
      </c>
      <c r="W494" s="1">
        <v>17997</v>
      </c>
      <c r="X494" s="1">
        <v>7</v>
      </c>
      <c r="Y494" s="3" t="s">
        <v>42</v>
      </c>
      <c r="Z494" s="3" t="s">
        <v>43</v>
      </c>
      <c r="AA494" s="5">
        <v>0.11</v>
      </c>
      <c r="AB494" s="10" t="str" cm="1">
        <f t="array" ref="AB494">_xlfn.IFS(AA494 &lt;= 15%, "Low Hike[11-15%]", AA494 &lt;= 20%, "Moderate Hike[16-20%]", AA494 &lt;= 25%,"High Hike[21-25%]")</f>
        <v>Low Hike[11-15%]</v>
      </c>
      <c r="AC494" s="1">
        <v>3</v>
      </c>
      <c r="AD494" s="1">
        <v>1</v>
      </c>
      <c r="AE494" s="1">
        <v>80</v>
      </c>
      <c r="AF494" s="1">
        <v>1</v>
      </c>
      <c r="AG494" s="1">
        <v>21</v>
      </c>
      <c r="AH494" s="9" t="str" cm="1">
        <f t="array" ref="AH494">_xlfn.IFS(AG494 &lt;= 5, "New[1-5]", AG494 &lt;= 10, "Early Career[6-10]", AG494 &lt;= 20, "Established[11-20]", AG494 &lt;= 30, "Veteran[21-30]", AG494 &lt;= 40, "Late Career[31-40]")</f>
        <v>Veteran[21-30]</v>
      </c>
      <c r="AI494" s="1">
        <v>3</v>
      </c>
      <c r="AJ494" s="1">
        <v>1</v>
      </c>
      <c r="AK494" s="1">
        <v>3</v>
      </c>
      <c r="AL494" s="9" t="str" cm="1">
        <f t="array" ref="AL494">_xlfn.IFS(AK494 &lt;= 5, "New[1-5]", AK494 &lt;= 10, "Early Career[6-10]", AK494 &lt;= 20, "Established[11-20]", AK494 &lt;= 30, "Veteran[21-30]", AK494 &lt;= 40, "Late Career[31-40]")</f>
        <v>New[1-5]</v>
      </c>
      <c r="AM494" s="1">
        <v>2</v>
      </c>
      <c r="AN494" s="9" t="str" cm="1">
        <f t="array" ref="AN494">_xlfn.IFS(AM494 &lt;= 3, "New to Role[1-3]", AM494 &lt;= 7, "Settled[4-7]", AM494 &lt;= 12, "Experienced[[8-12]", AM494 &lt;= 18, "Long Tenured[13-18]")</f>
        <v>New to Role[1-3]</v>
      </c>
      <c r="AO494" s="1">
        <v>0</v>
      </c>
      <c r="AP494" s="9" t="str" cm="1">
        <f t="array" ref="AP494">_xlfn.IFS(AO494 &lt;= 3, "Recently[1-3]", AO494 &lt;= 6, "Due Soon[4-6]", AO494 &lt;= 10, "Overdue[7-10]", AO494 &lt;= 15, "Long Overdue[11-15]")</f>
        <v>Recently[1-3]</v>
      </c>
      <c r="AQ494" s="9" t="str" cm="1">
        <f t="array" ref="AQ494">_xlfn.IFS(AR494 &lt;= 3, "New Relationship[1-3]", AR494 &lt;= 7, "Established Relationship[4-7]", AR494 &lt;= 12, "Long Term Relationship[8-12]", AR494 &lt;= 17, "Very Long Term Relationship[13-17]")</f>
        <v>New Relationship[1-3]</v>
      </c>
      <c r="AR494" s="1">
        <v>2</v>
      </c>
    </row>
    <row r="495" spans="1:44" x14ac:dyDescent="0.25">
      <c r="A495" s="1">
        <v>44</v>
      </c>
      <c r="B495" s="8" t="str" cm="1">
        <f t="array" ref="B495">_xlfn.IFS(A495 &lt;= 25, "[18-25]", A495 &lt;= 35, "[26-35]", A495 &lt;=45, "[36-45]", A495 &lt;= 60, "[46- 60]")</f>
        <v>[36-45]</v>
      </c>
      <c r="C495" s="3" t="s">
        <v>43</v>
      </c>
      <c r="D495">
        <f t="shared" si="7"/>
        <v>0</v>
      </c>
      <c r="E495" t="s">
        <v>36</v>
      </c>
      <c r="F495" s="1">
        <v>1112</v>
      </c>
      <c r="G495" s="3" t="s">
        <v>61</v>
      </c>
      <c r="H495" s="1">
        <v>1</v>
      </c>
      <c r="I495" s="9" t="str" cm="1">
        <f t="array" ref="I495">_xlfn.IFS(H495 &lt;= 2, "[1-2] very close", H495 &lt;= 10, "[3-10] close", H495 &lt;= 20, "[11-20] moderate", H495 &lt;= 30, "[21-30] far")</f>
        <v>[1-2] very close</v>
      </c>
      <c r="J495" s="1">
        <v>4</v>
      </c>
      <c r="K495" s="3" t="s">
        <v>38</v>
      </c>
      <c r="L495" s="1">
        <v>1</v>
      </c>
      <c r="M495" s="1">
        <v>665</v>
      </c>
      <c r="N495" s="1">
        <v>1</v>
      </c>
      <c r="O495" s="3" t="s">
        <v>39</v>
      </c>
      <c r="P495" s="1">
        <v>50</v>
      </c>
      <c r="Q495" s="1">
        <v>2</v>
      </c>
      <c r="R495" s="1">
        <v>2</v>
      </c>
      <c r="S495" s="3" t="s">
        <v>61</v>
      </c>
      <c r="T495" s="1">
        <v>3</v>
      </c>
      <c r="U495" s="3" t="s">
        <v>41</v>
      </c>
      <c r="V495" s="4">
        <v>5985</v>
      </c>
      <c r="W495" s="1">
        <v>26894</v>
      </c>
      <c r="X495" s="1">
        <v>4</v>
      </c>
      <c r="Y495" s="3" t="s">
        <v>42</v>
      </c>
      <c r="Z495" s="3" t="s">
        <v>43</v>
      </c>
      <c r="AA495" s="5">
        <v>0.11</v>
      </c>
      <c r="AB495" s="10" t="str" cm="1">
        <f t="array" ref="AB495">_xlfn.IFS(AA495 &lt;= 15%, "Low Hike[11-15%]", AA495 &lt;= 20%, "Moderate Hike[16-20%]", AA495 &lt;= 25%,"High Hike[21-25%]")</f>
        <v>Low Hike[11-15%]</v>
      </c>
      <c r="AC495" s="1">
        <v>3</v>
      </c>
      <c r="AD495" s="1">
        <v>2</v>
      </c>
      <c r="AE495" s="1">
        <v>80</v>
      </c>
      <c r="AF495" s="1">
        <v>0</v>
      </c>
      <c r="AG495" s="1">
        <v>10</v>
      </c>
      <c r="AH495" s="9" t="str" cm="1">
        <f t="array" ref="AH495">_xlfn.IFS(AG495 &lt;= 5, "New[1-5]", AG495 &lt;= 10, "Early Career[6-10]", AG495 &lt;= 20, "Established[11-20]", AG495 &lt;= 30, "Veteran[21-30]", AG495 &lt;= 40, "Late Career[31-40]")</f>
        <v>Early Career[6-10]</v>
      </c>
      <c r="AI495" s="1">
        <v>1</v>
      </c>
      <c r="AJ495" s="1">
        <v>4</v>
      </c>
      <c r="AK495" s="1">
        <v>2</v>
      </c>
      <c r="AL495" s="9" t="str" cm="1">
        <f t="array" ref="AL495">_xlfn.IFS(AK495 &lt;= 5, "New[1-5]", AK495 &lt;= 10, "Early Career[6-10]", AK495 &lt;= 20, "Established[11-20]", AK495 &lt;= 30, "Veteran[21-30]", AK495 &lt;= 40, "Late Career[31-40]")</f>
        <v>New[1-5]</v>
      </c>
      <c r="AM495" s="1">
        <v>2</v>
      </c>
      <c r="AN495" s="9" t="str" cm="1">
        <f t="array" ref="AN495">_xlfn.IFS(AM495 &lt;= 3, "New to Role[1-3]", AM495 &lt;= 7, "Settled[4-7]", AM495 &lt;= 12, "Experienced[[8-12]", AM495 &lt;= 18, "Long Tenured[13-18]")</f>
        <v>New to Role[1-3]</v>
      </c>
      <c r="AO495" s="1">
        <v>0</v>
      </c>
      <c r="AP495" s="9" t="str" cm="1">
        <f t="array" ref="AP495">_xlfn.IFS(AO495 &lt;= 3, "Recently[1-3]", AO495 &lt;= 6, "Due Soon[4-6]", AO495 &lt;= 10, "Overdue[7-10]", AO495 &lt;= 15, "Long Overdue[11-15]")</f>
        <v>Recently[1-3]</v>
      </c>
      <c r="AQ495" s="9" t="str" cm="1">
        <f t="array" ref="AQ495">_xlfn.IFS(AR495 &lt;= 3, "New Relationship[1-3]", AR495 &lt;= 7, "Established Relationship[4-7]", AR495 &lt;= 12, "Long Term Relationship[8-12]", AR495 &lt;= 17, "Very Long Term Relationship[13-17]")</f>
        <v>New Relationship[1-3]</v>
      </c>
      <c r="AR495" s="1">
        <v>2</v>
      </c>
    </row>
    <row r="496" spans="1:44" x14ac:dyDescent="0.25">
      <c r="A496" s="1">
        <v>34</v>
      </c>
      <c r="B496" s="8" t="str" cm="1">
        <f t="array" ref="B496">_xlfn.IFS(A496 &lt;= 25, "[18-25]", A496 &lt;= 35, "[26-35]", A496 &lt;=45, "[36-45]", A496 &lt;= 60, "[46- 60]")</f>
        <v>[26-35]</v>
      </c>
      <c r="C496" s="3" t="s">
        <v>43</v>
      </c>
      <c r="D496">
        <f t="shared" si="7"/>
        <v>0</v>
      </c>
      <c r="E496" t="s">
        <v>36</v>
      </c>
      <c r="F496" s="1">
        <v>204</v>
      </c>
      <c r="G496" s="3" t="s">
        <v>37</v>
      </c>
      <c r="H496" s="1">
        <v>14</v>
      </c>
      <c r="I496" s="9" t="str" cm="1">
        <f t="array" ref="I496">_xlfn.IFS(H496 &lt;= 2, "[1-2] very close", H496 &lt;= 10, "[3-10] close", H496 &lt;= 20, "[11-20] moderate", H496 &lt;= 30, "[21-30] far")</f>
        <v>[11-20] moderate</v>
      </c>
      <c r="J496" s="1">
        <v>3</v>
      </c>
      <c r="K496" s="3" t="s">
        <v>60</v>
      </c>
      <c r="L496" s="1">
        <v>1</v>
      </c>
      <c r="M496" s="1">
        <v>666</v>
      </c>
      <c r="N496" s="1">
        <v>3</v>
      </c>
      <c r="O496" s="3" t="s">
        <v>39</v>
      </c>
      <c r="P496" s="1">
        <v>31</v>
      </c>
      <c r="Q496" s="1">
        <v>3</v>
      </c>
      <c r="R496" s="1">
        <v>1</v>
      </c>
      <c r="S496" s="3" t="s">
        <v>57</v>
      </c>
      <c r="T496" s="1">
        <v>3</v>
      </c>
      <c r="U496" s="3" t="s">
        <v>52</v>
      </c>
      <c r="V496" s="4">
        <v>2579</v>
      </c>
      <c r="W496" s="1">
        <v>2912</v>
      </c>
      <c r="X496" s="1">
        <v>1</v>
      </c>
      <c r="Y496" s="3" t="s">
        <v>42</v>
      </c>
      <c r="Z496" s="3" t="s">
        <v>35</v>
      </c>
      <c r="AA496" s="5">
        <v>0.18</v>
      </c>
      <c r="AB496" s="10" t="str" cm="1">
        <f t="array" ref="AB496">_xlfn.IFS(AA496 &lt;= 15%, "Low Hike[11-15%]", AA496 &lt;= 20%, "Moderate Hike[16-20%]", AA496 &lt;= 25%,"High Hike[21-25%]")</f>
        <v>Moderate Hike[16-20%]</v>
      </c>
      <c r="AC496" s="1">
        <v>3</v>
      </c>
      <c r="AD496" s="1">
        <v>4</v>
      </c>
      <c r="AE496" s="1">
        <v>80</v>
      </c>
      <c r="AF496" s="1">
        <v>2</v>
      </c>
      <c r="AG496" s="1">
        <v>8</v>
      </c>
      <c r="AH496" s="9" t="str" cm="1">
        <f t="array" ref="AH496">_xlfn.IFS(AG496 &lt;= 5, "New[1-5]", AG496 &lt;= 10, "Early Career[6-10]", AG496 &lt;= 20, "Established[11-20]", AG496 &lt;= 30, "Veteran[21-30]", AG496 &lt;= 40, "Late Career[31-40]")</f>
        <v>Early Career[6-10]</v>
      </c>
      <c r="AI496" s="1">
        <v>3</v>
      </c>
      <c r="AJ496" s="1">
        <v>3</v>
      </c>
      <c r="AK496" s="1">
        <v>8</v>
      </c>
      <c r="AL496" s="9" t="str" cm="1">
        <f t="array" ref="AL496">_xlfn.IFS(AK496 &lt;= 5, "New[1-5]", AK496 &lt;= 10, "Early Career[6-10]", AK496 &lt;= 20, "Established[11-20]", AK496 &lt;= 30, "Veteran[21-30]", AK496 &lt;= 40, "Late Career[31-40]")</f>
        <v>Early Career[6-10]</v>
      </c>
      <c r="AM496" s="1">
        <v>2</v>
      </c>
      <c r="AN496" s="9" t="str" cm="1">
        <f t="array" ref="AN496">_xlfn.IFS(AM496 &lt;= 3, "New to Role[1-3]", AM496 &lt;= 7, "Settled[4-7]", AM496 &lt;= 12, "Experienced[[8-12]", AM496 &lt;= 18, "Long Tenured[13-18]")</f>
        <v>New to Role[1-3]</v>
      </c>
      <c r="AO496" s="1">
        <v>0</v>
      </c>
      <c r="AP496" s="9" t="str" cm="1">
        <f t="array" ref="AP496">_xlfn.IFS(AO496 &lt;= 3, "Recently[1-3]", AO496 &lt;= 6, "Due Soon[4-6]", AO496 &lt;= 10, "Overdue[7-10]", AO496 &lt;= 15, "Long Overdue[11-15]")</f>
        <v>Recently[1-3]</v>
      </c>
      <c r="AQ496" s="9" t="str" cm="1">
        <f t="array" ref="AQ496">_xlfn.IFS(AR496 &lt;= 3, "New Relationship[1-3]", AR496 &lt;= 7, "Established Relationship[4-7]", AR496 &lt;= 12, "Long Term Relationship[8-12]", AR496 &lt;= 17, "Very Long Term Relationship[13-17]")</f>
        <v>Established Relationship[4-7]</v>
      </c>
      <c r="AR496" s="1">
        <v>6</v>
      </c>
    </row>
    <row r="497" spans="1:44" x14ac:dyDescent="0.25">
      <c r="A497" s="1">
        <v>27</v>
      </c>
      <c r="B497" s="8" t="str" cm="1">
        <f t="array" ref="B497">_xlfn.IFS(A497 &lt;= 25, "[18-25]", A497 &lt;= 35, "[26-35]", A497 &lt;=45, "[36-45]", A497 &lt;= 60, "[46- 60]")</f>
        <v>[26-35]</v>
      </c>
      <c r="C497" s="3" t="s">
        <v>35</v>
      </c>
      <c r="D497">
        <f t="shared" si="7"/>
        <v>1</v>
      </c>
      <c r="E497" t="s">
        <v>36</v>
      </c>
      <c r="F497" s="1">
        <v>1420</v>
      </c>
      <c r="G497" s="3" t="s">
        <v>37</v>
      </c>
      <c r="H497" s="1">
        <v>2</v>
      </c>
      <c r="I497" s="9" t="str" cm="1">
        <f t="array" ref="I497">_xlfn.IFS(H497 &lt;= 2, "[1-2] very close", H497 &lt;= 10, "[3-10] close", H497 &lt;= 20, "[11-20] moderate", H497 &lt;= 30, "[21-30] far")</f>
        <v>[1-2] very close</v>
      </c>
      <c r="J497" s="1">
        <v>1</v>
      </c>
      <c r="K497" s="3" t="s">
        <v>59</v>
      </c>
      <c r="L497" s="1">
        <v>1</v>
      </c>
      <c r="M497" s="1">
        <v>667</v>
      </c>
      <c r="N497" s="1">
        <v>3</v>
      </c>
      <c r="O497" s="3" t="s">
        <v>46</v>
      </c>
      <c r="P497" s="1">
        <v>85</v>
      </c>
      <c r="Q497" s="1">
        <v>3</v>
      </c>
      <c r="R497" s="1">
        <v>1</v>
      </c>
      <c r="S497" s="3" t="s">
        <v>57</v>
      </c>
      <c r="T497" s="1">
        <v>1</v>
      </c>
      <c r="U497" s="3" t="s">
        <v>52</v>
      </c>
      <c r="V497" s="4">
        <v>3041</v>
      </c>
      <c r="W497" s="1">
        <v>16346</v>
      </c>
      <c r="X497" s="1">
        <v>0</v>
      </c>
      <c r="Y497" s="3" t="s">
        <v>42</v>
      </c>
      <c r="Z497" s="3" t="s">
        <v>43</v>
      </c>
      <c r="AA497" s="5">
        <v>0.11</v>
      </c>
      <c r="AB497" s="10" t="str" cm="1">
        <f t="array" ref="AB497">_xlfn.IFS(AA497 &lt;= 15%, "Low Hike[11-15%]", AA497 &lt;= 20%, "Moderate Hike[16-20%]", AA497 &lt;= 25%,"High Hike[21-25%]")</f>
        <v>Low Hike[11-15%]</v>
      </c>
      <c r="AC497" s="1">
        <v>3</v>
      </c>
      <c r="AD497" s="1">
        <v>2</v>
      </c>
      <c r="AE497" s="1">
        <v>80</v>
      </c>
      <c r="AF497" s="1">
        <v>1</v>
      </c>
      <c r="AG497" s="1">
        <v>5</v>
      </c>
      <c r="AH497" s="9" t="str" cm="1">
        <f t="array" ref="AH497">_xlfn.IFS(AG497 &lt;= 5, "New[1-5]", AG497 &lt;= 10, "Early Career[6-10]", AG497 &lt;= 20, "Established[11-20]", AG497 &lt;= 30, "Veteran[21-30]", AG497 &lt;= 40, "Late Career[31-40]")</f>
        <v>New[1-5]</v>
      </c>
      <c r="AI497" s="1">
        <v>3</v>
      </c>
      <c r="AJ497" s="1">
        <v>3</v>
      </c>
      <c r="AK497" s="1">
        <v>4</v>
      </c>
      <c r="AL497" s="9" t="str" cm="1">
        <f t="array" ref="AL497">_xlfn.IFS(AK497 &lt;= 5, "New[1-5]", AK497 &lt;= 10, "Early Career[6-10]", AK497 &lt;= 20, "Established[11-20]", AK497 &lt;= 30, "Veteran[21-30]", AK497 &lt;= 40, "Late Career[31-40]")</f>
        <v>New[1-5]</v>
      </c>
      <c r="AM497" s="1">
        <v>3</v>
      </c>
      <c r="AN497" s="9" t="str" cm="1">
        <f t="array" ref="AN497">_xlfn.IFS(AM497 &lt;= 3, "New to Role[1-3]", AM497 &lt;= 7, "Settled[4-7]", AM497 &lt;= 12, "Experienced[[8-12]", AM497 &lt;= 18, "Long Tenured[13-18]")</f>
        <v>New to Role[1-3]</v>
      </c>
      <c r="AO497" s="1">
        <v>0</v>
      </c>
      <c r="AP497" s="9" t="str" cm="1">
        <f t="array" ref="AP497">_xlfn.IFS(AO497 &lt;= 3, "Recently[1-3]", AO497 &lt;= 6, "Due Soon[4-6]", AO497 &lt;= 10, "Overdue[7-10]", AO497 &lt;= 15, "Long Overdue[11-15]")</f>
        <v>Recently[1-3]</v>
      </c>
      <c r="AQ497" s="9" t="str" cm="1">
        <f t="array" ref="AQ497">_xlfn.IFS(AR497 &lt;= 3, "New Relationship[1-3]", AR497 &lt;= 7, "Established Relationship[4-7]", AR497 &lt;= 12, "Long Term Relationship[8-12]", AR497 &lt;= 17, "Very Long Term Relationship[13-17]")</f>
        <v>New Relationship[1-3]</v>
      </c>
      <c r="AR497" s="1">
        <v>2</v>
      </c>
    </row>
    <row r="498" spans="1:44" x14ac:dyDescent="0.25">
      <c r="A498" s="1">
        <v>21</v>
      </c>
      <c r="B498" s="8" t="str" cm="1">
        <f t="array" ref="B498">_xlfn.IFS(A498 &lt;= 25, "[18-25]", A498 &lt;= 35, "[26-35]", A498 &lt;=45, "[36-45]", A498 &lt;= 60, "[46- 60]")</f>
        <v>[18-25]</v>
      </c>
      <c r="C498" s="3" t="s">
        <v>43</v>
      </c>
      <c r="D498">
        <f t="shared" si="7"/>
        <v>0</v>
      </c>
      <c r="E498" t="s">
        <v>36</v>
      </c>
      <c r="F498" s="1">
        <v>1343</v>
      </c>
      <c r="G498" s="3" t="s">
        <v>37</v>
      </c>
      <c r="H498" s="1">
        <v>22</v>
      </c>
      <c r="I498" s="9" t="str" cm="1">
        <f t="array" ref="I498">_xlfn.IFS(H498 &lt;= 2, "[1-2] very close", H498 &lt;= 10, "[3-10] close", H498 &lt;= 20, "[11-20] moderate", H498 &lt;= 30, "[21-30] far")</f>
        <v>[21-30] far</v>
      </c>
      <c r="J498" s="1">
        <v>1</v>
      </c>
      <c r="K498" s="3" t="s">
        <v>60</v>
      </c>
      <c r="L498" s="1">
        <v>1</v>
      </c>
      <c r="M498" s="1">
        <v>669</v>
      </c>
      <c r="N498" s="1">
        <v>3</v>
      </c>
      <c r="O498" s="3" t="s">
        <v>46</v>
      </c>
      <c r="P498" s="1">
        <v>49</v>
      </c>
      <c r="Q498" s="1">
        <v>3</v>
      </c>
      <c r="R498" s="1">
        <v>1</v>
      </c>
      <c r="S498" s="3" t="s">
        <v>57</v>
      </c>
      <c r="T498" s="1">
        <v>3</v>
      </c>
      <c r="U498" s="3" t="s">
        <v>41</v>
      </c>
      <c r="V498" s="4">
        <v>3447</v>
      </c>
      <c r="W498" s="1">
        <v>24444</v>
      </c>
      <c r="X498" s="1">
        <v>1</v>
      </c>
      <c r="Y498" s="3" t="s">
        <v>42</v>
      </c>
      <c r="Z498" s="3" t="s">
        <v>43</v>
      </c>
      <c r="AA498" s="5">
        <v>0.11</v>
      </c>
      <c r="AB498" s="10" t="str" cm="1">
        <f t="array" ref="AB498">_xlfn.IFS(AA498 &lt;= 15%, "Low Hike[11-15%]", AA498 &lt;= 20%, "Moderate Hike[16-20%]", AA498 &lt;= 25%,"High Hike[21-25%]")</f>
        <v>Low Hike[11-15%]</v>
      </c>
      <c r="AC498" s="1">
        <v>3</v>
      </c>
      <c r="AD498" s="1">
        <v>3</v>
      </c>
      <c r="AE498" s="1">
        <v>80</v>
      </c>
      <c r="AF498" s="1">
        <v>0</v>
      </c>
      <c r="AG498" s="1">
        <v>3</v>
      </c>
      <c r="AH498" s="9" t="str" cm="1">
        <f t="array" ref="AH498">_xlfn.IFS(AG498 &lt;= 5, "New[1-5]", AG498 &lt;= 10, "Early Career[6-10]", AG498 &lt;= 20, "Established[11-20]", AG498 &lt;= 30, "Veteran[21-30]", AG498 &lt;= 40, "Late Career[31-40]")</f>
        <v>New[1-5]</v>
      </c>
      <c r="AI498" s="1">
        <v>2</v>
      </c>
      <c r="AJ498" s="1">
        <v>3</v>
      </c>
      <c r="AK498" s="1">
        <v>3</v>
      </c>
      <c r="AL498" s="9" t="str" cm="1">
        <f t="array" ref="AL498">_xlfn.IFS(AK498 &lt;= 5, "New[1-5]", AK498 &lt;= 10, "Early Career[6-10]", AK498 &lt;= 20, "Established[11-20]", AK498 &lt;= 30, "Veteran[21-30]", AK498 &lt;= 40, "Late Career[31-40]")</f>
        <v>New[1-5]</v>
      </c>
      <c r="AM498" s="1">
        <v>2</v>
      </c>
      <c r="AN498" s="9" t="str" cm="1">
        <f t="array" ref="AN498">_xlfn.IFS(AM498 &lt;= 3, "New to Role[1-3]", AM498 &lt;= 7, "Settled[4-7]", AM498 &lt;= 12, "Experienced[[8-12]", AM498 &lt;= 18, "Long Tenured[13-18]")</f>
        <v>New to Role[1-3]</v>
      </c>
      <c r="AO498" s="1">
        <v>1</v>
      </c>
      <c r="AP498" s="9" t="str" cm="1">
        <f t="array" ref="AP498">_xlfn.IFS(AO498 &lt;= 3, "Recently[1-3]", AO498 &lt;= 6, "Due Soon[4-6]", AO498 &lt;= 10, "Overdue[7-10]", AO498 &lt;= 15, "Long Overdue[11-15]")</f>
        <v>Recently[1-3]</v>
      </c>
      <c r="AQ498" s="9" t="str" cm="1">
        <f t="array" ref="AQ498">_xlfn.IFS(AR498 &lt;= 3, "New Relationship[1-3]", AR498 &lt;= 7, "Established Relationship[4-7]", AR498 &lt;= 12, "Long Term Relationship[8-12]", AR498 &lt;= 17, "Very Long Term Relationship[13-17]")</f>
        <v>New Relationship[1-3]</v>
      </c>
      <c r="AR498" s="1">
        <v>2</v>
      </c>
    </row>
    <row r="499" spans="1:44" x14ac:dyDescent="0.25">
      <c r="A499" s="1">
        <v>44</v>
      </c>
      <c r="B499" s="8" t="str" cm="1">
        <f t="array" ref="B499">_xlfn.IFS(A499 &lt;= 25, "[18-25]", A499 &lt;= 35, "[26-35]", A499 &lt;=45, "[36-45]", A499 &lt;= 60, "[46- 60]")</f>
        <v>[36-45]</v>
      </c>
      <c r="C499" s="3" t="s">
        <v>43</v>
      </c>
      <c r="D499">
        <f t="shared" si="7"/>
        <v>0</v>
      </c>
      <c r="E499" t="s">
        <v>36</v>
      </c>
      <c r="F499" s="1">
        <v>1315</v>
      </c>
      <c r="G499" s="3" t="s">
        <v>45</v>
      </c>
      <c r="H499" s="1">
        <v>3</v>
      </c>
      <c r="I499" s="9" t="str" cm="1">
        <f t="array" ref="I499">_xlfn.IFS(H499 &lt;= 2, "[1-2] very close", H499 &lt;= 10, "[3-10] close", H499 &lt;= 20, "[11-20] moderate", H499 &lt;= 30, "[21-30] far")</f>
        <v>[3-10] close</v>
      </c>
      <c r="J499" s="1">
        <v>4</v>
      </c>
      <c r="K499" s="3" t="s">
        <v>49</v>
      </c>
      <c r="L499" s="1">
        <v>1</v>
      </c>
      <c r="M499" s="1">
        <v>671</v>
      </c>
      <c r="N499" s="1">
        <v>4</v>
      </c>
      <c r="O499" s="3" t="s">
        <v>46</v>
      </c>
      <c r="P499" s="1">
        <v>35</v>
      </c>
      <c r="Q499" s="1">
        <v>3</v>
      </c>
      <c r="R499" s="1">
        <v>5</v>
      </c>
      <c r="S499" s="3" t="s">
        <v>56</v>
      </c>
      <c r="T499" s="1">
        <v>4</v>
      </c>
      <c r="U499" s="3" t="s">
        <v>48</v>
      </c>
      <c r="V499" s="4">
        <v>19513</v>
      </c>
      <c r="W499" s="1">
        <v>9358</v>
      </c>
      <c r="X499" s="1">
        <v>4</v>
      </c>
      <c r="Y499" s="3" t="s">
        <v>42</v>
      </c>
      <c r="Z499" s="3" t="s">
        <v>35</v>
      </c>
      <c r="AA499" s="5">
        <v>0.12</v>
      </c>
      <c r="AB499" s="10" t="str" cm="1">
        <f t="array" ref="AB499">_xlfn.IFS(AA499 &lt;= 15%, "Low Hike[11-15%]", AA499 &lt;= 20%, "Moderate Hike[16-20%]", AA499 &lt;= 25%,"High Hike[21-25%]")</f>
        <v>Low Hike[11-15%]</v>
      </c>
      <c r="AC499" s="1">
        <v>3</v>
      </c>
      <c r="AD499" s="1">
        <v>1</v>
      </c>
      <c r="AE499" s="1">
        <v>80</v>
      </c>
      <c r="AF499" s="1">
        <v>1</v>
      </c>
      <c r="AG499" s="1">
        <v>26</v>
      </c>
      <c r="AH499" s="9" t="str" cm="1">
        <f t="array" ref="AH499">_xlfn.IFS(AG499 &lt;= 5, "New[1-5]", AG499 &lt;= 10, "Early Career[6-10]", AG499 &lt;= 20, "Established[11-20]", AG499 &lt;= 30, "Veteran[21-30]", AG499 &lt;= 40, "Late Career[31-40]")</f>
        <v>Veteran[21-30]</v>
      </c>
      <c r="AI499" s="1">
        <v>2</v>
      </c>
      <c r="AJ499" s="1">
        <v>4</v>
      </c>
      <c r="AK499" s="1">
        <v>2</v>
      </c>
      <c r="AL499" s="9" t="str" cm="1">
        <f t="array" ref="AL499">_xlfn.IFS(AK499 &lt;= 5, "New[1-5]", AK499 &lt;= 10, "Early Career[6-10]", AK499 &lt;= 20, "Established[11-20]", AK499 &lt;= 30, "Veteran[21-30]", AK499 &lt;= 40, "Late Career[31-40]")</f>
        <v>New[1-5]</v>
      </c>
      <c r="AM499" s="1">
        <v>2</v>
      </c>
      <c r="AN499" s="9" t="str" cm="1">
        <f t="array" ref="AN499">_xlfn.IFS(AM499 &lt;= 3, "New to Role[1-3]", AM499 &lt;= 7, "Settled[4-7]", AM499 &lt;= 12, "Experienced[[8-12]", AM499 &lt;= 18, "Long Tenured[13-18]")</f>
        <v>New to Role[1-3]</v>
      </c>
      <c r="AO499" s="1">
        <v>0</v>
      </c>
      <c r="AP499" s="9" t="str" cm="1">
        <f t="array" ref="AP499">_xlfn.IFS(AO499 &lt;= 3, "Recently[1-3]", AO499 &lt;= 6, "Due Soon[4-6]", AO499 &lt;= 10, "Overdue[7-10]", AO499 &lt;= 15, "Long Overdue[11-15]")</f>
        <v>Recently[1-3]</v>
      </c>
      <c r="AQ499" s="9" t="str" cm="1">
        <f t="array" ref="AQ499">_xlfn.IFS(AR499 &lt;= 3, "New Relationship[1-3]", AR499 &lt;= 7, "Established Relationship[4-7]", AR499 &lt;= 12, "Long Term Relationship[8-12]", AR499 &lt;= 17, "Very Long Term Relationship[13-17]")</f>
        <v>New Relationship[1-3]</v>
      </c>
      <c r="AR499" s="1">
        <v>1</v>
      </c>
    </row>
    <row r="500" spans="1:44" x14ac:dyDescent="0.25">
      <c r="A500" s="1">
        <v>22</v>
      </c>
      <c r="B500" s="8" t="str" cm="1">
        <f t="array" ref="B500">_xlfn.IFS(A500 &lt;= 25, "[18-25]", A500 &lt;= 35, "[26-35]", A500 &lt;=45, "[36-45]", A500 &lt;= 60, "[46- 60]")</f>
        <v>[18-25]</v>
      </c>
      <c r="C500" s="3" t="s">
        <v>43</v>
      </c>
      <c r="D500">
        <f t="shared" si="7"/>
        <v>0</v>
      </c>
      <c r="E500" t="s">
        <v>36</v>
      </c>
      <c r="F500" s="1">
        <v>604</v>
      </c>
      <c r="G500" s="3" t="s">
        <v>45</v>
      </c>
      <c r="H500" s="1">
        <v>6</v>
      </c>
      <c r="I500" s="9" t="str" cm="1">
        <f t="array" ref="I500">_xlfn.IFS(H500 &lt;= 2, "[1-2] very close", H500 &lt;= 10, "[3-10] close", H500 &lt;= 20, "[11-20] moderate", H500 &lt;= 30, "[21-30] far")</f>
        <v>[3-10] close</v>
      </c>
      <c r="J500" s="1">
        <v>1</v>
      </c>
      <c r="K500" s="3" t="s">
        <v>51</v>
      </c>
      <c r="L500" s="1">
        <v>1</v>
      </c>
      <c r="M500" s="1">
        <v>675</v>
      </c>
      <c r="N500" s="1">
        <v>1</v>
      </c>
      <c r="O500" s="3" t="s">
        <v>46</v>
      </c>
      <c r="P500" s="1">
        <v>69</v>
      </c>
      <c r="Q500" s="1">
        <v>3</v>
      </c>
      <c r="R500" s="1">
        <v>1</v>
      </c>
      <c r="S500" s="3" t="s">
        <v>47</v>
      </c>
      <c r="T500" s="1">
        <v>3</v>
      </c>
      <c r="U500" s="3" t="s">
        <v>48</v>
      </c>
      <c r="V500" s="4">
        <v>2773</v>
      </c>
      <c r="W500" s="1">
        <v>12145</v>
      </c>
      <c r="X500" s="1">
        <v>0</v>
      </c>
      <c r="Y500" s="3" t="s">
        <v>42</v>
      </c>
      <c r="Z500" s="3" t="s">
        <v>43</v>
      </c>
      <c r="AA500" s="5">
        <v>0.2</v>
      </c>
      <c r="AB500" s="10" t="str" cm="1">
        <f t="array" ref="AB500">_xlfn.IFS(AA500 &lt;= 15%, "Low Hike[11-15%]", AA500 &lt;= 20%, "Moderate Hike[16-20%]", AA500 &lt;= 25%,"High Hike[21-25%]")</f>
        <v>Moderate Hike[16-20%]</v>
      </c>
      <c r="AC500" s="1">
        <v>4</v>
      </c>
      <c r="AD500" s="1">
        <v>4</v>
      </c>
      <c r="AE500" s="1">
        <v>80</v>
      </c>
      <c r="AF500" s="1">
        <v>0</v>
      </c>
      <c r="AG500" s="1">
        <v>3</v>
      </c>
      <c r="AH500" s="9" t="str" cm="1">
        <f t="array" ref="AH500">_xlfn.IFS(AG500 &lt;= 5, "New[1-5]", AG500 &lt;= 10, "Early Career[6-10]", AG500 &lt;= 20, "Established[11-20]", AG500 &lt;= 30, "Veteran[21-30]", AG500 &lt;= 40, "Late Career[31-40]")</f>
        <v>New[1-5]</v>
      </c>
      <c r="AI500" s="1">
        <v>3</v>
      </c>
      <c r="AJ500" s="1">
        <v>3</v>
      </c>
      <c r="AK500" s="1">
        <v>2</v>
      </c>
      <c r="AL500" s="9" t="str" cm="1">
        <f t="array" ref="AL500">_xlfn.IFS(AK500 &lt;= 5, "New[1-5]", AK500 &lt;= 10, "Early Career[6-10]", AK500 &lt;= 20, "Established[11-20]", AK500 &lt;= 30, "Veteran[21-30]", AK500 &lt;= 40, "Late Career[31-40]")</f>
        <v>New[1-5]</v>
      </c>
      <c r="AM500" s="1">
        <v>2</v>
      </c>
      <c r="AN500" s="9" t="str" cm="1">
        <f t="array" ref="AN500">_xlfn.IFS(AM500 &lt;= 3, "New to Role[1-3]", AM500 &lt;= 7, "Settled[4-7]", AM500 &lt;= 12, "Experienced[[8-12]", AM500 &lt;= 18, "Long Tenured[13-18]")</f>
        <v>New to Role[1-3]</v>
      </c>
      <c r="AO500" s="1">
        <v>2</v>
      </c>
      <c r="AP500" s="9" t="str" cm="1">
        <f t="array" ref="AP500">_xlfn.IFS(AO500 &lt;= 3, "Recently[1-3]", AO500 &lt;= 6, "Due Soon[4-6]", AO500 &lt;= 10, "Overdue[7-10]", AO500 &lt;= 15, "Long Overdue[11-15]")</f>
        <v>Recently[1-3]</v>
      </c>
      <c r="AQ500" s="9" t="str" cm="1">
        <f t="array" ref="AQ500">_xlfn.IFS(AR500 &lt;= 3, "New Relationship[1-3]", AR500 &lt;= 7, "Established Relationship[4-7]", AR500 &lt;= 12, "Long Term Relationship[8-12]", AR500 &lt;= 17, "Very Long Term Relationship[13-17]")</f>
        <v>New Relationship[1-3]</v>
      </c>
      <c r="AR500" s="1">
        <v>2</v>
      </c>
    </row>
    <row r="501" spans="1:44" x14ac:dyDescent="0.25">
      <c r="A501" s="1">
        <v>33</v>
      </c>
      <c r="B501" s="8" t="str" cm="1">
        <f t="array" ref="B501">_xlfn.IFS(A501 &lt;= 25, "[18-25]", A501 &lt;= 35, "[26-35]", A501 &lt;=45, "[36-45]", A501 &lt;= 60, "[46- 60]")</f>
        <v>[26-35]</v>
      </c>
      <c r="C501" s="3" t="s">
        <v>43</v>
      </c>
      <c r="D501">
        <f t="shared" si="7"/>
        <v>0</v>
      </c>
      <c r="E501" t="s">
        <v>36</v>
      </c>
      <c r="F501" s="1">
        <v>1216</v>
      </c>
      <c r="G501" s="3" t="s">
        <v>37</v>
      </c>
      <c r="H501" s="1">
        <v>8</v>
      </c>
      <c r="I501" s="9" t="str" cm="1">
        <f t="array" ref="I501">_xlfn.IFS(H501 &lt;= 2, "[1-2] very close", H501 &lt;= 10, "[3-10] close", H501 &lt;= 20, "[11-20] moderate", H501 &lt;= 30, "[21-30] far")</f>
        <v>[3-10] close</v>
      </c>
      <c r="J501" s="1">
        <v>4</v>
      </c>
      <c r="K501" s="3" t="s">
        <v>59</v>
      </c>
      <c r="L501" s="1">
        <v>1</v>
      </c>
      <c r="M501" s="1">
        <v>677</v>
      </c>
      <c r="N501" s="1">
        <v>3</v>
      </c>
      <c r="O501" s="3" t="s">
        <v>46</v>
      </c>
      <c r="P501" s="1">
        <v>39</v>
      </c>
      <c r="Q501" s="1">
        <v>3</v>
      </c>
      <c r="R501" s="1">
        <v>2</v>
      </c>
      <c r="S501" s="3" t="s">
        <v>40</v>
      </c>
      <c r="T501" s="1">
        <v>3</v>
      </c>
      <c r="U501" s="3" t="s">
        <v>52</v>
      </c>
      <c r="V501" s="4">
        <v>7104</v>
      </c>
      <c r="W501" s="1">
        <v>20431</v>
      </c>
      <c r="X501" s="1">
        <v>0</v>
      </c>
      <c r="Y501" s="3" t="s">
        <v>42</v>
      </c>
      <c r="Z501" s="3" t="s">
        <v>43</v>
      </c>
      <c r="AA501" s="5">
        <v>0.12</v>
      </c>
      <c r="AB501" s="10" t="str" cm="1">
        <f t="array" ref="AB501">_xlfn.IFS(AA501 &lt;= 15%, "Low Hike[11-15%]", AA501 &lt;= 20%, "Moderate Hike[16-20%]", AA501 &lt;= 25%,"High Hike[21-25%]")</f>
        <v>Low Hike[11-15%]</v>
      </c>
      <c r="AC501" s="1">
        <v>3</v>
      </c>
      <c r="AD501" s="1">
        <v>4</v>
      </c>
      <c r="AE501" s="1">
        <v>80</v>
      </c>
      <c r="AF501" s="1">
        <v>0</v>
      </c>
      <c r="AG501" s="1">
        <v>6</v>
      </c>
      <c r="AH501" s="9" t="str" cm="1">
        <f t="array" ref="AH501">_xlfn.IFS(AG501 &lt;= 5, "New[1-5]", AG501 &lt;= 10, "Early Career[6-10]", AG501 &lt;= 20, "Established[11-20]", AG501 &lt;= 30, "Veteran[21-30]", AG501 &lt;= 40, "Late Career[31-40]")</f>
        <v>Early Career[6-10]</v>
      </c>
      <c r="AI501" s="1">
        <v>3</v>
      </c>
      <c r="AJ501" s="1">
        <v>3</v>
      </c>
      <c r="AK501" s="1">
        <v>5</v>
      </c>
      <c r="AL501" s="9" t="str" cm="1">
        <f t="array" ref="AL501">_xlfn.IFS(AK501 &lt;= 5, "New[1-5]", AK501 &lt;= 10, "Early Career[6-10]", AK501 &lt;= 20, "Established[11-20]", AK501 &lt;= 30, "Veteran[21-30]", AK501 &lt;= 40, "Late Career[31-40]")</f>
        <v>New[1-5]</v>
      </c>
      <c r="AM501" s="1">
        <v>0</v>
      </c>
      <c r="AN501" s="9" t="str" cm="1">
        <f t="array" ref="AN501">_xlfn.IFS(AM501 &lt;= 3, "New to Role[1-3]", AM501 &lt;= 7, "Settled[4-7]", AM501 &lt;= 12, "Experienced[[8-12]", AM501 &lt;= 18, "Long Tenured[13-18]")</f>
        <v>New to Role[1-3]</v>
      </c>
      <c r="AO501" s="1">
        <v>1</v>
      </c>
      <c r="AP501" s="9" t="str" cm="1">
        <f t="array" ref="AP501">_xlfn.IFS(AO501 &lt;= 3, "Recently[1-3]", AO501 &lt;= 6, "Due Soon[4-6]", AO501 &lt;= 10, "Overdue[7-10]", AO501 &lt;= 15, "Long Overdue[11-15]")</f>
        <v>Recently[1-3]</v>
      </c>
      <c r="AQ501" s="9" t="str" cm="1">
        <f t="array" ref="AQ501">_xlfn.IFS(AR501 &lt;= 3, "New Relationship[1-3]", AR501 &lt;= 7, "Established Relationship[4-7]", AR501 &lt;= 12, "Long Term Relationship[8-12]", AR501 &lt;= 17, "Very Long Term Relationship[13-17]")</f>
        <v>New Relationship[1-3]</v>
      </c>
      <c r="AR501" s="1">
        <v>2</v>
      </c>
    </row>
    <row r="502" spans="1:44" x14ac:dyDescent="0.25">
      <c r="A502" s="1">
        <v>32</v>
      </c>
      <c r="B502" s="8" t="str" cm="1">
        <f t="array" ref="B502">_xlfn.IFS(A502 &lt;= 25, "[18-25]", A502 &lt;= 35, "[26-35]", A502 &lt;=45, "[36-45]", A502 &lt;= 60, "[46- 60]")</f>
        <v>[26-35]</v>
      </c>
      <c r="C502" s="3" t="s">
        <v>43</v>
      </c>
      <c r="D502">
        <f t="shared" si="7"/>
        <v>0</v>
      </c>
      <c r="E502" t="s">
        <v>36</v>
      </c>
      <c r="F502" s="1">
        <v>646</v>
      </c>
      <c r="G502" s="3" t="s">
        <v>45</v>
      </c>
      <c r="H502" s="1">
        <v>9</v>
      </c>
      <c r="I502" s="9" t="str" cm="1">
        <f t="array" ref="I502">_xlfn.IFS(H502 &lt;= 2, "[1-2] very close", H502 &lt;= 10, "[3-10] close", H502 &lt;= 20, "[11-20] moderate", H502 &lt;= 30, "[21-30] far")</f>
        <v>[3-10] close</v>
      </c>
      <c r="J502" s="1">
        <v>4</v>
      </c>
      <c r="K502" s="3" t="s">
        <v>38</v>
      </c>
      <c r="L502" s="1">
        <v>1</v>
      </c>
      <c r="M502" s="1">
        <v>679</v>
      </c>
      <c r="N502" s="1">
        <v>1</v>
      </c>
      <c r="O502" s="3" t="s">
        <v>39</v>
      </c>
      <c r="P502" s="1">
        <v>92</v>
      </c>
      <c r="Q502" s="1">
        <v>3</v>
      </c>
      <c r="R502" s="1">
        <v>2</v>
      </c>
      <c r="S502" s="3" t="s">
        <v>47</v>
      </c>
      <c r="T502" s="1">
        <v>4</v>
      </c>
      <c r="U502" s="3" t="s">
        <v>48</v>
      </c>
      <c r="V502" s="4">
        <v>6322</v>
      </c>
      <c r="W502" s="1">
        <v>18089</v>
      </c>
      <c r="X502" s="1">
        <v>1</v>
      </c>
      <c r="Y502" s="3" t="s">
        <v>42</v>
      </c>
      <c r="Z502" s="3" t="s">
        <v>35</v>
      </c>
      <c r="AA502" s="5">
        <v>0.12</v>
      </c>
      <c r="AB502" s="10" t="str" cm="1">
        <f t="array" ref="AB502">_xlfn.IFS(AA502 &lt;= 15%, "Low Hike[11-15%]", AA502 &lt;= 20%, "Moderate Hike[16-20%]", AA502 &lt;= 25%,"High Hike[21-25%]")</f>
        <v>Low Hike[11-15%]</v>
      </c>
      <c r="AC502" s="1">
        <v>3</v>
      </c>
      <c r="AD502" s="1">
        <v>4</v>
      </c>
      <c r="AE502" s="1">
        <v>80</v>
      </c>
      <c r="AF502" s="1">
        <v>1</v>
      </c>
      <c r="AG502" s="1">
        <v>6</v>
      </c>
      <c r="AH502" s="9" t="str" cm="1">
        <f t="array" ref="AH502">_xlfn.IFS(AG502 &lt;= 5, "New[1-5]", AG502 &lt;= 10, "Early Career[6-10]", AG502 &lt;= 20, "Established[11-20]", AG502 &lt;= 30, "Veteran[21-30]", AG502 &lt;= 40, "Late Career[31-40]")</f>
        <v>Early Career[6-10]</v>
      </c>
      <c r="AI502" s="1">
        <v>2</v>
      </c>
      <c r="AJ502" s="1">
        <v>2</v>
      </c>
      <c r="AK502" s="1">
        <v>6</v>
      </c>
      <c r="AL502" s="9" t="str" cm="1">
        <f t="array" ref="AL502">_xlfn.IFS(AK502 &lt;= 5, "New[1-5]", AK502 &lt;= 10, "Early Career[6-10]", AK502 &lt;= 20, "Established[11-20]", AK502 &lt;= 30, "Veteran[21-30]", AK502 &lt;= 40, "Late Career[31-40]")</f>
        <v>Early Career[6-10]</v>
      </c>
      <c r="AM502" s="1">
        <v>4</v>
      </c>
      <c r="AN502" s="9" t="str" cm="1">
        <f t="array" ref="AN502">_xlfn.IFS(AM502 &lt;= 3, "New to Role[1-3]", AM502 &lt;= 7, "Settled[4-7]", AM502 &lt;= 12, "Experienced[[8-12]", AM502 &lt;= 18, "Long Tenured[13-18]")</f>
        <v>Settled[4-7]</v>
      </c>
      <c r="AO502" s="1">
        <v>0</v>
      </c>
      <c r="AP502" s="9" t="str" cm="1">
        <f t="array" ref="AP502">_xlfn.IFS(AO502 &lt;= 3, "Recently[1-3]", AO502 &lt;= 6, "Due Soon[4-6]", AO502 &lt;= 10, "Overdue[7-10]", AO502 &lt;= 15, "Long Overdue[11-15]")</f>
        <v>Recently[1-3]</v>
      </c>
      <c r="AQ502" s="9" t="str" cm="1">
        <f t="array" ref="AQ502">_xlfn.IFS(AR502 &lt;= 3, "New Relationship[1-3]", AR502 &lt;= 7, "Established Relationship[4-7]", AR502 &lt;= 12, "Long Term Relationship[8-12]", AR502 &lt;= 17, "Very Long Term Relationship[13-17]")</f>
        <v>Established Relationship[4-7]</v>
      </c>
      <c r="AR502" s="1">
        <v>5</v>
      </c>
    </row>
    <row r="503" spans="1:44" x14ac:dyDescent="0.25">
      <c r="A503" s="1">
        <v>30</v>
      </c>
      <c r="B503" s="8" t="str" cm="1">
        <f t="array" ref="B503">_xlfn.IFS(A503 &lt;= 25, "[18-25]", A503 &lt;= 35, "[26-35]", A503 &lt;=45, "[36-45]", A503 &lt;= 60, "[46- 60]")</f>
        <v>[26-35]</v>
      </c>
      <c r="C503" s="3" t="s">
        <v>43</v>
      </c>
      <c r="D503">
        <f t="shared" si="7"/>
        <v>0</v>
      </c>
      <c r="E503" t="s">
        <v>44</v>
      </c>
      <c r="F503" s="1">
        <v>160</v>
      </c>
      <c r="G503" s="3" t="s">
        <v>45</v>
      </c>
      <c r="H503" s="1">
        <v>3</v>
      </c>
      <c r="I503" s="9" t="str" cm="1">
        <f t="array" ref="I503">_xlfn.IFS(H503 &lt;= 2, "[1-2] very close", H503 &lt;= 10, "[3-10] close", H503 &lt;= 20, "[11-20] moderate", H503 &lt;= 30, "[21-30] far")</f>
        <v>[3-10] close</v>
      </c>
      <c r="J503" s="1">
        <v>3</v>
      </c>
      <c r="K503" s="3" t="s">
        <v>51</v>
      </c>
      <c r="L503" s="1">
        <v>1</v>
      </c>
      <c r="M503" s="1">
        <v>680</v>
      </c>
      <c r="N503" s="1">
        <v>3</v>
      </c>
      <c r="O503" s="3" t="s">
        <v>39</v>
      </c>
      <c r="P503" s="1">
        <v>71</v>
      </c>
      <c r="Q503" s="1">
        <v>3</v>
      </c>
      <c r="R503" s="1">
        <v>1</v>
      </c>
      <c r="S503" s="3" t="s">
        <v>47</v>
      </c>
      <c r="T503" s="1">
        <v>3</v>
      </c>
      <c r="U503" s="3" t="s">
        <v>52</v>
      </c>
      <c r="V503" s="4">
        <v>2083</v>
      </c>
      <c r="W503" s="1">
        <v>22653</v>
      </c>
      <c r="X503" s="1">
        <v>1</v>
      </c>
      <c r="Y503" s="3" t="s">
        <v>42</v>
      </c>
      <c r="Z503" s="3" t="s">
        <v>43</v>
      </c>
      <c r="AA503" s="5">
        <v>0.2</v>
      </c>
      <c r="AB503" s="10" t="str" cm="1">
        <f t="array" ref="AB503">_xlfn.IFS(AA503 &lt;= 15%, "Low Hike[11-15%]", AA503 &lt;= 20%, "Moderate Hike[16-20%]", AA503 &lt;= 25%,"High Hike[21-25%]")</f>
        <v>Moderate Hike[16-20%]</v>
      </c>
      <c r="AC503" s="1">
        <v>4</v>
      </c>
      <c r="AD503" s="1">
        <v>3</v>
      </c>
      <c r="AE503" s="1">
        <v>80</v>
      </c>
      <c r="AF503" s="1">
        <v>1</v>
      </c>
      <c r="AG503" s="1">
        <v>1</v>
      </c>
      <c r="AH503" s="9" t="str" cm="1">
        <f t="array" ref="AH503">_xlfn.IFS(AG503 &lt;= 5, "New[1-5]", AG503 &lt;= 10, "Early Career[6-10]", AG503 &lt;= 20, "Established[11-20]", AG503 &lt;= 30, "Veteran[21-30]", AG503 &lt;= 40, "Late Career[31-40]")</f>
        <v>New[1-5]</v>
      </c>
      <c r="AI503" s="1">
        <v>2</v>
      </c>
      <c r="AJ503" s="1">
        <v>3</v>
      </c>
      <c r="AK503" s="1">
        <v>1</v>
      </c>
      <c r="AL503" s="9" t="str" cm="1">
        <f t="array" ref="AL503">_xlfn.IFS(AK503 &lt;= 5, "New[1-5]", AK503 &lt;= 10, "Early Career[6-10]", AK503 &lt;= 20, "Established[11-20]", AK503 &lt;= 30, "Veteran[21-30]", AK503 &lt;= 40, "Late Career[31-40]")</f>
        <v>New[1-5]</v>
      </c>
      <c r="AM503" s="1">
        <v>0</v>
      </c>
      <c r="AN503" s="9" t="str" cm="1">
        <f t="array" ref="AN503">_xlfn.IFS(AM503 &lt;= 3, "New to Role[1-3]", AM503 &lt;= 7, "Settled[4-7]", AM503 &lt;= 12, "Experienced[[8-12]", AM503 &lt;= 18, "Long Tenured[13-18]")</f>
        <v>New to Role[1-3]</v>
      </c>
      <c r="AO503" s="1">
        <v>0</v>
      </c>
      <c r="AP503" s="9" t="str" cm="1">
        <f t="array" ref="AP503">_xlfn.IFS(AO503 &lt;= 3, "Recently[1-3]", AO503 &lt;= 6, "Due Soon[4-6]", AO503 &lt;= 10, "Overdue[7-10]", AO503 &lt;= 15, "Long Overdue[11-15]")</f>
        <v>Recently[1-3]</v>
      </c>
      <c r="AQ503" s="9" t="str" cm="1">
        <f t="array" ref="AQ503">_xlfn.IFS(AR503 &lt;= 3, "New Relationship[1-3]", AR503 &lt;= 7, "Established Relationship[4-7]", AR503 &lt;= 12, "Long Term Relationship[8-12]", AR503 &lt;= 17, "Very Long Term Relationship[13-17]")</f>
        <v>New Relationship[1-3]</v>
      </c>
      <c r="AR503" s="1">
        <v>0</v>
      </c>
    </row>
    <row r="504" spans="1:44" x14ac:dyDescent="0.25">
      <c r="A504" s="1">
        <v>53</v>
      </c>
      <c r="B504" s="8" t="str" cm="1">
        <f t="array" ref="B504">_xlfn.IFS(A504 &lt;= 25, "[18-25]", A504 &lt;= 35, "[26-35]", A504 &lt;=45, "[36-45]", A504 &lt;= 60, "[46- 60]")</f>
        <v>[46- 60]</v>
      </c>
      <c r="C504" s="3" t="s">
        <v>43</v>
      </c>
      <c r="D504">
        <f t="shared" si="7"/>
        <v>0</v>
      </c>
      <c r="E504" t="s">
        <v>36</v>
      </c>
      <c r="F504" s="1">
        <v>238</v>
      </c>
      <c r="G504" s="3" t="s">
        <v>37</v>
      </c>
      <c r="H504" s="1">
        <v>1</v>
      </c>
      <c r="I504" s="9" t="str" cm="1">
        <f t="array" ref="I504">_xlfn.IFS(H504 &lt;= 2, "[1-2] very close", H504 &lt;= 10, "[3-10] close", H504 &lt;= 20, "[11-20] moderate", H504 &lt;= 30, "[21-30] far")</f>
        <v>[1-2] very close</v>
      </c>
      <c r="J504" s="1">
        <v>1</v>
      </c>
      <c r="K504" s="3" t="s">
        <v>51</v>
      </c>
      <c r="L504" s="1">
        <v>1</v>
      </c>
      <c r="M504" s="1">
        <v>682</v>
      </c>
      <c r="N504" s="1">
        <v>4</v>
      </c>
      <c r="O504" s="3" t="s">
        <v>39</v>
      </c>
      <c r="P504" s="1">
        <v>34</v>
      </c>
      <c r="Q504" s="1">
        <v>3</v>
      </c>
      <c r="R504" s="1">
        <v>2</v>
      </c>
      <c r="S504" s="3" t="s">
        <v>40</v>
      </c>
      <c r="T504" s="1">
        <v>1</v>
      </c>
      <c r="U504" s="3" t="s">
        <v>41</v>
      </c>
      <c r="V504" s="4">
        <v>8381</v>
      </c>
      <c r="W504" s="1">
        <v>7507</v>
      </c>
      <c r="X504" s="1">
        <v>7</v>
      </c>
      <c r="Y504" s="3" t="s">
        <v>42</v>
      </c>
      <c r="Z504" s="3" t="s">
        <v>43</v>
      </c>
      <c r="AA504" s="5">
        <v>0.2</v>
      </c>
      <c r="AB504" s="10" t="str" cm="1">
        <f t="array" ref="AB504">_xlfn.IFS(AA504 &lt;= 15%, "Low Hike[11-15%]", AA504 &lt;= 20%, "Moderate Hike[16-20%]", AA504 &lt;= 25%,"High Hike[21-25%]")</f>
        <v>Moderate Hike[16-20%]</v>
      </c>
      <c r="AC504" s="1">
        <v>4</v>
      </c>
      <c r="AD504" s="1">
        <v>4</v>
      </c>
      <c r="AE504" s="1">
        <v>80</v>
      </c>
      <c r="AF504" s="1">
        <v>0</v>
      </c>
      <c r="AG504" s="1">
        <v>18</v>
      </c>
      <c r="AH504" s="9" t="str" cm="1">
        <f t="array" ref="AH504">_xlfn.IFS(AG504 &lt;= 5, "New[1-5]", AG504 &lt;= 10, "Early Career[6-10]", AG504 &lt;= 20, "Established[11-20]", AG504 &lt;= 30, "Veteran[21-30]", AG504 &lt;= 40, "Late Career[31-40]")</f>
        <v>Established[11-20]</v>
      </c>
      <c r="AI504" s="1">
        <v>2</v>
      </c>
      <c r="AJ504" s="1">
        <v>4</v>
      </c>
      <c r="AK504" s="1">
        <v>14</v>
      </c>
      <c r="AL504" s="9" t="str" cm="1">
        <f t="array" ref="AL504">_xlfn.IFS(AK504 &lt;= 5, "New[1-5]", AK504 &lt;= 10, "Early Career[6-10]", AK504 &lt;= 20, "Established[11-20]", AK504 &lt;= 30, "Veteran[21-30]", AK504 &lt;= 40, "Late Career[31-40]")</f>
        <v>Established[11-20]</v>
      </c>
      <c r="AM504" s="1">
        <v>7</v>
      </c>
      <c r="AN504" s="9" t="str" cm="1">
        <f t="array" ref="AN504">_xlfn.IFS(AM504 &lt;= 3, "New to Role[1-3]", AM504 &lt;= 7, "Settled[4-7]", AM504 &lt;= 12, "Experienced[[8-12]", AM504 &lt;= 18, "Long Tenured[13-18]")</f>
        <v>Settled[4-7]</v>
      </c>
      <c r="AO504" s="1">
        <v>8</v>
      </c>
      <c r="AP504" s="9" t="str" cm="1">
        <f t="array" ref="AP504">_xlfn.IFS(AO504 &lt;= 3, "Recently[1-3]", AO504 &lt;= 6, "Due Soon[4-6]", AO504 &lt;= 10, "Overdue[7-10]", AO504 &lt;= 15, "Long Overdue[11-15]")</f>
        <v>Overdue[7-10]</v>
      </c>
      <c r="AQ504" s="9" t="str" cm="1">
        <f t="array" ref="AQ504">_xlfn.IFS(AR504 &lt;= 3, "New Relationship[1-3]", AR504 &lt;= 7, "Established Relationship[4-7]", AR504 &lt;= 12, "Long Term Relationship[8-12]", AR504 &lt;= 17, "Very Long Term Relationship[13-17]")</f>
        <v>Long Term Relationship[8-12]</v>
      </c>
      <c r="AR504" s="1">
        <v>10</v>
      </c>
    </row>
    <row r="505" spans="1:44" x14ac:dyDescent="0.25">
      <c r="A505" s="1">
        <v>34</v>
      </c>
      <c r="B505" s="8" t="str" cm="1">
        <f t="array" ref="B505">_xlfn.IFS(A505 &lt;= 25, "[18-25]", A505 &lt;= 35, "[26-35]", A505 &lt;=45, "[36-45]", A505 &lt;= 60, "[46- 60]")</f>
        <v>[26-35]</v>
      </c>
      <c r="C505" s="3" t="s">
        <v>43</v>
      </c>
      <c r="D505">
        <f t="shared" si="7"/>
        <v>0</v>
      </c>
      <c r="E505" t="s">
        <v>36</v>
      </c>
      <c r="F505" s="1">
        <v>1397</v>
      </c>
      <c r="G505" s="3" t="s">
        <v>45</v>
      </c>
      <c r="H505" s="1">
        <v>1</v>
      </c>
      <c r="I505" s="9" t="str" cm="1">
        <f t="array" ref="I505">_xlfn.IFS(H505 &lt;= 2, "[1-2] very close", H505 &lt;= 10, "[3-10] close", H505 &lt;= 20, "[11-20] moderate", H505 &lt;= 30, "[21-30] far")</f>
        <v>[1-2] very close</v>
      </c>
      <c r="J505" s="1">
        <v>5</v>
      </c>
      <c r="K505" s="3" t="s">
        <v>38</v>
      </c>
      <c r="L505" s="1">
        <v>1</v>
      </c>
      <c r="M505" s="1">
        <v>683</v>
      </c>
      <c r="N505" s="1">
        <v>2</v>
      </c>
      <c r="O505" s="3" t="s">
        <v>46</v>
      </c>
      <c r="P505" s="1">
        <v>42</v>
      </c>
      <c r="Q505" s="1">
        <v>3</v>
      </c>
      <c r="R505" s="1">
        <v>1</v>
      </c>
      <c r="S505" s="3" t="s">
        <v>47</v>
      </c>
      <c r="T505" s="1">
        <v>4</v>
      </c>
      <c r="U505" s="3" t="s">
        <v>48</v>
      </c>
      <c r="V505" s="4">
        <v>2691</v>
      </c>
      <c r="W505" s="1">
        <v>7660</v>
      </c>
      <c r="X505" s="1">
        <v>1</v>
      </c>
      <c r="Y505" s="3" t="s">
        <v>42</v>
      </c>
      <c r="Z505" s="3" t="s">
        <v>43</v>
      </c>
      <c r="AA505" s="5">
        <v>0.12</v>
      </c>
      <c r="AB505" s="10" t="str" cm="1">
        <f t="array" ref="AB505">_xlfn.IFS(AA505 &lt;= 15%, "Low Hike[11-15%]", AA505 &lt;= 20%, "Moderate Hike[16-20%]", AA505 &lt;= 25%,"High Hike[21-25%]")</f>
        <v>Low Hike[11-15%]</v>
      </c>
      <c r="AC505" s="1">
        <v>3</v>
      </c>
      <c r="AD505" s="1">
        <v>4</v>
      </c>
      <c r="AE505" s="1">
        <v>80</v>
      </c>
      <c r="AF505" s="1">
        <v>1</v>
      </c>
      <c r="AG505" s="1">
        <v>10</v>
      </c>
      <c r="AH505" s="9" t="str" cm="1">
        <f t="array" ref="AH505">_xlfn.IFS(AG505 &lt;= 5, "New[1-5]", AG505 &lt;= 10, "Early Career[6-10]", AG505 &lt;= 20, "Established[11-20]", AG505 &lt;= 30, "Veteran[21-30]", AG505 &lt;= 40, "Late Career[31-40]")</f>
        <v>Early Career[6-10]</v>
      </c>
      <c r="AI505" s="1">
        <v>4</v>
      </c>
      <c r="AJ505" s="1">
        <v>2</v>
      </c>
      <c r="AK505" s="1">
        <v>10</v>
      </c>
      <c r="AL505" s="9" t="str" cm="1">
        <f t="array" ref="AL505">_xlfn.IFS(AK505 &lt;= 5, "New[1-5]", AK505 &lt;= 10, "Early Career[6-10]", AK505 &lt;= 20, "Established[11-20]", AK505 &lt;= 30, "Veteran[21-30]", AK505 &lt;= 40, "Late Career[31-40]")</f>
        <v>Early Career[6-10]</v>
      </c>
      <c r="AM505" s="1">
        <v>9</v>
      </c>
      <c r="AN505" s="9" t="str" cm="1">
        <f t="array" ref="AN505">_xlfn.IFS(AM505 &lt;= 3, "New to Role[1-3]", AM505 &lt;= 7, "Settled[4-7]", AM505 &lt;= 12, "Experienced[[8-12]", AM505 &lt;= 18, "Long Tenured[13-18]")</f>
        <v>Experienced[[8-12]</v>
      </c>
      <c r="AO505" s="1">
        <v>8</v>
      </c>
      <c r="AP505" s="9" t="str" cm="1">
        <f t="array" ref="AP505">_xlfn.IFS(AO505 &lt;= 3, "Recently[1-3]", AO505 &lt;= 6, "Due Soon[4-6]", AO505 &lt;= 10, "Overdue[7-10]", AO505 &lt;= 15, "Long Overdue[11-15]")</f>
        <v>Overdue[7-10]</v>
      </c>
      <c r="AQ505" s="9" t="str" cm="1">
        <f t="array" ref="AQ505">_xlfn.IFS(AR505 &lt;= 3, "New Relationship[1-3]", AR505 &lt;= 7, "Established Relationship[4-7]", AR505 &lt;= 12, "Long Term Relationship[8-12]", AR505 &lt;= 17, "Very Long Term Relationship[13-17]")</f>
        <v>Long Term Relationship[8-12]</v>
      </c>
      <c r="AR505" s="1">
        <v>8</v>
      </c>
    </row>
    <row r="506" spans="1:44" x14ac:dyDescent="0.25">
      <c r="A506" s="1">
        <v>45</v>
      </c>
      <c r="B506" s="8" t="str" cm="1">
        <f t="array" ref="B506">_xlfn.IFS(A506 &lt;= 25, "[18-25]", A506 &lt;= 35, "[26-35]", A506 &lt;=45, "[36-45]", A506 &lt;= 60, "[46- 60]")</f>
        <v>[36-45]</v>
      </c>
      <c r="C506" s="3" t="s">
        <v>35</v>
      </c>
      <c r="D506">
        <f t="shared" si="7"/>
        <v>1</v>
      </c>
      <c r="E506" t="s">
        <v>44</v>
      </c>
      <c r="F506" s="1">
        <v>306</v>
      </c>
      <c r="G506" s="3" t="s">
        <v>37</v>
      </c>
      <c r="H506" s="1">
        <v>26</v>
      </c>
      <c r="I506" s="9" t="str" cm="1">
        <f t="array" ref="I506">_xlfn.IFS(H506 &lt;= 2, "[1-2] very close", H506 &lt;= 10, "[3-10] close", H506 &lt;= 20, "[11-20] moderate", H506 &lt;= 30, "[21-30] far")</f>
        <v>[21-30] far</v>
      </c>
      <c r="J506" s="1">
        <v>4</v>
      </c>
      <c r="K506" s="3" t="s">
        <v>38</v>
      </c>
      <c r="L506" s="1">
        <v>1</v>
      </c>
      <c r="M506" s="1">
        <v>684</v>
      </c>
      <c r="N506" s="1">
        <v>1</v>
      </c>
      <c r="O506" s="3" t="s">
        <v>39</v>
      </c>
      <c r="P506" s="1">
        <v>100</v>
      </c>
      <c r="Q506" s="1">
        <v>3</v>
      </c>
      <c r="R506" s="1">
        <v>2</v>
      </c>
      <c r="S506" s="3" t="s">
        <v>40</v>
      </c>
      <c r="T506" s="1">
        <v>1</v>
      </c>
      <c r="U506" s="3" t="s">
        <v>48</v>
      </c>
      <c r="V506" s="4">
        <v>4286</v>
      </c>
      <c r="W506" s="1">
        <v>5630</v>
      </c>
      <c r="X506" s="1">
        <v>2</v>
      </c>
      <c r="Y506" s="3" t="s">
        <v>42</v>
      </c>
      <c r="Z506" s="3" t="s">
        <v>43</v>
      </c>
      <c r="AA506" s="5">
        <v>0.14000000000000001</v>
      </c>
      <c r="AB506" s="10" t="str" cm="1">
        <f t="array" ref="AB506">_xlfn.IFS(AA506 &lt;= 15%, "Low Hike[11-15%]", AA506 &lt;= 20%, "Moderate Hike[16-20%]", AA506 &lt;= 25%,"High Hike[21-25%]")</f>
        <v>Low Hike[11-15%]</v>
      </c>
      <c r="AC506" s="1">
        <v>3</v>
      </c>
      <c r="AD506" s="1">
        <v>4</v>
      </c>
      <c r="AE506" s="1">
        <v>80</v>
      </c>
      <c r="AF506" s="1">
        <v>2</v>
      </c>
      <c r="AG506" s="1">
        <v>5</v>
      </c>
      <c r="AH506" s="9" t="str" cm="1">
        <f t="array" ref="AH506">_xlfn.IFS(AG506 &lt;= 5, "New[1-5]", AG506 &lt;= 10, "Early Career[6-10]", AG506 &lt;= 20, "Established[11-20]", AG506 &lt;= 30, "Veteran[21-30]", AG506 &lt;= 40, "Late Career[31-40]")</f>
        <v>New[1-5]</v>
      </c>
      <c r="AI506" s="1">
        <v>4</v>
      </c>
      <c r="AJ506" s="1">
        <v>3</v>
      </c>
      <c r="AK506" s="1">
        <v>1</v>
      </c>
      <c r="AL506" s="9" t="str" cm="1">
        <f t="array" ref="AL506">_xlfn.IFS(AK506 &lt;= 5, "New[1-5]", AK506 &lt;= 10, "Early Career[6-10]", AK506 &lt;= 20, "Established[11-20]", AK506 &lt;= 30, "Veteran[21-30]", AK506 &lt;= 40, "Late Career[31-40]")</f>
        <v>New[1-5]</v>
      </c>
      <c r="AM506" s="1">
        <v>1</v>
      </c>
      <c r="AN506" s="9" t="str" cm="1">
        <f t="array" ref="AN506">_xlfn.IFS(AM506 &lt;= 3, "New to Role[1-3]", AM506 &lt;= 7, "Settled[4-7]", AM506 &lt;= 12, "Experienced[[8-12]", AM506 &lt;= 18, "Long Tenured[13-18]")</f>
        <v>New to Role[1-3]</v>
      </c>
      <c r="AO506" s="1">
        <v>0</v>
      </c>
      <c r="AP506" s="9" t="str" cm="1">
        <f t="array" ref="AP506">_xlfn.IFS(AO506 &lt;= 3, "Recently[1-3]", AO506 &lt;= 6, "Due Soon[4-6]", AO506 &lt;= 10, "Overdue[7-10]", AO506 &lt;= 15, "Long Overdue[11-15]")</f>
        <v>Recently[1-3]</v>
      </c>
      <c r="AQ506" s="9" t="str" cm="1">
        <f t="array" ref="AQ506">_xlfn.IFS(AR506 &lt;= 3, "New Relationship[1-3]", AR506 &lt;= 7, "Established Relationship[4-7]", AR506 &lt;= 12, "Long Term Relationship[8-12]", AR506 &lt;= 17, "Very Long Term Relationship[13-17]")</f>
        <v>New Relationship[1-3]</v>
      </c>
      <c r="AR506" s="1">
        <v>0</v>
      </c>
    </row>
    <row r="507" spans="1:44" x14ac:dyDescent="0.25">
      <c r="A507" s="1">
        <v>26</v>
      </c>
      <c r="B507" s="8" t="str" cm="1">
        <f t="array" ref="B507">_xlfn.IFS(A507 &lt;= 25, "[18-25]", A507 &lt;= 35, "[26-35]", A507 &lt;=45, "[36-45]", A507 &lt;= 60, "[46- 60]")</f>
        <v>[26-35]</v>
      </c>
      <c r="C507" s="3" t="s">
        <v>43</v>
      </c>
      <c r="D507">
        <f t="shared" si="7"/>
        <v>0</v>
      </c>
      <c r="E507" t="s">
        <v>36</v>
      </c>
      <c r="F507" s="1">
        <v>991</v>
      </c>
      <c r="G507" s="3" t="s">
        <v>45</v>
      </c>
      <c r="H507" s="1">
        <v>6</v>
      </c>
      <c r="I507" s="9" t="str" cm="1">
        <f t="array" ref="I507">_xlfn.IFS(H507 &lt;= 2, "[1-2] very close", H507 &lt;= 10, "[3-10] close", H507 &lt;= 20, "[11-20] moderate", H507 &lt;= 30, "[21-30] far")</f>
        <v>[3-10] close</v>
      </c>
      <c r="J507" s="1">
        <v>3</v>
      </c>
      <c r="K507" s="3" t="s">
        <v>38</v>
      </c>
      <c r="L507" s="1">
        <v>1</v>
      </c>
      <c r="M507" s="1">
        <v>686</v>
      </c>
      <c r="N507" s="1">
        <v>3</v>
      </c>
      <c r="O507" s="3" t="s">
        <v>39</v>
      </c>
      <c r="P507" s="1">
        <v>71</v>
      </c>
      <c r="Q507" s="1">
        <v>3</v>
      </c>
      <c r="R507" s="1">
        <v>1</v>
      </c>
      <c r="S507" s="3" t="s">
        <v>50</v>
      </c>
      <c r="T507" s="1">
        <v>4</v>
      </c>
      <c r="U507" s="3" t="s">
        <v>48</v>
      </c>
      <c r="V507" s="4">
        <v>2659</v>
      </c>
      <c r="W507" s="1">
        <v>17759</v>
      </c>
      <c r="X507" s="1">
        <v>1</v>
      </c>
      <c r="Y507" s="3" t="s">
        <v>42</v>
      </c>
      <c r="Z507" s="3" t="s">
        <v>35</v>
      </c>
      <c r="AA507" s="5">
        <v>0.13</v>
      </c>
      <c r="AB507" s="10" t="str" cm="1">
        <f t="array" ref="AB507">_xlfn.IFS(AA507 &lt;= 15%, "Low Hike[11-15%]", AA507 &lt;= 20%, "Moderate Hike[16-20%]", AA507 &lt;= 25%,"High Hike[21-25%]")</f>
        <v>Low Hike[11-15%]</v>
      </c>
      <c r="AC507" s="1">
        <v>3</v>
      </c>
      <c r="AD507" s="1">
        <v>3</v>
      </c>
      <c r="AE507" s="1">
        <v>80</v>
      </c>
      <c r="AF507" s="1">
        <v>1</v>
      </c>
      <c r="AG507" s="1">
        <v>3</v>
      </c>
      <c r="AH507" s="9" t="str" cm="1">
        <f t="array" ref="AH507">_xlfn.IFS(AG507 &lt;= 5, "New[1-5]", AG507 &lt;= 10, "Early Career[6-10]", AG507 &lt;= 20, "Established[11-20]", AG507 &lt;= 30, "Veteran[21-30]", AG507 &lt;= 40, "Late Career[31-40]")</f>
        <v>New[1-5]</v>
      </c>
      <c r="AI507" s="1">
        <v>2</v>
      </c>
      <c r="AJ507" s="1">
        <v>3</v>
      </c>
      <c r="AK507" s="1">
        <v>3</v>
      </c>
      <c r="AL507" s="9" t="str" cm="1">
        <f t="array" ref="AL507">_xlfn.IFS(AK507 &lt;= 5, "New[1-5]", AK507 &lt;= 10, "Early Career[6-10]", AK507 &lt;= 20, "Established[11-20]", AK507 &lt;= 30, "Veteran[21-30]", AK507 &lt;= 40, "Late Career[31-40]")</f>
        <v>New[1-5]</v>
      </c>
      <c r="AM507" s="1">
        <v>2</v>
      </c>
      <c r="AN507" s="9" t="str" cm="1">
        <f t="array" ref="AN507">_xlfn.IFS(AM507 &lt;= 3, "New to Role[1-3]", AM507 &lt;= 7, "Settled[4-7]", AM507 &lt;= 12, "Experienced[[8-12]", AM507 &lt;= 18, "Long Tenured[13-18]")</f>
        <v>New to Role[1-3]</v>
      </c>
      <c r="AO507" s="1">
        <v>0</v>
      </c>
      <c r="AP507" s="9" t="str" cm="1">
        <f t="array" ref="AP507">_xlfn.IFS(AO507 &lt;= 3, "Recently[1-3]", AO507 &lt;= 6, "Due Soon[4-6]", AO507 &lt;= 10, "Overdue[7-10]", AO507 &lt;= 15, "Long Overdue[11-15]")</f>
        <v>Recently[1-3]</v>
      </c>
      <c r="AQ507" s="9" t="str" cm="1">
        <f t="array" ref="AQ507">_xlfn.IFS(AR507 &lt;= 3, "New Relationship[1-3]", AR507 &lt;= 7, "Established Relationship[4-7]", AR507 &lt;= 12, "Long Term Relationship[8-12]", AR507 &lt;= 17, "Very Long Term Relationship[13-17]")</f>
        <v>New Relationship[1-3]</v>
      </c>
      <c r="AR507" s="1">
        <v>2</v>
      </c>
    </row>
    <row r="508" spans="1:44" x14ac:dyDescent="0.25">
      <c r="A508" s="1">
        <v>37</v>
      </c>
      <c r="B508" s="8" t="str" cm="1">
        <f t="array" ref="B508">_xlfn.IFS(A508 &lt;= 25, "[18-25]", A508 &lt;= 35, "[26-35]", A508 &lt;=45, "[36-45]", A508 &lt;= 60, "[46- 60]")</f>
        <v>[36-45]</v>
      </c>
      <c r="C508" s="3" t="s">
        <v>43</v>
      </c>
      <c r="D508">
        <f t="shared" si="7"/>
        <v>0</v>
      </c>
      <c r="E508" t="s">
        <v>36</v>
      </c>
      <c r="F508" s="1">
        <v>482</v>
      </c>
      <c r="G508" s="3" t="s">
        <v>45</v>
      </c>
      <c r="H508" s="1">
        <v>3</v>
      </c>
      <c r="I508" s="9" t="str" cm="1">
        <f t="array" ref="I508">_xlfn.IFS(H508 &lt;= 2, "[1-2] very close", H508 &lt;= 10, "[3-10] close", H508 &lt;= 20, "[11-20] moderate", H508 &lt;= 30, "[21-30] far")</f>
        <v>[3-10] close</v>
      </c>
      <c r="J508" s="1">
        <v>3</v>
      </c>
      <c r="K508" s="3" t="s">
        <v>49</v>
      </c>
      <c r="L508" s="1">
        <v>1</v>
      </c>
      <c r="M508" s="1">
        <v>689</v>
      </c>
      <c r="N508" s="1">
        <v>3</v>
      </c>
      <c r="O508" s="3" t="s">
        <v>46</v>
      </c>
      <c r="P508" s="1">
        <v>36</v>
      </c>
      <c r="Q508" s="1">
        <v>3</v>
      </c>
      <c r="R508" s="1">
        <v>3</v>
      </c>
      <c r="S508" s="3" t="s">
        <v>53</v>
      </c>
      <c r="T508" s="1">
        <v>3</v>
      </c>
      <c r="U508" s="3" t="s">
        <v>48</v>
      </c>
      <c r="V508" s="4">
        <v>9434</v>
      </c>
      <c r="W508" s="1">
        <v>9606</v>
      </c>
      <c r="X508" s="1">
        <v>1</v>
      </c>
      <c r="Y508" s="3" t="s">
        <v>42</v>
      </c>
      <c r="Z508" s="3" t="s">
        <v>43</v>
      </c>
      <c r="AA508" s="5">
        <v>0.15</v>
      </c>
      <c r="AB508" s="10" t="str" cm="1">
        <f t="array" ref="AB508">_xlfn.IFS(AA508 &lt;= 15%, "Low Hike[11-15%]", AA508 &lt;= 20%, "Moderate Hike[16-20%]", AA508 &lt;= 25%,"High Hike[21-25%]")</f>
        <v>Low Hike[11-15%]</v>
      </c>
      <c r="AC508" s="1">
        <v>3</v>
      </c>
      <c r="AD508" s="1">
        <v>3</v>
      </c>
      <c r="AE508" s="1">
        <v>80</v>
      </c>
      <c r="AF508" s="1">
        <v>1</v>
      </c>
      <c r="AG508" s="1">
        <v>10</v>
      </c>
      <c r="AH508" s="9" t="str" cm="1">
        <f t="array" ref="AH508">_xlfn.IFS(AG508 &lt;= 5, "New[1-5]", AG508 &lt;= 10, "Early Career[6-10]", AG508 &lt;= 20, "Established[11-20]", AG508 &lt;= 30, "Veteran[21-30]", AG508 &lt;= 40, "Late Career[31-40]")</f>
        <v>Early Career[6-10]</v>
      </c>
      <c r="AI508" s="1">
        <v>2</v>
      </c>
      <c r="AJ508" s="1">
        <v>3</v>
      </c>
      <c r="AK508" s="1">
        <v>10</v>
      </c>
      <c r="AL508" s="9" t="str" cm="1">
        <f t="array" ref="AL508">_xlfn.IFS(AK508 &lt;= 5, "New[1-5]", AK508 &lt;= 10, "Early Career[6-10]", AK508 &lt;= 20, "Established[11-20]", AK508 &lt;= 30, "Veteran[21-30]", AK508 &lt;= 40, "Late Career[31-40]")</f>
        <v>Early Career[6-10]</v>
      </c>
      <c r="AM508" s="1">
        <v>7</v>
      </c>
      <c r="AN508" s="9" t="str" cm="1">
        <f t="array" ref="AN508">_xlfn.IFS(AM508 &lt;= 3, "New to Role[1-3]", AM508 &lt;= 7, "Settled[4-7]", AM508 &lt;= 12, "Experienced[[8-12]", AM508 &lt;= 18, "Long Tenured[13-18]")</f>
        <v>Settled[4-7]</v>
      </c>
      <c r="AO508" s="1">
        <v>7</v>
      </c>
      <c r="AP508" s="9" t="str" cm="1">
        <f t="array" ref="AP508">_xlfn.IFS(AO508 &lt;= 3, "Recently[1-3]", AO508 &lt;= 6, "Due Soon[4-6]", AO508 &lt;= 10, "Overdue[7-10]", AO508 &lt;= 15, "Long Overdue[11-15]")</f>
        <v>Overdue[7-10]</v>
      </c>
      <c r="AQ508" s="9" t="str" cm="1">
        <f t="array" ref="AQ508">_xlfn.IFS(AR508 &lt;= 3, "New Relationship[1-3]", AR508 &lt;= 7, "Established Relationship[4-7]", AR508 &lt;= 12, "Long Term Relationship[8-12]", AR508 &lt;= 17, "Very Long Term Relationship[13-17]")</f>
        <v>Long Term Relationship[8-12]</v>
      </c>
      <c r="AR508" s="1">
        <v>8</v>
      </c>
    </row>
    <row r="509" spans="1:44" x14ac:dyDescent="0.25">
      <c r="A509" s="1">
        <v>29</v>
      </c>
      <c r="B509" s="8" t="str" cm="1">
        <f t="array" ref="B509">_xlfn.IFS(A509 &lt;= 25, "[18-25]", A509 &lt;= 35, "[26-35]", A509 &lt;=45, "[36-45]", A509 &lt;= 60, "[46- 60]")</f>
        <v>[26-35]</v>
      </c>
      <c r="C509" s="3" t="s">
        <v>43</v>
      </c>
      <c r="D509">
        <f t="shared" si="7"/>
        <v>0</v>
      </c>
      <c r="E509" t="s">
        <v>36</v>
      </c>
      <c r="F509" s="1">
        <v>1176</v>
      </c>
      <c r="G509" s="3" t="s">
        <v>37</v>
      </c>
      <c r="H509" s="1">
        <v>3</v>
      </c>
      <c r="I509" s="9" t="str" cm="1">
        <f t="array" ref="I509">_xlfn.IFS(H509 &lt;= 2, "[1-2] very close", H509 &lt;= 10, "[3-10] close", H509 &lt;= 20, "[11-20] moderate", H509 &lt;= 30, "[21-30] far")</f>
        <v>[3-10] close</v>
      </c>
      <c r="J509" s="1">
        <v>2</v>
      </c>
      <c r="K509" s="3" t="s">
        <v>51</v>
      </c>
      <c r="L509" s="1">
        <v>1</v>
      </c>
      <c r="M509" s="1">
        <v>690</v>
      </c>
      <c r="N509" s="1">
        <v>2</v>
      </c>
      <c r="O509" s="3" t="s">
        <v>39</v>
      </c>
      <c r="P509" s="1">
        <v>62</v>
      </c>
      <c r="Q509" s="1">
        <v>3</v>
      </c>
      <c r="R509" s="1">
        <v>2</v>
      </c>
      <c r="S509" s="3" t="s">
        <v>40</v>
      </c>
      <c r="T509" s="1">
        <v>3</v>
      </c>
      <c r="U509" s="3" t="s">
        <v>48</v>
      </c>
      <c r="V509" s="4">
        <v>5561</v>
      </c>
      <c r="W509" s="1">
        <v>3487</v>
      </c>
      <c r="X509" s="1">
        <v>1</v>
      </c>
      <c r="Y509" s="3" t="s">
        <v>42</v>
      </c>
      <c r="Z509" s="3" t="s">
        <v>43</v>
      </c>
      <c r="AA509" s="5">
        <v>0.14000000000000001</v>
      </c>
      <c r="AB509" s="10" t="str" cm="1">
        <f t="array" ref="AB509">_xlfn.IFS(AA509 &lt;= 15%, "Low Hike[11-15%]", AA509 &lt;= 20%, "Moderate Hike[16-20%]", AA509 &lt;= 25%,"High Hike[21-25%]")</f>
        <v>Low Hike[11-15%]</v>
      </c>
      <c r="AC509" s="1">
        <v>3</v>
      </c>
      <c r="AD509" s="1">
        <v>1</v>
      </c>
      <c r="AE509" s="1">
        <v>80</v>
      </c>
      <c r="AF509" s="1">
        <v>1</v>
      </c>
      <c r="AG509" s="1">
        <v>6</v>
      </c>
      <c r="AH509" s="9" t="str" cm="1">
        <f t="array" ref="AH509">_xlfn.IFS(AG509 &lt;= 5, "New[1-5]", AG509 &lt;= 10, "Early Career[6-10]", AG509 &lt;= 20, "Established[11-20]", AG509 &lt;= 30, "Veteran[21-30]", AG509 &lt;= 40, "Late Career[31-40]")</f>
        <v>Early Career[6-10]</v>
      </c>
      <c r="AI509" s="1">
        <v>5</v>
      </c>
      <c r="AJ509" s="1">
        <v>2</v>
      </c>
      <c r="AK509" s="1">
        <v>6</v>
      </c>
      <c r="AL509" s="9" t="str" cm="1">
        <f t="array" ref="AL509">_xlfn.IFS(AK509 &lt;= 5, "New[1-5]", AK509 &lt;= 10, "Early Career[6-10]", AK509 &lt;= 20, "Established[11-20]", AK509 &lt;= 30, "Veteran[21-30]", AK509 &lt;= 40, "Late Career[31-40]")</f>
        <v>Early Career[6-10]</v>
      </c>
      <c r="AM509" s="1">
        <v>0</v>
      </c>
      <c r="AN509" s="9" t="str" cm="1">
        <f t="array" ref="AN509">_xlfn.IFS(AM509 &lt;= 3, "New to Role[1-3]", AM509 &lt;= 7, "Settled[4-7]", AM509 &lt;= 12, "Experienced[[8-12]", AM509 &lt;= 18, "Long Tenured[13-18]")</f>
        <v>New to Role[1-3]</v>
      </c>
      <c r="AO509" s="1">
        <v>1</v>
      </c>
      <c r="AP509" s="9" t="str" cm="1">
        <f t="array" ref="AP509">_xlfn.IFS(AO509 &lt;= 3, "Recently[1-3]", AO509 &lt;= 6, "Due Soon[4-6]", AO509 &lt;= 10, "Overdue[7-10]", AO509 &lt;= 15, "Long Overdue[11-15]")</f>
        <v>Recently[1-3]</v>
      </c>
      <c r="AQ509" s="9" t="str" cm="1">
        <f t="array" ref="AQ509">_xlfn.IFS(AR509 &lt;= 3, "New Relationship[1-3]", AR509 &lt;= 7, "Established Relationship[4-7]", AR509 &lt;= 12, "Long Term Relationship[8-12]", AR509 &lt;= 17, "Very Long Term Relationship[13-17]")</f>
        <v>New Relationship[1-3]</v>
      </c>
      <c r="AR509" s="1">
        <v>2</v>
      </c>
    </row>
    <row r="510" spans="1:44" x14ac:dyDescent="0.25">
      <c r="A510" s="1">
        <v>35</v>
      </c>
      <c r="B510" s="8" t="str" cm="1">
        <f t="array" ref="B510">_xlfn.IFS(A510 &lt;= 25, "[18-25]", A510 &lt;= 35, "[26-35]", A510 &lt;=45, "[36-45]", A510 &lt;= 60, "[46- 60]")</f>
        <v>[26-35]</v>
      </c>
      <c r="C510" s="3" t="s">
        <v>43</v>
      </c>
      <c r="D510">
        <f t="shared" si="7"/>
        <v>0</v>
      </c>
      <c r="E510" t="s">
        <v>36</v>
      </c>
      <c r="F510" s="1">
        <v>1017</v>
      </c>
      <c r="G510" s="3" t="s">
        <v>45</v>
      </c>
      <c r="H510" s="1">
        <v>6</v>
      </c>
      <c r="I510" s="9" t="str" cm="1">
        <f t="array" ref="I510">_xlfn.IFS(H510 &lt;= 2, "[1-2] very close", H510 &lt;= 10, "[3-10] close", H510 &lt;= 20, "[11-20] moderate", H510 &lt;= 30, "[21-30] far")</f>
        <v>[3-10] close</v>
      </c>
      <c r="J510" s="1">
        <v>4</v>
      </c>
      <c r="K510" s="3" t="s">
        <v>38</v>
      </c>
      <c r="L510" s="1">
        <v>1</v>
      </c>
      <c r="M510" s="1">
        <v>691</v>
      </c>
      <c r="N510" s="1">
        <v>2</v>
      </c>
      <c r="O510" s="3" t="s">
        <v>46</v>
      </c>
      <c r="P510" s="1">
        <v>82</v>
      </c>
      <c r="Q510" s="1">
        <v>1</v>
      </c>
      <c r="R510" s="1">
        <v>2</v>
      </c>
      <c r="S510" s="3" t="s">
        <v>47</v>
      </c>
      <c r="T510" s="1">
        <v>4</v>
      </c>
      <c r="U510" s="3" t="s">
        <v>41</v>
      </c>
      <c r="V510" s="4">
        <v>6646</v>
      </c>
      <c r="W510" s="1">
        <v>19368</v>
      </c>
      <c r="X510" s="1">
        <v>1</v>
      </c>
      <c r="Y510" s="3" t="s">
        <v>42</v>
      </c>
      <c r="Z510" s="3" t="s">
        <v>43</v>
      </c>
      <c r="AA510" s="5">
        <v>0.13</v>
      </c>
      <c r="AB510" s="10" t="str" cm="1">
        <f t="array" ref="AB510">_xlfn.IFS(AA510 &lt;= 15%, "Low Hike[11-15%]", AA510 &lt;= 20%, "Moderate Hike[16-20%]", AA510 &lt;= 25%,"High Hike[21-25%]")</f>
        <v>Low Hike[11-15%]</v>
      </c>
      <c r="AC510" s="1">
        <v>3</v>
      </c>
      <c r="AD510" s="1">
        <v>2</v>
      </c>
      <c r="AE510" s="1">
        <v>80</v>
      </c>
      <c r="AF510" s="1">
        <v>0</v>
      </c>
      <c r="AG510" s="1">
        <v>17</v>
      </c>
      <c r="AH510" s="9" t="str" cm="1">
        <f t="array" ref="AH510">_xlfn.IFS(AG510 &lt;= 5, "New[1-5]", AG510 &lt;= 10, "Early Career[6-10]", AG510 &lt;= 20, "Established[11-20]", AG510 &lt;= 30, "Veteran[21-30]", AG510 &lt;= 40, "Late Career[31-40]")</f>
        <v>Established[11-20]</v>
      </c>
      <c r="AI510" s="1">
        <v>3</v>
      </c>
      <c r="AJ510" s="1">
        <v>3</v>
      </c>
      <c r="AK510" s="1">
        <v>17</v>
      </c>
      <c r="AL510" s="9" t="str" cm="1">
        <f t="array" ref="AL510">_xlfn.IFS(AK510 &lt;= 5, "New[1-5]", AK510 &lt;= 10, "Early Career[6-10]", AK510 &lt;= 20, "Established[11-20]", AK510 &lt;= 30, "Veteran[21-30]", AK510 &lt;= 40, "Late Career[31-40]")</f>
        <v>Established[11-20]</v>
      </c>
      <c r="AM510" s="1">
        <v>11</v>
      </c>
      <c r="AN510" s="9" t="str" cm="1">
        <f t="array" ref="AN510">_xlfn.IFS(AM510 &lt;= 3, "New to Role[1-3]", AM510 &lt;= 7, "Settled[4-7]", AM510 &lt;= 12, "Experienced[[8-12]", AM510 &lt;= 18, "Long Tenured[13-18]")</f>
        <v>Experienced[[8-12]</v>
      </c>
      <c r="AO510" s="1">
        <v>11</v>
      </c>
      <c r="AP510" s="9" t="str" cm="1">
        <f t="array" ref="AP510">_xlfn.IFS(AO510 &lt;= 3, "Recently[1-3]", AO510 &lt;= 6, "Due Soon[4-6]", AO510 &lt;= 10, "Overdue[7-10]", AO510 &lt;= 15, "Long Overdue[11-15]")</f>
        <v>Long Overdue[11-15]</v>
      </c>
      <c r="AQ510" s="9" t="str" cm="1">
        <f t="array" ref="AQ510">_xlfn.IFS(AR510 &lt;= 3, "New Relationship[1-3]", AR510 &lt;= 7, "Established Relationship[4-7]", AR510 &lt;= 12, "Long Term Relationship[8-12]", AR510 &lt;= 17, "Very Long Term Relationship[13-17]")</f>
        <v>Long Term Relationship[8-12]</v>
      </c>
      <c r="AR510" s="1">
        <v>8</v>
      </c>
    </row>
    <row r="511" spans="1:44" x14ac:dyDescent="0.25">
      <c r="A511" s="1">
        <v>33</v>
      </c>
      <c r="B511" s="8" t="str" cm="1">
        <f t="array" ref="B511">_xlfn.IFS(A511 &lt;= 25, "[18-25]", A511 &lt;= 35, "[26-35]", A511 &lt;=45, "[36-45]", A511 &lt;= 60, "[46- 60]")</f>
        <v>[26-35]</v>
      </c>
      <c r="C511" s="3" t="s">
        <v>43</v>
      </c>
      <c r="D511">
        <f t="shared" si="7"/>
        <v>0</v>
      </c>
      <c r="E511" t="s">
        <v>44</v>
      </c>
      <c r="F511" s="1">
        <v>1296</v>
      </c>
      <c r="G511" s="3" t="s">
        <v>45</v>
      </c>
      <c r="H511" s="1">
        <v>6</v>
      </c>
      <c r="I511" s="9" t="str" cm="1">
        <f t="array" ref="I511">_xlfn.IFS(H511 &lt;= 2, "[1-2] very close", H511 &lt;= 10, "[3-10] close", H511 &lt;= 20, "[11-20] moderate", H511 &lt;= 30, "[21-30] far")</f>
        <v>[3-10] close</v>
      </c>
      <c r="J511" s="1">
        <v>3</v>
      </c>
      <c r="K511" s="3" t="s">
        <v>38</v>
      </c>
      <c r="L511" s="1">
        <v>1</v>
      </c>
      <c r="M511" s="1">
        <v>692</v>
      </c>
      <c r="N511" s="1">
        <v>3</v>
      </c>
      <c r="O511" s="3" t="s">
        <v>46</v>
      </c>
      <c r="P511" s="1">
        <v>30</v>
      </c>
      <c r="Q511" s="1">
        <v>3</v>
      </c>
      <c r="R511" s="1">
        <v>2</v>
      </c>
      <c r="S511" s="3" t="s">
        <v>54</v>
      </c>
      <c r="T511" s="1">
        <v>4</v>
      </c>
      <c r="U511" s="3" t="s">
        <v>52</v>
      </c>
      <c r="V511" s="4">
        <v>7725</v>
      </c>
      <c r="W511" s="1">
        <v>5335</v>
      </c>
      <c r="X511" s="1">
        <v>3</v>
      </c>
      <c r="Y511" s="3" t="s">
        <v>42</v>
      </c>
      <c r="Z511" s="3" t="s">
        <v>43</v>
      </c>
      <c r="AA511" s="5">
        <v>0.23</v>
      </c>
      <c r="AB511" s="10" t="str" cm="1">
        <f t="array" ref="AB511">_xlfn.IFS(AA511 &lt;= 15%, "Low Hike[11-15%]", AA511 &lt;= 20%, "Moderate Hike[16-20%]", AA511 &lt;= 25%,"High Hike[21-25%]")</f>
        <v>High Hike[21-25%]</v>
      </c>
      <c r="AC511" s="1">
        <v>4</v>
      </c>
      <c r="AD511" s="1">
        <v>3</v>
      </c>
      <c r="AE511" s="1">
        <v>80</v>
      </c>
      <c r="AF511" s="1">
        <v>1</v>
      </c>
      <c r="AG511" s="1">
        <v>15</v>
      </c>
      <c r="AH511" s="9" t="str" cm="1">
        <f t="array" ref="AH511">_xlfn.IFS(AG511 &lt;= 5, "New[1-5]", AG511 &lt;= 10, "Early Career[6-10]", AG511 &lt;= 20, "Established[11-20]", AG511 &lt;= 30, "Veteran[21-30]", AG511 &lt;= 40, "Late Career[31-40]")</f>
        <v>Established[11-20]</v>
      </c>
      <c r="AI511" s="1">
        <v>2</v>
      </c>
      <c r="AJ511" s="1">
        <v>1</v>
      </c>
      <c r="AK511" s="1">
        <v>13</v>
      </c>
      <c r="AL511" s="9" t="str" cm="1">
        <f t="array" ref="AL511">_xlfn.IFS(AK511 &lt;= 5, "New[1-5]", AK511 &lt;= 10, "Early Career[6-10]", AK511 &lt;= 20, "Established[11-20]", AK511 &lt;= 30, "Veteran[21-30]", AK511 &lt;= 40, "Late Career[31-40]")</f>
        <v>Established[11-20]</v>
      </c>
      <c r="AM511" s="1">
        <v>11</v>
      </c>
      <c r="AN511" s="9" t="str" cm="1">
        <f t="array" ref="AN511">_xlfn.IFS(AM511 &lt;= 3, "New to Role[1-3]", AM511 &lt;= 7, "Settled[4-7]", AM511 &lt;= 12, "Experienced[[8-12]", AM511 &lt;= 18, "Long Tenured[13-18]")</f>
        <v>Experienced[[8-12]</v>
      </c>
      <c r="AO511" s="1">
        <v>4</v>
      </c>
      <c r="AP511" s="9" t="str" cm="1">
        <f t="array" ref="AP511">_xlfn.IFS(AO511 &lt;= 3, "Recently[1-3]", AO511 &lt;= 6, "Due Soon[4-6]", AO511 &lt;= 10, "Overdue[7-10]", AO511 &lt;= 15, "Long Overdue[11-15]")</f>
        <v>Due Soon[4-6]</v>
      </c>
      <c r="AQ511" s="9" t="str" cm="1">
        <f t="array" ref="AQ511">_xlfn.IFS(AR511 &lt;= 3, "New Relationship[1-3]", AR511 &lt;= 7, "Established Relationship[4-7]", AR511 &lt;= 12, "Long Term Relationship[8-12]", AR511 &lt;= 17, "Very Long Term Relationship[13-17]")</f>
        <v>Established Relationship[4-7]</v>
      </c>
      <c r="AR511" s="1">
        <v>7</v>
      </c>
    </row>
    <row r="512" spans="1:44" x14ac:dyDescent="0.25">
      <c r="A512" s="1">
        <v>54</v>
      </c>
      <c r="B512" s="8" t="str" cm="1">
        <f t="array" ref="B512">_xlfn.IFS(A512 &lt;= 25, "[18-25]", A512 &lt;= 35, "[26-35]", A512 &lt;=45, "[36-45]", A512 &lt;= 60, "[46- 60]")</f>
        <v>[46- 60]</v>
      </c>
      <c r="C512" s="3" t="s">
        <v>43</v>
      </c>
      <c r="D512">
        <f t="shared" si="7"/>
        <v>0</v>
      </c>
      <c r="E512" t="s">
        <v>36</v>
      </c>
      <c r="F512" s="1">
        <v>397</v>
      </c>
      <c r="G512" s="3" t="s">
        <v>61</v>
      </c>
      <c r="H512" s="1">
        <v>19</v>
      </c>
      <c r="I512" s="9" t="str" cm="1">
        <f t="array" ref="I512">_xlfn.IFS(H512 &lt;= 2, "[1-2] very close", H512 &lt;= 10, "[3-10] close", H512 &lt;= 20, "[11-20] moderate", H512 &lt;= 30, "[21-30] far")</f>
        <v>[11-20] moderate</v>
      </c>
      <c r="J512" s="1">
        <v>4</v>
      </c>
      <c r="K512" s="3" t="s">
        <v>51</v>
      </c>
      <c r="L512" s="1">
        <v>1</v>
      </c>
      <c r="M512" s="1">
        <v>698</v>
      </c>
      <c r="N512" s="1">
        <v>3</v>
      </c>
      <c r="O512" s="3" t="s">
        <v>46</v>
      </c>
      <c r="P512" s="1">
        <v>88</v>
      </c>
      <c r="Q512" s="1">
        <v>3</v>
      </c>
      <c r="R512" s="1">
        <v>3</v>
      </c>
      <c r="S512" s="3" t="s">
        <v>61</v>
      </c>
      <c r="T512" s="1">
        <v>2</v>
      </c>
      <c r="U512" s="3" t="s">
        <v>48</v>
      </c>
      <c r="V512" s="4">
        <v>10725</v>
      </c>
      <c r="W512" s="1">
        <v>6729</v>
      </c>
      <c r="X512" s="1">
        <v>2</v>
      </c>
      <c r="Y512" s="3" t="s">
        <v>42</v>
      </c>
      <c r="Z512" s="3" t="s">
        <v>43</v>
      </c>
      <c r="AA512" s="5">
        <v>0.15</v>
      </c>
      <c r="AB512" s="10" t="str" cm="1">
        <f t="array" ref="AB512">_xlfn.IFS(AA512 &lt;= 15%, "Low Hike[11-15%]", AA512 &lt;= 20%, "Moderate Hike[16-20%]", AA512 &lt;= 25%,"High Hike[21-25%]")</f>
        <v>Low Hike[11-15%]</v>
      </c>
      <c r="AC512" s="1">
        <v>3</v>
      </c>
      <c r="AD512" s="1">
        <v>3</v>
      </c>
      <c r="AE512" s="1">
        <v>80</v>
      </c>
      <c r="AF512" s="1">
        <v>1</v>
      </c>
      <c r="AG512" s="1">
        <v>16</v>
      </c>
      <c r="AH512" s="9" t="str" cm="1">
        <f t="array" ref="AH512">_xlfn.IFS(AG512 &lt;= 5, "New[1-5]", AG512 &lt;= 10, "Early Career[6-10]", AG512 &lt;= 20, "Established[11-20]", AG512 &lt;= 30, "Veteran[21-30]", AG512 &lt;= 40, "Late Career[31-40]")</f>
        <v>Established[11-20]</v>
      </c>
      <c r="AI512" s="1">
        <v>1</v>
      </c>
      <c r="AJ512" s="1">
        <v>4</v>
      </c>
      <c r="AK512" s="1">
        <v>9</v>
      </c>
      <c r="AL512" s="9" t="str" cm="1">
        <f t="array" ref="AL512">_xlfn.IFS(AK512 &lt;= 5, "New[1-5]", AK512 &lt;= 10, "Early Career[6-10]", AK512 &lt;= 20, "Established[11-20]", AK512 &lt;= 30, "Veteran[21-30]", AK512 &lt;= 40, "Late Career[31-40]")</f>
        <v>Early Career[6-10]</v>
      </c>
      <c r="AM512" s="1">
        <v>7</v>
      </c>
      <c r="AN512" s="9" t="str" cm="1">
        <f t="array" ref="AN512">_xlfn.IFS(AM512 &lt;= 3, "New to Role[1-3]", AM512 &lt;= 7, "Settled[4-7]", AM512 &lt;= 12, "Experienced[[8-12]", AM512 &lt;= 18, "Long Tenured[13-18]")</f>
        <v>Settled[4-7]</v>
      </c>
      <c r="AO512" s="1">
        <v>7</v>
      </c>
      <c r="AP512" s="9" t="str" cm="1">
        <f t="array" ref="AP512">_xlfn.IFS(AO512 &lt;= 3, "Recently[1-3]", AO512 &lt;= 6, "Due Soon[4-6]", AO512 &lt;= 10, "Overdue[7-10]", AO512 &lt;= 15, "Long Overdue[11-15]")</f>
        <v>Overdue[7-10]</v>
      </c>
      <c r="AQ512" s="9" t="str" cm="1">
        <f t="array" ref="AQ512">_xlfn.IFS(AR512 &lt;= 3, "New Relationship[1-3]", AR512 &lt;= 7, "Established Relationship[4-7]", AR512 &lt;= 12, "Long Term Relationship[8-12]", AR512 &lt;= 17, "Very Long Term Relationship[13-17]")</f>
        <v>New Relationship[1-3]</v>
      </c>
      <c r="AR512" s="1">
        <v>1</v>
      </c>
    </row>
    <row r="513" spans="1:44" x14ac:dyDescent="0.25">
      <c r="A513" s="1">
        <v>36</v>
      </c>
      <c r="B513" s="8" t="str" cm="1">
        <f t="array" ref="B513">_xlfn.IFS(A513 &lt;= 25, "[18-25]", A513 &lt;= 35, "[26-35]", A513 &lt;=45, "[36-45]", A513 &lt;= 60, "[46- 60]")</f>
        <v>[36-45]</v>
      </c>
      <c r="C513" s="3" t="s">
        <v>43</v>
      </c>
      <c r="D513">
        <f t="shared" si="7"/>
        <v>0</v>
      </c>
      <c r="E513" t="s">
        <v>36</v>
      </c>
      <c r="F513" s="1">
        <v>913</v>
      </c>
      <c r="G513" s="3" t="s">
        <v>45</v>
      </c>
      <c r="H513" s="1">
        <v>9</v>
      </c>
      <c r="I513" s="9" t="str" cm="1">
        <f t="array" ref="I513">_xlfn.IFS(H513 &lt;= 2, "[1-2] very close", H513 &lt;= 10, "[3-10] close", H513 &lt;= 20, "[11-20] moderate", H513 &lt;= 30, "[21-30] far")</f>
        <v>[3-10] close</v>
      </c>
      <c r="J513" s="1">
        <v>2</v>
      </c>
      <c r="K513" s="3" t="s">
        <v>51</v>
      </c>
      <c r="L513" s="1">
        <v>1</v>
      </c>
      <c r="M513" s="1">
        <v>699</v>
      </c>
      <c r="N513" s="1">
        <v>2</v>
      </c>
      <c r="O513" s="3" t="s">
        <v>46</v>
      </c>
      <c r="P513" s="1">
        <v>48</v>
      </c>
      <c r="Q513" s="1">
        <v>2</v>
      </c>
      <c r="R513" s="1">
        <v>2</v>
      </c>
      <c r="S513" s="3" t="s">
        <v>53</v>
      </c>
      <c r="T513" s="1">
        <v>2</v>
      </c>
      <c r="U513" s="3" t="s">
        <v>52</v>
      </c>
      <c r="V513" s="4">
        <v>8847</v>
      </c>
      <c r="W513" s="1">
        <v>13934</v>
      </c>
      <c r="X513" s="1">
        <v>2</v>
      </c>
      <c r="Y513" s="3" t="s">
        <v>42</v>
      </c>
      <c r="Z513" s="3" t="s">
        <v>35</v>
      </c>
      <c r="AA513" s="5">
        <v>0.11</v>
      </c>
      <c r="AB513" s="10" t="str" cm="1">
        <f t="array" ref="AB513">_xlfn.IFS(AA513 &lt;= 15%, "Low Hike[11-15%]", AA513 &lt;= 20%, "Moderate Hike[16-20%]", AA513 &lt;= 25%,"High Hike[21-25%]")</f>
        <v>Low Hike[11-15%]</v>
      </c>
      <c r="AC513" s="1">
        <v>3</v>
      </c>
      <c r="AD513" s="1">
        <v>3</v>
      </c>
      <c r="AE513" s="1">
        <v>80</v>
      </c>
      <c r="AF513" s="1">
        <v>1</v>
      </c>
      <c r="AG513" s="1">
        <v>13</v>
      </c>
      <c r="AH513" s="9" t="str" cm="1">
        <f t="array" ref="AH513">_xlfn.IFS(AG513 &lt;= 5, "New[1-5]", AG513 &lt;= 10, "Early Career[6-10]", AG513 &lt;= 20, "Established[11-20]", AG513 &lt;= 30, "Veteran[21-30]", AG513 &lt;= 40, "Late Career[31-40]")</f>
        <v>Established[11-20]</v>
      </c>
      <c r="AI513" s="1">
        <v>2</v>
      </c>
      <c r="AJ513" s="1">
        <v>3</v>
      </c>
      <c r="AK513" s="1">
        <v>3</v>
      </c>
      <c r="AL513" s="9" t="str" cm="1">
        <f t="array" ref="AL513">_xlfn.IFS(AK513 &lt;= 5, "New[1-5]", AK513 &lt;= 10, "Early Career[6-10]", AK513 &lt;= 20, "Established[11-20]", AK513 &lt;= 30, "Veteran[21-30]", AK513 &lt;= 40, "Late Career[31-40]")</f>
        <v>New[1-5]</v>
      </c>
      <c r="AM513" s="1">
        <v>2</v>
      </c>
      <c r="AN513" s="9" t="str" cm="1">
        <f t="array" ref="AN513">_xlfn.IFS(AM513 &lt;= 3, "New to Role[1-3]", AM513 &lt;= 7, "Settled[4-7]", AM513 &lt;= 12, "Experienced[[8-12]", AM513 &lt;= 18, "Long Tenured[13-18]")</f>
        <v>New to Role[1-3]</v>
      </c>
      <c r="AO513" s="1">
        <v>0</v>
      </c>
      <c r="AP513" s="9" t="str" cm="1">
        <f t="array" ref="AP513">_xlfn.IFS(AO513 &lt;= 3, "Recently[1-3]", AO513 &lt;= 6, "Due Soon[4-6]", AO513 &lt;= 10, "Overdue[7-10]", AO513 &lt;= 15, "Long Overdue[11-15]")</f>
        <v>Recently[1-3]</v>
      </c>
      <c r="AQ513" s="9" t="str" cm="1">
        <f t="array" ref="AQ513">_xlfn.IFS(AR513 &lt;= 3, "New Relationship[1-3]", AR513 &lt;= 7, "Established Relationship[4-7]", AR513 &lt;= 12, "Long Term Relationship[8-12]", AR513 &lt;= 17, "Very Long Term Relationship[13-17]")</f>
        <v>New Relationship[1-3]</v>
      </c>
      <c r="AR513" s="1">
        <v>2</v>
      </c>
    </row>
    <row r="514" spans="1:44" x14ac:dyDescent="0.25">
      <c r="A514" s="1">
        <v>27</v>
      </c>
      <c r="B514" s="8" t="str" cm="1">
        <f t="array" ref="B514">_xlfn.IFS(A514 &lt;= 25, "[18-25]", A514 &lt;= 35, "[26-35]", A514 &lt;=45, "[36-45]", A514 &lt;= 60, "[46- 60]")</f>
        <v>[26-35]</v>
      </c>
      <c r="C514" s="3" t="s">
        <v>43</v>
      </c>
      <c r="D514">
        <f t="shared" ref="D514:D577" si="8">IF(C514 = "Yes",1, 0)</f>
        <v>0</v>
      </c>
      <c r="E514" t="s">
        <v>36</v>
      </c>
      <c r="F514" s="1">
        <v>1115</v>
      </c>
      <c r="G514" s="3" t="s">
        <v>45</v>
      </c>
      <c r="H514" s="1">
        <v>3</v>
      </c>
      <c r="I514" s="9" t="str" cm="1">
        <f t="array" ref="I514">_xlfn.IFS(H514 &lt;= 2, "[1-2] very close", H514 &lt;= 10, "[3-10] close", H514 &lt;= 20, "[11-20] moderate", H514 &lt;= 30, "[21-30] far")</f>
        <v>[3-10] close</v>
      </c>
      <c r="J514" s="1">
        <v>4</v>
      </c>
      <c r="K514" s="3" t="s">
        <v>51</v>
      </c>
      <c r="L514" s="1">
        <v>1</v>
      </c>
      <c r="M514" s="1">
        <v>700</v>
      </c>
      <c r="N514" s="1">
        <v>1</v>
      </c>
      <c r="O514" s="3" t="s">
        <v>46</v>
      </c>
      <c r="P514" s="1">
        <v>54</v>
      </c>
      <c r="Q514" s="1">
        <v>2</v>
      </c>
      <c r="R514" s="1">
        <v>1</v>
      </c>
      <c r="S514" s="3" t="s">
        <v>47</v>
      </c>
      <c r="T514" s="1">
        <v>4</v>
      </c>
      <c r="U514" s="3" t="s">
        <v>41</v>
      </c>
      <c r="V514" s="4">
        <v>2045</v>
      </c>
      <c r="W514" s="1">
        <v>15174</v>
      </c>
      <c r="X514" s="1">
        <v>0</v>
      </c>
      <c r="Y514" s="3" t="s">
        <v>42</v>
      </c>
      <c r="Z514" s="3" t="s">
        <v>43</v>
      </c>
      <c r="AA514" s="5">
        <v>0.13</v>
      </c>
      <c r="AB514" s="10" t="str" cm="1">
        <f t="array" ref="AB514">_xlfn.IFS(AA514 &lt;= 15%, "Low Hike[11-15%]", AA514 &lt;= 20%, "Moderate Hike[16-20%]", AA514 &lt;= 25%,"High Hike[21-25%]")</f>
        <v>Low Hike[11-15%]</v>
      </c>
      <c r="AC514" s="1">
        <v>3</v>
      </c>
      <c r="AD514" s="1">
        <v>4</v>
      </c>
      <c r="AE514" s="1">
        <v>80</v>
      </c>
      <c r="AF514" s="1">
        <v>0</v>
      </c>
      <c r="AG514" s="1">
        <v>5</v>
      </c>
      <c r="AH514" s="9" t="str" cm="1">
        <f t="array" ref="AH514">_xlfn.IFS(AG514 &lt;= 5, "New[1-5]", AG514 &lt;= 10, "Early Career[6-10]", AG514 &lt;= 20, "Established[11-20]", AG514 &lt;= 30, "Veteran[21-30]", AG514 &lt;= 40, "Late Career[31-40]")</f>
        <v>New[1-5]</v>
      </c>
      <c r="AI514" s="1">
        <v>0</v>
      </c>
      <c r="AJ514" s="1">
        <v>3</v>
      </c>
      <c r="AK514" s="1">
        <v>4</v>
      </c>
      <c r="AL514" s="9" t="str" cm="1">
        <f t="array" ref="AL514">_xlfn.IFS(AK514 &lt;= 5, "New[1-5]", AK514 &lt;= 10, "Early Career[6-10]", AK514 &lt;= 20, "Established[11-20]", AK514 &lt;= 30, "Veteran[21-30]", AK514 &lt;= 40, "Late Career[31-40]")</f>
        <v>New[1-5]</v>
      </c>
      <c r="AM514" s="1">
        <v>2</v>
      </c>
      <c r="AN514" s="9" t="str" cm="1">
        <f t="array" ref="AN514">_xlfn.IFS(AM514 &lt;= 3, "New to Role[1-3]", AM514 &lt;= 7, "Settled[4-7]", AM514 &lt;= 12, "Experienced[[8-12]", AM514 &lt;= 18, "Long Tenured[13-18]")</f>
        <v>New to Role[1-3]</v>
      </c>
      <c r="AO514" s="1">
        <v>1</v>
      </c>
      <c r="AP514" s="9" t="str" cm="1">
        <f t="array" ref="AP514">_xlfn.IFS(AO514 &lt;= 3, "Recently[1-3]", AO514 &lt;= 6, "Due Soon[4-6]", AO514 &lt;= 10, "Overdue[7-10]", AO514 &lt;= 15, "Long Overdue[11-15]")</f>
        <v>Recently[1-3]</v>
      </c>
      <c r="AQ514" s="9" t="str" cm="1">
        <f t="array" ref="AQ514">_xlfn.IFS(AR514 &lt;= 3, "New Relationship[1-3]", AR514 &lt;= 7, "Established Relationship[4-7]", AR514 &lt;= 12, "Long Term Relationship[8-12]", AR514 &lt;= 17, "Very Long Term Relationship[13-17]")</f>
        <v>New Relationship[1-3]</v>
      </c>
      <c r="AR514" s="1">
        <v>1</v>
      </c>
    </row>
    <row r="515" spans="1:44" x14ac:dyDescent="0.25">
      <c r="A515" s="1">
        <v>20</v>
      </c>
      <c r="B515" s="8" t="str" cm="1">
        <f t="array" ref="B515">_xlfn.IFS(A515 &lt;= 25, "[18-25]", A515 &lt;= 35, "[26-35]", A515 &lt;=45, "[36-45]", A515 &lt;= 60, "[46- 60]")</f>
        <v>[18-25]</v>
      </c>
      <c r="C515" s="3" t="s">
        <v>35</v>
      </c>
      <c r="D515">
        <f t="shared" si="8"/>
        <v>1</v>
      </c>
      <c r="E515" t="s">
        <v>36</v>
      </c>
      <c r="F515" s="1">
        <v>1362</v>
      </c>
      <c r="G515" s="3" t="s">
        <v>45</v>
      </c>
      <c r="H515" s="1">
        <v>10</v>
      </c>
      <c r="I515" s="9" t="str" cm="1">
        <f t="array" ref="I515">_xlfn.IFS(H515 &lt;= 2, "[1-2] very close", H515 &lt;= 10, "[3-10] close", H515 &lt;= 20, "[11-20] moderate", H515 &lt;= 30, "[21-30] far")</f>
        <v>[3-10] close</v>
      </c>
      <c r="J515" s="1">
        <v>1</v>
      </c>
      <c r="K515" s="3" t="s">
        <v>51</v>
      </c>
      <c r="L515" s="1">
        <v>1</v>
      </c>
      <c r="M515" s="1">
        <v>701</v>
      </c>
      <c r="N515" s="1">
        <v>4</v>
      </c>
      <c r="O515" s="3" t="s">
        <v>46</v>
      </c>
      <c r="P515" s="1">
        <v>32</v>
      </c>
      <c r="Q515" s="1">
        <v>3</v>
      </c>
      <c r="R515" s="1">
        <v>1</v>
      </c>
      <c r="S515" s="3" t="s">
        <v>47</v>
      </c>
      <c r="T515" s="1">
        <v>3</v>
      </c>
      <c r="U515" s="3" t="s">
        <v>41</v>
      </c>
      <c r="V515" s="4">
        <v>1009</v>
      </c>
      <c r="W515" s="1">
        <v>26999</v>
      </c>
      <c r="X515" s="1">
        <v>1</v>
      </c>
      <c r="Y515" s="3" t="s">
        <v>42</v>
      </c>
      <c r="Z515" s="3" t="s">
        <v>35</v>
      </c>
      <c r="AA515" s="5">
        <v>0.11</v>
      </c>
      <c r="AB515" s="10" t="str" cm="1">
        <f t="array" ref="AB515">_xlfn.IFS(AA515 &lt;= 15%, "Low Hike[11-15%]", AA515 &lt;= 20%, "Moderate Hike[16-20%]", AA515 &lt;= 25%,"High Hike[21-25%]")</f>
        <v>Low Hike[11-15%]</v>
      </c>
      <c r="AC515" s="1">
        <v>3</v>
      </c>
      <c r="AD515" s="1">
        <v>4</v>
      </c>
      <c r="AE515" s="1">
        <v>80</v>
      </c>
      <c r="AF515" s="1">
        <v>0</v>
      </c>
      <c r="AG515" s="1">
        <v>1</v>
      </c>
      <c r="AH515" s="9" t="str" cm="1">
        <f t="array" ref="AH515">_xlfn.IFS(AG515 &lt;= 5, "New[1-5]", AG515 &lt;= 10, "Early Career[6-10]", AG515 &lt;= 20, "Established[11-20]", AG515 &lt;= 30, "Veteran[21-30]", AG515 &lt;= 40, "Late Career[31-40]")</f>
        <v>New[1-5]</v>
      </c>
      <c r="AI515" s="1">
        <v>5</v>
      </c>
      <c r="AJ515" s="1">
        <v>3</v>
      </c>
      <c r="AK515" s="1">
        <v>1</v>
      </c>
      <c r="AL515" s="9" t="str" cm="1">
        <f t="array" ref="AL515">_xlfn.IFS(AK515 &lt;= 5, "New[1-5]", AK515 &lt;= 10, "Early Career[6-10]", AK515 &lt;= 20, "Established[11-20]", AK515 &lt;= 30, "Veteran[21-30]", AK515 &lt;= 40, "Late Career[31-40]")</f>
        <v>New[1-5]</v>
      </c>
      <c r="AM515" s="1">
        <v>0</v>
      </c>
      <c r="AN515" s="9" t="str" cm="1">
        <f t="array" ref="AN515">_xlfn.IFS(AM515 &lt;= 3, "New to Role[1-3]", AM515 &lt;= 7, "Settled[4-7]", AM515 &lt;= 12, "Experienced[[8-12]", AM515 &lt;= 18, "Long Tenured[13-18]")</f>
        <v>New to Role[1-3]</v>
      </c>
      <c r="AO515" s="1">
        <v>1</v>
      </c>
      <c r="AP515" s="9" t="str" cm="1">
        <f t="array" ref="AP515">_xlfn.IFS(AO515 &lt;= 3, "Recently[1-3]", AO515 &lt;= 6, "Due Soon[4-6]", AO515 &lt;= 10, "Overdue[7-10]", AO515 &lt;= 15, "Long Overdue[11-15]")</f>
        <v>Recently[1-3]</v>
      </c>
      <c r="AQ515" s="9" t="str" cm="1">
        <f t="array" ref="AQ515">_xlfn.IFS(AR515 &lt;= 3, "New Relationship[1-3]", AR515 &lt;= 7, "Established Relationship[4-7]", AR515 &lt;= 12, "Long Term Relationship[8-12]", AR515 &lt;= 17, "Very Long Term Relationship[13-17]")</f>
        <v>New Relationship[1-3]</v>
      </c>
      <c r="AR515" s="1">
        <v>1</v>
      </c>
    </row>
    <row r="516" spans="1:44" x14ac:dyDescent="0.25">
      <c r="A516" s="1">
        <v>33</v>
      </c>
      <c r="B516" s="8" t="str" cm="1">
        <f t="array" ref="B516">_xlfn.IFS(A516 &lt;= 25, "[18-25]", A516 &lt;= 35, "[26-35]", A516 &lt;=45, "[36-45]", A516 &lt;= 60, "[46- 60]")</f>
        <v>[26-35]</v>
      </c>
      <c r="C516" s="3" t="s">
        <v>35</v>
      </c>
      <c r="D516">
        <f t="shared" si="8"/>
        <v>1</v>
      </c>
      <c r="E516" t="s">
        <v>44</v>
      </c>
      <c r="F516" s="1">
        <v>1076</v>
      </c>
      <c r="G516" s="3" t="s">
        <v>45</v>
      </c>
      <c r="H516" s="1">
        <v>3</v>
      </c>
      <c r="I516" s="9" t="str" cm="1">
        <f t="array" ref="I516">_xlfn.IFS(H516 &lt;= 2, "[1-2] very close", H516 &lt;= 10, "[3-10] close", H516 &lt;= 20, "[11-20] moderate", H516 &lt;= 30, "[21-30] far")</f>
        <v>[3-10] close</v>
      </c>
      <c r="J516" s="1">
        <v>3</v>
      </c>
      <c r="K516" s="3" t="s">
        <v>38</v>
      </c>
      <c r="L516" s="1">
        <v>1</v>
      </c>
      <c r="M516" s="1">
        <v>702</v>
      </c>
      <c r="N516" s="1">
        <v>1</v>
      </c>
      <c r="O516" s="3" t="s">
        <v>46</v>
      </c>
      <c r="P516" s="1">
        <v>70</v>
      </c>
      <c r="Q516" s="1">
        <v>3</v>
      </c>
      <c r="R516" s="1">
        <v>1</v>
      </c>
      <c r="S516" s="3" t="s">
        <v>47</v>
      </c>
      <c r="T516" s="1">
        <v>1</v>
      </c>
      <c r="U516" s="3" t="s">
        <v>41</v>
      </c>
      <c r="V516" s="4">
        <v>3348</v>
      </c>
      <c r="W516" s="1">
        <v>3164</v>
      </c>
      <c r="X516" s="1">
        <v>1</v>
      </c>
      <c r="Y516" s="3" t="s">
        <v>42</v>
      </c>
      <c r="Z516" s="3" t="s">
        <v>35</v>
      </c>
      <c r="AA516" s="5">
        <v>0.11</v>
      </c>
      <c r="AB516" s="10" t="str" cm="1">
        <f t="array" ref="AB516">_xlfn.IFS(AA516 &lt;= 15%, "Low Hike[11-15%]", AA516 &lt;= 20%, "Moderate Hike[16-20%]", AA516 &lt;= 25%,"High Hike[21-25%]")</f>
        <v>Low Hike[11-15%]</v>
      </c>
      <c r="AC516" s="1">
        <v>3</v>
      </c>
      <c r="AD516" s="1">
        <v>1</v>
      </c>
      <c r="AE516" s="1">
        <v>80</v>
      </c>
      <c r="AF516" s="1">
        <v>0</v>
      </c>
      <c r="AG516" s="1">
        <v>10</v>
      </c>
      <c r="AH516" s="9" t="str" cm="1">
        <f t="array" ref="AH516">_xlfn.IFS(AG516 &lt;= 5, "New[1-5]", AG516 &lt;= 10, "Early Career[6-10]", AG516 &lt;= 20, "Established[11-20]", AG516 &lt;= 30, "Veteran[21-30]", AG516 &lt;= 40, "Late Career[31-40]")</f>
        <v>Early Career[6-10]</v>
      </c>
      <c r="AI516" s="1">
        <v>3</v>
      </c>
      <c r="AJ516" s="1">
        <v>3</v>
      </c>
      <c r="AK516" s="1">
        <v>10</v>
      </c>
      <c r="AL516" s="9" t="str" cm="1">
        <f t="array" ref="AL516">_xlfn.IFS(AK516 &lt;= 5, "New[1-5]", AK516 &lt;= 10, "Early Career[6-10]", AK516 &lt;= 20, "Established[11-20]", AK516 &lt;= 30, "Veteran[21-30]", AK516 &lt;= 40, "Late Career[31-40]")</f>
        <v>Early Career[6-10]</v>
      </c>
      <c r="AM516" s="1">
        <v>8</v>
      </c>
      <c r="AN516" s="9" t="str" cm="1">
        <f t="array" ref="AN516">_xlfn.IFS(AM516 &lt;= 3, "New to Role[1-3]", AM516 &lt;= 7, "Settled[4-7]", AM516 &lt;= 12, "Experienced[[8-12]", AM516 &lt;= 18, "Long Tenured[13-18]")</f>
        <v>Experienced[[8-12]</v>
      </c>
      <c r="AO516" s="1">
        <v>9</v>
      </c>
      <c r="AP516" s="9" t="str" cm="1">
        <f t="array" ref="AP516">_xlfn.IFS(AO516 &lt;= 3, "Recently[1-3]", AO516 &lt;= 6, "Due Soon[4-6]", AO516 &lt;= 10, "Overdue[7-10]", AO516 &lt;= 15, "Long Overdue[11-15]")</f>
        <v>Overdue[7-10]</v>
      </c>
      <c r="AQ516" s="9" t="str" cm="1">
        <f t="array" ref="AQ516">_xlfn.IFS(AR516 &lt;= 3, "New Relationship[1-3]", AR516 &lt;= 7, "Established Relationship[4-7]", AR516 &lt;= 12, "Long Term Relationship[8-12]", AR516 &lt;= 17, "Very Long Term Relationship[13-17]")</f>
        <v>Established Relationship[4-7]</v>
      </c>
      <c r="AR516" s="1">
        <v>7</v>
      </c>
    </row>
    <row r="517" spans="1:44" x14ac:dyDescent="0.25">
      <c r="A517" s="1">
        <v>35</v>
      </c>
      <c r="B517" s="8" t="str" cm="1">
        <f t="array" ref="B517">_xlfn.IFS(A517 &lt;= 25, "[18-25]", A517 &lt;= 35, "[26-35]", A517 &lt;=45, "[36-45]", A517 &lt;= 60, "[46- 60]")</f>
        <v>[26-35]</v>
      </c>
      <c r="C517" s="3" t="s">
        <v>43</v>
      </c>
      <c r="D517">
        <f t="shared" si="8"/>
        <v>0</v>
      </c>
      <c r="E517" t="s">
        <v>62</v>
      </c>
      <c r="F517" s="1">
        <v>727</v>
      </c>
      <c r="G517" s="3" t="s">
        <v>45</v>
      </c>
      <c r="H517" s="1">
        <v>3</v>
      </c>
      <c r="I517" s="9" t="str" cm="1">
        <f t="array" ref="I517">_xlfn.IFS(H517 &lt;= 2, "[1-2] very close", H517 &lt;= 10, "[3-10] close", H517 &lt;= 20, "[11-20] moderate", H517 &lt;= 30, "[21-30] far")</f>
        <v>[3-10] close</v>
      </c>
      <c r="J517" s="1">
        <v>3</v>
      </c>
      <c r="K517" s="3" t="s">
        <v>38</v>
      </c>
      <c r="L517" s="1">
        <v>1</v>
      </c>
      <c r="M517" s="1">
        <v>704</v>
      </c>
      <c r="N517" s="1">
        <v>3</v>
      </c>
      <c r="O517" s="3" t="s">
        <v>46</v>
      </c>
      <c r="P517" s="1">
        <v>41</v>
      </c>
      <c r="Q517" s="1">
        <v>2</v>
      </c>
      <c r="R517" s="1">
        <v>1</v>
      </c>
      <c r="S517" s="3" t="s">
        <v>50</v>
      </c>
      <c r="T517" s="1">
        <v>3</v>
      </c>
      <c r="U517" s="3" t="s">
        <v>48</v>
      </c>
      <c r="V517" s="4">
        <v>1281</v>
      </c>
      <c r="W517" s="1">
        <v>16900</v>
      </c>
      <c r="X517" s="1">
        <v>1</v>
      </c>
      <c r="Y517" s="3" t="s">
        <v>42</v>
      </c>
      <c r="Z517" s="3" t="s">
        <v>43</v>
      </c>
      <c r="AA517" s="5">
        <v>0.18</v>
      </c>
      <c r="AB517" s="10" t="str" cm="1">
        <f t="array" ref="AB517">_xlfn.IFS(AA517 &lt;= 15%, "Low Hike[11-15%]", AA517 &lt;= 20%, "Moderate Hike[16-20%]", AA517 &lt;= 25%,"High Hike[21-25%]")</f>
        <v>Moderate Hike[16-20%]</v>
      </c>
      <c r="AC517" s="1">
        <v>3</v>
      </c>
      <c r="AD517" s="1">
        <v>3</v>
      </c>
      <c r="AE517" s="1">
        <v>80</v>
      </c>
      <c r="AF517" s="1">
        <v>2</v>
      </c>
      <c r="AG517" s="1">
        <v>1</v>
      </c>
      <c r="AH517" s="9" t="str" cm="1">
        <f t="array" ref="AH517">_xlfn.IFS(AG517 &lt;= 5, "New[1-5]", AG517 &lt;= 10, "Early Career[6-10]", AG517 &lt;= 20, "Established[11-20]", AG517 &lt;= 30, "Veteran[21-30]", AG517 &lt;= 40, "Late Career[31-40]")</f>
        <v>New[1-5]</v>
      </c>
      <c r="AI517" s="1">
        <v>3</v>
      </c>
      <c r="AJ517" s="1">
        <v>3</v>
      </c>
      <c r="AK517" s="1">
        <v>1</v>
      </c>
      <c r="AL517" s="9" t="str" cm="1">
        <f t="array" ref="AL517">_xlfn.IFS(AK517 &lt;= 5, "New[1-5]", AK517 &lt;= 10, "Early Career[6-10]", AK517 &lt;= 20, "Established[11-20]", AK517 &lt;= 30, "Veteran[21-30]", AK517 &lt;= 40, "Late Career[31-40]")</f>
        <v>New[1-5]</v>
      </c>
      <c r="AM517" s="1">
        <v>0</v>
      </c>
      <c r="AN517" s="9" t="str" cm="1">
        <f t="array" ref="AN517">_xlfn.IFS(AM517 &lt;= 3, "New to Role[1-3]", AM517 &lt;= 7, "Settled[4-7]", AM517 &lt;= 12, "Experienced[[8-12]", AM517 &lt;= 18, "Long Tenured[13-18]")</f>
        <v>New to Role[1-3]</v>
      </c>
      <c r="AO517" s="1">
        <v>0</v>
      </c>
      <c r="AP517" s="9" t="str" cm="1">
        <f t="array" ref="AP517">_xlfn.IFS(AO517 &lt;= 3, "Recently[1-3]", AO517 &lt;= 6, "Due Soon[4-6]", AO517 &lt;= 10, "Overdue[7-10]", AO517 &lt;= 15, "Long Overdue[11-15]")</f>
        <v>Recently[1-3]</v>
      </c>
      <c r="AQ517" s="9" t="str" cm="1">
        <f t="array" ref="AQ517">_xlfn.IFS(AR517 &lt;= 3, "New Relationship[1-3]", AR517 &lt;= 7, "Established Relationship[4-7]", AR517 &lt;= 12, "Long Term Relationship[8-12]", AR517 &lt;= 17, "Very Long Term Relationship[13-17]")</f>
        <v>New Relationship[1-3]</v>
      </c>
      <c r="AR517" s="1">
        <v>0</v>
      </c>
    </row>
    <row r="518" spans="1:44" x14ac:dyDescent="0.25">
      <c r="A518" s="1">
        <v>23</v>
      </c>
      <c r="B518" s="8" t="str" cm="1">
        <f t="array" ref="B518">_xlfn.IFS(A518 &lt;= 25, "[18-25]", A518 &lt;= 35, "[26-35]", A518 &lt;=45, "[36-45]", A518 &lt;= 60, "[46- 60]")</f>
        <v>[18-25]</v>
      </c>
      <c r="C518" s="3" t="s">
        <v>43</v>
      </c>
      <c r="D518">
        <f t="shared" si="8"/>
        <v>0</v>
      </c>
      <c r="E518" t="s">
        <v>36</v>
      </c>
      <c r="F518" s="1">
        <v>885</v>
      </c>
      <c r="G518" s="3" t="s">
        <v>45</v>
      </c>
      <c r="H518" s="1">
        <v>4</v>
      </c>
      <c r="I518" s="9" t="str" cm="1">
        <f t="array" ref="I518">_xlfn.IFS(H518 &lt;= 2, "[1-2] very close", H518 &lt;= 10, "[3-10] close", H518 &lt;= 20, "[11-20] moderate", H518 &lt;= 30, "[21-30] far")</f>
        <v>[3-10] close</v>
      </c>
      <c r="J518" s="1">
        <v>3</v>
      </c>
      <c r="K518" s="3" t="s">
        <v>51</v>
      </c>
      <c r="L518" s="1">
        <v>1</v>
      </c>
      <c r="M518" s="1">
        <v>705</v>
      </c>
      <c r="N518" s="1">
        <v>1</v>
      </c>
      <c r="O518" s="3" t="s">
        <v>46</v>
      </c>
      <c r="P518" s="1">
        <v>58</v>
      </c>
      <c r="Q518" s="1">
        <v>4</v>
      </c>
      <c r="R518" s="1">
        <v>1</v>
      </c>
      <c r="S518" s="3" t="s">
        <v>47</v>
      </c>
      <c r="T518" s="1">
        <v>1</v>
      </c>
      <c r="U518" s="3" t="s">
        <v>48</v>
      </c>
      <c r="V518" s="4">
        <v>2819</v>
      </c>
      <c r="W518" s="1">
        <v>8544</v>
      </c>
      <c r="X518" s="1">
        <v>2</v>
      </c>
      <c r="Y518" s="3" t="s">
        <v>42</v>
      </c>
      <c r="Z518" s="3" t="s">
        <v>43</v>
      </c>
      <c r="AA518" s="5">
        <v>0.16</v>
      </c>
      <c r="AB518" s="10" t="str" cm="1">
        <f t="array" ref="AB518">_xlfn.IFS(AA518 &lt;= 15%, "Low Hike[11-15%]", AA518 &lt;= 20%, "Moderate Hike[16-20%]", AA518 &lt;= 25%,"High Hike[21-25%]")</f>
        <v>Moderate Hike[16-20%]</v>
      </c>
      <c r="AC518" s="1">
        <v>3</v>
      </c>
      <c r="AD518" s="1">
        <v>1</v>
      </c>
      <c r="AE518" s="1">
        <v>80</v>
      </c>
      <c r="AF518" s="1">
        <v>1</v>
      </c>
      <c r="AG518" s="1">
        <v>5</v>
      </c>
      <c r="AH518" s="9" t="str" cm="1">
        <f t="array" ref="AH518">_xlfn.IFS(AG518 &lt;= 5, "New[1-5]", AG518 &lt;= 10, "Early Career[6-10]", AG518 &lt;= 20, "Established[11-20]", AG518 &lt;= 30, "Veteran[21-30]", AG518 &lt;= 40, "Late Career[31-40]")</f>
        <v>New[1-5]</v>
      </c>
      <c r="AI518" s="1">
        <v>3</v>
      </c>
      <c r="AJ518" s="1">
        <v>4</v>
      </c>
      <c r="AK518" s="1">
        <v>3</v>
      </c>
      <c r="AL518" s="9" t="str" cm="1">
        <f t="array" ref="AL518">_xlfn.IFS(AK518 &lt;= 5, "New[1-5]", AK518 &lt;= 10, "Early Career[6-10]", AK518 &lt;= 20, "Established[11-20]", AK518 &lt;= 30, "Veteran[21-30]", AK518 &lt;= 40, "Late Career[31-40]")</f>
        <v>New[1-5]</v>
      </c>
      <c r="AM518" s="1">
        <v>2</v>
      </c>
      <c r="AN518" s="9" t="str" cm="1">
        <f t="array" ref="AN518">_xlfn.IFS(AM518 &lt;= 3, "New to Role[1-3]", AM518 &lt;= 7, "Settled[4-7]", AM518 &lt;= 12, "Experienced[[8-12]", AM518 &lt;= 18, "Long Tenured[13-18]")</f>
        <v>New to Role[1-3]</v>
      </c>
      <c r="AO518" s="1">
        <v>0</v>
      </c>
      <c r="AP518" s="9" t="str" cm="1">
        <f t="array" ref="AP518">_xlfn.IFS(AO518 &lt;= 3, "Recently[1-3]", AO518 &lt;= 6, "Due Soon[4-6]", AO518 &lt;= 10, "Overdue[7-10]", AO518 &lt;= 15, "Long Overdue[11-15]")</f>
        <v>Recently[1-3]</v>
      </c>
      <c r="AQ518" s="9" t="str" cm="1">
        <f t="array" ref="AQ518">_xlfn.IFS(AR518 &lt;= 3, "New Relationship[1-3]", AR518 &lt;= 7, "Established Relationship[4-7]", AR518 &lt;= 12, "Long Term Relationship[8-12]", AR518 &lt;= 17, "Very Long Term Relationship[13-17]")</f>
        <v>New Relationship[1-3]</v>
      </c>
      <c r="AR518" s="1">
        <v>2</v>
      </c>
    </row>
    <row r="519" spans="1:44" x14ac:dyDescent="0.25">
      <c r="A519" s="1">
        <v>25</v>
      </c>
      <c r="B519" s="8" t="str" cm="1">
        <f t="array" ref="B519">_xlfn.IFS(A519 &lt;= 25, "[18-25]", A519 &lt;= 35, "[26-35]", A519 &lt;=45, "[36-45]", A519 &lt;= 60, "[46- 60]")</f>
        <v>[18-25]</v>
      </c>
      <c r="C519" s="3" t="s">
        <v>43</v>
      </c>
      <c r="D519">
        <f t="shared" si="8"/>
        <v>0</v>
      </c>
      <c r="E519" t="s">
        <v>36</v>
      </c>
      <c r="F519" s="1">
        <v>810</v>
      </c>
      <c r="G519" s="3" t="s">
        <v>37</v>
      </c>
      <c r="H519" s="1">
        <v>8</v>
      </c>
      <c r="I519" s="9" t="str" cm="1">
        <f t="array" ref="I519">_xlfn.IFS(H519 &lt;= 2, "[1-2] very close", H519 &lt;= 10, "[3-10] close", H519 &lt;= 20, "[11-20] moderate", H519 &lt;= 30, "[21-30] far")</f>
        <v>[3-10] close</v>
      </c>
      <c r="J519" s="1">
        <v>3</v>
      </c>
      <c r="K519" s="3" t="s">
        <v>38</v>
      </c>
      <c r="L519" s="1">
        <v>1</v>
      </c>
      <c r="M519" s="1">
        <v>707</v>
      </c>
      <c r="N519" s="1">
        <v>4</v>
      </c>
      <c r="O519" s="3" t="s">
        <v>46</v>
      </c>
      <c r="P519" s="1">
        <v>57</v>
      </c>
      <c r="Q519" s="1">
        <v>4</v>
      </c>
      <c r="R519" s="1">
        <v>2</v>
      </c>
      <c r="S519" s="3" t="s">
        <v>40</v>
      </c>
      <c r="T519" s="1">
        <v>2</v>
      </c>
      <c r="U519" s="3" t="s">
        <v>48</v>
      </c>
      <c r="V519" s="4">
        <v>4851</v>
      </c>
      <c r="W519" s="1">
        <v>15678</v>
      </c>
      <c r="X519" s="1">
        <v>0</v>
      </c>
      <c r="Y519" s="3" t="s">
        <v>42</v>
      </c>
      <c r="Z519" s="3" t="s">
        <v>43</v>
      </c>
      <c r="AA519" s="5">
        <v>0.22</v>
      </c>
      <c r="AB519" s="10" t="str" cm="1">
        <f t="array" ref="AB519">_xlfn.IFS(AA519 &lt;= 15%, "Low Hike[11-15%]", AA519 &lt;= 20%, "Moderate Hike[16-20%]", AA519 &lt;= 25%,"High Hike[21-25%]")</f>
        <v>High Hike[21-25%]</v>
      </c>
      <c r="AC519" s="1">
        <v>4</v>
      </c>
      <c r="AD519" s="1">
        <v>3</v>
      </c>
      <c r="AE519" s="1">
        <v>80</v>
      </c>
      <c r="AF519" s="1">
        <v>1</v>
      </c>
      <c r="AG519" s="1">
        <v>4</v>
      </c>
      <c r="AH519" s="9" t="str" cm="1">
        <f t="array" ref="AH519">_xlfn.IFS(AG519 &lt;= 5, "New[1-5]", AG519 &lt;= 10, "Early Career[6-10]", AG519 &lt;= 20, "Established[11-20]", AG519 &lt;= 30, "Veteran[21-30]", AG519 &lt;= 40, "Late Career[31-40]")</f>
        <v>New[1-5]</v>
      </c>
      <c r="AI519" s="1">
        <v>4</v>
      </c>
      <c r="AJ519" s="1">
        <v>3</v>
      </c>
      <c r="AK519" s="1">
        <v>3</v>
      </c>
      <c r="AL519" s="9" t="str" cm="1">
        <f t="array" ref="AL519">_xlfn.IFS(AK519 &lt;= 5, "New[1-5]", AK519 &lt;= 10, "Early Career[6-10]", AK519 &lt;= 20, "Established[11-20]", AK519 &lt;= 30, "Veteran[21-30]", AK519 &lt;= 40, "Late Career[31-40]")</f>
        <v>New[1-5]</v>
      </c>
      <c r="AM519" s="1">
        <v>2</v>
      </c>
      <c r="AN519" s="9" t="str" cm="1">
        <f t="array" ref="AN519">_xlfn.IFS(AM519 &lt;= 3, "New to Role[1-3]", AM519 &lt;= 7, "Settled[4-7]", AM519 &lt;= 12, "Experienced[[8-12]", AM519 &lt;= 18, "Long Tenured[13-18]")</f>
        <v>New to Role[1-3]</v>
      </c>
      <c r="AO519" s="1">
        <v>1</v>
      </c>
      <c r="AP519" s="9" t="str" cm="1">
        <f t="array" ref="AP519">_xlfn.IFS(AO519 &lt;= 3, "Recently[1-3]", AO519 &lt;= 6, "Due Soon[4-6]", AO519 &lt;= 10, "Overdue[7-10]", AO519 &lt;= 15, "Long Overdue[11-15]")</f>
        <v>Recently[1-3]</v>
      </c>
      <c r="AQ519" s="9" t="str" cm="1">
        <f t="array" ref="AQ519">_xlfn.IFS(AR519 &lt;= 3, "New Relationship[1-3]", AR519 &lt;= 7, "Established Relationship[4-7]", AR519 &lt;= 12, "Long Term Relationship[8-12]", AR519 &lt;= 17, "Very Long Term Relationship[13-17]")</f>
        <v>New Relationship[1-3]</v>
      </c>
      <c r="AR519" s="1">
        <v>2</v>
      </c>
    </row>
    <row r="520" spans="1:44" x14ac:dyDescent="0.25">
      <c r="A520" s="1">
        <v>38</v>
      </c>
      <c r="B520" s="8" t="str" cm="1">
        <f t="array" ref="B520">_xlfn.IFS(A520 &lt;= 25, "[18-25]", A520 &lt;= 35, "[26-35]", A520 &lt;=45, "[36-45]", A520 &lt;= 60, "[46- 60]")</f>
        <v>[36-45]</v>
      </c>
      <c r="C520" s="3" t="s">
        <v>43</v>
      </c>
      <c r="D520">
        <f t="shared" si="8"/>
        <v>0</v>
      </c>
      <c r="E520" t="s">
        <v>36</v>
      </c>
      <c r="F520" s="1">
        <v>243</v>
      </c>
      <c r="G520" s="3" t="s">
        <v>37</v>
      </c>
      <c r="H520" s="1">
        <v>7</v>
      </c>
      <c r="I520" s="9" t="str" cm="1">
        <f t="array" ref="I520">_xlfn.IFS(H520 &lt;= 2, "[1-2] very close", H520 &lt;= 10, "[3-10] close", H520 &lt;= 20, "[11-20] moderate", H520 &lt;= 30, "[21-30] far")</f>
        <v>[3-10] close</v>
      </c>
      <c r="J520" s="1">
        <v>4</v>
      </c>
      <c r="K520" s="3" t="s">
        <v>59</v>
      </c>
      <c r="L520" s="1">
        <v>1</v>
      </c>
      <c r="M520" s="1">
        <v>709</v>
      </c>
      <c r="N520" s="1">
        <v>4</v>
      </c>
      <c r="O520" s="3" t="s">
        <v>39</v>
      </c>
      <c r="P520" s="1">
        <v>46</v>
      </c>
      <c r="Q520" s="1">
        <v>2</v>
      </c>
      <c r="R520" s="1">
        <v>2</v>
      </c>
      <c r="S520" s="3" t="s">
        <v>40</v>
      </c>
      <c r="T520" s="1">
        <v>4</v>
      </c>
      <c r="U520" s="3" t="s">
        <v>41</v>
      </c>
      <c r="V520" s="4">
        <v>4028</v>
      </c>
      <c r="W520" s="1">
        <v>7791</v>
      </c>
      <c r="X520" s="1">
        <v>0</v>
      </c>
      <c r="Y520" s="3" t="s">
        <v>42</v>
      </c>
      <c r="Z520" s="3" t="s">
        <v>43</v>
      </c>
      <c r="AA520" s="5">
        <v>0.2</v>
      </c>
      <c r="AB520" s="10" t="str" cm="1">
        <f t="array" ref="AB520">_xlfn.IFS(AA520 &lt;= 15%, "Low Hike[11-15%]", AA520 &lt;= 20%, "Moderate Hike[16-20%]", AA520 &lt;= 25%,"High Hike[21-25%]")</f>
        <v>Moderate Hike[16-20%]</v>
      </c>
      <c r="AC520" s="1">
        <v>4</v>
      </c>
      <c r="AD520" s="1">
        <v>1</v>
      </c>
      <c r="AE520" s="1">
        <v>80</v>
      </c>
      <c r="AF520" s="1">
        <v>0</v>
      </c>
      <c r="AG520" s="1">
        <v>8</v>
      </c>
      <c r="AH520" s="9" t="str" cm="1">
        <f t="array" ref="AH520">_xlfn.IFS(AG520 &lt;= 5, "New[1-5]", AG520 &lt;= 10, "Early Career[6-10]", AG520 &lt;= 20, "Established[11-20]", AG520 &lt;= 30, "Veteran[21-30]", AG520 &lt;= 40, "Late Career[31-40]")</f>
        <v>Early Career[6-10]</v>
      </c>
      <c r="AI520" s="1">
        <v>2</v>
      </c>
      <c r="AJ520" s="1">
        <v>3</v>
      </c>
      <c r="AK520" s="1">
        <v>7</v>
      </c>
      <c r="AL520" s="9" t="str" cm="1">
        <f t="array" ref="AL520">_xlfn.IFS(AK520 &lt;= 5, "New[1-5]", AK520 &lt;= 10, "Early Career[6-10]", AK520 &lt;= 20, "Established[11-20]", AK520 &lt;= 30, "Veteran[21-30]", AK520 &lt;= 40, "Late Career[31-40]")</f>
        <v>Early Career[6-10]</v>
      </c>
      <c r="AM520" s="1">
        <v>7</v>
      </c>
      <c r="AN520" s="9" t="str" cm="1">
        <f t="array" ref="AN520">_xlfn.IFS(AM520 &lt;= 3, "New to Role[1-3]", AM520 &lt;= 7, "Settled[4-7]", AM520 &lt;= 12, "Experienced[[8-12]", AM520 &lt;= 18, "Long Tenured[13-18]")</f>
        <v>Settled[4-7]</v>
      </c>
      <c r="AO520" s="1">
        <v>0</v>
      </c>
      <c r="AP520" s="9" t="str" cm="1">
        <f t="array" ref="AP520">_xlfn.IFS(AO520 &lt;= 3, "Recently[1-3]", AO520 &lt;= 6, "Due Soon[4-6]", AO520 &lt;= 10, "Overdue[7-10]", AO520 &lt;= 15, "Long Overdue[11-15]")</f>
        <v>Recently[1-3]</v>
      </c>
      <c r="AQ520" s="9" t="str" cm="1">
        <f t="array" ref="AQ520">_xlfn.IFS(AR520 &lt;= 3, "New Relationship[1-3]", AR520 &lt;= 7, "Established Relationship[4-7]", AR520 &lt;= 12, "Long Term Relationship[8-12]", AR520 &lt;= 17, "Very Long Term Relationship[13-17]")</f>
        <v>Established Relationship[4-7]</v>
      </c>
      <c r="AR520" s="1">
        <v>5</v>
      </c>
    </row>
    <row r="521" spans="1:44" x14ac:dyDescent="0.25">
      <c r="A521" s="1">
        <v>29</v>
      </c>
      <c r="B521" s="8" t="str" cm="1">
        <f t="array" ref="B521">_xlfn.IFS(A521 &lt;= 25, "[18-25]", A521 &lt;= 35, "[26-35]", A521 &lt;=45, "[36-45]", A521 &lt;= 60, "[46- 60]")</f>
        <v>[26-35]</v>
      </c>
      <c r="C521" s="3" t="s">
        <v>43</v>
      </c>
      <c r="D521">
        <f t="shared" si="8"/>
        <v>0</v>
      </c>
      <c r="E521" t="s">
        <v>44</v>
      </c>
      <c r="F521" s="1">
        <v>806</v>
      </c>
      <c r="G521" s="3" t="s">
        <v>45</v>
      </c>
      <c r="H521" s="1">
        <v>1</v>
      </c>
      <c r="I521" s="9" t="str" cm="1">
        <f t="array" ref="I521">_xlfn.IFS(H521 &lt;= 2, "[1-2] very close", H521 &lt;= 10, "[3-10] close", H521 &lt;= 20, "[11-20] moderate", H521 &lt;= 30, "[21-30] far")</f>
        <v>[1-2] very close</v>
      </c>
      <c r="J521" s="1">
        <v>4</v>
      </c>
      <c r="K521" s="3" t="s">
        <v>38</v>
      </c>
      <c r="L521" s="1">
        <v>1</v>
      </c>
      <c r="M521" s="1">
        <v>710</v>
      </c>
      <c r="N521" s="1">
        <v>2</v>
      </c>
      <c r="O521" s="3" t="s">
        <v>46</v>
      </c>
      <c r="P521" s="1">
        <v>76</v>
      </c>
      <c r="Q521" s="1">
        <v>1</v>
      </c>
      <c r="R521" s="1">
        <v>1</v>
      </c>
      <c r="S521" s="3" t="s">
        <v>47</v>
      </c>
      <c r="T521" s="1">
        <v>4</v>
      </c>
      <c r="U521" s="3" t="s">
        <v>52</v>
      </c>
      <c r="V521" s="4">
        <v>2720</v>
      </c>
      <c r="W521" s="1">
        <v>18959</v>
      </c>
      <c r="X521" s="1">
        <v>1</v>
      </c>
      <c r="Y521" s="3" t="s">
        <v>42</v>
      </c>
      <c r="Z521" s="3" t="s">
        <v>43</v>
      </c>
      <c r="AA521" s="5">
        <v>0.18</v>
      </c>
      <c r="AB521" s="10" t="str" cm="1">
        <f t="array" ref="AB521">_xlfn.IFS(AA521 &lt;= 15%, "Low Hike[11-15%]", AA521 &lt;= 20%, "Moderate Hike[16-20%]", AA521 &lt;= 25%,"High Hike[21-25%]")</f>
        <v>Moderate Hike[16-20%]</v>
      </c>
      <c r="AC521" s="1">
        <v>3</v>
      </c>
      <c r="AD521" s="1">
        <v>4</v>
      </c>
      <c r="AE521" s="1">
        <v>80</v>
      </c>
      <c r="AF521" s="1">
        <v>1</v>
      </c>
      <c r="AG521" s="1">
        <v>10</v>
      </c>
      <c r="AH521" s="9" t="str" cm="1">
        <f t="array" ref="AH521">_xlfn.IFS(AG521 &lt;= 5, "New[1-5]", AG521 &lt;= 10, "Early Career[6-10]", AG521 &lt;= 20, "Established[11-20]", AG521 &lt;= 30, "Veteran[21-30]", AG521 &lt;= 40, "Late Career[31-40]")</f>
        <v>Early Career[6-10]</v>
      </c>
      <c r="AI521" s="1">
        <v>5</v>
      </c>
      <c r="AJ521" s="1">
        <v>3</v>
      </c>
      <c r="AK521" s="1">
        <v>10</v>
      </c>
      <c r="AL521" s="9" t="str" cm="1">
        <f t="array" ref="AL521">_xlfn.IFS(AK521 &lt;= 5, "New[1-5]", AK521 &lt;= 10, "Early Career[6-10]", AK521 &lt;= 20, "Established[11-20]", AK521 &lt;= 30, "Veteran[21-30]", AK521 &lt;= 40, "Late Career[31-40]")</f>
        <v>Early Career[6-10]</v>
      </c>
      <c r="AM521" s="1">
        <v>7</v>
      </c>
      <c r="AN521" s="9" t="str" cm="1">
        <f t="array" ref="AN521">_xlfn.IFS(AM521 &lt;= 3, "New to Role[1-3]", AM521 &lt;= 7, "Settled[4-7]", AM521 &lt;= 12, "Experienced[[8-12]", AM521 &lt;= 18, "Long Tenured[13-18]")</f>
        <v>Settled[4-7]</v>
      </c>
      <c r="AO521" s="1">
        <v>2</v>
      </c>
      <c r="AP521" s="9" t="str" cm="1">
        <f t="array" ref="AP521">_xlfn.IFS(AO521 &lt;= 3, "Recently[1-3]", AO521 &lt;= 6, "Due Soon[4-6]", AO521 &lt;= 10, "Overdue[7-10]", AO521 &lt;= 15, "Long Overdue[11-15]")</f>
        <v>Recently[1-3]</v>
      </c>
      <c r="AQ521" s="9" t="str" cm="1">
        <f t="array" ref="AQ521">_xlfn.IFS(AR521 &lt;= 3, "New Relationship[1-3]", AR521 &lt;= 7, "Established Relationship[4-7]", AR521 &lt;= 12, "Long Term Relationship[8-12]", AR521 &lt;= 17, "Very Long Term Relationship[13-17]")</f>
        <v>Long Term Relationship[8-12]</v>
      </c>
      <c r="AR521" s="1">
        <v>8</v>
      </c>
    </row>
    <row r="522" spans="1:44" x14ac:dyDescent="0.25">
      <c r="A522" s="1">
        <v>48</v>
      </c>
      <c r="B522" s="8" t="str" cm="1">
        <f t="array" ref="B522">_xlfn.IFS(A522 &lt;= 25, "[18-25]", A522 &lt;= 35, "[26-35]", A522 &lt;=45, "[36-45]", A522 &lt;= 60, "[46- 60]")</f>
        <v>[46- 60]</v>
      </c>
      <c r="C522" s="3" t="s">
        <v>43</v>
      </c>
      <c r="D522">
        <f t="shared" si="8"/>
        <v>0</v>
      </c>
      <c r="E522" t="s">
        <v>36</v>
      </c>
      <c r="F522" s="1">
        <v>817</v>
      </c>
      <c r="G522" s="3" t="s">
        <v>37</v>
      </c>
      <c r="H522" s="1">
        <v>2</v>
      </c>
      <c r="I522" s="9" t="str" cm="1">
        <f t="array" ref="I522">_xlfn.IFS(H522 &lt;= 2, "[1-2] very close", H522 &lt;= 10, "[3-10] close", H522 &lt;= 20, "[11-20] moderate", H522 &lt;= 30, "[21-30] far")</f>
        <v>[1-2] very close</v>
      </c>
      <c r="J522" s="1">
        <v>1</v>
      </c>
      <c r="K522" s="3" t="s">
        <v>59</v>
      </c>
      <c r="L522" s="1">
        <v>1</v>
      </c>
      <c r="M522" s="1">
        <v>712</v>
      </c>
      <c r="N522" s="1">
        <v>2</v>
      </c>
      <c r="O522" s="3" t="s">
        <v>46</v>
      </c>
      <c r="P522" s="1">
        <v>56</v>
      </c>
      <c r="Q522" s="1">
        <v>4</v>
      </c>
      <c r="R522" s="1">
        <v>2</v>
      </c>
      <c r="S522" s="3" t="s">
        <v>40</v>
      </c>
      <c r="T522" s="1">
        <v>2</v>
      </c>
      <c r="U522" s="3" t="s">
        <v>48</v>
      </c>
      <c r="V522" s="4">
        <v>8120</v>
      </c>
      <c r="W522" s="1">
        <v>18597</v>
      </c>
      <c r="X522" s="1">
        <v>3</v>
      </c>
      <c r="Y522" s="3" t="s">
        <v>42</v>
      </c>
      <c r="Z522" s="3" t="s">
        <v>43</v>
      </c>
      <c r="AA522" s="5">
        <v>0.12</v>
      </c>
      <c r="AB522" s="10" t="str" cm="1">
        <f t="array" ref="AB522">_xlfn.IFS(AA522 &lt;= 15%, "Low Hike[11-15%]", AA522 &lt;= 20%, "Moderate Hike[16-20%]", AA522 &lt;= 25%,"High Hike[21-25%]")</f>
        <v>Low Hike[11-15%]</v>
      </c>
      <c r="AC522" s="1">
        <v>3</v>
      </c>
      <c r="AD522" s="1">
        <v>4</v>
      </c>
      <c r="AE522" s="1">
        <v>80</v>
      </c>
      <c r="AF522" s="1">
        <v>0</v>
      </c>
      <c r="AG522" s="1">
        <v>12</v>
      </c>
      <c r="AH522" s="9" t="str" cm="1">
        <f t="array" ref="AH522">_xlfn.IFS(AG522 &lt;= 5, "New[1-5]", AG522 &lt;= 10, "Early Career[6-10]", AG522 &lt;= 20, "Established[11-20]", AG522 &lt;= 30, "Veteran[21-30]", AG522 &lt;= 40, "Late Career[31-40]")</f>
        <v>Established[11-20]</v>
      </c>
      <c r="AI522" s="1">
        <v>3</v>
      </c>
      <c r="AJ522" s="1">
        <v>3</v>
      </c>
      <c r="AK522" s="1">
        <v>2</v>
      </c>
      <c r="AL522" s="9" t="str" cm="1">
        <f t="array" ref="AL522">_xlfn.IFS(AK522 &lt;= 5, "New[1-5]", AK522 &lt;= 10, "Early Career[6-10]", AK522 &lt;= 20, "Established[11-20]", AK522 &lt;= 30, "Veteran[21-30]", AK522 &lt;= 40, "Late Career[31-40]")</f>
        <v>New[1-5]</v>
      </c>
      <c r="AM522" s="1">
        <v>2</v>
      </c>
      <c r="AN522" s="9" t="str" cm="1">
        <f t="array" ref="AN522">_xlfn.IFS(AM522 &lt;= 3, "New to Role[1-3]", AM522 &lt;= 7, "Settled[4-7]", AM522 &lt;= 12, "Experienced[[8-12]", AM522 &lt;= 18, "Long Tenured[13-18]")</f>
        <v>New to Role[1-3]</v>
      </c>
      <c r="AO522" s="1">
        <v>2</v>
      </c>
      <c r="AP522" s="9" t="str" cm="1">
        <f t="array" ref="AP522">_xlfn.IFS(AO522 &lt;= 3, "Recently[1-3]", AO522 &lt;= 6, "Due Soon[4-6]", AO522 &lt;= 10, "Overdue[7-10]", AO522 &lt;= 15, "Long Overdue[11-15]")</f>
        <v>Recently[1-3]</v>
      </c>
      <c r="AQ522" s="9" t="str" cm="1">
        <f t="array" ref="AQ522">_xlfn.IFS(AR522 &lt;= 3, "New Relationship[1-3]", AR522 &lt;= 7, "Established Relationship[4-7]", AR522 &lt;= 12, "Long Term Relationship[8-12]", AR522 &lt;= 17, "Very Long Term Relationship[13-17]")</f>
        <v>New Relationship[1-3]</v>
      </c>
      <c r="AR522" s="1">
        <v>2</v>
      </c>
    </row>
    <row r="523" spans="1:44" x14ac:dyDescent="0.25">
      <c r="A523" s="1">
        <v>27</v>
      </c>
      <c r="B523" s="8" t="str" cm="1">
        <f t="array" ref="B523">_xlfn.IFS(A523 &lt;= 25, "[18-25]", A523 &lt;= 35, "[26-35]", A523 &lt;=45, "[36-45]", A523 &lt;= 60, "[46- 60]")</f>
        <v>[26-35]</v>
      </c>
      <c r="C523" s="3" t="s">
        <v>43</v>
      </c>
      <c r="D523">
        <f t="shared" si="8"/>
        <v>0</v>
      </c>
      <c r="E523" t="s">
        <v>44</v>
      </c>
      <c r="F523" s="1">
        <v>1410</v>
      </c>
      <c r="G523" s="3" t="s">
        <v>37</v>
      </c>
      <c r="H523" s="1">
        <v>3</v>
      </c>
      <c r="I523" s="9" t="str" cm="1">
        <f t="array" ref="I523">_xlfn.IFS(H523 &lt;= 2, "[1-2] very close", H523 &lt;= 10, "[3-10] close", H523 &lt;= 20, "[11-20] moderate", H523 &lt;= 30, "[21-30] far")</f>
        <v>[3-10] close</v>
      </c>
      <c r="J523" s="1">
        <v>1</v>
      </c>
      <c r="K523" s="3" t="s">
        <v>51</v>
      </c>
      <c r="L523" s="1">
        <v>1</v>
      </c>
      <c r="M523" s="1">
        <v>714</v>
      </c>
      <c r="N523" s="1">
        <v>4</v>
      </c>
      <c r="O523" s="3" t="s">
        <v>39</v>
      </c>
      <c r="P523" s="1">
        <v>71</v>
      </c>
      <c r="Q523" s="1">
        <v>4</v>
      </c>
      <c r="R523" s="1">
        <v>2</v>
      </c>
      <c r="S523" s="3" t="s">
        <v>40</v>
      </c>
      <c r="T523" s="1">
        <v>4</v>
      </c>
      <c r="U523" s="3" t="s">
        <v>52</v>
      </c>
      <c r="V523" s="4">
        <v>4647</v>
      </c>
      <c r="W523" s="1">
        <v>16673</v>
      </c>
      <c r="X523" s="1">
        <v>1</v>
      </c>
      <c r="Y523" s="3" t="s">
        <v>42</v>
      </c>
      <c r="Z523" s="3" t="s">
        <v>35</v>
      </c>
      <c r="AA523" s="5">
        <v>0.2</v>
      </c>
      <c r="AB523" s="10" t="str" cm="1">
        <f t="array" ref="AB523">_xlfn.IFS(AA523 &lt;= 15%, "Low Hike[11-15%]", AA523 &lt;= 20%, "Moderate Hike[16-20%]", AA523 &lt;= 25%,"High Hike[21-25%]")</f>
        <v>Moderate Hike[16-20%]</v>
      </c>
      <c r="AC523" s="1">
        <v>4</v>
      </c>
      <c r="AD523" s="1">
        <v>2</v>
      </c>
      <c r="AE523" s="1">
        <v>80</v>
      </c>
      <c r="AF523" s="1">
        <v>2</v>
      </c>
      <c r="AG523" s="1">
        <v>6</v>
      </c>
      <c r="AH523" s="9" t="str" cm="1">
        <f t="array" ref="AH523">_xlfn.IFS(AG523 &lt;= 5, "New[1-5]", AG523 &lt;= 10, "Early Career[6-10]", AG523 &lt;= 20, "Established[11-20]", AG523 &lt;= 30, "Veteran[21-30]", AG523 &lt;= 40, "Late Career[31-40]")</f>
        <v>Early Career[6-10]</v>
      </c>
      <c r="AI523" s="1">
        <v>3</v>
      </c>
      <c r="AJ523" s="1">
        <v>3</v>
      </c>
      <c r="AK523" s="1">
        <v>6</v>
      </c>
      <c r="AL523" s="9" t="str" cm="1">
        <f t="array" ref="AL523">_xlfn.IFS(AK523 &lt;= 5, "New[1-5]", AK523 &lt;= 10, "Early Career[6-10]", AK523 &lt;= 20, "Established[11-20]", AK523 &lt;= 30, "Veteran[21-30]", AK523 &lt;= 40, "Late Career[31-40]")</f>
        <v>Early Career[6-10]</v>
      </c>
      <c r="AM523" s="1">
        <v>5</v>
      </c>
      <c r="AN523" s="9" t="str" cm="1">
        <f t="array" ref="AN523">_xlfn.IFS(AM523 &lt;= 3, "New to Role[1-3]", AM523 &lt;= 7, "Settled[4-7]", AM523 &lt;= 12, "Experienced[[8-12]", AM523 &lt;= 18, "Long Tenured[13-18]")</f>
        <v>Settled[4-7]</v>
      </c>
      <c r="AO523" s="1">
        <v>0</v>
      </c>
      <c r="AP523" s="9" t="str" cm="1">
        <f t="array" ref="AP523">_xlfn.IFS(AO523 &lt;= 3, "Recently[1-3]", AO523 &lt;= 6, "Due Soon[4-6]", AO523 &lt;= 10, "Overdue[7-10]", AO523 &lt;= 15, "Long Overdue[11-15]")</f>
        <v>Recently[1-3]</v>
      </c>
      <c r="AQ523" s="9" t="str" cm="1">
        <f t="array" ref="AQ523">_xlfn.IFS(AR523 &lt;= 3, "New Relationship[1-3]", AR523 &lt;= 7, "Established Relationship[4-7]", AR523 &lt;= 12, "Long Term Relationship[8-12]", AR523 &lt;= 17, "Very Long Term Relationship[13-17]")</f>
        <v>Established Relationship[4-7]</v>
      </c>
      <c r="AR523" s="1">
        <v>4</v>
      </c>
    </row>
    <row r="524" spans="1:44" x14ac:dyDescent="0.25">
      <c r="A524" s="1">
        <v>37</v>
      </c>
      <c r="B524" s="8" t="str" cm="1">
        <f t="array" ref="B524">_xlfn.IFS(A524 &lt;= 25, "[18-25]", A524 &lt;= 35, "[26-35]", A524 &lt;=45, "[36-45]", A524 &lt;= 60, "[46- 60]")</f>
        <v>[36-45]</v>
      </c>
      <c r="C524" s="3" t="s">
        <v>43</v>
      </c>
      <c r="D524">
        <f t="shared" si="8"/>
        <v>0</v>
      </c>
      <c r="E524" t="s">
        <v>36</v>
      </c>
      <c r="F524" s="1">
        <v>1225</v>
      </c>
      <c r="G524" s="3" t="s">
        <v>45</v>
      </c>
      <c r="H524" s="1">
        <v>10</v>
      </c>
      <c r="I524" s="9" t="str" cm="1">
        <f t="array" ref="I524">_xlfn.IFS(H524 &lt;= 2, "[1-2] very close", H524 &lt;= 10, "[3-10] close", H524 &lt;= 20, "[11-20] moderate", H524 &lt;= 30, "[21-30] far")</f>
        <v>[3-10] close</v>
      </c>
      <c r="J524" s="1">
        <v>2</v>
      </c>
      <c r="K524" s="3" t="s">
        <v>38</v>
      </c>
      <c r="L524" s="1">
        <v>1</v>
      </c>
      <c r="M524" s="1">
        <v>715</v>
      </c>
      <c r="N524" s="1">
        <v>4</v>
      </c>
      <c r="O524" s="3" t="s">
        <v>46</v>
      </c>
      <c r="P524" s="1">
        <v>80</v>
      </c>
      <c r="Q524" s="1">
        <v>4</v>
      </c>
      <c r="R524" s="1">
        <v>1</v>
      </c>
      <c r="S524" s="3" t="s">
        <v>47</v>
      </c>
      <c r="T524" s="1">
        <v>4</v>
      </c>
      <c r="U524" s="3" t="s">
        <v>41</v>
      </c>
      <c r="V524" s="4">
        <v>4680</v>
      </c>
      <c r="W524" s="1">
        <v>15232</v>
      </c>
      <c r="X524" s="1">
        <v>3</v>
      </c>
      <c r="Y524" s="3" t="s">
        <v>42</v>
      </c>
      <c r="Z524" s="3" t="s">
        <v>43</v>
      </c>
      <c r="AA524" s="5">
        <v>0.17</v>
      </c>
      <c r="AB524" s="10" t="str" cm="1">
        <f t="array" ref="AB524">_xlfn.IFS(AA524 &lt;= 15%, "Low Hike[11-15%]", AA524 &lt;= 20%, "Moderate Hike[16-20%]", AA524 &lt;= 25%,"High Hike[21-25%]")</f>
        <v>Moderate Hike[16-20%]</v>
      </c>
      <c r="AC524" s="1">
        <v>3</v>
      </c>
      <c r="AD524" s="1">
        <v>1</v>
      </c>
      <c r="AE524" s="1">
        <v>80</v>
      </c>
      <c r="AF524" s="1">
        <v>0</v>
      </c>
      <c r="AG524" s="1">
        <v>4</v>
      </c>
      <c r="AH524" s="9" t="str" cm="1">
        <f t="array" ref="AH524">_xlfn.IFS(AG524 &lt;= 5, "New[1-5]", AG524 &lt;= 10, "Early Career[6-10]", AG524 &lt;= 20, "Established[11-20]", AG524 &lt;= 30, "Veteran[21-30]", AG524 &lt;= 40, "Late Career[31-40]")</f>
        <v>New[1-5]</v>
      </c>
      <c r="AI524" s="1">
        <v>2</v>
      </c>
      <c r="AJ524" s="1">
        <v>3</v>
      </c>
      <c r="AK524" s="1">
        <v>1</v>
      </c>
      <c r="AL524" s="9" t="str" cm="1">
        <f t="array" ref="AL524">_xlfn.IFS(AK524 &lt;= 5, "New[1-5]", AK524 &lt;= 10, "Early Career[6-10]", AK524 &lt;= 20, "Established[11-20]", AK524 &lt;= 30, "Veteran[21-30]", AK524 &lt;= 40, "Late Career[31-40]")</f>
        <v>New[1-5]</v>
      </c>
      <c r="AM524" s="1">
        <v>0</v>
      </c>
      <c r="AN524" s="9" t="str" cm="1">
        <f t="array" ref="AN524">_xlfn.IFS(AM524 &lt;= 3, "New to Role[1-3]", AM524 &lt;= 7, "Settled[4-7]", AM524 &lt;= 12, "Experienced[[8-12]", AM524 &lt;= 18, "Long Tenured[13-18]")</f>
        <v>New to Role[1-3]</v>
      </c>
      <c r="AO524" s="1">
        <v>0</v>
      </c>
      <c r="AP524" s="9" t="str" cm="1">
        <f t="array" ref="AP524">_xlfn.IFS(AO524 &lt;= 3, "Recently[1-3]", AO524 &lt;= 6, "Due Soon[4-6]", AO524 &lt;= 10, "Overdue[7-10]", AO524 &lt;= 15, "Long Overdue[11-15]")</f>
        <v>Recently[1-3]</v>
      </c>
      <c r="AQ524" s="9" t="str" cm="1">
        <f t="array" ref="AQ524">_xlfn.IFS(AR524 &lt;= 3, "New Relationship[1-3]", AR524 &lt;= 7, "Established Relationship[4-7]", AR524 &lt;= 12, "Long Term Relationship[8-12]", AR524 &lt;= 17, "Very Long Term Relationship[13-17]")</f>
        <v>New Relationship[1-3]</v>
      </c>
      <c r="AR524" s="1">
        <v>0</v>
      </c>
    </row>
    <row r="525" spans="1:44" x14ac:dyDescent="0.25">
      <c r="A525" s="1">
        <v>50</v>
      </c>
      <c r="B525" s="8" t="str" cm="1">
        <f t="array" ref="B525">_xlfn.IFS(A525 &lt;= 25, "[18-25]", A525 &lt;= 35, "[26-35]", A525 &lt;=45, "[36-45]", A525 &lt;= 60, "[46- 60]")</f>
        <v>[46- 60]</v>
      </c>
      <c r="C525" s="3" t="s">
        <v>43</v>
      </c>
      <c r="D525">
        <f t="shared" si="8"/>
        <v>0</v>
      </c>
      <c r="E525" t="s">
        <v>36</v>
      </c>
      <c r="F525" s="1">
        <v>1207</v>
      </c>
      <c r="G525" s="3" t="s">
        <v>45</v>
      </c>
      <c r="H525" s="1">
        <v>28</v>
      </c>
      <c r="I525" s="9" t="str" cm="1">
        <f t="array" ref="I525">_xlfn.IFS(H525 &lt;= 2, "[1-2] very close", H525 &lt;= 10, "[3-10] close", H525 &lt;= 20, "[11-20] moderate", H525 &lt;= 30, "[21-30] far")</f>
        <v>[21-30] far</v>
      </c>
      <c r="J525" s="1">
        <v>1</v>
      </c>
      <c r="K525" s="3" t="s">
        <v>51</v>
      </c>
      <c r="L525" s="1">
        <v>1</v>
      </c>
      <c r="M525" s="1">
        <v>716</v>
      </c>
      <c r="N525" s="1">
        <v>4</v>
      </c>
      <c r="O525" s="3" t="s">
        <v>46</v>
      </c>
      <c r="P525" s="1">
        <v>74</v>
      </c>
      <c r="Q525" s="1">
        <v>4</v>
      </c>
      <c r="R525" s="1">
        <v>1</v>
      </c>
      <c r="S525" s="3" t="s">
        <v>50</v>
      </c>
      <c r="T525" s="1">
        <v>3</v>
      </c>
      <c r="U525" s="3" t="s">
        <v>48</v>
      </c>
      <c r="V525" s="4">
        <v>3221</v>
      </c>
      <c r="W525" s="1">
        <v>3297</v>
      </c>
      <c r="X525" s="1">
        <v>1</v>
      </c>
      <c r="Y525" s="3" t="s">
        <v>42</v>
      </c>
      <c r="Z525" s="3" t="s">
        <v>35</v>
      </c>
      <c r="AA525" s="5">
        <v>0.11</v>
      </c>
      <c r="AB525" s="10" t="str" cm="1">
        <f t="array" ref="AB525">_xlfn.IFS(AA525 &lt;= 15%, "Low Hike[11-15%]", AA525 &lt;= 20%, "Moderate Hike[16-20%]", AA525 &lt;= 25%,"High Hike[21-25%]")</f>
        <v>Low Hike[11-15%]</v>
      </c>
      <c r="AC525" s="1">
        <v>3</v>
      </c>
      <c r="AD525" s="1">
        <v>3</v>
      </c>
      <c r="AE525" s="1">
        <v>80</v>
      </c>
      <c r="AF525" s="1">
        <v>3</v>
      </c>
      <c r="AG525" s="1">
        <v>20</v>
      </c>
      <c r="AH525" s="9" t="str" cm="1">
        <f t="array" ref="AH525">_xlfn.IFS(AG525 &lt;= 5, "New[1-5]", AG525 &lt;= 10, "Early Career[6-10]", AG525 &lt;= 20, "Established[11-20]", AG525 &lt;= 30, "Veteran[21-30]", AG525 &lt;= 40, "Late Career[31-40]")</f>
        <v>Established[11-20]</v>
      </c>
      <c r="AI525" s="1">
        <v>3</v>
      </c>
      <c r="AJ525" s="1">
        <v>3</v>
      </c>
      <c r="AK525" s="1">
        <v>20</v>
      </c>
      <c r="AL525" s="9" t="str" cm="1">
        <f t="array" ref="AL525">_xlfn.IFS(AK525 &lt;= 5, "New[1-5]", AK525 &lt;= 10, "Early Career[6-10]", AK525 &lt;= 20, "Established[11-20]", AK525 &lt;= 30, "Veteran[21-30]", AK525 &lt;= 40, "Late Career[31-40]")</f>
        <v>Established[11-20]</v>
      </c>
      <c r="AM525" s="1">
        <v>8</v>
      </c>
      <c r="AN525" s="9" t="str" cm="1">
        <f t="array" ref="AN525">_xlfn.IFS(AM525 &lt;= 3, "New to Role[1-3]", AM525 &lt;= 7, "Settled[4-7]", AM525 &lt;= 12, "Experienced[[8-12]", AM525 &lt;= 18, "Long Tenured[13-18]")</f>
        <v>Experienced[[8-12]</v>
      </c>
      <c r="AO525" s="1">
        <v>3</v>
      </c>
      <c r="AP525" s="9" t="str" cm="1">
        <f t="array" ref="AP525">_xlfn.IFS(AO525 &lt;= 3, "Recently[1-3]", AO525 &lt;= 6, "Due Soon[4-6]", AO525 &lt;= 10, "Overdue[7-10]", AO525 &lt;= 15, "Long Overdue[11-15]")</f>
        <v>Recently[1-3]</v>
      </c>
      <c r="AQ525" s="9" t="str" cm="1">
        <f t="array" ref="AQ525">_xlfn.IFS(AR525 &lt;= 3, "New Relationship[1-3]", AR525 &lt;= 7, "Established Relationship[4-7]", AR525 &lt;= 12, "Long Term Relationship[8-12]", AR525 &lt;= 17, "Very Long Term Relationship[13-17]")</f>
        <v>Long Term Relationship[8-12]</v>
      </c>
      <c r="AR525" s="1">
        <v>8</v>
      </c>
    </row>
    <row r="526" spans="1:44" x14ac:dyDescent="0.25">
      <c r="A526" s="1">
        <v>34</v>
      </c>
      <c r="B526" s="8" t="str" cm="1">
        <f t="array" ref="B526">_xlfn.IFS(A526 &lt;= 25, "[18-25]", A526 &lt;= 35, "[26-35]", A526 &lt;=45, "[36-45]", A526 &lt;= 60, "[46- 60]")</f>
        <v>[26-35]</v>
      </c>
      <c r="C526" s="3" t="s">
        <v>43</v>
      </c>
      <c r="D526">
        <f t="shared" si="8"/>
        <v>0</v>
      </c>
      <c r="E526" t="s">
        <v>36</v>
      </c>
      <c r="F526" s="1">
        <v>1442</v>
      </c>
      <c r="G526" s="3" t="s">
        <v>45</v>
      </c>
      <c r="H526" s="1">
        <v>9</v>
      </c>
      <c r="I526" s="9" t="str" cm="1">
        <f t="array" ref="I526">_xlfn.IFS(H526 &lt;= 2, "[1-2] very close", H526 &lt;= 10, "[3-10] close", H526 &lt;= 20, "[11-20] moderate", H526 &lt;= 30, "[21-30] far")</f>
        <v>[3-10] close</v>
      </c>
      <c r="J526" s="1">
        <v>3</v>
      </c>
      <c r="K526" s="3" t="s">
        <v>51</v>
      </c>
      <c r="L526" s="1">
        <v>1</v>
      </c>
      <c r="M526" s="1">
        <v>717</v>
      </c>
      <c r="N526" s="1">
        <v>4</v>
      </c>
      <c r="O526" s="3" t="s">
        <v>39</v>
      </c>
      <c r="P526" s="1">
        <v>46</v>
      </c>
      <c r="Q526" s="1">
        <v>2</v>
      </c>
      <c r="R526" s="1">
        <v>3</v>
      </c>
      <c r="S526" s="3" t="s">
        <v>54</v>
      </c>
      <c r="T526" s="1">
        <v>2</v>
      </c>
      <c r="U526" s="3" t="s">
        <v>41</v>
      </c>
      <c r="V526" s="4">
        <v>8621</v>
      </c>
      <c r="W526" s="1">
        <v>17654</v>
      </c>
      <c r="X526" s="1">
        <v>1</v>
      </c>
      <c r="Y526" s="3" t="s">
        <v>42</v>
      </c>
      <c r="Z526" s="3" t="s">
        <v>43</v>
      </c>
      <c r="AA526" s="5">
        <v>0.14000000000000001</v>
      </c>
      <c r="AB526" s="10" t="str" cm="1">
        <f t="array" ref="AB526">_xlfn.IFS(AA526 &lt;= 15%, "Low Hike[11-15%]", AA526 &lt;= 20%, "Moderate Hike[16-20%]", AA526 &lt;= 25%,"High Hike[21-25%]")</f>
        <v>Low Hike[11-15%]</v>
      </c>
      <c r="AC526" s="1">
        <v>3</v>
      </c>
      <c r="AD526" s="1">
        <v>2</v>
      </c>
      <c r="AE526" s="1">
        <v>80</v>
      </c>
      <c r="AF526" s="1">
        <v>0</v>
      </c>
      <c r="AG526" s="1">
        <v>9</v>
      </c>
      <c r="AH526" s="9" t="str" cm="1">
        <f t="array" ref="AH526">_xlfn.IFS(AG526 &lt;= 5, "New[1-5]", AG526 &lt;= 10, "Early Career[6-10]", AG526 &lt;= 20, "Established[11-20]", AG526 &lt;= 30, "Veteran[21-30]", AG526 &lt;= 40, "Late Career[31-40]")</f>
        <v>Early Career[6-10]</v>
      </c>
      <c r="AI526" s="1">
        <v>3</v>
      </c>
      <c r="AJ526" s="1">
        <v>4</v>
      </c>
      <c r="AK526" s="1">
        <v>8</v>
      </c>
      <c r="AL526" s="9" t="str" cm="1">
        <f t="array" ref="AL526">_xlfn.IFS(AK526 &lt;= 5, "New[1-5]", AK526 &lt;= 10, "Early Career[6-10]", AK526 &lt;= 20, "Established[11-20]", AK526 &lt;= 30, "Veteran[21-30]", AK526 &lt;= 40, "Late Career[31-40]")</f>
        <v>Early Career[6-10]</v>
      </c>
      <c r="AM526" s="1">
        <v>7</v>
      </c>
      <c r="AN526" s="9" t="str" cm="1">
        <f t="array" ref="AN526">_xlfn.IFS(AM526 &lt;= 3, "New to Role[1-3]", AM526 &lt;= 7, "Settled[4-7]", AM526 &lt;= 12, "Experienced[[8-12]", AM526 &lt;= 18, "Long Tenured[13-18]")</f>
        <v>Settled[4-7]</v>
      </c>
      <c r="AO526" s="1">
        <v>7</v>
      </c>
      <c r="AP526" s="9" t="str" cm="1">
        <f t="array" ref="AP526">_xlfn.IFS(AO526 &lt;= 3, "Recently[1-3]", AO526 &lt;= 6, "Due Soon[4-6]", AO526 &lt;= 10, "Overdue[7-10]", AO526 &lt;= 15, "Long Overdue[11-15]")</f>
        <v>Overdue[7-10]</v>
      </c>
      <c r="AQ526" s="9" t="str" cm="1">
        <f t="array" ref="AQ526">_xlfn.IFS(AR526 &lt;= 3, "New Relationship[1-3]", AR526 &lt;= 7, "Established Relationship[4-7]", AR526 &lt;= 12, "Long Term Relationship[8-12]", AR526 &lt;= 17, "Very Long Term Relationship[13-17]")</f>
        <v>Established Relationship[4-7]</v>
      </c>
      <c r="AR526" s="1">
        <v>7</v>
      </c>
    </row>
    <row r="527" spans="1:44" x14ac:dyDescent="0.25">
      <c r="A527" s="1">
        <v>24</v>
      </c>
      <c r="B527" s="8" t="str" cm="1">
        <f t="array" ref="B527">_xlfn.IFS(A527 &lt;= 25, "[18-25]", A527 &lt;= 35, "[26-35]", A527 &lt;=45, "[36-45]", A527 &lt;= 60, "[46- 60]")</f>
        <v>[18-25]</v>
      </c>
      <c r="C527" s="3" t="s">
        <v>35</v>
      </c>
      <c r="D527">
        <f t="shared" si="8"/>
        <v>1</v>
      </c>
      <c r="E527" t="s">
        <v>36</v>
      </c>
      <c r="F527" s="1">
        <v>693</v>
      </c>
      <c r="G527" s="3" t="s">
        <v>37</v>
      </c>
      <c r="H527" s="1">
        <v>3</v>
      </c>
      <c r="I527" s="9" t="str" cm="1">
        <f t="array" ref="I527">_xlfn.IFS(H527 &lt;= 2, "[1-2] very close", H527 &lt;= 10, "[3-10] close", H527 &lt;= 20, "[11-20] moderate", H527 &lt;= 30, "[21-30] far")</f>
        <v>[3-10] close</v>
      </c>
      <c r="J527" s="1">
        <v>2</v>
      </c>
      <c r="K527" s="3" t="s">
        <v>38</v>
      </c>
      <c r="L527" s="1">
        <v>1</v>
      </c>
      <c r="M527" s="1">
        <v>720</v>
      </c>
      <c r="N527" s="1">
        <v>1</v>
      </c>
      <c r="O527" s="3" t="s">
        <v>39</v>
      </c>
      <c r="P527" s="1">
        <v>65</v>
      </c>
      <c r="Q527" s="1">
        <v>3</v>
      </c>
      <c r="R527" s="1">
        <v>2</v>
      </c>
      <c r="S527" s="3" t="s">
        <v>40</v>
      </c>
      <c r="T527" s="1">
        <v>3</v>
      </c>
      <c r="U527" s="3" t="s">
        <v>41</v>
      </c>
      <c r="V527" s="4">
        <v>4577</v>
      </c>
      <c r="W527" s="1">
        <v>24785</v>
      </c>
      <c r="X527" s="1">
        <v>9</v>
      </c>
      <c r="Y527" s="3" t="s">
        <v>42</v>
      </c>
      <c r="Z527" s="3" t="s">
        <v>43</v>
      </c>
      <c r="AA527" s="5">
        <v>0.14000000000000001</v>
      </c>
      <c r="AB527" s="10" t="str" cm="1">
        <f t="array" ref="AB527">_xlfn.IFS(AA527 &lt;= 15%, "Low Hike[11-15%]", AA527 &lt;= 20%, "Moderate Hike[16-20%]", AA527 &lt;= 25%,"High Hike[21-25%]")</f>
        <v>Low Hike[11-15%]</v>
      </c>
      <c r="AC527" s="1">
        <v>3</v>
      </c>
      <c r="AD527" s="1">
        <v>1</v>
      </c>
      <c r="AE527" s="1">
        <v>80</v>
      </c>
      <c r="AF527" s="1">
        <v>0</v>
      </c>
      <c r="AG527" s="1">
        <v>4</v>
      </c>
      <c r="AH527" s="9" t="str" cm="1">
        <f t="array" ref="AH527">_xlfn.IFS(AG527 &lt;= 5, "New[1-5]", AG527 &lt;= 10, "Early Career[6-10]", AG527 &lt;= 20, "Established[11-20]", AG527 &lt;= 30, "Veteran[21-30]", AG527 &lt;= 40, "Late Career[31-40]")</f>
        <v>New[1-5]</v>
      </c>
      <c r="AI527" s="1">
        <v>3</v>
      </c>
      <c r="AJ527" s="1">
        <v>3</v>
      </c>
      <c r="AK527" s="1">
        <v>2</v>
      </c>
      <c r="AL527" s="9" t="str" cm="1">
        <f t="array" ref="AL527">_xlfn.IFS(AK527 &lt;= 5, "New[1-5]", AK527 &lt;= 10, "Early Career[6-10]", AK527 &lt;= 20, "Established[11-20]", AK527 &lt;= 30, "Veteran[21-30]", AK527 &lt;= 40, "Late Career[31-40]")</f>
        <v>New[1-5]</v>
      </c>
      <c r="AM527" s="1">
        <v>2</v>
      </c>
      <c r="AN527" s="9" t="str" cm="1">
        <f t="array" ref="AN527">_xlfn.IFS(AM527 &lt;= 3, "New to Role[1-3]", AM527 &lt;= 7, "Settled[4-7]", AM527 &lt;= 12, "Experienced[[8-12]", AM527 &lt;= 18, "Long Tenured[13-18]")</f>
        <v>New to Role[1-3]</v>
      </c>
      <c r="AO527" s="1">
        <v>2</v>
      </c>
      <c r="AP527" s="9" t="str" cm="1">
        <f t="array" ref="AP527">_xlfn.IFS(AO527 &lt;= 3, "Recently[1-3]", AO527 &lt;= 6, "Due Soon[4-6]", AO527 &lt;= 10, "Overdue[7-10]", AO527 &lt;= 15, "Long Overdue[11-15]")</f>
        <v>Recently[1-3]</v>
      </c>
      <c r="AQ527" s="9" t="str" cm="1">
        <f t="array" ref="AQ527">_xlfn.IFS(AR527 &lt;= 3, "New Relationship[1-3]", AR527 &lt;= 7, "Established Relationship[4-7]", AR527 &lt;= 12, "Long Term Relationship[8-12]", AR527 &lt;= 17, "Very Long Term Relationship[13-17]")</f>
        <v>New Relationship[1-3]</v>
      </c>
      <c r="AR527" s="1">
        <v>0</v>
      </c>
    </row>
    <row r="528" spans="1:44" x14ac:dyDescent="0.25">
      <c r="A528" s="1">
        <v>39</v>
      </c>
      <c r="B528" s="8" t="str" cm="1">
        <f t="array" ref="B528">_xlfn.IFS(A528 &lt;= 25, "[18-25]", A528 &lt;= 35, "[26-35]", A528 &lt;=45, "[36-45]", A528 &lt;= 60, "[46- 60]")</f>
        <v>[36-45]</v>
      </c>
      <c r="C528" s="3" t="s">
        <v>43</v>
      </c>
      <c r="D528">
        <f t="shared" si="8"/>
        <v>0</v>
      </c>
      <c r="E528" t="s">
        <v>36</v>
      </c>
      <c r="F528" s="1">
        <v>408</v>
      </c>
      <c r="G528" s="3" t="s">
        <v>45</v>
      </c>
      <c r="H528" s="1">
        <v>2</v>
      </c>
      <c r="I528" s="9" t="str" cm="1">
        <f t="array" ref="I528">_xlfn.IFS(H528 &lt;= 2, "[1-2] very close", H528 &lt;= 10, "[3-10] close", H528 &lt;= 20, "[11-20] moderate", H528 &lt;= 30, "[21-30] far")</f>
        <v>[1-2] very close</v>
      </c>
      <c r="J528" s="1">
        <v>4</v>
      </c>
      <c r="K528" s="3" t="s">
        <v>60</v>
      </c>
      <c r="L528" s="1">
        <v>1</v>
      </c>
      <c r="M528" s="1">
        <v>721</v>
      </c>
      <c r="N528" s="1">
        <v>4</v>
      </c>
      <c r="O528" s="3" t="s">
        <v>39</v>
      </c>
      <c r="P528" s="1">
        <v>80</v>
      </c>
      <c r="Q528" s="1">
        <v>2</v>
      </c>
      <c r="R528" s="1">
        <v>2</v>
      </c>
      <c r="S528" s="3" t="s">
        <v>54</v>
      </c>
      <c r="T528" s="1">
        <v>3</v>
      </c>
      <c r="U528" s="3" t="s">
        <v>41</v>
      </c>
      <c r="V528" s="4">
        <v>4553</v>
      </c>
      <c r="W528" s="1">
        <v>20978</v>
      </c>
      <c r="X528" s="1">
        <v>1</v>
      </c>
      <c r="Y528" s="3" t="s">
        <v>42</v>
      </c>
      <c r="Z528" s="3" t="s">
        <v>43</v>
      </c>
      <c r="AA528" s="5">
        <v>0.11</v>
      </c>
      <c r="AB528" s="10" t="str" cm="1">
        <f t="array" ref="AB528">_xlfn.IFS(AA528 &lt;= 15%, "Low Hike[11-15%]", AA528 &lt;= 20%, "Moderate Hike[16-20%]", AA528 &lt;= 25%,"High Hike[21-25%]")</f>
        <v>Low Hike[11-15%]</v>
      </c>
      <c r="AC528" s="1">
        <v>3</v>
      </c>
      <c r="AD528" s="1">
        <v>1</v>
      </c>
      <c r="AE528" s="1">
        <v>80</v>
      </c>
      <c r="AF528" s="1">
        <v>0</v>
      </c>
      <c r="AG528" s="1">
        <v>20</v>
      </c>
      <c r="AH528" s="9" t="str" cm="1">
        <f t="array" ref="AH528">_xlfn.IFS(AG528 &lt;= 5, "New[1-5]", AG528 &lt;= 10, "Early Career[6-10]", AG528 &lt;= 20, "Established[11-20]", AG528 &lt;= 30, "Veteran[21-30]", AG528 &lt;= 40, "Late Career[31-40]")</f>
        <v>Established[11-20]</v>
      </c>
      <c r="AI528" s="1">
        <v>4</v>
      </c>
      <c r="AJ528" s="1">
        <v>3</v>
      </c>
      <c r="AK528" s="1">
        <v>20</v>
      </c>
      <c r="AL528" s="9" t="str" cm="1">
        <f t="array" ref="AL528">_xlfn.IFS(AK528 &lt;= 5, "New[1-5]", AK528 &lt;= 10, "Early Career[6-10]", AK528 &lt;= 20, "Established[11-20]", AK528 &lt;= 30, "Veteran[21-30]", AK528 &lt;= 40, "Late Career[31-40]")</f>
        <v>Established[11-20]</v>
      </c>
      <c r="AM528" s="1">
        <v>7</v>
      </c>
      <c r="AN528" s="9" t="str" cm="1">
        <f t="array" ref="AN528">_xlfn.IFS(AM528 &lt;= 3, "New to Role[1-3]", AM528 &lt;= 7, "Settled[4-7]", AM528 &lt;= 12, "Experienced[[8-12]", AM528 &lt;= 18, "Long Tenured[13-18]")</f>
        <v>Settled[4-7]</v>
      </c>
      <c r="AO528" s="1">
        <v>11</v>
      </c>
      <c r="AP528" s="9" t="str" cm="1">
        <f t="array" ref="AP528">_xlfn.IFS(AO528 &lt;= 3, "Recently[1-3]", AO528 &lt;= 6, "Due Soon[4-6]", AO528 &lt;= 10, "Overdue[7-10]", AO528 &lt;= 15, "Long Overdue[11-15]")</f>
        <v>Long Overdue[11-15]</v>
      </c>
      <c r="AQ528" s="9" t="str" cm="1">
        <f t="array" ref="AQ528">_xlfn.IFS(AR528 &lt;= 3, "New Relationship[1-3]", AR528 &lt;= 7, "Established Relationship[4-7]", AR528 &lt;= 12, "Long Term Relationship[8-12]", AR528 &lt;= 17, "Very Long Term Relationship[13-17]")</f>
        <v>Long Term Relationship[8-12]</v>
      </c>
      <c r="AR528" s="1">
        <v>10</v>
      </c>
    </row>
    <row r="529" spans="1:44" x14ac:dyDescent="0.25">
      <c r="A529" s="1">
        <v>32</v>
      </c>
      <c r="B529" s="8" t="str" cm="1">
        <f t="array" ref="B529">_xlfn.IFS(A529 &lt;= 25, "[18-25]", A529 &lt;= 35, "[26-35]", A529 &lt;=45, "[36-45]", A529 &lt;= 60, "[46- 60]")</f>
        <v>[26-35]</v>
      </c>
      <c r="C529" s="3" t="s">
        <v>43</v>
      </c>
      <c r="D529">
        <f t="shared" si="8"/>
        <v>0</v>
      </c>
      <c r="E529" t="s">
        <v>36</v>
      </c>
      <c r="F529" s="1">
        <v>929</v>
      </c>
      <c r="G529" s="3" t="s">
        <v>37</v>
      </c>
      <c r="H529" s="1">
        <v>10</v>
      </c>
      <c r="I529" s="9" t="str" cm="1">
        <f t="array" ref="I529">_xlfn.IFS(H529 &lt;= 2, "[1-2] very close", H529 &lt;= 10, "[3-10] close", H529 &lt;= 20, "[11-20] moderate", H529 &lt;= 30, "[21-30] far")</f>
        <v>[3-10] close</v>
      </c>
      <c r="J529" s="1">
        <v>3</v>
      </c>
      <c r="K529" s="3" t="s">
        <v>59</v>
      </c>
      <c r="L529" s="1">
        <v>1</v>
      </c>
      <c r="M529" s="1">
        <v>722</v>
      </c>
      <c r="N529" s="1">
        <v>4</v>
      </c>
      <c r="O529" s="3" t="s">
        <v>46</v>
      </c>
      <c r="P529" s="1">
        <v>55</v>
      </c>
      <c r="Q529" s="1">
        <v>3</v>
      </c>
      <c r="R529" s="1">
        <v>2</v>
      </c>
      <c r="S529" s="3" t="s">
        <v>40</v>
      </c>
      <c r="T529" s="1">
        <v>4</v>
      </c>
      <c r="U529" s="3" t="s">
        <v>41</v>
      </c>
      <c r="V529" s="4">
        <v>5396</v>
      </c>
      <c r="W529" s="1">
        <v>21703</v>
      </c>
      <c r="X529" s="1">
        <v>1</v>
      </c>
      <c r="Y529" s="3" t="s">
        <v>42</v>
      </c>
      <c r="Z529" s="3" t="s">
        <v>43</v>
      </c>
      <c r="AA529" s="5">
        <v>0.12</v>
      </c>
      <c r="AB529" s="10" t="str" cm="1">
        <f t="array" ref="AB529">_xlfn.IFS(AA529 &lt;= 15%, "Low Hike[11-15%]", AA529 &lt;= 20%, "Moderate Hike[16-20%]", AA529 &lt;= 25%,"High Hike[21-25%]")</f>
        <v>Low Hike[11-15%]</v>
      </c>
      <c r="AC529" s="1">
        <v>3</v>
      </c>
      <c r="AD529" s="1">
        <v>4</v>
      </c>
      <c r="AE529" s="1">
        <v>80</v>
      </c>
      <c r="AF529" s="1">
        <v>0</v>
      </c>
      <c r="AG529" s="1">
        <v>10</v>
      </c>
      <c r="AH529" s="9" t="str" cm="1">
        <f t="array" ref="AH529">_xlfn.IFS(AG529 &lt;= 5, "New[1-5]", AG529 &lt;= 10, "Early Career[6-10]", AG529 &lt;= 20, "Established[11-20]", AG529 &lt;= 30, "Veteran[21-30]", AG529 &lt;= 40, "Late Career[31-40]")</f>
        <v>Early Career[6-10]</v>
      </c>
      <c r="AI529" s="1">
        <v>2</v>
      </c>
      <c r="AJ529" s="1">
        <v>2</v>
      </c>
      <c r="AK529" s="1">
        <v>10</v>
      </c>
      <c r="AL529" s="9" t="str" cm="1">
        <f t="array" ref="AL529">_xlfn.IFS(AK529 &lt;= 5, "New[1-5]", AK529 &lt;= 10, "Early Career[6-10]", AK529 &lt;= 20, "Established[11-20]", AK529 &lt;= 30, "Veteran[21-30]", AK529 &lt;= 40, "Late Career[31-40]")</f>
        <v>Early Career[6-10]</v>
      </c>
      <c r="AM529" s="1">
        <v>7</v>
      </c>
      <c r="AN529" s="9" t="str" cm="1">
        <f t="array" ref="AN529">_xlfn.IFS(AM529 &lt;= 3, "New to Role[1-3]", AM529 &lt;= 7, "Settled[4-7]", AM529 &lt;= 12, "Experienced[[8-12]", AM529 &lt;= 18, "Long Tenured[13-18]")</f>
        <v>Settled[4-7]</v>
      </c>
      <c r="AO529" s="1">
        <v>0</v>
      </c>
      <c r="AP529" s="9" t="str" cm="1">
        <f t="array" ref="AP529">_xlfn.IFS(AO529 &lt;= 3, "Recently[1-3]", AO529 &lt;= 6, "Due Soon[4-6]", AO529 &lt;= 10, "Overdue[7-10]", AO529 &lt;= 15, "Long Overdue[11-15]")</f>
        <v>Recently[1-3]</v>
      </c>
      <c r="AQ529" s="9" t="str" cm="1">
        <f t="array" ref="AQ529">_xlfn.IFS(AR529 &lt;= 3, "New Relationship[1-3]", AR529 &lt;= 7, "Established Relationship[4-7]", AR529 &lt;= 12, "Long Term Relationship[8-12]", AR529 &lt;= 17, "Very Long Term Relationship[13-17]")</f>
        <v>Long Term Relationship[8-12]</v>
      </c>
      <c r="AR529" s="1">
        <v>8</v>
      </c>
    </row>
    <row r="530" spans="1:44" x14ac:dyDescent="0.25">
      <c r="A530" s="1">
        <v>50</v>
      </c>
      <c r="B530" s="8" t="str" cm="1">
        <f t="array" ref="B530">_xlfn.IFS(A530 &lt;= 25, "[18-25]", A530 &lt;= 35, "[26-35]", A530 &lt;=45, "[36-45]", A530 &lt;= 60, "[46- 60]")</f>
        <v>[46- 60]</v>
      </c>
      <c r="C530" s="3" t="s">
        <v>35</v>
      </c>
      <c r="D530">
        <f t="shared" si="8"/>
        <v>1</v>
      </c>
      <c r="E530" t="s">
        <v>44</v>
      </c>
      <c r="F530" s="1">
        <v>562</v>
      </c>
      <c r="G530" s="3" t="s">
        <v>37</v>
      </c>
      <c r="H530" s="1">
        <v>8</v>
      </c>
      <c r="I530" s="9" t="str" cm="1">
        <f t="array" ref="I530">_xlfn.IFS(H530 &lt;= 2, "[1-2] very close", H530 &lt;= 10, "[3-10] close", H530 &lt;= 20, "[11-20] moderate", H530 &lt;= 30, "[21-30] far")</f>
        <v>[3-10] close</v>
      </c>
      <c r="J530" s="1">
        <v>2</v>
      </c>
      <c r="K530" s="3" t="s">
        <v>60</v>
      </c>
      <c r="L530" s="1">
        <v>1</v>
      </c>
      <c r="M530" s="1">
        <v>723</v>
      </c>
      <c r="N530" s="1">
        <v>2</v>
      </c>
      <c r="O530" s="3" t="s">
        <v>46</v>
      </c>
      <c r="P530" s="1">
        <v>50</v>
      </c>
      <c r="Q530" s="1">
        <v>3</v>
      </c>
      <c r="R530" s="1">
        <v>2</v>
      </c>
      <c r="S530" s="3" t="s">
        <v>40</v>
      </c>
      <c r="T530" s="1">
        <v>3</v>
      </c>
      <c r="U530" s="3" t="s">
        <v>48</v>
      </c>
      <c r="V530" s="4">
        <v>6796</v>
      </c>
      <c r="W530" s="1">
        <v>23452</v>
      </c>
      <c r="X530" s="1">
        <v>3</v>
      </c>
      <c r="Y530" s="3" t="s">
        <v>42</v>
      </c>
      <c r="Z530" s="3" t="s">
        <v>35</v>
      </c>
      <c r="AA530" s="5">
        <v>0.14000000000000001</v>
      </c>
      <c r="AB530" s="10" t="str" cm="1">
        <f t="array" ref="AB530">_xlfn.IFS(AA530 &lt;= 15%, "Low Hike[11-15%]", AA530 &lt;= 20%, "Moderate Hike[16-20%]", AA530 &lt;= 25%,"High Hike[21-25%]")</f>
        <v>Low Hike[11-15%]</v>
      </c>
      <c r="AC530" s="1">
        <v>3</v>
      </c>
      <c r="AD530" s="1">
        <v>1</v>
      </c>
      <c r="AE530" s="1">
        <v>80</v>
      </c>
      <c r="AF530" s="1">
        <v>1</v>
      </c>
      <c r="AG530" s="1">
        <v>18</v>
      </c>
      <c r="AH530" s="9" t="str" cm="1">
        <f t="array" ref="AH530">_xlfn.IFS(AG530 &lt;= 5, "New[1-5]", AG530 &lt;= 10, "Early Career[6-10]", AG530 &lt;= 20, "Established[11-20]", AG530 &lt;= 30, "Veteran[21-30]", AG530 &lt;= 40, "Late Career[31-40]")</f>
        <v>Established[11-20]</v>
      </c>
      <c r="AI530" s="1">
        <v>4</v>
      </c>
      <c r="AJ530" s="1">
        <v>3</v>
      </c>
      <c r="AK530" s="1">
        <v>4</v>
      </c>
      <c r="AL530" s="9" t="str" cm="1">
        <f t="array" ref="AL530">_xlfn.IFS(AK530 &lt;= 5, "New[1-5]", AK530 &lt;= 10, "Early Career[6-10]", AK530 &lt;= 20, "Established[11-20]", AK530 &lt;= 30, "Veteran[21-30]", AK530 &lt;= 40, "Late Career[31-40]")</f>
        <v>New[1-5]</v>
      </c>
      <c r="AM530" s="1">
        <v>3</v>
      </c>
      <c r="AN530" s="9" t="str" cm="1">
        <f t="array" ref="AN530">_xlfn.IFS(AM530 &lt;= 3, "New to Role[1-3]", AM530 &lt;= 7, "Settled[4-7]", AM530 &lt;= 12, "Experienced[[8-12]", AM530 &lt;= 18, "Long Tenured[13-18]")</f>
        <v>New to Role[1-3]</v>
      </c>
      <c r="AO530" s="1">
        <v>1</v>
      </c>
      <c r="AP530" s="9" t="str" cm="1">
        <f t="array" ref="AP530">_xlfn.IFS(AO530 &lt;= 3, "Recently[1-3]", AO530 &lt;= 6, "Due Soon[4-6]", AO530 &lt;= 10, "Overdue[7-10]", AO530 &lt;= 15, "Long Overdue[11-15]")</f>
        <v>Recently[1-3]</v>
      </c>
      <c r="AQ530" s="9" t="str" cm="1">
        <f t="array" ref="AQ530">_xlfn.IFS(AR530 &lt;= 3, "New Relationship[1-3]", AR530 &lt;= 7, "Established Relationship[4-7]", AR530 &lt;= 12, "Long Term Relationship[8-12]", AR530 &lt;= 17, "Very Long Term Relationship[13-17]")</f>
        <v>New Relationship[1-3]</v>
      </c>
      <c r="AR530" s="1">
        <v>3</v>
      </c>
    </row>
    <row r="531" spans="1:44" x14ac:dyDescent="0.25">
      <c r="A531" s="1">
        <v>38</v>
      </c>
      <c r="B531" s="8" t="str" cm="1">
        <f t="array" ref="B531">_xlfn.IFS(A531 &lt;= 25, "[18-25]", A531 &lt;= 35, "[26-35]", A531 &lt;=45, "[36-45]", A531 &lt;= 60, "[46- 60]")</f>
        <v>[36-45]</v>
      </c>
      <c r="C531" s="3" t="s">
        <v>43</v>
      </c>
      <c r="D531">
        <f t="shared" si="8"/>
        <v>0</v>
      </c>
      <c r="E531" t="s">
        <v>36</v>
      </c>
      <c r="F531" s="1">
        <v>827</v>
      </c>
      <c r="G531" s="3" t="s">
        <v>45</v>
      </c>
      <c r="H531" s="1">
        <v>1</v>
      </c>
      <c r="I531" s="9" t="str" cm="1">
        <f t="array" ref="I531">_xlfn.IFS(H531 &lt;= 2, "[1-2] very close", H531 &lt;= 10, "[3-10] close", H531 &lt;= 20, "[11-20] moderate", H531 &lt;= 30, "[21-30] far")</f>
        <v>[1-2] very close</v>
      </c>
      <c r="J531" s="1">
        <v>4</v>
      </c>
      <c r="K531" s="3" t="s">
        <v>38</v>
      </c>
      <c r="L531" s="1">
        <v>1</v>
      </c>
      <c r="M531" s="1">
        <v>724</v>
      </c>
      <c r="N531" s="1">
        <v>2</v>
      </c>
      <c r="O531" s="3" t="s">
        <v>39</v>
      </c>
      <c r="P531" s="1">
        <v>33</v>
      </c>
      <c r="Q531" s="1">
        <v>4</v>
      </c>
      <c r="R531" s="1">
        <v>2</v>
      </c>
      <c r="S531" s="3" t="s">
        <v>54</v>
      </c>
      <c r="T531" s="1">
        <v>4</v>
      </c>
      <c r="U531" s="3" t="s">
        <v>41</v>
      </c>
      <c r="V531" s="4">
        <v>7625</v>
      </c>
      <c r="W531" s="1">
        <v>19383</v>
      </c>
      <c r="X531" s="1">
        <v>0</v>
      </c>
      <c r="Y531" s="3" t="s">
        <v>42</v>
      </c>
      <c r="Z531" s="3" t="s">
        <v>43</v>
      </c>
      <c r="AA531" s="5">
        <v>0.13</v>
      </c>
      <c r="AB531" s="10" t="str" cm="1">
        <f t="array" ref="AB531">_xlfn.IFS(AA531 &lt;= 15%, "Low Hike[11-15%]", AA531 &lt;= 20%, "Moderate Hike[16-20%]", AA531 &lt;= 25%,"High Hike[21-25%]")</f>
        <v>Low Hike[11-15%]</v>
      </c>
      <c r="AC531" s="1">
        <v>3</v>
      </c>
      <c r="AD531" s="1">
        <v>3</v>
      </c>
      <c r="AE531" s="1">
        <v>80</v>
      </c>
      <c r="AF531" s="1">
        <v>0</v>
      </c>
      <c r="AG531" s="1">
        <v>10</v>
      </c>
      <c r="AH531" s="9" t="str" cm="1">
        <f t="array" ref="AH531">_xlfn.IFS(AG531 &lt;= 5, "New[1-5]", AG531 &lt;= 10, "Early Career[6-10]", AG531 &lt;= 20, "Established[11-20]", AG531 &lt;= 30, "Veteran[21-30]", AG531 &lt;= 40, "Late Career[31-40]")</f>
        <v>Early Career[6-10]</v>
      </c>
      <c r="AI531" s="1">
        <v>4</v>
      </c>
      <c r="AJ531" s="1">
        <v>2</v>
      </c>
      <c r="AK531" s="1">
        <v>9</v>
      </c>
      <c r="AL531" s="9" t="str" cm="1">
        <f t="array" ref="AL531">_xlfn.IFS(AK531 &lt;= 5, "New[1-5]", AK531 &lt;= 10, "Early Career[6-10]", AK531 &lt;= 20, "Established[11-20]", AK531 &lt;= 30, "Veteran[21-30]", AK531 &lt;= 40, "Late Career[31-40]")</f>
        <v>Early Career[6-10]</v>
      </c>
      <c r="AM531" s="1">
        <v>7</v>
      </c>
      <c r="AN531" s="9" t="str" cm="1">
        <f t="array" ref="AN531">_xlfn.IFS(AM531 &lt;= 3, "New to Role[1-3]", AM531 &lt;= 7, "Settled[4-7]", AM531 &lt;= 12, "Experienced[[8-12]", AM531 &lt;= 18, "Long Tenured[13-18]")</f>
        <v>Settled[4-7]</v>
      </c>
      <c r="AO531" s="1">
        <v>1</v>
      </c>
      <c r="AP531" s="9" t="str" cm="1">
        <f t="array" ref="AP531">_xlfn.IFS(AO531 &lt;= 3, "Recently[1-3]", AO531 &lt;= 6, "Due Soon[4-6]", AO531 &lt;= 10, "Overdue[7-10]", AO531 &lt;= 15, "Long Overdue[11-15]")</f>
        <v>Recently[1-3]</v>
      </c>
      <c r="AQ531" s="9" t="str" cm="1">
        <f t="array" ref="AQ531">_xlfn.IFS(AR531 &lt;= 3, "New Relationship[1-3]", AR531 &lt;= 7, "Established Relationship[4-7]", AR531 &lt;= 12, "Long Term Relationship[8-12]", AR531 &lt;= 17, "Very Long Term Relationship[13-17]")</f>
        <v>Long Term Relationship[8-12]</v>
      </c>
      <c r="AR531" s="1">
        <v>8</v>
      </c>
    </row>
    <row r="532" spans="1:44" x14ac:dyDescent="0.25">
      <c r="A532" s="1">
        <v>27</v>
      </c>
      <c r="B532" s="8" t="str" cm="1">
        <f t="array" ref="B532">_xlfn.IFS(A532 &lt;= 25, "[18-25]", A532 &lt;= 35, "[26-35]", A532 &lt;=45, "[36-45]", A532 &lt;= 60, "[46- 60]")</f>
        <v>[26-35]</v>
      </c>
      <c r="C532" s="3" t="s">
        <v>43</v>
      </c>
      <c r="D532">
        <f t="shared" si="8"/>
        <v>0</v>
      </c>
      <c r="E532" t="s">
        <v>36</v>
      </c>
      <c r="F532" s="1">
        <v>608</v>
      </c>
      <c r="G532" s="3" t="s">
        <v>45</v>
      </c>
      <c r="H532" s="1">
        <v>1</v>
      </c>
      <c r="I532" s="9" t="str" cm="1">
        <f t="array" ref="I532">_xlfn.IFS(H532 &lt;= 2, "[1-2] very close", H532 &lt;= 10, "[3-10] close", H532 &lt;= 20, "[11-20] moderate", H532 &lt;= 30, "[21-30] far")</f>
        <v>[1-2] very close</v>
      </c>
      <c r="J532" s="1">
        <v>2</v>
      </c>
      <c r="K532" s="3" t="s">
        <v>38</v>
      </c>
      <c r="L532" s="1">
        <v>1</v>
      </c>
      <c r="M532" s="1">
        <v>725</v>
      </c>
      <c r="N532" s="1">
        <v>3</v>
      </c>
      <c r="O532" s="3" t="s">
        <v>39</v>
      </c>
      <c r="P532" s="1">
        <v>68</v>
      </c>
      <c r="Q532" s="1">
        <v>3</v>
      </c>
      <c r="R532" s="1">
        <v>3</v>
      </c>
      <c r="S532" s="3" t="s">
        <v>53</v>
      </c>
      <c r="T532" s="1">
        <v>1</v>
      </c>
      <c r="U532" s="3" t="s">
        <v>48</v>
      </c>
      <c r="V532" s="4">
        <v>7412</v>
      </c>
      <c r="W532" s="1">
        <v>6009</v>
      </c>
      <c r="X532" s="1">
        <v>1</v>
      </c>
      <c r="Y532" s="3" t="s">
        <v>42</v>
      </c>
      <c r="Z532" s="3" t="s">
        <v>43</v>
      </c>
      <c r="AA532" s="5">
        <v>0.11</v>
      </c>
      <c r="AB532" s="10" t="str" cm="1">
        <f t="array" ref="AB532">_xlfn.IFS(AA532 &lt;= 15%, "Low Hike[11-15%]", AA532 &lt;= 20%, "Moderate Hike[16-20%]", AA532 &lt;= 25%,"High Hike[21-25%]")</f>
        <v>Low Hike[11-15%]</v>
      </c>
      <c r="AC532" s="1">
        <v>3</v>
      </c>
      <c r="AD532" s="1">
        <v>4</v>
      </c>
      <c r="AE532" s="1">
        <v>80</v>
      </c>
      <c r="AF532" s="1">
        <v>0</v>
      </c>
      <c r="AG532" s="1">
        <v>9</v>
      </c>
      <c r="AH532" s="9" t="str" cm="1">
        <f t="array" ref="AH532">_xlfn.IFS(AG532 &lt;= 5, "New[1-5]", AG532 &lt;= 10, "Early Career[6-10]", AG532 &lt;= 20, "Established[11-20]", AG532 &lt;= 30, "Veteran[21-30]", AG532 &lt;= 40, "Late Career[31-40]")</f>
        <v>Early Career[6-10]</v>
      </c>
      <c r="AI532" s="1">
        <v>3</v>
      </c>
      <c r="AJ532" s="1">
        <v>3</v>
      </c>
      <c r="AK532" s="1">
        <v>9</v>
      </c>
      <c r="AL532" s="9" t="str" cm="1">
        <f t="array" ref="AL532">_xlfn.IFS(AK532 &lt;= 5, "New[1-5]", AK532 &lt;= 10, "Early Career[6-10]", AK532 &lt;= 20, "Established[11-20]", AK532 &lt;= 30, "Veteran[21-30]", AK532 &lt;= 40, "Late Career[31-40]")</f>
        <v>Early Career[6-10]</v>
      </c>
      <c r="AM532" s="1">
        <v>7</v>
      </c>
      <c r="AN532" s="9" t="str" cm="1">
        <f t="array" ref="AN532">_xlfn.IFS(AM532 &lt;= 3, "New to Role[1-3]", AM532 &lt;= 7, "Settled[4-7]", AM532 &lt;= 12, "Experienced[[8-12]", AM532 &lt;= 18, "Long Tenured[13-18]")</f>
        <v>Settled[4-7]</v>
      </c>
      <c r="AO532" s="1">
        <v>0</v>
      </c>
      <c r="AP532" s="9" t="str" cm="1">
        <f t="array" ref="AP532">_xlfn.IFS(AO532 &lt;= 3, "Recently[1-3]", AO532 &lt;= 6, "Due Soon[4-6]", AO532 &lt;= 10, "Overdue[7-10]", AO532 &lt;= 15, "Long Overdue[11-15]")</f>
        <v>Recently[1-3]</v>
      </c>
      <c r="AQ532" s="9" t="str" cm="1">
        <f t="array" ref="AQ532">_xlfn.IFS(AR532 &lt;= 3, "New Relationship[1-3]", AR532 &lt;= 7, "Established Relationship[4-7]", AR532 &lt;= 12, "Long Term Relationship[8-12]", AR532 &lt;= 17, "Very Long Term Relationship[13-17]")</f>
        <v>Established Relationship[4-7]</v>
      </c>
      <c r="AR532" s="1">
        <v>7</v>
      </c>
    </row>
    <row r="533" spans="1:44" x14ac:dyDescent="0.25">
      <c r="A533" s="1">
        <v>32</v>
      </c>
      <c r="B533" s="8" t="str" cm="1">
        <f t="array" ref="B533">_xlfn.IFS(A533 &lt;= 25, "[18-25]", A533 &lt;= 35, "[26-35]", A533 &lt;=45, "[36-45]", A533 &lt;= 60, "[46- 60]")</f>
        <v>[26-35]</v>
      </c>
      <c r="C533" s="3" t="s">
        <v>43</v>
      </c>
      <c r="D533">
        <f t="shared" si="8"/>
        <v>0</v>
      </c>
      <c r="E533" t="s">
        <v>36</v>
      </c>
      <c r="F533" s="1">
        <v>1018</v>
      </c>
      <c r="G533" s="3" t="s">
        <v>45</v>
      </c>
      <c r="H533" s="1">
        <v>3</v>
      </c>
      <c r="I533" s="9" t="str" cm="1">
        <f t="array" ref="I533">_xlfn.IFS(H533 &lt;= 2, "[1-2] very close", H533 &lt;= 10, "[3-10] close", H533 &lt;= 20, "[11-20] moderate", H533 &lt;= 30, "[21-30] far")</f>
        <v>[3-10] close</v>
      </c>
      <c r="J533" s="1">
        <v>2</v>
      </c>
      <c r="K533" s="3" t="s">
        <v>38</v>
      </c>
      <c r="L533" s="1">
        <v>1</v>
      </c>
      <c r="M533" s="1">
        <v>727</v>
      </c>
      <c r="N533" s="1">
        <v>3</v>
      </c>
      <c r="O533" s="3" t="s">
        <v>39</v>
      </c>
      <c r="P533" s="1">
        <v>39</v>
      </c>
      <c r="Q533" s="1">
        <v>3</v>
      </c>
      <c r="R533" s="1">
        <v>3</v>
      </c>
      <c r="S533" s="3" t="s">
        <v>58</v>
      </c>
      <c r="T533" s="1">
        <v>4</v>
      </c>
      <c r="U533" s="3" t="s">
        <v>41</v>
      </c>
      <c r="V533" s="4">
        <v>11159</v>
      </c>
      <c r="W533" s="1">
        <v>19373</v>
      </c>
      <c r="X533" s="1">
        <v>3</v>
      </c>
      <c r="Y533" s="3" t="s">
        <v>42</v>
      </c>
      <c r="Z533" s="3" t="s">
        <v>43</v>
      </c>
      <c r="AA533" s="5">
        <v>0.15</v>
      </c>
      <c r="AB533" s="10" t="str" cm="1">
        <f t="array" ref="AB533">_xlfn.IFS(AA533 &lt;= 15%, "Low Hike[11-15%]", AA533 &lt;= 20%, "Moderate Hike[16-20%]", AA533 &lt;= 25%,"High Hike[21-25%]")</f>
        <v>Low Hike[11-15%]</v>
      </c>
      <c r="AC533" s="1">
        <v>3</v>
      </c>
      <c r="AD533" s="1">
        <v>4</v>
      </c>
      <c r="AE533" s="1">
        <v>80</v>
      </c>
      <c r="AF533" s="1">
        <v>0</v>
      </c>
      <c r="AG533" s="1">
        <v>10</v>
      </c>
      <c r="AH533" s="9" t="str" cm="1">
        <f t="array" ref="AH533">_xlfn.IFS(AG533 &lt;= 5, "New[1-5]", AG533 &lt;= 10, "Early Career[6-10]", AG533 &lt;= 20, "Established[11-20]", AG533 &lt;= 30, "Veteran[21-30]", AG533 &lt;= 40, "Late Career[31-40]")</f>
        <v>Early Career[6-10]</v>
      </c>
      <c r="AI533" s="1">
        <v>6</v>
      </c>
      <c r="AJ533" s="1">
        <v>3</v>
      </c>
      <c r="AK533" s="1">
        <v>7</v>
      </c>
      <c r="AL533" s="9" t="str" cm="1">
        <f t="array" ref="AL533">_xlfn.IFS(AK533 &lt;= 5, "New[1-5]", AK533 &lt;= 10, "Early Career[6-10]", AK533 &lt;= 20, "Established[11-20]", AK533 &lt;= 30, "Veteran[21-30]", AK533 &lt;= 40, "Late Career[31-40]")</f>
        <v>Early Career[6-10]</v>
      </c>
      <c r="AM533" s="1">
        <v>7</v>
      </c>
      <c r="AN533" s="9" t="str" cm="1">
        <f t="array" ref="AN533">_xlfn.IFS(AM533 &lt;= 3, "New to Role[1-3]", AM533 &lt;= 7, "Settled[4-7]", AM533 &lt;= 12, "Experienced[[8-12]", AM533 &lt;= 18, "Long Tenured[13-18]")</f>
        <v>Settled[4-7]</v>
      </c>
      <c r="AO533" s="1">
        <v>7</v>
      </c>
      <c r="AP533" s="9" t="str" cm="1">
        <f t="array" ref="AP533">_xlfn.IFS(AO533 &lt;= 3, "Recently[1-3]", AO533 &lt;= 6, "Due Soon[4-6]", AO533 &lt;= 10, "Overdue[7-10]", AO533 &lt;= 15, "Long Overdue[11-15]")</f>
        <v>Overdue[7-10]</v>
      </c>
      <c r="AQ533" s="9" t="str" cm="1">
        <f t="array" ref="AQ533">_xlfn.IFS(AR533 &lt;= 3, "New Relationship[1-3]", AR533 &lt;= 7, "Established Relationship[4-7]", AR533 &lt;= 12, "Long Term Relationship[8-12]", AR533 &lt;= 17, "Very Long Term Relationship[13-17]")</f>
        <v>Established Relationship[4-7]</v>
      </c>
      <c r="AR533" s="1">
        <v>7</v>
      </c>
    </row>
    <row r="534" spans="1:44" x14ac:dyDescent="0.25">
      <c r="A534" s="1">
        <v>47</v>
      </c>
      <c r="B534" s="8" t="str" cm="1">
        <f t="array" ref="B534">_xlfn.IFS(A534 &lt;= 25, "[18-25]", A534 &lt;= 35, "[26-35]", A534 &lt;=45, "[36-45]", A534 &lt;= 60, "[46- 60]")</f>
        <v>[46- 60]</v>
      </c>
      <c r="C534" s="3" t="s">
        <v>43</v>
      </c>
      <c r="D534">
        <f t="shared" si="8"/>
        <v>0</v>
      </c>
      <c r="E534" t="s">
        <v>36</v>
      </c>
      <c r="F534" s="1">
        <v>703</v>
      </c>
      <c r="G534" s="3" t="s">
        <v>37</v>
      </c>
      <c r="H534" s="1">
        <v>14</v>
      </c>
      <c r="I534" s="9" t="str" cm="1">
        <f t="array" ref="I534">_xlfn.IFS(H534 &lt;= 2, "[1-2] very close", H534 &lt;= 10, "[3-10] close", H534 &lt;= 20, "[11-20] moderate", H534 &lt;= 30, "[21-30] far")</f>
        <v>[11-20] moderate</v>
      </c>
      <c r="J534" s="1">
        <v>4</v>
      </c>
      <c r="K534" s="3" t="s">
        <v>59</v>
      </c>
      <c r="L534" s="1">
        <v>1</v>
      </c>
      <c r="M534" s="1">
        <v>728</v>
      </c>
      <c r="N534" s="1">
        <v>4</v>
      </c>
      <c r="O534" s="3" t="s">
        <v>46</v>
      </c>
      <c r="P534" s="1">
        <v>42</v>
      </c>
      <c r="Q534" s="1">
        <v>3</v>
      </c>
      <c r="R534" s="1">
        <v>2</v>
      </c>
      <c r="S534" s="3" t="s">
        <v>40</v>
      </c>
      <c r="T534" s="1">
        <v>1</v>
      </c>
      <c r="U534" s="3" t="s">
        <v>41</v>
      </c>
      <c r="V534" s="4">
        <v>4960</v>
      </c>
      <c r="W534" s="1">
        <v>11825</v>
      </c>
      <c r="X534" s="1">
        <v>2</v>
      </c>
      <c r="Y534" s="3" t="s">
        <v>42</v>
      </c>
      <c r="Z534" s="3" t="s">
        <v>43</v>
      </c>
      <c r="AA534" s="5">
        <v>0.12</v>
      </c>
      <c r="AB534" s="10" t="str" cm="1">
        <f t="array" ref="AB534">_xlfn.IFS(AA534 &lt;= 15%, "Low Hike[11-15%]", AA534 &lt;= 20%, "Moderate Hike[16-20%]", AA534 &lt;= 25%,"High Hike[21-25%]")</f>
        <v>Low Hike[11-15%]</v>
      </c>
      <c r="AC534" s="1">
        <v>3</v>
      </c>
      <c r="AD534" s="1">
        <v>4</v>
      </c>
      <c r="AE534" s="1">
        <v>80</v>
      </c>
      <c r="AF534" s="1">
        <v>0</v>
      </c>
      <c r="AG534" s="1">
        <v>20</v>
      </c>
      <c r="AH534" s="9" t="str" cm="1">
        <f t="array" ref="AH534">_xlfn.IFS(AG534 &lt;= 5, "New[1-5]", AG534 &lt;= 10, "Early Career[6-10]", AG534 &lt;= 20, "Established[11-20]", AG534 &lt;= 30, "Veteran[21-30]", AG534 &lt;= 40, "Late Career[31-40]")</f>
        <v>Established[11-20]</v>
      </c>
      <c r="AI534" s="1">
        <v>2</v>
      </c>
      <c r="AJ534" s="1">
        <v>3</v>
      </c>
      <c r="AK534" s="1">
        <v>7</v>
      </c>
      <c r="AL534" s="9" t="str" cm="1">
        <f t="array" ref="AL534">_xlfn.IFS(AK534 &lt;= 5, "New[1-5]", AK534 &lt;= 10, "Early Career[6-10]", AK534 &lt;= 20, "Established[11-20]", AK534 &lt;= 30, "Veteran[21-30]", AK534 &lt;= 40, "Late Career[31-40]")</f>
        <v>Early Career[6-10]</v>
      </c>
      <c r="AM534" s="1">
        <v>7</v>
      </c>
      <c r="AN534" s="9" t="str" cm="1">
        <f t="array" ref="AN534">_xlfn.IFS(AM534 &lt;= 3, "New to Role[1-3]", AM534 &lt;= 7, "Settled[4-7]", AM534 &lt;= 12, "Experienced[[8-12]", AM534 &lt;= 18, "Long Tenured[13-18]")</f>
        <v>Settled[4-7]</v>
      </c>
      <c r="AO534" s="1">
        <v>1</v>
      </c>
      <c r="AP534" s="9" t="str" cm="1">
        <f t="array" ref="AP534">_xlfn.IFS(AO534 &lt;= 3, "Recently[1-3]", AO534 &lt;= 6, "Due Soon[4-6]", AO534 &lt;= 10, "Overdue[7-10]", AO534 &lt;= 15, "Long Overdue[11-15]")</f>
        <v>Recently[1-3]</v>
      </c>
      <c r="AQ534" s="9" t="str" cm="1">
        <f t="array" ref="AQ534">_xlfn.IFS(AR534 &lt;= 3, "New Relationship[1-3]", AR534 &lt;= 7, "Established Relationship[4-7]", AR534 &lt;= 12, "Long Term Relationship[8-12]", AR534 &lt;= 17, "Very Long Term Relationship[13-17]")</f>
        <v>Established Relationship[4-7]</v>
      </c>
      <c r="AR534" s="1">
        <v>7</v>
      </c>
    </row>
    <row r="535" spans="1:44" x14ac:dyDescent="0.25">
      <c r="A535" s="1">
        <v>40</v>
      </c>
      <c r="B535" s="8" t="str" cm="1">
        <f t="array" ref="B535">_xlfn.IFS(A535 &lt;= 25, "[18-25]", A535 &lt;= 35, "[26-35]", A535 &lt;=45, "[36-45]", A535 &lt;= 60, "[46- 60]")</f>
        <v>[36-45]</v>
      </c>
      <c r="C535" s="3" t="s">
        <v>43</v>
      </c>
      <c r="D535">
        <f t="shared" si="8"/>
        <v>0</v>
      </c>
      <c r="E535" t="s">
        <v>44</v>
      </c>
      <c r="F535" s="1">
        <v>580</v>
      </c>
      <c r="G535" s="3" t="s">
        <v>37</v>
      </c>
      <c r="H535" s="1">
        <v>5</v>
      </c>
      <c r="I535" s="9" t="str" cm="1">
        <f t="array" ref="I535">_xlfn.IFS(H535 &lt;= 2, "[1-2] very close", H535 &lt;= 10, "[3-10] close", H535 &lt;= 20, "[11-20] moderate", H535 &lt;= 30, "[21-30] far")</f>
        <v>[3-10] close</v>
      </c>
      <c r="J535" s="1">
        <v>4</v>
      </c>
      <c r="K535" s="3" t="s">
        <v>38</v>
      </c>
      <c r="L535" s="1">
        <v>1</v>
      </c>
      <c r="M535" s="1">
        <v>729</v>
      </c>
      <c r="N535" s="1">
        <v>4</v>
      </c>
      <c r="O535" s="3" t="s">
        <v>46</v>
      </c>
      <c r="P535" s="1">
        <v>48</v>
      </c>
      <c r="Q535" s="1">
        <v>2</v>
      </c>
      <c r="R535" s="1">
        <v>3</v>
      </c>
      <c r="S535" s="3" t="s">
        <v>40</v>
      </c>
      <c r="T535" s="1">
        <v>1</v>
      </c>
      <c r="U535" s="3" t="s">
        <v>48</v>
      </c>
      <c r="V535" s="4">
        <v>10475</v>
      </c>
      <c r="W535" s="1">
        <v>23772</v>
      </c>
      <c r="X535" s="1">
        <v>5</v>
      </c>
      <c r="Y535" s="3" t="s">
        <v>42</v>
      </c>
      <c r="Z535" s="3" t="s">
        <v>35</v>
      </c>
      <c r="AA535" s="5">
        <v>0.21</v>
      </c>
      <c r="AB535" s="10" t="str" cm="1">
        <f t="array" ref="AB535">_xlfn.IFS(AA535 &lt;= 15%, "Low Hike[11-15%]", AA535 &lt;= 20%, "Moderate Hike[16-20%]", AA535 &lt;= 25%,"High Hike[21-25%]")</f>
        <v>High Hike[21-25%]</v>
      </c>
      <c r="AC535" s="1">
        <v>4</v>
      </c>
      <c r="AD535" s="1">
        <v>3</v>
      </c>
      <c r="AE535" s="1">
        <v>80</v>
      </c>
      <c r="AF535" s="1">
        <v>1</v>
      </c>
      <c r="AG535" s="1">
        <v>20</v>
      </c>
      <c r="AH535" s="9" t="str" cm="1">
        <f t="array" ref="AH535">_xlfn.IFS(AG535 &lt;= 5, "New[1-5]", AG535 &lt;= 10, "Early Career[6-10]", AG535 &lt;= 20, "Established[11-20]", AG535 &lt;= 30, "Veteran[21-30]", AG535 &lt;= 40, "Late Career[31-40]")</f>
        <v>Established[11-20]</v>
      </c>
      <c r="AI535" s="1">
        <v>2</v>
      </c>
      <c r="AJ535" s="1">
        <v>3</v>
      </c>
      <c r="AK535" s="1">
        <v>18</v>
      </c>
      <c r="AL535" s="9" t="str" cm="1">
        <f t="array" ref="AL535">_xlfn.IFS(AK535 &lt;= 5, "New[1-5]", AK535 &lt;= 10, "Early Career[6-10]", AK535 &lt;= 20, "Established[11-20]", AK535 &lt;= 30, "Veteran[21-30]", AK535 &lt;= 40, "Late Career[31-40]")</f>
        <v>Established[11-20]</v>
      </c>
      <c r="AM535" s="1">
        <v>13</v>
      </c>
      <c r="AN535" s="9" t="str" cm="1">
        <f t="array" ref="AN535">_xlfn.IFS(AM535 &lt;= 3, "New to Role[1-3]", AM535 &lt;= 7, "Settled[4-7]", AM535 &lt;= 12, "Experienced[[8-12]", AM535 &lt;= 18, "Long Tenured[13-18]")</f>
        <v>Long Tenured[13-18]</v>
      </c>
      <c r="AO535" s="1">
        <v>1</v>
      </c>
      <c r="AP535" s="9" t="str" cm="1">
        <f t="array" ref="AP535">_xlfn.IFS(AO535 &lt;= 3, "Recently[1-3]", AO535 &lt;= 6, "Due Soon[4-6]", AO535 &lt;= 10, "Overdue[7-10]", AO535 &lt;= 15, "Long Overdue[11-15]")</f>
        <v>Recently[1-3]</v>
      </c>
      <c r="AQ535" s="9" t="str" cm="1">
        <f t="array" ref="AQ535">_xlfn.IFS(AR535 &lt;= 3, "New Relationship[1-3]", AR535 &lt;= 7, "Established Relationship[4-7]", AR535 &lt;= 12, "Long Term Relationship[8-12]", AR535 &lt;= 17, "Very Long Term Relationship[13-17]")</f>
        <v>Long Term Relationship[8-12]</v>
      </c>
      <c r="AR535" s="1">
        <v>12</v>
      </c>
    </row>
    <row r="536" spans="1:44" x14ac:dyDescent="0.25">
      <c r="A536" s="1">
        <v>53</v>
      </c>
      <c r="B536" s="8" t="str" cm="1">
        <f t="array" ref="B536">_xlfn.IFS(A536 &lt;= 25, "[18-25]", A536 &lt;= 35, "[26-35]", A536 &lt;=45, "[36-45]", A536 &lt;= 60, "[46- 60]")</f>
        <v>[46- 60]</v>
      </c>
      <c r="C536" s="3" t="s">
        <v>43</v>
      </c>
      <c r="D536">
        <f t="shared" si="8"/>
        <v>0</v>
      </c>
      <c r="E536" t="s">
        <v>36</v>
      </c>
      <c r="F536" s="1">
        <v>970</v>
      </c>
      <c r="G536" s="3" t="s">
        <v>45</v>
      </c>
      <c r="H536" s="1">
        <v>7</v>
      </c>
      <c r="I536" s="9" t="str" cm="1">
        <f t="array" ref="I536">_xlfn.IFS(H536 &lt;= 2, "[1-2] very close", H536 &lt;= 10, "[3-10] close", H536 &lt;= 20, "[11-20] moderate", H536 &lt;= 30, "[21-30] far")</f>
        <v>[3-10] close</v>
      </c>
      <c r="J536" s="1">
        <v>3</v>
      </c>
      <c r="K536" s="3" t="s">
        <v>38</v>
      </c>
      <c r="L536" s="1">
        <v>1</v>
      </c>
      <c r="M536" s="1">
        <v>730</v>
      </c>
      <c r="N536" s="1">
        <v>3</v>
      </c>
      <c r="O536" s="3" t="s">
        <v>46</v>
      </c>
      <c r="P536" s="1">
        <v>59</v>
      </c>
      <c r="Q536" s="1">
        <v>4</v>
      </c>
      <c r="R536" s="1">
        <v>4</v>
      </c>
      <c r="S536" s="3" t="s">
        <v>58</v>
      </c>
      <c r="T536" s="1">
        <v>3</v>
      </c>
      <c r="U536" s="3" t="s">
        <v>48</v>
      </c>
      <c r="V536" s="4">
        <v>14814</v>
      </c>
      <c r="W536" s="1">
        <v>13514</v>
      </c>
      <c r="X536" s="1">
        <v>3</v>
      </c>
      <c r="Y536" s="3" t="s">
        <v>42</v>
      </c>
      <c r="Z536" s="3" t="s">
        <v>43</v>
      </c>
      <c r="AA536" s="5">
        <v>0.19</v>
      </c>
      <c r="AB536" s="10" t="str" cm="1">
        <f t="array" ref="AB536">_xlfn.IFS(AA536 &lt;= 15%, "Low Hike[11-15%]", AA536 &lt;= 20%, "Moderate Hike[16-20%]", AA536 &lt;= 25%,"High Hike[21-25%]")</f>
        <v>Moderate Hike[16-20%]</v>
      </c>
      <c r="AC536" s="1">
        <v>3</v>
      </c>
      <c r="AD536" s="1">
        <v>3</v>
      </c>
      <c r="AE536" s="1">
        <v>80</v>
      </c>
      <c r="AF536" s="1">
        <v>0</v>
      </c>
      <c r="AG536" s="1">
        <v>32</v>
      </c>
      <c r="AH536" s="9" t="str" cm="1">
        <f t="array" ref="AH536">_xlfn.IFS(AG536 &lt;= 5, "New[1-5]", AG536 &lt;= 10, "Early Career[6-10]", AG536 &lt;= 20, "Established[11-20]", AG536 &lt;= 30, "Veteran[21-30]", AG536 &lt;= 40, "Late Career[31-40]")</f>
        <v>Late Career[31-40]</v>
      </c>
      <c r="AI536" s="1">
        <v>3</v>
      </c>
      <c r="AJ536" s="1">
        <v>3</v>
      </c>
      <c r="AK536" s="1">
        <v>5</v>
      </c>
      <c r="AL536" s="9" t="str" cm="1">
        <f t="array" ref="AL536">_xlfn.IFS(AK536 &lt;= 5, "New[1-5]", AK536 &lt;= 10, "Early Career[6-10]", AK536 &lt;= 20, "Established[11-20]", AK536 &lt;= 30, "Veteran[21-30]", AK536 &lt;= 40, "Late Career[31-40]")</f>
        <v>New[1-5]</v>
      </c>
      <c r="AM536" s="1">
        <v>1</v>
      </c>
      <c r="AN536" s="9" t="str" cm="1">
        <f t="array" ref="AN536">_xlfn.IFS(AM536 &lt;= 3, "New to Role[1-3]", AM536 &lt;= 7, "Settled[4-7]", AM536 &lt;= 12, "Experienced[[8-12]", AM536 &lt;= 18, "Long Tenured[13-18]")</f>
        <v>New to Role[1-3]</v>
      </c>
      <c r="AO536" s="1">
        <v>1</v>
      </c>
      <c r="AP536" s="9" t="str" cm="1">
        <f t="array" ref="AP536">_xlfn.IFS(AO536 &lt;= 3, "Recently[1-3]", AO536 &lt;= 6, "Due Soon[4-6]", AO536 &lt;= 10, "Overdue[7-10]", AO536 &lt;= 15, "Long Overdue[11-15]")</f>
        <v>Recently[1-3]</v>
      </c>
      <c r="AQ536" s="9" t="str" cm="1">
        <f t="array" ref="AQ536">_xlfn.IFS(AR536 &lt;= 3, "New Relationship[1-3]", AR536 &lt;= 7, "Established Relationship[4-7]", AR536 &lt;= 12, "Long Term Relationship[8-12]", AR536 &lt;= 17, "Very Long Term Relationship[13-17]")</f>
        <v>New Relationship[1-3]</v>
      </c>
      <c r="AR536" s="1">
        <v>3</v>
      </c>
    </row>
    <row r="537" spans="1:44" x14ac:dyDescent="0.25">
      <c r="A537" s="1">
        <v>41</v>
      </c>
      <c r="B537" s="8" t="str" cm="1">
        <f t="array" ref="B537">_xlfn.IFS(A537 &lt;= 25, "[18-25]", A537 &lt;= 35, "[26-35]", A537 &lt;=45, "[36-45]", A537 &lt;= 60, "[46- 60]")</f>
        <v>[36-45]</v>
      </c>
      <c r="C537" s="3" t="s">
        <v>43</v>
      </c>
      <c r="D537">
        <f t="shared" si="8"/>
        <v>0</v>
      </c>
      <c r="E537" t="s">
        <v>36</v>
      </c>
      <c r="F537" s="1">
        <v>427</v>
      </c>
      <c r="G537" s="3" t="s">
        <v>61</v>
      </c>
      <c r="H537" s="1">
        <v>10</v>
      </c>
      <c r="I537" s="9" t="str" cm="1">
        <f t="array" ref="I537">_xlfn.IFS(H537 &lt;= 2, "[1-2] very close", H537 &lt;= 10, "[3-10] close", H537 &lt;= 20, "[11-20] moderate", H537 &lt;= 30, "[21-30] far")</f>
        <v>[3-10] close</v>
      </c>
      <c r="J537" s="1">
        <v>4</v>
      </c>
      <c r="K537" s="3" t="s">
        <v>61</v>
      </c>
      <c r="L537" s="1">
        <v>1</v>
      </c>
      <c r="M537" s="1">
        <v>731</v>
      </c>
      <c r="N537" s="1">
        <v>2</v>
      </c>
      <c r="O537" s="3" t="s">
        <v>46</v>
      </c>
      <c r="P537" s="1">
        <v>73</v>
      </c>
      <c r="Q537" s="1">
        <v>2</v>
      </c>
      <c r="R537" s="1">
        <v>5</v>
      </c>
      <c r="S537" s="3" t="s">
        <v>56</v>
      </c>
      <c r="T537" s="1">
        <v>4</v>
      </c>
      <c r="U537" s="3" t="s">
        <v>52</v>
      </c>
      <c r="V537" s="4">
        <v>19141</v>
      </c>
      <c r="W537" s="1">
        <v>8861</v>
      </c>
      <c r="X537" s="1">
        <v>3</v>
      </c>
      <c r="Y537" s="3" t="s">
        <v>42</v>
      </c>
      <c r="Z537" s="3" t="s">
        <v>43</v>
      </c>
      <c r="AA537" s="5">
        <v>0.15</v>
      </c>
      <c r="AB537" s="10" t="str" cm="1">
        <f t="array" ref="AB537">_xlfn.IFS(AA537 &lt;= 15%, "Low Hike[11-15%]", AA537 &lt;= 20%, "Moderate Hike[16-20%]", AA537 &lt;= 25%,"High Hike[21-25%]")</f>
        <v>Low Hike[11-15%]</v>
      </c>
      <c r="AC537" s="1">
        <v>3</v>
      </c>
      <c r="AD537" s="1">
        <v>2</v>
      </c>
      <c r="AE537" s="1">
        <v>80</v>
      </c>
      <c r="AF537" s="1">
        <v>3</v>
      </c>
      <c r="AG537" s="1">
        <v>23</v>
      </c>
      <c r="AH537" s="9" t="str" cm="1">
        <f t="array" ref="AH537">_xlfn.IFS(AG537 &lt;= 5, "New[1-5]", AG537 &lt;= 10, "Early Career[6-10]", AG537 &lt;= 20, "Established[11-20]", AG537 &lt;= 30, "Veteran[21-30]", AG537 &lt;= 40, "Late Career[31-40]")</f>
        <v>Veteran[21-30]</v>
      </c>
      <c r="AI537" s="1">
        <v>2</v>
      </c>
      <c r="AJ537" s="1">
        <v>2</v>
      </c>
      <c r="AK537" s="1">
        <v>21</v>
      </c>
      <c r="AL537" s="9" t="str" cm="1">
        <f t="array" ref="AL537">_xlfn.IFS(AK537 &lt;= 5, "New[1-5]", AK537 &lt;= 10, "Early Career[6-10]", AK537 &lt;= 20, "Established[11-20]", AK537 &lt;= 30, "Veteran[21-30]", AK537 &lt;= 40, "Late Career[31-40]")</f>
        <v>Veteran[21-30]</v>
      </c>
      <c r="AM537" s="1">
        <v>6</v>
      </c>
      <c r="AN537" s="9" t="str" cm="1">
        <f t="array" ref="AN537">_xlfn.IFS(AM537 &lt;= 3, "New to Role[1-3]", AM537 &lt;= 7, "Settled[4-7]", AM537 &lt;= 12, "Experienced[[8-12]", AM537 &lt;= 18, "Long Tenured[13-18]")</f>
        <v>Settled[4-7]</v>
      </c>
      <c r="AO537" s="1">
        <v>12</v>
      </c>
      <c r="AP537" s="9" t="str" cm="1">
        <f t="array" ref="AP537">_xlfn.IFS(AO537 &lt;= 3, "Recently[1-3]", AO537 &lt;= 6, "Due Soon[4-6]", AO537 &lt;= 10, "Overdue[7-10]", AO537 &lt;= 15, "Long Overdue[11-15]")</f>
        <v>Long Overdue[11-15]</v>
      </c>
      <c r="AQ537" s="9" t="str" cm="1">
        <f t="array" ref="AQ537">_xlfn.IFS(AR537 &lt;= 3, "New Relationship[1-3]", AR537 &lt;= 7, "Established Relationship[4-7]", AR537 &lt;= 12, "Long Term Relationship[8-12]", AR537 &lt;= 17, "Very Long Term Relationship[13-17]")</f>
        <v>Established Relationship[4-7]</v>
      </c>
      <c r="AR537" s="1">
        <v>6</v>
      </c>
    </row>
    <row r="538" spans="1:44" x14ac:dyDescent="0.25">
      <c r="A538" s="1">
        <v>60</v>
      </c>
      <c r="B538" s="8" t="str" cm="1">
        <f t="array" ref="B538">_xlfn.IFS(A538 &lt;= 25, "[18-25]", A538 &lt;= 35, "[26-35]", A538 &lt;=45, "[36-45]", A538 &lt;= 60, "[46- 60]")</f>
        <v>[46- 60]</v>
      </c>
      <c r="C538" s="3" t="s">
        <v>43</v>
      </c>
      <c r="D538">
        <f t="shared" si="8"/>
        <v>0</v>
      </c>
      <c r="E538" t="s">
        <v>36</v>
      </c>
      <c r="F538" s="1">
        <v>1179</v>
      </c>
      <c r="G538" s="3" t="s">
        <v>37</v>
      </c>
      <c r="H538" s="1">
        <v>16</v>
      </c>
      <c r="I538" s="9" t="str" cm="1">
        <f t="array" ref="I538">_xlfn.IFS(H538 &lt;= 2, "[1-2] very close", H538 &lt;= 10, "[3-10] close", H538 &lt;= 20, "[11-20] moderate", H538 &lt;= 30, "[21-30] far")</f>
        <v>[11-20] moderate</v>
      </c>
      <c r="J538" s="1">
        <v>4</v>
      </c>
      <c r="K538" s="3" t="s">
        <v>59</v>
      </c>
      <c r="L538" s="1">
        <v>1</v>
      </c>
      <c r="M538" s="1">
        <v>732</v>
      </c>
      <c r="N538" s="1">
        <v>1</v>
      </c>
      <c r="O538" s="3" t="s">
        <v>46</v>
      </c>
      <c r="P538" s="1">
        <v>84</v>
      </c>
      <c r="Q538" s="1">
        <v>3</v>
      </c>
      <c r="R538" s="1">
        <v>2</v>
      </c>
      <c r="S538" s="3" t="s">
        <v>40</v>
      </c>
      <c r="T538" s="1">
        <v>1</v>
      </c>
      <c r="U538" s="3" t="s">
        <v>41</v>
      </c>
      <c r="V538" s="4">
        <v>5405</v>
      </c>
      <c r="W538" s="1">
        <v>11924</v>
      </c>
      <c r="X538" s="1">
        <v>8</v>
      </c>
      <c r="Y538" s="3" t="s">
        <v>42</v>
      </c>
      <c r="Z538" s="3" t="s">
        <v>43</v>
      </c>
      <c r="AA538" s="5">
        <v>0.14000000000000001</v>
      </c>
      <c r="AB538" s="10" t="str" cm="1">
        <f t="array" ref="AB538">_xlfn.IFS(AA538 &lt;= 15%, "Low Hike[11-15%]", AA538 &lt;= 20%, "Moderate Hike[16-20%]", AA538 &lt;= 25%,"High Hike[21-25%]")</f>
        <v>Low Hike[11-15%]</v>
      </c>
      <c r="AC538" s="1">
        <v>3</v>
      </c>
      <c r="AD538" s="1">
        <v>4</v>
      </c>
      <c r="AE538" s="1">
        <v>80</v>
      </c>
      <c r="AF538" s="1">
        <v>0</v>
      </c>
      <c r="AG538" s="1">
        <v>10</v>
      </c>
      <c r="AH538" s="9" t="str" cm="1">
        <f t="array" ref="AH538">_xlfn.IFS(AG538 &lt;= 5, "New[1-5]", AG538 &lt;= 10, "Early Career[6-10]", AG538 &lt;= 20, "Established[11-20]", AG538 &lt;= 30, "Veteran[21-30]", AG538 &lt;= 40, "Late Career[31-40]")</f>
        <v>Early Career[6-10]</v>
      </c>
      <c r="AI538" s="1">
        <v>1</v>
      </c>
      <c r="AJ538" s="1">
        <v>3</v>
      </c>
      <c r="AK538" s="1">
        <v>2</v>
      </c>
      <c r="AL538" s="9" t="str" cm="1">
        <f t="array" ref="AL538">_xlfn.IFS(AK538 &lt;= 5, "New[1-5]", AK538 &lt;= 10, "Early Career[6-10]", AK538 &lt;= 20, "Established[11-20]", AK538 &lt;= 30, "Veteran[21-30]", AK538 &lt;= 40, "Late Career[31-40]")</f>
        <v>New[1-5]</v>
      </c>
      <c r="AM538" s="1">
        <v>2</v>
      </c>
      <c r="AN538" s="9" t="str" cm="1">
        <f t="array" ref="AN538">_xlfn.IFS(AM538 &lt;= 3, "New to Role[1-3]", AM538 &lt;= 7, "Settled[4-7]", AM538 &lt;= 12, "Experienced[[8-12]", AM538 &lt;= 18, "Long Tenured[13-18]")</f>
        <v>New to Role[1-3]</v>
      </c>
      <c r="AO538" s="1">
        <v>2</v>
      </c>
      <c r="AP538" s="9" t="str" cm="1">
        <f t="array" ref="AP538">_xlfn.IFS(AO538 &lt;= 3, "Recently[1-3]", AO538 &lt;= 6, "Due Soon[4-6]", AO538 &lt;= 10, "Overdue[7-10]", AO538 &lt;= 15, "Long Overdue[11-15]")</f>
        <v>Recently[1-3]</v>
      </c>
      <c r="AQ538" s="9" t="str" cm="1">
        <f t="array" ref="AQ538">_xlfn.IFS(AR538 &lt;= 3, "New Relationship[1-3]", AR538 &lt;= 7, "Established Relationship[4-7]", AR538 &lt;= 12, "Long Term Relationship[8-12]", AR538 &lt;= 17, "Very Long Term Relationship[13-17]")</f>
        <v>New Relationship[1-3]</v>
      </c>
      <c r="AR538" s="1">
        <v>2</v>
      </c>
    </row>
    <row r="539" spans="1:44" x14ac:dyDescent="0.25">
      <c r="A539" s="1">
        <v>27</v>
      </c>
      <c r="B539" s="8" t="str" cm="1">
        <f t="array" ref="B539">_xlfn.IFS(A539 &lt;= 25, "[18-25]", A539 &lt;= 35, "[26-35]", A539 &lt;=45, "[36-45]", A539 &lt;= 60, "[46- 60]")</f>
        <v>[26-35]</v>
      </c>
      <c r="C539" s="3" t="s">
        <v>43</v>
      </c>
      <c r="D539">
        <f t="shared" si="8"/>
        <v>0</v>
      </c>
      <c r="E539" t="s">
        <v>44</v>
      </c>
      <c r="F539" s="1">
        <v>294</v>
      </c>
      <c r="G539" s="3" t="s">
        <v>45</v>
      </c>
      <c r="H539" s="1">
        <v>10</v>
      </c>
      <c r="I539" s="9" t="str" cm="1">
        <f t="array" ref="I539">_xlfn.IFS(H539 &lt;= 2, "[1-2] very close", H539 &lt;= 10, "[3-10] close", H539 &lt;= 20, "[11-20] moderate", H539 &lt;= 30, "[21-30] far")</f>
        <v>[3-10] close</v>
      </c>
      <c r="J539" s="1">
        <v>2</v>
      </c>
      <c r="K539" s="3" t="s">
        <v>38</v>
      </c>
      <c r="L539" s="1">
        <v>1</v>
      </c>
      <c r="M539" s="1">
        <v>733</v>
      </c>
      <c r="N539" s="1">
        <v>4</v>
      </c>
      <c r="O539" s="3" t="s">
        <v>46</v>
      </c>
      <c r="P539" s="1">
        <v>32</v>
      </c>
      <c r="Q539" s="1">
        <v>3</v>
      </c>
      <c r="R539" s="1">
        <v>3</v>
      </c>
      <c r="S539" s="3" t="s">
        <v>53</v>
      </c>
      <c r="T539" s="1">
        <v>1</v>
      </c>
      <c r="U539" s="3" t="s">
        <v>52</v>
      </c>
      <c r="V539" s="4">
        <v>8793</v>
      </c>
      <c r="W539" s="1">
        <v>4809</v>
      </c>
      <c r="X539" s="1">
        <v>1</v>
      </c>
      <c r="Y539" s="3" t="s">
        <v>42</v>
      </c>
      <c r="Z539" s="3" t="s">
        <v>43</v>
      </c>
      <c r="AA539" s="5">
        <v>0.21</v>
      </c>
      <c r="AB539" s="10" t="str" cm="1">
        <f t="array" ref="AB539">_xlfn.IFS(AA539 &lt;= 15%, "Low Hike[11-15%]", AA539 &lt;= 20%, "Moderate Hike[16-20%]", AA539 &lt;= 25%,"High Hike[21-25%]")</f>
        <v>High Hike[21-25%]</v>
      </c>
      <c r="AC539" s="1">
        <v>4</v>
      </c>
      <c r="AD539" s="1">
        <v>3</v>
      </c>
      <c r="AE539" s="1">
        <v>80</v>
      </c>
      <c r="AF539" s="1">
        <v>2</v>
      </c>
      <c r="AG539" s="1">
        <v>9</v>
      </c>
      <c r="AH539" s="9" t="str" cm="1">
        <f t="array" ref="AH539">_xlfn.IFS(AG539 &lt;= 5, "New[1-5]", AG539 &lt;= 10, "Early Career[6-10]", AG539 &lt;= 20, "Established[11-20]", AG539 &lt;= 30, "Veteran[21-30]", AG539 &lt;= 40, "Late Career[31-40]")</f>
        <v>Early Career[6-10]</v>
      </c>
      <c r="AI539" s="1">
        <v>4</v>
      </c>
      <c r="AJ539" s="1">
        <v>2</v>
      </c>
      <c r="AK539" s="1">
        <v>9</v>
      </c>
      <c r="AL539" s="9" t="str" cm="1">
        <f t="array" ref="AL539">_xlfn.IFS(AK539 &lt;= 5, "New[1-5]", AK539 &lt;= 10, "Early Career[6-10]", AK539 &lt;= 20, "Established[11-20]", AK539 &lt;= 30, "Veteran[21-30]", AK539 &lt;= 40, "Late Career[31-40]")</f>
        <v>Early Career[6-10]</v>
      </c>
      <c r="AM539" s="1">
        <v>7</v>
      </c>
      <c r="AN539" s="9" t="str" cm="1">
        <f t="array" ref="AN539">_xlfn.IFS(AM539 &lt;= 3, "New to Role[1-3]", AM539 &lt;= 7, "Settled[4-7]", AM539 &lt;= 12, "Experienced[[8-12]", AM539 &lt;= 18, "Long Tenured[13-18]")</f>
        <v>Settled[4-7]</v>
      </c>
      <c r="AO539" s="1">
        <v>1</v>
      </c>
      <c r="AP539" s="9" t="str" cm="1">
        <f t="array" ref="AP539">_xlfn.IFS(AO539 &lt;= 3, "Recently[1-3]", AO539 &lt;= 6, "Due Soon[4-6]", AO539 &lt;= 10, "Overdue[7-10]", AO539 &lt;= 15, "Long Overdue[11-15]")</f>
        <v>Recently[1-3]</v>
      </c>
      <c r="AQ539" s="9" t="str" cm="1">
        <f t="array" ref="AQ539">_xlfn.IFS(AR539 &lt;= 3, "New Relationship[1-3]", AR539 &lt;= 7, "Established Relationship[4-7]", AR539 &lt;= 12, "Long Term Relationship[8-12]", AR539 &lt;= 17, "Very Long Term Relationship[13-17]")</f>
        <v>Established Relationship[4-7]</v>
      </c>
      <c r="AR539" s="1">
        <v>7</v>
      </c>
    </row>
    <row r="540" spans="1:44" x14ac:dyDescent="0.25">
      <c r="A540" s="1">
        <v>41</v>
      </c>
      <c r="B540" s="8" t="str" cm="1">
        <f t="array" ref="B540">_xlfn.IFS(A540 &lt;= 25, "[18-25]", A540 &lt;= 35, "[26-35]", A540 &lt;=45, "[36-45]", A540 &lt;= 60, "[46- 60]")</f>
        <v>[36-45]</v>
      </c>
      <c r="C540" s="3" t="s">
        <v>43</v>
      </c>
      <c r="D540">
        <f t="shared" si="8"/>
        <v>0</v>
      </c>
      <c r="E540" t="s">
        <v>36</v>
      </c>
      <c r="F540" s="1">
        <v>314</v>
      </c>
      <c r="G540" s="3" t="s">
        <v>61</v>
      </c>
      <c r="H540" s="1">
        <v>1</v>
      </c>
      <c r="I540" s="9" t="str" cm="1">
        <f t="array" ref="I540">_xlfn.IFS(H540 &lt;= 2, "[1-2] very close", H540 &lt;= 10, "[3-10] close", H540 &lt;= 20, "[11-20] moderate", H540 &lt;= 30, "[21-30] far")</f>
        <v>[1-2] very close</v>
      </c>
      <c r="J540" s="1">
        <v>3</v>
      </c>
      <c r="K540" s="3" t="s">
        <v>61</v>
      </c>
      <c r="L540" s="1">
        <v>1</v>
      </c>
      <c r="M540" s="1">
        <v>734</v>
      </c>
      <c r="N540" s="1">
        <v>4</v>
      </c>
      <c r="O540" s="3" t="s">
        <v>46</v>
      </c>
      <c r="P540" s="1">
        <v>59</v>
      </c>
      <c r="Q540" s="1">
        <v>2</v>
      </c>
      <c r="R540" s="1">
        <v>5</v>
      </c>
      <c r="S540" s="3" t="s">
        <v>56</v>
      </c>
      <c r="T540" s="1">
        <v>3</v>
      </c>
      <c r="U540" s="3" t="s">
        <v>48</v>
      </c>
      <c r="V540" s="4">
        <v>19189</v>
      </c>
      <c r="W540" s="1">
        <v>19562</v>
      </c>
      <c r="X540" s="1">
        <v>1</v>
      </c>
      <c r="Y540" s="3" t="s">
        <v>42</v>
      </c>
      <c r="Z540" s="3" t="s">
        <v>43</v>
      </c>
      <c r="AA540" s="5">
        <v>0.12</v>
      </c>
      <c r="AB540" s="10" t="str" cm="1">
        <f t="array" ref="AB540">_xlfn.IFS(AA540 &lt;= 15%, "Low Hike[11-15%]", AA540 &lt;= 20%, "Moderate Hike[16-20%]", AA540 &lt;= 25%,"High Hike[21-25%]")</f>
        <v>Low Hike[11-15%]</v>
      </c>
      <c r="AC540" s="1">
        <v>3</v>
      </c>
      <c r="AD540" s="1">
        <v>2</v>
      </c>
      <c r="AE540" s="1">
        <v>80</v>
      </c>
      <c r="AF540" s="1">
        <v>1</v>
      </c>
      <c r="AG540" s="1">
        <v>22</v>
      </c>
      <c r="AH540" s="9" t="str" cm="1">
        <f t="array" ref="AH540">_xlfn.IFS(AG540 &lt;= 5, "New[1-5]", AG540 &lt;= 10, "Early Career[6-10]", AG540 &lt;= 20, "Established[11-20]", AG540 &lt;= 30, "Veteran[21-30]", AG540 &lt;= 40, "Late Career[31-40]")</f>
        <v>Veteran[21-30]</v>
      </c>
      <c r="AI540" s="1">
        <v>3</v>
      </c>
      <c r="AJ540" s="1">
        <v>3</v>
      </c>
      <c r="AK540" s="1">
        <v>22</v>
      </c>
      <c r="AL540" s="9" t="str" cm="1">
        <f t="array" ref="AL540">_xlfn.IFS(AK540 &lt;= 5, "New[1-5]", AK540 &lt;= 10, "Early Career[6-10]", AK540 &lt;= 20, "Established[11-20]", AK540 &lt;= 30, "Veteran[21-30]", AK540 &lt;= 40, "Late Career[31-40]")</f>
        <v>Veteran[21-30]</v>
      </c>
      <c r="AM540" s="1">
        <v>7</v>
      </c>
      <c r="AN540" s="9" t="str" cm="1">
        <f t="array" ref="AN540">_xlfn.IFS(AM540 &lt;= 3, "New to Role[1-3]", AM540 &lt;= 7, "Settled[4-7]", AM540 &lt;= 12, "Experienced[[8-12]", AM540 &lt;= 18, "Long Tenured[13-18]")</f>
        <v>Settled[4-7]</v>
      </c>
      <c r="AO540" s="1">
        <v>2</v>
      </c>
      <c r="AP540" s="9" t="str" cm="1">
        <f t="array" ref="AP540">_xlfn.IFS(AO540 &lt;= 3, "Recently[1-3]", AO540 &lt;= 6, "Due Soon[4-6]", AO540 &lt;= 10, "Overdue[7-10]", AO540 &lt;= 15, "Long Overdue[11-15]")</f>
        <v>Recently[1-3]</v>
      </c>
      <c r="AQ540" s="9" t="str" cm="1">
        <f t="array" ref="AQ540">_xlfn.IFS(AR540 &lt;= 3, "New Relationship[1-3]", AR540 &lt;= 7, "Established Relationship[4-7]", AR540 &lt;= 12, "Long Term Relationship[8-12]", AR540 &lt;= 17, "Very Long Term Relationship[13-17]")</f>
        <v>Long Term Relationship[8-12]</v>
      </c>
      <c r="AR540" s="1">
        <v>10</v>
      </c>
    </row>
    <row r="541" spans="1:44" x14ac:dyDescent="0.25">
      <c r="A541" s="1">
        <v>50</v>
      </c>
      <c r="B541" s="8" t="str" cm="1">
        <f t="array" ref="B541">_xlfn.IFS(A541 &lt;= 25, "[18-25]", A541 &lt;= 35, "[26-35]", A541 &lt;=45, "[36-45]", A541 &lt;= 60, "[46- 60]")</f>
        <v>[46- 60]</v>
      </c>
      <c r="C541" s="3" t="s">
        <v>43</v>
      </c>
      <c r="D541">
        <f t="shared" si="8"/>
        <v>0</v>
      </c>
      <c r="E541" t="s">
        <v>36</v>
      </c>
      <c r="F541" s="1">
        <v>316</v>
      </c>
      <c r="G541" s="3" t="s">
        <v>37</v>
      </c>
      <c r="H541" s="1">
        <v>8</v>
      </c>
      <c r="I541" s="9" t="str" cm="1">
        <f t="array" ref="I541">_xlfn.IFS(H541 &lt;= 2, "[1-2] very close", H541 &lt;= 10, "[3-10] close", H541 &lt;= 20, "[11-20] moderate", H541 &lt;= 30, "[21-30] far")</f>
        <v>[3-10] close</v>
      </c>
      <c r="J541" s="1">
        <v>4</v>
      </c>
      <c r="K541" s="3" t="s">
        <v>59</v>
      </c>
      <c r="L541" s="1">
        <v>1</v>
      </c>
      <c r="M541" s="1">
        <v>738</v>
      </c>
      <c r="N541" s="1">
        <v>4</v>
      </c>
      <c r="O541" s="3" t="s">
        <v>46</v>
      </c>
      <c r="P541" s="1">
        <v>54</v>
      </c>
      <c r="Q541" s="1">
        <v>3</v>
      </c>
      <c r="R541" s="1">
        <v>1</v>
      </c>
      <c r="S541" s="3" t="s">
        <v>57</v>
      </c>
      <c r="T541" s="1">
        <v>2</v>
      </c>
      <c r="U541" s="3" t="s">
        <v>48</v>
      </c>
      <c r="V541" s="4">
        <v>3875</v>
      </c>
      <c r="W541" s="1">
        <v>9983</v>
      </c>
      <c r="X541" s="1">
        <v>7</v>
      </c>
      <c r="Y541" s="3" t="s">
        <v>42</v>
      </c>
      <c r="Z541" s="3" t="s">
        <v>43</v>
      </c>
      <c r="AA541" s="5">
        <v>0.15</v>
      </c>
      <c r="AB541" s="10" t="str" cm="1">
        <f t="array" ref="AB541">_xlfn.IFS(AA541 &lt;= 15%, "Low Hike[11-15%]", AA541 &lt;= 20%, "Moderate Hike[16-20%]", AA541 &lt;= 25%,"High Hike[21-25%]")</f>
        <v>Low Hike[11-15%]</v>
      </c>
      <c r="AC541" s="1">
        <v>3</v>
      </c>
      <c r="AD541" s="1">
        <v>4</v>
      </c>
      <c r="AE541" s="1">
        <v>80</v>
      </c>
      <c r="AF541" s="1">
        <v>1</v>
      </c>
      <c r="AG541" s="1">
        <v>4</v>
      </c>
      <c r="AH541" s="9" t="str" cm="1">
        <f t="array" ref="AH541">_xlfn.IFS(AG541 &lt;= 5, "New[1-5]", AG541 &lt;= 10, "Early Career[6-10]", AG541 &lt;= 20, "Established[11-20]", AG541 &lt;= 30, "Veteran[21-30]", AG541 &lt;= 40, "Late Career[31-40]")</f>
        <v>New[1-5]</v>
      </c>
      <c r="AI541" s="1">
        <v>2</v>
      </c>
      <c r="AJ541" s="1">
        <v>3</v>
      </c>
      <c r="AK541" s="1">
        <v>2</v>
      </c>
      <c r="AL541" s="9" t="str" cm="1">
        <f t="array" ref="AL541">_xlfn.IFS(AK541 &lt;= 5, "New[1-5]", AK541 &lt;= 10, "Early Career[6-10]", AK541 &lt;= 20, "Established[11-20]", AK541 &lt;= 30, "Veteran[21-30]", AK541 &lt;= 40, "Late Career[31-40]")</f>
        <v>New[1-5]</v>
      </c>
      <c r="AM541" s="1">
        <v>2</v>
      </c>
      <c r="AN541" s="9" t="str" cm="1">
        <f t="array" ref="AN541">_xlfn.IFS(AM541 &lt;= 3, "New to Role[1-3]", AM541 &lt;= 7, "Settled[4-7]", AM541 &lt;= 12, "Experienced[[8-12]", AM541 &lt;= 18, "Long Tenured[13-18]")</f>
        <v>New to Role[1-3]</v>
      </c>
      <c r="AO541" s="1">
        <v>2</v>
      </c>
      <c r="AP541" s="9" t="str" cm="1">
        <f t="array" ref="AP541">_xlfn.IFS(AO541 &lt;= 3, "Recently[1-3]", AO541 &lt;= 6, "Due Soon[4-6]", AO541 &lt;= 10, "Overdue[7-10]", AO541 &lt;= 15, "Long Overdue[11-15]")</f>
        <v>Recently[1-3]</v>
      </c>
      <c r="AQ541" s="9" t="str" cm="1">
        <f t="array" ref="AQ541">_xlfn.IFS(AR541 &lt;= 3, "New Relationship[1-3]", AR541 &lt;= 7, "Established Relationship[4-7]", AR541 &lt;= 12, "Long Term Relationship[8-12]", AR541 &lt;= 17, "Very Long Term Relationship[13-17]")</f>
        <v>New Relationship[1-3]</v>
      </c>
      <c r="AR541" s="1">
        <v>2</v>
      </c>
    </row>
    <row r="542" spans="1:44" x14ac:dyDescent="0.25">
      <c r="A542" s="1">
        <v>28</v>
      </c>
      <c r="B542" s="8" t="str" cm="1">
        <f t="array" ref="B542">_xlfn.IFS(A542 &lt;= 25, "[18-25]", A542 &lt;= 35, "[26-35]", A542 &lt;=45, "[36-45]", A542 &lt;= 60, "[46- 60]")</f>
        <v>[26-35]</v>
      </c>
      <c r="C542" s="3" t="s">
        <v>35</v>
      </c>
      <c r="D542">
        <f t="shared" si="8"/>
        <v>1</v>
      </c>
      <c r="E542" t="s">
        <v>36</v>
      </c>
      <c r="F542" s="1">
        <v>654</v>
      </c>
      <c r="G542" s="3" t="s">
        <v>45</v>
      </c>
      <c r="H542" s="1">
        <v>1</v>
      </c>
      <c r="I542" s="9" t="str" cm="1">
        <f t="array" ref="I542">_xlfn.IFS(H542 &lt;= 2, "[1-2] very close", H542 &lt;= 10, "[3-10] close", H542 &lt;= 20, "[11-20] moderate", H542 &lt;= 30, "[21-30] far")</f>
        <v>[1-2] very close</v>
      </c>
      <c r="J542" s="1">
        <v>2</v>
      </c>
      <c r="K542" s="3" t="s">
        <v>38</v>
      </c>
      <c r="L542" s="1">
        <v>1</v>
      </c>
      <c r="M542" s="1">
        <v>741</v>
      </c>
      <c r="N542" s="1">
        <v>1</v>
      </c>
      <c r="O542" s="3" t="s">
        <v>39</v>
      </c>
      <c r="P542" s="1">
        <v>67</v>
      </c>
      <c r="Q542" s="1">
        <v>1</v>
      </c>
      <c r="R542" s="1">
        <v>1</v>
      </c>
      <c r="S542" s="3" t="s">
        <v>47</v>
      </c>
      <c r="T542" s="1">
        <v>2</v>
      </c>
      <c r="U542" s="3" t="s">
        <v>41</v>
      </c>
      <c r="V542" s="4">
        <v>2216</v>
      </c>
      <c r="W542" s="1">
        <v>3872</v>
      </c>
      <c r="X542" s="1">
        <v>7</v>
      </c>
      <c r="Y542" s="3" t="s">
        <v>42</v>
      </c>
      <c r="Z542" s="3" t="s">
        <v>35</v>
      </c>
      <c r="AA542" s="5">
        <v>0.13</v>
      </c>
      <c r="AB542" s="10" t="str" cm="1">
        <f t="array" ref="AB542">_xlfn.IFS(AA542 &lt;= 15%, "Low Hike[11-15%]", AA542 &lt;= 20%, "Moderate Hike[16-20%]", AA542 &lt;= 25%,"High Hike[21-25%]")</f>
        <v>Low Hike[11-15%]</v>
      </c>
      <c r="AC542" s="1">
        <v>3</v>
      </c>
      <c r="AD542" s="1">
        <v>4</v>
      </c>
      <c r="AE542" s="1">
        <v>80</v>
      </c>
      <c r="AF542" s="1">
        <v>0</v>
      </c>
      <c r="AG542" s="1">
        <v>10</v>
      </c>
      <c r="AH542" s="9" t="str" cm="1">
        <f t="array" ref="AH542">_xlfn.IFS(AG542 &lt;= 5, "New[1-5]", AG542 &lt;= 10, "Early Career[6-10]", AG542 &lt;= 20, "Established[11-20]", AG542 &lt;= 30, "Veteran[21-30]", AG542 &lt;= 40, "Late Career[31-40]")</f>
        <v>Early Career[6-10]</v>
      </c>
      <c r="AI542" s="1">
        <v>4</v>
      </c>
      <c r="AJ542" s="1">
        <v>3</v>
      </c>
      <c r="AK542" s="1">
        <v>7</v>
      </c>
      <c r="AL542" s="9" t="str" cm="1">
        <f t="array" ref="AL542">_xlfn.IFS(AK542 &lt;= 5, "New[1-5]", AK542 &lt;= 10, "Early Career[6-10]", AK542 &lt;= 20, "Established[11-20]", AK542 &lt;= 30, "Veteran[21-30]", AK542 &lt;= 40, "Late Career[31-40]")</f>
        <v>Early Career[6-10]</v>
      </c>
      <c r="AM542" s="1">
        <v>7</v>
      </c>
      <c r="AN542" s="9" t="str" cm="1">
        <f t="array" ref="AN542">_xlfn.IFS(AM542 &lt;= 3, "New to Role[1-3]", AM542 &lt;= 7, "Settled[4-7]", AM542 &lt;= 12, "Experienced[[8-12]", AM542 &lt;= 18, "Long Tenured[13-18]")</f>
        <v>Settled[4-7]</v>
      </c>
      <c r="AO542" s="1">
        <v>3</v>
      </c>
      <c r="AP542" s="9" t="str" cm="1">
        <f t="array" ref="AP542">_xlfn.IFS(AO542 &lt;= 3, "Recently[1-3]", AO542 &lt;= 6, "Due Soon[4-6]", AO542 &lt;= 10, "Overdue[7-10]", AO542 &lt;= 15, "Long Overdue[11-15]")</f>
        <v>Recently[1-3]</v>
      </c>
      <c r="AQ542" s="9" t="str" cm="1">
        <f t="array" ref="AQ542">_xlfn.IFS(AR542 &lt;= 3, "New Relationship[1-3]", AR542 &lt;= 7, "Established Relationship[4-7]", AR542 &lt;= 12, "Long Term Relationship[8-12]", AR542 &lt;= 17, "Very Long Term Relationship[13-17]")</f>
        <v>Established Relationship[4-7]</v>
      </c>
      <c r="AR542" s="1">
        <v>7</v>
      </c>
    </row>
    <row r="543" spans="1:44" x14ac:dyDescent="0.25">
      <c r="A543" s="1">
        <v>36</v>
      </c>
      <c r="B543" s="8" t="str" cm="1">
        <f t="array" ref="B543">_xlfn.IFS(A543 &lt;= 25, "[18-25]", A543 &lt;= 35, "[26-35]", A543 &lt;=45, "[36-45]", A543 &lt;= 60, "[46- 60]")</f>
        <v>[36-45]</v>
      </c>
      <c r="C543" s="3" t="s">
        <v>43</v>
      </c>
      <c r="D543">
        <f t="shared" si="8"/>
        <v>0</v>
      </c>
      <c r="E543" t="s">
        <v>62</v>
      </c>
      <c r="F543" s="1">
        <v>427</v>
      </c>
      <c r="G543" s="3" t="s">
        <v>45</v>
      </c>
      <c r="H543" s="1">
        <v>8</v>
      </c>
      <c r="I543" s="9" t="str" cm="1">
        <f t="array" ref="I543">_xlfn.IFS(H543 &lt;= 2, "[1-2] very close", H543 &lt;= 10, "[3-10] close", H543 &lt;= 20, "[11-20] moderate", H543 &lt;= 30, "[21-30] far")</f>
        <v>[3-10] close</v>
      </c>
      <c r="J543" s="1">
        <v>3</v>
      </c>
      <c r="K543" s="3" t="s">
        <v>38</v>
      </c>
      <c r="L543" s="1">
        <v>1</v>
      </c>
      <c r="M543" s="1">
        <v>742</v>
      </c>
      <c r="N543" s="1">
        <v>1</v>
      </c>
      <c r="O543" s="3" t="s">
        <v>39</v>
      </c>
      <c r="P543" s="1">
        <v>63</v>
      </c>
      <c r="Q543" s="1">
        <v>4</v>
      </c>
      <c r="R543" s="1">
        <v>3</v>
      </c>
      <c r="S543" s="3" t="s">
        <v>58</v>
      </c>
      <c r="T543" s="1">
        <v>1</v>
      </c>
      <c r="U543" s="3" t="s">
        <v>48</v>
      </c>
      <c r="V543" s="4">
        <v>11713</v>
      </c>
      <c r="W543" s="1">
        <v>20335</v>
      </c>
      <c r="X543" s="1">
        <v>9</v>
      </c>
      <c r="Y543" s="3" t="s">
        <v>42</v>
      </c>
      <c r="Z543" s="3" t="s">
        <v>43</v>
      </c>
      <c r="AA543" s="5">
        <v>0.14000000000000001</v>
      </c>
      <c r="AB543" s="10" t="str" cm="1">
        <f t="array" ref="AB543">_xlfn.IFS(AA543 &lt;= 15%, "Low Hike[11-15%]", AA543 &lt;= 20%, "Moderate Hike[16-20%]", AA543 &lt;= 25%,"High Hike[21-25%]")</f>
        <v>Low Hike[11-15%]</v>
      </c>
      <c r="AC543" s="1">
        <v>3</v>
      </c>
      <c r="AD543" s="1">
        <v>1</v>
      </c>
      <c r="AE543" s="1">
        <v>80</v>
      </c>
      <c r="AF543" s="1">
        <v>1</v>
      </c>
      <c r="AG543" s="1">
        <v>10</v>
      </c>
      <c r="AH543" s="9" t="str" cm="1">
        <f t="array" ref="AH543">_xlfn.IFS(AG543 &lt;= 5, "New[1-5]", AG543 &lt;= 10, "Early Career[6-10]", AG543 &lt;= 20, "Established[11-20]", AG543 &lt;= 30, "Veteran[21-30]", AG543 &lt;= 40, "Late Career[31-40]")</f>
        <v>Early Career[6-10]</v>
      </c>
      <c r="AI543" s="1">
        <v>2</v>
      </c>
      <c r="AJ543" s="1">
        <v>3</v>
      </c>
      <c r="AK543" s="1">
        <v>8</v>
      </c>
      <c r="AL543" s="9" t="str" cm="1">
        <f t="array" ref="AL543">_xlfn.IFS(AK543 &lt;= 5, "New[1-5]", AK543 &lt;= 10, "Early Career[6-10]", AK543 &lt;= 20, "Established[11-20]", AK543 &lt;= 30, "Veteran[21-30]", AK543 &lt;= 40, "Late Career[31-40]")</f>
        <v>Early Career[6-10]</v>
      </c>
      <c r="AM543" s="1">
        <v>7</v>
      </c>
      <c r="AN543" s="9" t="str" cm="1">
        <f t="array" ref="AN543">_xlfn.IFS(AM543 &lt;= 3, "New to Role[1-3]", AM543 &lt;= 7, "Settled[4-7]", AM543 &lt;= 12, "Experienced[[8-12]", AM543 &lt;= 18, "Long Tenured[13-18]")</f>
        <v>Settled[4-7]</v>
      </c>
      <c r="AO543" s="1">
        <v>0</v>
      </c>
      <c r="AP543" s="9" t="str" cm="1">
        <f t="array" ref="AP543">_xlfn.IFS(AO543 &lt;= 3, "Recently[1-3]", AO543 &lt;= 6, "Due Soon[4-6]", AO543 &lt;= 10, "Overdue[7-10]", AO543 &lt;= 15, "Long Overdue[11-15]")</f>
        <v>Recently[1-3]</v>
      </c>
      <c r="AQ543" s="9" t="str" cm="1">
        <f t="array" ref="AQ543">_xlfn.IFS(AR543 &lt;= 3, "New Relationship[1-3]", AR543 &lt;= 7, "Established Relationship[4-7]", AR543 &lt;= 12, "Long Term Relationship[8-12]", AR543 &lt;= 17, "Very Long Term Relationship[13-17]")</f>
        <v>Established Relationship[4-7]</v>
      </c>
      <c r="AR543" s="1">
        <v>5</v>
      </c>
    </row>
    <row r="544" spans="1:44" x14ac:dyDescent="0.25">
      <c r="A544" s="1">
        <v>38</v>
      </c>
      <c r="B544" s="8" t="str" cm="1">
        <f t="array" ref="B544">_xlfn.IFS(A544 &lt;= 25, "[18-25]", A544 &lt;= 35, "[26-35]", A544 &lt;=45, "[36-45]", A544 &lt;= 60, "[46- 60]")</f>
        <v>[36-45]</v>
      </c>
      <c r="C544" s="3" t="s">
        <v>43</v>
      </c>
      <c r="D544">
        <f t="shared" si="8"/>
        <v>0</v>
      </c>
      <c r="E544" t="s">
        <v>36</v>
      </c>
      <c r="F544" s="1">
        <v>168</v>
      </c>
      <c r="G544" s="3" t="s">
        <v>45</v>
      </c>
      <c r="H544" s="1">
        <v>1</v>
      </c>
      <c r="I544" s="9" t="str" cm="1">
        <f t="array" ref="I544">_xlfn.IFS(H544 &lt;= 2, "[1-2] very close", H544 &lt;= 10, "[3-10] close", H544 &lt;= 20, "[11-20] moderate", H544 &lt;= 30, "[21-30] far")</f>
        <v>[1-2] very close</v>
      </c>
      <c r="J544" s="1">
        <v>3</v>
      </c>
      <c r="K544" s="3" t="s">
        <v>38</v>
      </c>
      <c r="L544" s="1">
        <v>1</v>
      </c>
      <c r="M544" s="1">
        <v>743</v>
      </c>
      <c r="N544" s="1">
        <v>3</v>
      </c>
      <c r="O544" s="3" t="s">
        <v>39</v>
      </c>
      <c r="P544" s="1">
        <v>81</v>
      </c>
      <c r="Q544" s="1">
        <v>3</v>
      </c>
      <c r="R544" s="1">
        <v>3</v>
      </c>
      <c r="S544" s="3" t="s">
        <v>53</v>
      </c>
      <c r="T544" s="1">
        <v>3</v>
      </c>
      <c r="U544" s="3" t="s">
        <v>41</v>
      </c>
      <c r="V544" s="4">
        <v>7861</v>
      </c>
      <c r="W544" s="1">
        <v>15397</v>
      </c>
      <c r="X544" s="1">
        <v>4</v>
      </c>
      <c r="Y544" s="3" t="s">
        <v>42</v>
      </c>
      <c r="Z544" s="3" t="s">
        <v>35</v>
      </c>
      <c r="AA544" s="5">
        <v>0.14000000000000001</v>
      </c>
      <c r="AB544" s="10" t="str" cm="1">
        <f t="array" ref="AB544">_xlfn.IFS(AA544 &lt;= 15%, "Low Hike[11-15%]", AA544 &lt;= 20%, "Moderate Hike[16-20%]", AA544 &lt;= 25%,"High Hike[21-25%]")</f>
        <v>Low Hike[11-15%]</v>
      </c>
      <c r="AC544" s="1">
        <v>3</v>
      </c>
      <c r="AD544" s="1">
        <v>4</v>
      </c>
      <c r="AE544" s="1">
        <v>80</v>
      </c>
      <c r="AF544" s="1">
        <v>0</v>
      </c>
      <c r="AG544" s="1">
        <v>10</v>
      </c>
      <c r="AH544" s="9" t="str" cm="1">
        <f t="array" ref="AH544">_xlfn.IFS(AG544 &lt;= 5, "New[1-5]", AG544 &lt;= 10, "Early Career[6-10]", AG544 &lt;= 20, "Established[11-20]", AG544 &lt;= 30, "Veteran[21-30]", AG544 &lt;= 40, "Late Career[31-40]")</f>
        <v>Early Career[6-10]</v>
      </c>
      <c r="AI544" s="1">
        <v>4</v>
      </c>
      <c r="AJ544" s="1">
        <v>4</v>
      </c>
      <c r="AK544" s="1">
        <v>1</v>
      </c>
      <c r="AL544" s="9" t="str" cm="1">
        <f t="array" ref="AL544">_xlfn.IFS(AK544 &lt;= 5, "New[1-5]", AK544 &lt;= 10, "Early Career[6-10]", AK544 &lt;= 20, "Established[11-20]", AK544 &lt;= 30, "Veteran[21-30]", AK544 &lt;= 40, "Late Career[31-40]")</f>
        <v>New[1-5]</v>
      </c>
      <c r="AM544" s="1">
        <v>0</v>
      </c>
      <c r="AN544" s="9" t="str" cm="1">
        <f t="array" ref="AN544">_xlfn.IFS(AM544 &lt;= 3, "New to Role[1-3]", AM544 &lt;= 7, "Settled[4-7]", AM544 &lt;= 12, "Experienced[[8-12]", AM544 &lt;= 18, "Long Tenured[13-18]")</f>
        <v>New to Role[1-3]</v>
      </c>
      <c r="AO544" s="1">
        <v>0</v>
      </c>
      <c r="AP544" s="9" t="str" cm="1">
        <f t="array" ref="AP544">_xlfn.IFS(AO544 &lt;= 3, "Recently[1-3]", AO544 &lt;= 6, "Due Soon[4-6]", AO544 &lt;= 10, "Overdue[7-10]", AO544 &lt;= 15, "Long Overdue[11-15]")</f>
        <v>Recently[1-3]</v>
      </c>
      <c r="AQ544" s="9" t="str" cm="1">
        <f t="array" ref="AQ544">_xlfn.IFS(AR544 &lt;= 3, "New Relationship[1-3]", AR544 &lt;= 7, "Established Relationship[4-7]", AR544 &lt;= 12, "Long Term Relationship[8-12]", AR544 &lt;= 17, "Very Long Term Relationship[13-17]")</f>
        <v>New Relationship[1-3]</v>
      </c>
      <c r="AR544" s="1">
        <v>0</v>
      </c>
    </row>
    <row r="545" spans="1:44" x14ac:dyDescent="0.25">
      <c r="A545" s="1">
        <v>44</v>
      </c>
      <c r="B545" s="8" t="str" cm="1">
        <f t="array" ref="B545">_xlfn.IFS(A545 &lt;= 25, "[18-25]", A545 &lt;= 35, "[26-35]", A545 &lt;=45, "[36-45]", A545 &lt;= 60, "[46- 60]")</f>
        <v>[36-45]</v>
      </c>
      <c r="C545" s="3" t="s">
        <v>43</v>
      </c>
      <c r="D545">
        <f t="shared" si="8"/>
        <v>0</v>
      </c>
      <c r="E545" t="s">
        <v>62</v>
      </c>
      <c r="F545" s="1">
        <v>381</v>
      </c>
      <c r="G545" s="3" t="s">
        <v>45</v>
      </c>
      <c r="H545" s="1">
        <v>24</v>
      </c>
      <c r="I545" s="9" t="str" cm="1">
        <f t="array" ref="I545">_xlfn.IFS(H545 &lt;= 2, "[1-2] very close", H545 &lt;= 10, "[3-10] close", H545 &lt;= 20, "[11-20] moderate", H545 &lt;= 30, "[21-30] far")</f>
        <v>[21-30] far</v>
      </c>
      <c r="J545" s="1">
        <v>3</v>
      </c>
      <c r="K545" s="3" t="s">
        <v>51</v>
      </c>
      <c r="L545" s="1">
        <v>1</v>
      </c>
      <c r="M545" s="1">
        <v>744</v>
      </c>
      <c r="N545" s="1">
        <v>1</v>
      </c>
      <c r="O545" s="3" t="s">
        <v>46</v>
      </c>
      <c r="P545" s="1">
        <v>49</v>
      </c>
      <c r="Q545" s="1">
        <v>1</v>
      </c>
      <c r="R545" s="1">
        <v>1</v>
      </c>
      <c r="S545" s="3" t="s">
        <v>50</v>
      </c>
      <c r="T545" s="1">
        <v>3</v>
      </c>
      <c r="U545" s="3" t="s">
        <v>41</v>
      </c>
      <c r="V545" s="4">
        <v>3708</v>
      </c>
      <c r="W545" s="1">
        <v>2104</v>
      </c>
      <c r="X545" s="1">
        <v>2</v>
      </c>
      <c r="Y545" s="3" t="s">
        <v>42</v>
      </c>
      <c r="Z545" s="3" t="s">
        <v>43</v>
      </c>
      <c r="AA545" s="5">
        <v>0.14000000000000001</v>
      </c>
      <c r="AB545" s="10" t="str" cm="1">
        <f t="array" ref="AB545">_xlfn.IFS(AA545 &lt;= 15%, "Low Hike[11-15%]", AA545 &lt;= 20%, "Moderate Hike[16-20%]", AA545 &lt;= 25%,"High Hike[21-25%]")</f>
        <v>Low Hike[11-15%]</v>
      </c>
      <c r="AC545" s="1">
        <v>3</v>
      </c>
      <c r="AD545" s="1">
        <v>3</v>
      </c>
      <c r="AE545" s="1">
        <v>80</v>
      </c>
      <c r="AF545" s="1">
        <v>0</v>
      </c>
      <c r="AG545" s="1">
        <v>9</v>
      </c>
      <c r="AH545" s="9" t="str" cm="1">
        <f t="array" ref="AH545">_xlfn.IFS(AG545 &lt;= 5, "New[1-5]", AG545 &lt;= 10, "Early Career[6-10]", AG545 &lt;= 20, "Established[11-20]", AG545 &lt;= 30, "Veteran[21-30]", AG545 &lt;= 40, "Late Career[31-40]")</f>
        <v>Early Career[6-10]</v>
      </c>
      <c r="AI545" s="1">
        <v>5</v>
      </c>
      <c r="AJ545" s="1">
        <v>3</v>
      </c>
      <c r="AK545" s="1">
        <v>5</v>
      </c>
      <c r="AL545" s="9" t="str" cm="1">
        <f t="array" ref="AL545">_xlfn.IFS(AK545 &lt;= 5, "New[1-5]", AK545 &lt;= 10, "Early Career[6-10]", AK545 &lt;= 20, "Established[11-20]", AK545 &lt;= 30, "Veteran[21-30]", AK545 &lt;= 40, "Late Career[31-40]")</f>
        <v>New[1-5]</v>
      </c>
      <c r="AM545" s="1">
        <v>2</v>
      </c>
      <c r="AN545" s="9" t="str" cm="1">
        <f t="array" ref="AN545">_xlfn.IFS(AM545 &lt;= 3, "New to Role[1-3]", AM545 &lt;= 7, "Settled[4-7]", AM545 &lt;= 12, "Experienced[[8-12]", AM545 &lt;= 18, "Long Tenured[13-18]")</f>
        <v>New to Role[1-3]</v>
      </c>
      <c r="AO545" s="1">
        <v>1</v>
      </c>
      <c r="AP545" s="9" t="str" cm="1">
        <f t="array" ref="AP545">_xlfn.IFS(AO545 &lt;= 3, "Recently[1-3]", AO545 &lt;= 6, "Due Soon[4-6]", AO545 &lt;= 10, "Overdue[7-10]", AO545 &lt;= 15, "Long Overdue[11-15]")</f>
        <v>Recently[1-3]</v>
      </c>
      <c r="AQ545" s="9" t="str" cm="1">
        <f t="array" ref="AQ545">_xlfn.IFS(AR545 &lt;= 3, "New Relationship[1-3]", AR545 &lt;= 7, "Established Relationship[4-7]", AR545 &lt;= 12, "Long Term Relationship[8-12]", AR545 &lt;= 17, "Very Long Term Relationship[13-17]")</f>
        <v>Established Relationship[4-7]</v>
      </c>
      <c r="AR545" s="1">
        <v>4</v>
      </c>
    </row>
    <row r="546" spans="1:44" x14ac:dyDescent="0.25">
      <c r="A546" s="1">
        <v>47</v>
      </c>
      <c r="B546" s="8" t="str" cm="1">
        <f t="array" ref="B546">_xlfn.IFS(A546 &lt;= 25, "[18-25]", A546 &lt;= 35, "[26-35]", A546 &lt;=45, "[36-45]", A546 &lt;= 60, "[46- 60]")</f>
        <v>[46- 60]</v>
      </c>
      <c r="C546" s="3" t="s">
        <v>43</v>
      </c>
      <c r="D546">
        <f t="shared" si="8"/>
        <v>0</v>
      </c>
      <c r="E546" t="s">
        <v>44</v>
      </c>
      <c r="F546" s="1">
        <v>217</v>
      </c>
      <c r="G546" s="3" t="s">
        <v>37</v>
      </c>
      <c r="H546" s="1">
        <v>3</v>
      </c>
      <c r="I546" s="9" t="str" cm="1">
        <f t="array" ref="I546">_xlfn.IFS(H546 &lt;= 2, "[1-2] very close", H546 &lt;= 10, "[3-10] close", H546 &lt;= 20, "[11-20] moderate", H546 &lt;= 30, "[21-30] far")</f>
        <v>[3-10] close</v>
      </c>
      <c r="J546" s="1">
        <v>3</v>
      </c>
      <c r="K546" s="3" t="s">
        <v>51</v>
      </c>
      <c r="L546" s="1">
        <v>1</v>
      </c>
      <c r="M546" s="1">
        <v>746</v>
      </c>
      <c r="N546" s="1">
        <v>4</v>
      </c>
      <c r="O546" s="3" t="s">
        <v>39</v>
      </c>
      <c r="P546" s="1">
        <v>49</v>
      </c>
      <c r="Q546" s="1">
        <v>3</v>
      </c>
      <c r="R546" s="1">
        <v>4</v>
      </c>
      <c r="S546" s="3" t="s">
        <v>40</v>
      </c>
      <c r="T546" s="1">
        <v>3</v>
      </c>
      <c r="U546" s="3" t="s">
        <v>52</v>
      </c>
      <c r="V546" s="4">
        <v>13770</v>
      </c>
      <c r="W546" s="1">
        <v>10225</v>
      </c>
      <c r="X546" s="1">
        <v>9</v>
      </c>
      <c r="Y546" s="3" t="s">
        <v>42</v>
      </c>
      <c r="Z546" s="3" t="s">
        <v>35</v>
      </c>
      <c r="AA546" s="5">
        <v>0.12</v>
      </c>
      <c r="AB546" s="10" t="str" cm="1">
        <f t="array" ref="AB546">_xlfn.IFS(AA546 &lt;= 15%, "Low Hike[11-15%]", AA546 &lt;= 20%, "Moderate Hike[16-20%]", AA546 &lt;= 25%,"High Hike[21-25%]")</f>
        <v>Low Hike[11-15%]</v>
      </c>
      <c r="AC546" s="1">
        <v>3</v>
      </c>
      <c r="AD546" s="1">
        <v>4</v>
      </c>
      <c r="AE546" s="1">
        <v>80</v>
      </c>
      <c r="AF546" s="1">
        <v>2</v>
      </c>
      <c r="AG546" s="1">
        <v>28</v>
      </c>
      <c r="AH546" s="9" t="str" cm="1">
        <f t="array" ref="AH546">_xlfn.IFS(AG546 &lt;= 5, "New[1-5]", AG546 &lt;= 10, "Early Career[6-10]", AG546 &lt;= 20, "Established[11-20]", AG546 &lt;= 30, "Veteran[21-30]", AG546 &lt;= 40, "Late Career[31-40]")</f>
        <v>Veteran[21-30]</v>
      </c>
      <c r="AI546" s="1">
        <v>2</v>
      </c>
      <c r="AJ546" s="1">
        <v>2</v>
      </c>
      <c r="AK546" s="1">
        <v>22</v>
      </c>
      <c r="AL546" s="9" t="str" cm="1">
        <f t="array" ref="AL546">_xlfn.IFS(AK546 &lt;= 5, "New[1-5]", AK546 &lt;= 10, "Early Career[6-10]", AK546 &lt;= 20, "Established[11-20]", AK546 &lt;= 30, "Veteran[21-30]", AK546 &lt;= 40, "Late Career[31-40]")</f>
        <v>Veteran[21-30]</v>
      </c>
      <c r="AM546" s="1">
        <v>2</v>
      </c>
      <c r="AN546" s="9" t="str" cm="1">
        <f t="array" ref="AN546">_xlfn.IFS(AM546 &lt;= 3, "New to Role[1-3]", AM546 &lt;= 7, "Settled[4-7]", AM546 &lt;= 12, "Experienced[[8-12]", AM546 &lt;= 18, "Long Tenured[13-18]")</f>
        <v>New to Role[1-3]</v>
      </c>
      <c r="AO546" s="1">
        <v>11</v>
      </c>
      <c r="AP546" s="9" t="str" cm="1">
        <f t="array" ref="AP546">_xlfn.IFS(AO546 &lt;= 3, "Recently[1-3]", AO546 &lt;= 6, "Due Soon[4-6]", AO546 &lt;= 10, "Overdue[7-10]", AO546 &lt;= 15, "Long Overdue[11-15]")</f>
        <v>Long Overdue[11-15]</v>
      </c>
      <c r="AQ546" s="9" t="str" cm="1">
        <f t="array" ref="AQ546">_xlfn.IFS(AR546 &lt;= 3, "New Relationship[1-3]", AR546 &lt;= 7, "Established Relationship[4-7]", AR546 &lt;= 12, "Long Term Relationship[8-12]", AR546 &lt;= 17, "Very Long Term Relationship[13-17]")</f>
        <v>Very Long Term Relationship[13-17]</v>
      </c>
      <c r="AR546" s="1">
        <v>13</v>
      </c>
    </row>
    <row r="547" spans="1:44" x14ac:dyDescent="0.25">
      <c r="A547" s="1">
        <v>30</v>
      </c>
      <c r="B547" s="8" t="str" cm="1">
        <f t="array" ref="B547">_xlfn.IFS(A547 &lt;= 25, "[18-25]", A547 &lt;= 35, "[26-35]", A547 &lt;=45, "[36-45]", A547 &lt;= 60, "[46- 60]")</f>
        <v>[26-35]</v>
      </c>
      <c r="C547" s="3" t="s">
        <v>43</v>
      </c>
      <c r="D547">
        <f t="shared" si="8"/>
        <v>0</v>
      </c>
      <c r="E547" t="s">
        <v>36</v>
      </c>
      <c r="F547" s="1">
        <v>501</v>
      </c>
      <c r="G547" s="3" t="s">
        <v>37</v>
      </c>
      <c r="H547" s="1">
        <v>27</v>
      </c>
      <c r="I547" s="9" t="str" cm="1">
        <f t="array" ref="I547">_xlfn.IFS(H547 &lt;= 2, "[1-2] very close", H547 &lt;= 10, "[3-10] close", H547 &lt;= 20, "[11-20] moderate", H547 &lt;= 30, "[21-30] far")</f>
        <v>[21-30] far</v>
      </c>
      <c r="J547" s="1">
        <v>5</v>
      </c>
      <c r="K547" s="3" t="s">
        <v>59</v>
      </c>
      <c r="L547" s="1">
        <v>1</v>
      </c>
      <c r="M547" s="1">
        <v>747</v>
      </c>
      <c r="N547" s="1">
        <v>3</v>
      </c>
      <c r="O547" s="3" t="s">
        <v>46</v>
      </c>
      <c r="P547" s="1">
        <v>99</v>
      </c>
      <c r="Q547" s="1">
        <v>3</v>
      </c>
      <c r="R547" s="1">
        <v>2</v>
      </c>
      <c r="S547" s="3" t="s">
        <v>40</v>
      </c>
      <c r="T547" s="1">
        <v>4</v>
      </c>
      <c r="U547" s="3" t="s">
        <v>52</v>
      </c>
      <c r="V547" s="4">
        <v>5304</v>
      </c>
      <c r="W547" s="1">
        <v>25275</v>
      </c>
      <c r="X547" s="1">
        <v>7</v>
      </c>
      <c r="Y547" s="3" t="s">
        <v>42</v>
      </c>
      <c r="Z547" s="3" t="s">
        <v>43</v>
      </c>
      <c r="AA547" s="5">
        <v>0.23</v>
      </c>
      <c r="AB547" s="10" t="str" cm="1">
        <f t="array" ref="AB547">_xlfn.IFS(AA547 &lt;= 15%, "Low Hike[11-15%]", AA547 &lt;= 20%, "Moderate Hike[16-20%]", AA547 &lt;= 25%,"High Hike[21-25%]")</f>
        <v>High Hike[21-25%]</v>
      </c>
      <c r="AC547" s="1">
        <v>4</v>
      </c>
      <c r="AD547" s="1">
        <v>4</v>
      </c>
      <c r="AE547" s="1">
        <v>80</v>
      </c>
      <c r="AF547" s="1">
        <v>1</v>
      </c>
      <c r="AG547" s="1">
        <v>10</v>
      </c>
      <c r="AH547" s="9" t="str" cm="1">
        <f t="array" ref="AH547">_xlfn.IFS(AG547 &lt;= 5, "New[1-5]", AG547 &lt;= 10, "Early Career[6-10]", AG547 &lt;= 20, "Established[11-20]", AG547 &lt;= 30, "Veteran[21-30]", AG547 &lt;= 40, "Late Career[31-40]")</f>
        <v>Early Career[6-10]</v>
      </c>
      <c r="AI547" s="1">
        <v>2</v>
      </c>
      <c r="AJ547" s="1">
        <v>2</v>
      </c>
      <c r="AK547" s="1">
        <v>8</v>
      </c>
      <c r="AL547" s="9" t="str" cm="1">
        <f t="array" ref="AL547">_xlfn.IFS(AK547 &lt;= 5, "New[1-5]", AK547 &lt;= 10, "Early Career[6-10]", AK547 &lt;= 20, "Established[11-20]", AK547 &lt;= 30, "Veteran[21-30]", AK547 &lt;= 40, "Late Career[31-40]")</f>
        <v>Early Career[6-10]</v>
      </c>
      <c r="AM547" s="1">
        <v>7</v>
      </c>
      <c r="AN547" s="9" t="str" cm="1">
        <f t="array" ref="AN547">_xlfn.IFS(AM547 &lt;= 3, "New to Role[1-3]", AM547 &lt;= 7, "Settled[4-7]", AM547 &lt;= 12, "Experienced[[8-12]", AM547 &lt;= 18, "Long Tenured[13-18]")</f>
        <v>Settled[4-7]</v>
      </c>
      <c r="AO547" s="1">
        <v>7</v>
      </c>
      <c r="AP547" s="9" t="str" cm="1">
        <f t="array" ref="AP547">_xlfn.IFS(AO547 &lt;= 3, "Recently[1-3]", AO547 &lt;= 6, "Due Soon[4-6]", AO547 &lt;= 10, "Overdue[7-10]", AO547 &lt;= 15, "Long Overdue[11-15]")</f>
        <v>Overdue[7-10]</v>
      </c>
      <c r="AQ547" s="9" t="str" cm="1">
        <f t="array" ref="AQ547">_xlfn.IFS(AR547 &lt;= 3, "New Relationship[1-3]", AR547 &lt;= 7, "Established Relationship[4-7]", AR547 &lt;= 12, "Long Term Relationship[8-12]", AR547 &lt;= 17, "Very Long Term Relationship[13-17]")</f>
        <v>Established Relationship[4-7]</v>
      </c>
      <c r="AR547" s="1">
        <v>7</v>
      </c>
    </row>
    <row r="548" spans="1:44" x14ac:dyDescent="0.25">
      <c r="A548" s="1">
        <v>29</v>
      </c>
      <c r="B548" s="8" t="str" cm="1">
        <f t="array" ref="B548">_xlfn.IFS(A548 &lt;= 25, "[18-25]", A548 &lt;= 35, "[26-35]", A548 &lt;=45, "[36-45]", A548 &lt;= 60, "[46- 60]")</f>
        <v>[26-35]</v>
      </c>
      <c r="C548" s="3" t="s">
        <v>43</v>
      </c>
      <c r="D548">
        <f t="shared" si="8"/>
        <v>0</v>
      </c>
      <c r="E548" t="s">
        <v>36</v>
      </c>
      <c r="F548" s="1">
        <v>1396</v>
      </c>
      <c r="G548" s="3" t="s">
        <v>37</v>
      </c>
      <c r="H548" s="1">
        <v>10</v>
      </c>
      <c r="I548" s="9" t="str" cm="1">
        <f t="array" ref="I548">_xlfn.IFS(H548 &lt;= 2, "[1-2] very close", H548 &lt;= 10, "[3-10] close", H548 &lt;= 20, "[11-20] moderate", H548 &lt;= 30, "[21-30] far")</f>
        <v>[3-10] close</v>
      </c>
      <c r="J548" s="1">
        <v>3</v>
      </c>
      <c r="K548" s="3" t="s">
        <v>38</v>
      </c>
      <c r="L548" s="1">
        <v>1</v>
      </c>
      <c r="M548" s="1">
        <v>749</v>
      </c>
      <c r="N548" s="1">
        <v>3</v>
      </c>
      <c r="O548" s="3" t="s">
        <v>46</v>
      </c>
      <c r="P548" s="1">
        <v>99</v>
      </c>
      <c r="Q548" s="1">
        <v>3</v>
      </c>
      <c r="R548" s="1">
        <v>1</v>
      </c>
      <c r="S548" s="3" t="s">
        <v>57</v>
      </c>
      <c r="T548" s="1">
        <v>3</v>
      </c>
      <c r="U548" s="3" t="s">
        <v>41</v>
      </c>
      <c r="V548" s="4">
        <v>2642</v>
      </c>
      <c r="W548" s="1">
        <v>2755</v>
      </c>
      <c r="X548" s="1">
        <v>1</v>
      </c>
      <c r="Y548" s="3" t="s">
        <v>42</v>
      </c>
      <c r="Z548" s="3" t="s">
        <v>43</v>
      </c>
      <c r="AA548" s="5">
        <v>0.11</v>
      </c>
      <c r="AB548" s="10" t="str" cm="1">
        <f t="array" ref="AB548">_xlfn.IFS(AA548 &lt;= 15%, "Low Hike[11-15%]", AA548 &lt;= 20%, "Moderate Hike[16-20%]", AA548 &lt;= 25%,"High Hike[21-25%]")</f>
        <v>Low Hike[11-15%]</v>
      </c>
      <c r="AC548" s="1">
        <v>3</v>
      </c>
      <c r="AD548" s="1">
        <v>3</v>
      </c>
      <c r="AE548" s="1">
        <v>80</v>
      </c>
      <c r="AF548" s="1">
        <v>0</v>
      </c>
      <c r="AG548" s="1">
        <v>1</v>
      </c>
      <c r="AH548" s="9" t="str" cm="1">
        <f t="array" ref="AH548">_xlfn.IFS(AG548 &lt;= 5, "New[1-5]", AG548 &lt;= 10, "Early Career[6-10]", AG548 &lt;= 20, "Established[11-20]", AG548 &lt;= 30, "Veteran[21-30]", AG548 &lt;= 40, "Late Career[31-40]")</f>
        <v>New[1-5]</v>
      </c>
      <c r="AI548" s="1">
        <v>6</v>
      </c>
      <c r="AJ548" s="1">
        <v>3</v>
      </c>
      <c r="AK548" s="1">
        <v>1</v>
      </c>
      <c r="AL548" s="9" t="str" cm="1">
        <f t="array" ref="AL548">_xlfn.IFS(AK548 &lt;= 5, "New[1-5]", AK548 &lt;= 10, "Early Career[6-10]", AK548 &lt;= 20, "Established[11-20]", AK548 &lt;= 30, "Veteran[21-30]", AK548 &lt;= 40, "Late Career[31-40]")</f>
        <v>New[1-5]</v>
      </c>
      <c r="AM548" s="1">
        <v>0</v>
      </c>
      <c r="AN548" s="9" t="str" cm="1">
        <f t="array" ref="AN548">_xlfn.IFS(AM548 &lt;= 3, "New to Role[1-3]", AM548 &lt;= 7, "Settled[4-7]", AM548 &lt;= 12, "Experienced[[8-12]", AM548 &lt;= 18, "Long Tenured[13-18]")</f>
        <v>New to Role[1-3]</v>
      </c>
      <c r="AO548" s="1">
        <v>0</v>
      </c>
      <c r="AP548" s="9" t="str" cm="1">
        <f t="array" ref="AP548">_xlfn.IFS(AO548 &lt;= 3, "Recently[1-3]", AO548 &lt;= 6, "Due Soon[4-6]", AO548 &lt;= 10, "Overdue[7-10]", AO548 &lt;= 15, "Long Overdue[11-15]")</f>
        <v>Recently[1-3]</v>
      </c>
      <c r="AQ548" s="9" t="str" cm="1">
        <f t="array" ref="AQ548">_xlfn.IFS(AR548 &lt;= 3, "New Relationship[1-3]", AR548 &lt;= 7, "Established Relationship[4-7]", AR548 &lt;= 12, "Long Term Relationship[8-12]", AR548 &lt;= 17, "Very Long Term Relationship[13-17]")</f>
        <v>New Relationship[1-3]</v>
      </c>
      <c r="AR548" s="1">
        <v>0</v>
      </c>
    </row>
    <row r="549" spans="1:44" x14ac:dyDescent="0.25">
      <c r="A549" s="1">
        <v>42</v>
      </c>
      <c r="B549" s="8" t="str" cm="1">
        <f t="array" ref="B549">_xlfn.IFS(A549 &lt;= 25, "[18-25]", A549 &lt;= 35, "[26-35]", A549 &lt;=45, "[36-45]", A549 &lt;= 60, "[46- 60]")</f>
        <v>[36-45]</v>
      </c>
      <c r="C549" s="3" t="s">
        <v>35</v>
      </c>
      <c r="D549">
        <f t="shared" si="8"/>
        <v>1</v>
      </c>
      <c r="E549" t="s">
        <v>44</v>
      </c>
      <c r="F549" s="1">
        <v>933</v>
      </c>
      <c r="G549" s="3" t="s">
        <v>45</v>
      </c>
      <c r="H549" s="1">
        <v>19</v>
      </c>
      <c r="I549" s="9" t="str" cm="1">
        <f t="array" ref="I549">_xlfn.IFS(H549 &lt;= 2, "[1-2] very close", H549 &lt;= 10, "[3-10] close", H549 &lt;= 20, "[11-20] moderate", H549 &lt;= 30, "[21-30] far")</f>
        <v>[11-20] moderate</v>
      </c>
      <c r="J549" s="1">
        <v>3</v>
      </c>
      <c r="K549" s="3" t="s">
        <v>51</v>
      </c>
      <c r="L549" s="1">
        <v>1</v>
      </c>
      <c r="M549" s="1">
        <v>752</v>
      </c>
      <c r="N549" s="1">
        <v>3</v>
      </c>
      <c r="O549" s="3" t="s">
        <v>46</v>
      </c>
      <c r="P549" s="1">
        <v>57</v>
      </c>
      <c r="Q549" s="1">
        <v>4</v>
      </c>
      <c r="R549" s="1">
        <v>1</v>
      </c>
      <c r="S549" s="3" t="s">
        <v>47</v>
      </c>
      <c r="T549" s="1">
        <v>3</v>
      </c>
      <c r="U549" s="3" t="s">
        <v>52</v>
      </c>
      <c r="V549" s="4">
        <v>2759</v>
      </c>
      <c r="W549" s="1">
        <v>20366</v>
      </c>
      <c r="X549" s="1">
        <v>6</v>
      </c>
      <c r="Y549" s="3" t="s">
        <v>42</v>
      </c>
      <c r="Z549" s="3" t="s">
        <v>35</v>
      </c>
      <c r="AA549" s="5">
        <v>0.12</v>
      </c>
      <c r="AB549" s="10" t="str" cm="1">
        <f t="array" ref="AB549">_xlfn.IFS(AA549 &lt;= 15%, "Low Hike[11-15%]", AA549 &lt;= 20%, "Moderate Hike[16-20%]", AA549 &lt;= 25%,"High Hike[21-25%]")</f>
        <v>Low Hike[11-15%]</v>
      </c>
      <c r="AC549" s="1">
        <v>3</v>
      </c>
      <c r="AD549" s="1">
        <v>4</v>
      </c>
      <c r="AE549" s="1">
        <v>80</v>
      </c>
      <c r="AF549" s="1">
        <v>0</v>
      </c>
      <c r="AG549" s="1">
        <v>7</v>
      </c>
      <c r="AH549" s="9" t="str" cm="1">
        <f t="array" ref="AH549">_xlfn.IFS(AG549 &lt;= 5, "New[1-5]", AG549 &lt;= 10, "Early Career[6-10]", AG549 &lt;= 20, "Established[11-20]", AG549 &lt;= 30, "Veteran[21-30]", AG549 &lt;= 40, "Late Career[31-40]")</f>
        <v>Early Career[6-10]</v>
      </c>
      <c r="AI549" s="1">
        <v>2</v>
      </c>
      <c r="AJ549" s="1">
        <v>3</v>
      </c>
      <c r="AK549" s="1">
        <v>2</v>
      </c>
      <c r="AL549" s="9" t="str" cm="1">
        <f t="array" ref="AL549">_xlfn.IFS(AK549 &lt;= 5, "New[1-5]", AK549 &lt;= 10, "Early Career[6-10]", AK549 &lt;= 20, "Established[11-20]", AK549 &lt;= 30, "Veteran[21-30]", AK549 &lt;= 40, "Late Career[31-40]")</f>
        <v>New[1-5]</v>
      </c>
      <c r="AM549" s="1">
        <v>2</v>
      </c>
      <c r="AN549" s="9" t="str" cm="1">
        <f t="array" ref="AN549">_xlfn.IFS(AM549 &lt;= 3, "New to Role[1-3]", AM549 &lt;= 7, "Settled[4-7]", AM549 &lt;= 12, "Experienced[[8-12]", AM549 &lt;= 18, "Long Tenured[13-18]")</f>
        <v>New to Role[1-3]</v>
      </c>
      <c r="AO549" s="1">
        <v>2</v>
      </c>
      <c r="AP549" s="9" t="str" cm="1">
        <f t="array" ref="AP549">_xlfn.IFS(AO549 &lt;= 3, "Recently[1-3]", AO549 &lt;= 6, "Due Soon[4-6]", AO549 &lt;= 10, "Overdue[7-10]", AO549 &lt;= 15, "Long Overdue[11-15]")</f>
        <v>Recently[1-3]</v>
      </c>
      <c r="AQ549" s="9" t="str" cm="1">
        <f t="array" ref="AQ549">_xlfn.IFS(AR549 &lt;= 3, "New Relationship[1-3]", AR549 &lt;= 7, "Established Relationship[4-7]", AR549 &lt;= 12, "Long Term Relationship[8-12]", AR549 &lt;= 17, "Very Long Term Relationship[13-17]")</f>
        <v>New Relationship[1-3]</v>
      </c>
      <c r="AR549" s="1">
        <v>2</v>
      </c>
    </row>
    <row r="550" spans="1:44" x14ac:dyDescent="0.25">
      <c r="A550" s="1">
        <v>43</v>
      </c>
      <c r="B550" s="8" t="str" cm="1">
        <f t="array" ref="B550">_xlfn.IFS(A550 &lt;= 25, "[18-25]", A550 &lt;= 35, "[26-35]", A550 &lt;=45, "[36-45]", A550 &lt;= 60, "[46- 60]")</f>
        <v>[36-45]</v>
      </c>
      <c r="C550" s="3" t="s">
        <v>43</v>
      </c>
      <c r="D550">
        <f t="shared" si="8"/>
        <v>0</v>
      </c>
      <c r="E550" t="s">
        <v>44</v>
      </c>
      <c r="F550" s="1">
        <v>775</v>
      </c>
      <c r="G550" s="3" t="s">
        <v>37</v>
      </c>
      <c r="H550" s="1">
        <v>15</v>
      </c>
      <c r="I550" s="9" t="str" cm="1">
        <f t="array" ref="I550">_xlfn.IFS(H550 &lt;= 2, "[1-2] very close", H550 &lt;= 10, "[3-10] close", H550 &lt;= 20, "[11-20] moderate", H550 &lt;= 30, "[21-30] far")</f>
        <v>[11-20] moderate</v>
      </c>
      <c r="J550" s="1">
        <v>3</v>
      </c>
      <c r="K550" s="3" t="s">
        <v>38</v>
      </c>
      <c r="L550" s="1">
        <v>1</v>
      </c>
      <c r="M550" s="1">
        <v>754</v>
      </c>
      <c r="N550" s="1">
        <v>4</v>
      </c>
      <c r="O550" s="3" t="s">
        <v>46</v>
      </c>
      <c r="P550" s="1">
        <v>47</v>
      </c>
      <c r="Q550" s="1">
        <v>2</v>
      </c>
      <c r="R550" s="1">
        <v>2</v>
      </c>
      <c r="S550" s="3" t="s">
        <v>40</v>
      </c>
      <c r="T550" s="1">
        <v>4</v>
      </c>
      <c r="U550" s="3" t="s">
        <v>48</v>
      </c>
      <c r="V550" s="4">
        <v>6804</v>
      </c>
      <c r="W550" s="1">
        <v>23683</v>
      </c>
      <c r="X550" s="1">
        <v>3</v>
      </c>
      <c r="Y550" s="3" t="s">
        <v>42</v>
      </c>
      <c r="Z550" s="3" t="s">
        <v>43</v>
      </c>
      <c r="AA550" s="5">
        <v>0.18</v>
      </c>
      <c r="AB550" s="10" t="str" cm="1">
        <f t="array" ref="AB550">_xlfn.IFS(AA550 &lt;= 15%, "Low Hike[11-15%]", AA550 &lt;= 20%, "Moderate Hike[16-20%]", AA550 &lt;= 25%,"High Hike[21-25%]")</f>
        <v>Moderate Hike[16-20%]</v>
      </c>
      <c r="AC550" s="1">
        <v>3</v>
      </c>
      <c r="AD550" s="1">
        <v>3</v>
      </c>
      <c r="AE550" s="1">
        <v>80</v>
      </c>
      <c r="AF550" s="1">
        <v>1</v>
      </c>
      <c r="AG550" s="1">
        <v>7</v>
      </c>
      <c r="AH550" s="9" t="str" cm="1">
        <f t="array" ref="AH550">_xlfn.IFS(AG550 &lt;= 5, "New[1-5]", AG550 &lt;= 10, "Early Career[6-10]", AG550 &lt;= 20, "Established[11-20]", AG550 &lt;= 30, "Veteran[21-30]", AG550 &lt;= 40, "Late Career[31-40]")</f>
        <v>Early Career[6-10]</v>
      </c>
      <c r="AI550" s="1">
        <v>5</v>
      </c>
      <c r="AJ550" s="1">
        <v>3</v>
      </c>
      <c r="AK550" s="1">
        <v>2</v>
      </c>
      <c r="AL550" s="9" t="str" cm="1">
        <f t="array" ref="AL550">_xlfn.IFS(AK550 &lt;= 5, "New[1-5]", AK550 &lt;= 10, "Early Career[6-10]", AK550 &lt;= 20, "Established[11-20]", AK550 &lt;= 30, "Veteran[21-30]", AK550 &lt;= 40, "Late Career[31-40]")</f>
        <v>New[1-5]</v>
      </c>
      <c r="AM550" s="1">
        <v>2</v>
      </c>
      <c r="AN550" s="9" t="str" cm="1">
        <f t="array" ref="AN550">_xlfn.IFS(AM550 &lt;= 3, "New to Role[1-3]", AM550 &lt;= 7, "Settled[4-7]", AM550 &lt;= 12, "Experienced[[8-12]", AM550 &lt;= 18, "Long Tenured[13-18]")</f>
        <v>New to Role[1-3]</v>
      </c>
      <c r="AO550" s="1">
        <v>2</v>
      </c>
      <c r="AP550" s="9" t="str" cm="1">
        <f t="array" ref="AP550">_xlfn.IFS(AO550 &lt;= 3, "Recently[1-3]", AO550 &lt;= 6, "Due Soon[4-6]", AO550 &lt;= 10, "Overdue[7-10]", AO550 &lt;= 15, "Long Overdue[11-15]")</f>
        <v>Recently[1-3]</v>
      </c>
      <c r="AQ550" s="9" t="str" cm="1">
        <f t="array" ref="AQ550">_xlfn.IFS(AR550 &lt;= 3, "New Relationship[1-3]", AR550 &lt;= 7, "Established Relationship[4-7]", AR550 &lt;= 12, "Long Term Relationship[8-12]", AR550 &lt;= 17, "Very Long Term Relationship[13-17]")</f>
        <v>New Relationship[1-3]</v>
      </c>
      <c r="AR550" s="1">
        <v>2</v>
      </c>
    </row>
    <row r="551" spans="1:44" x14ac:dyDescent="0.25">
      <c r="A551" s="1">
        <v>34</v>
      </c>
      <c r="B551" s="8" t="str" cm="1">
        <f t="array" ref="B551">_xlfn.IFS(A551 &lt;= 25, "[18-25]", A551 &lt;= 35, "[26-35]", A551 &lt;=45, "[36-45]", A551 &lt;= 60, "[46- 60]")</f>
        <v>[26-35]</v>
      </c>
      <c r="C551" s="3" t="s">
        <v>43</v>
      </c>
      <c r="D551">
        <f t="shared" si="8"/>
        <v>0</v>
      </c>
      <c r="E551" t="s">
        <v>36</v>
      </c>
      <c r="F551" s="1">
        <v>970</v>
      </c>
      <c r="G551" s="3" t="s">
        <v>45</v>
      </c>
      <c r="H551" s="1">
        <v>8</v>
      </c>
      <c r="I551" s="9" t="str" cm="1">
        <f t="array" ref="I551">_xlfn.IFS(H551 &lt;= 2, "[1-2] very close", H551 &lt;= 10, "[3-10] close", H551 &lt;= 20, "[11-20] moderate", H551 &lt;= 30, "[21-30] far")</f>
        <v>[3-10] close</v>
      </c>
      <c r="J551" s="1">
        <v>2</v>
      </c>
      <c r="K551" s="3" t="s">
        <v>51</v>
      </c>
      <c r="L551" s="1">
        <v>1</v>
      </c>
      <c r="M551" s="1">
        <v>757</v>
      </c>
      <c r="N551" s="1">
        <v>2</v>
      </c>
      <c r="O551" s="3" t="s">
        <v>39</v>
      </c>
      <c r="P551" s="1">
        <v>96</v>
      </c>
      <c r="Q551" s="1">
        <v>3</v>
      </c>
      <c r="R551" s="1">
        <v>2</v>
      </c>
      <c r="S551" s="3" t="s">
        <v>54</v>
      </c>
      <c r="T551" s="1">
        <v>3</v>
      </c>
      <c r="U551" s="3" t="s">
        <v>41</v>
      </c>
      <c r="V551" s="4">
        <v>6142</v>
      </c>
      <c r="W551" s="1">
        <v>7360</v>
      </c>
      <c r="X551" s="1">
        <v>3</v>
      </c>
      <c r="Y551" s="3" t="s">
        <v>42</v>
      </c>
      <c r="Z551" s="3" t="s">
        <v>43</v>
      </c>
      <c r="AA551" s="5">
        <v>0.11</v>
      </c>
      <c r="AB551" s="10" t="str" cm="1">
        <f t="array" ref="AB551">_xlfn.IFS(AA551 &lt;= 15%, "Low Hike[11-15%]", AA551 &lt;= 20%, "Moderate Hike[16-20%]", AA551 &lt;= 25%,"High Hike[21-25%]")</f>
        <v>Low Hike[11-15%]</v>
      </c>
      <c r="AC551" s="1">
        <v>3</v>
      </c>
      <c r="AD551" s="1">
        <v>4</v>
      </c>
      <c r="AE551" s="1">
        <v>80</v>
      </c>
      <c r="AF551" s="1">
        <v>0</v>
      </c>
      <c r="AG551" s="1">
        <v>10</v>
      </c>
      <c r="AH551" s="9" t="str" cm="1">
        <f t="array" ref="AH551">_xlfn.IFS(AG551 &lt;= 5, "New[1-5]", AG551 &lt;= 10, "Early Career[6-10]", AG551 &lt;= 20, "Established[11-20]", AG551 &lt;= 30, "Veteran[21-30]", AG551 &lt;= 40, "Late Career[31-40]")</f>
        <v>Early Career[6-10]</v>
      </c>
      <c r="AI551" s="1">
        <v>2</v>
      </c>
      <c r="AJ551" s="1">
        <v>3</v>
      </c>
      <c r="AK551" s="1">
        <v>5</v>
      </c>
      <c r="AL551" s="9" t="str" cm="1">
        <f t="array" ref="AL551">_xlfn.IFS(AK551 &lt;= 5, "New[1-5]", AK551 &lt;= 10, "Early Career[6-10]", AK551 &lt;= 20, "Established[11-20]", AK551 &lt;= 30, "Veteran[21-30]", AK551 &lt;= 40, "Late Career[31-40]")</f>
        <v>New[1-5]</v>
      </c>
      <c r="AM551" s="1">
        <v>1</v>
      </c>
      <c r="AN551" s="9" t="str" cm="1">
        <f t="array" ref="AN551">_xlfn.IFS(AM551 &lt;= 3, "New to Role[1-3]", AM551 &lt;= 7, "Settled[4-7]", AM551 &lt;= 12, "Experienced[[8-12]", AM551 &lt;= 18, "Long Tenured[13-18]")</f>
        <v>New to Role[1-3]</v>
      </c>
      <c r="AO551" s="1">
        <v>4</v>
      </c>
      <c r="AP551" s="9" t="str" cm="1">
        <f t="array" ref="AP551">_xlfn.IFS(AO551 &lt;= 3, "Recently[1-3]", AO551 &lt;= 6, "Due Soon[4-6]", AO551 &lt;= 10, "Overdue[7-10]", AO551 &lt;= 15, "Long Overdue[11-15]")</f>
        <v>Due Soon[4-6]</v>
      </c>
      <c r="AQ551" s="9" t="str" cm="1">
        <f t="array" ref="AQ551">_xlfn.IFS(AR551 &lt;= 3, "New Relationship[1-3]", AR551 &lt;= 7, "Established Relationship[4-7]", AR551 &lt;= 12, "Long Term Relationship[8-12]", AR551 &lt;= 17, "Very Long Term Relationship[13-17]")</f>
        <v>New Relationship[1-3]</v>
      </c>
      <c r="AR551" s="1">
        <v>3</v>
      </c>
    </row>
    <row r="552" spans="1:44" x14ac:dyDescent="0.25">
      <c r="A552" s="1">
        <v>23</v>
      </c>
      <c r="B552" s="8" t="str" cm="1">
        <f t="array" ref="B552">_xlfn.IFS(A552 &lt;= 25, "[18-25]", A552 &lt;= 35, "[26-35]", A552 &lt;=45, "[36-45]", A552 &lt;= 60, "[46- 60]")</f>
        <v>[18-25]</v>
      </c>
      <c r="C552" s="3" t="s">
        <v>43</v>
      </c>
      <c r="D552">
        <f t="shared" si="8"/>
        <v>0</v>
      </c>
      <c r="E552" t="s">
        <v>36</v>
      </c>
      <c r="F552" s="1">
        <v>650</v>
      </c>
      <c r="G552" s="3" t="s">
        <v>45</v>
      </c>
      <c r="H552" s="1">
        <v>9</v>
      </c>
      <c r="I552" s="9" t="str" cm="1">
        <f t="array" ref="I552">_xlfn.IFS(H552 &lt;= 2, "[1-2] very close", H552 &lt;= 10, "[3-10] close", H552 &lt;= 20, "[11-20] moderate", H552 &lt;= 30, "[21-30] far")</f>
        <v>[3-10] close</v>
      </c>
      <c r="J552" s="1">
        <v>1</v>
      </c>
      <c r="K552" s="3" t="s">
        <v>51</v>
      </c>
      <c r="L552" s="1">
        <v>1</v>
      </c>
      <c r="M552" s="1">
        <v>758</v>
      </c>
      <c r="N552" s="1">
        <v>2</v>
      </c>
      <c r="O552" s="3" t="s">
        <v>46</v>
      </c>
      <c r="P552" s="1">
        <v>37</v>
      </c>
      <c r="Q552" s="1">
        <v>3</v>
      </c>
      <c r="R552" s="1">
        <v>1</v>
      </c>
      <c r="S552" s="3" t="s">
        <v>50</v>
      </c>
      <c r="T552" s="1">
        <v>1</v>
      </c>
      <c r="U552" s="3" t="s">
        <v>48</v>
      </c>
      <c r="V552" s="4">
        <v>2500</v>
      </c>
      <c r="W552" s="1">
        <v>4344</v>
      </c>
      <c r="X552" s="1">
        <v>1</v>
      </c>
      <c r="Y552" s="3" t="s">
        <v>42</v>
      </c>
      <c r="Z552" s="3" t="s">
        <v>43</v>
      </c>
      <c r="AA552" s="5">
        <v>0.14000000000000001</v>
      </c>
      <c r="AB552" s="10" t="str" cm="1">
        <f t="array" ref="AB552">_xlfn.IFS(AA552 &lt;= 15%, "Low Hike[11-15%]", AA552 &lt;= 20%, "Moderate Hike[16-20%]", AA552 &lt;= 25%,"High Hike[21-25%]")</f>
        <v>Low Hike[11-15%]</v>
      </c>
      <c r="AC552" s="1">
        <v>3</v>
      </c>
      <c r="AD552" s="1">
        <v>4</v>
      </c>
      <c r="AE552" s="1">
        <v>80</v>
      </c>
      <c r="AF552" s="1">
        <v>1</v>
      </c>
      <c r="AG552" s="1">
        <v>5</v>
      </c>
      <c r="AH552" s="9" t="str" cm="1">
        <f t="array" ref="AH552">_xlfn.IFS(AG552 &lt;= 5, "New[1-5]", AG552 &lt;= 10, "Early Career[6-10]", AG552 &lt;= 20, "Established[11-20]", AG552 &lt;= 30, "Veteran[21-30]", AG552 &lt;= 40, "Late Career[31-40]")</f>
        <v>New[1-5]</v>
      </c>
      <c r="AI552" s="1">
        <v>2</v>
      </c>
      <c r="AJ552" s="1">
        <v>4</v>
      </c>
      <c r="AK552" s="1">
        <v>4</v>
      </c>
      <c r="AL552" s="9" t="str" cm="1">
        <f t="array" ref="AL552">_xlfn.IFS(AK552 &lt;= 5, "New[1-5]", AK552 &lt;= 10, "Early Career[6-10]", AK552 &lt;= 20, "Established[11-20]", AK552 &lt;= 30, "Veteran[21-30]", AK552 &lt;= 40, "Late Career[31-40]")</f>
        <v>New[1-5]</v>
      </c>
      <c r="AM552" s="1">
        <v>3</v>
      </c>
      <c r="AN552" s="9" t="str" cm="1">
        <f t="array" ref="AN552">_xlfn.IFS(AM552 &lt;= 3, "New to Role[1-3]", AM552 &lt;= 7, "Settled[4-7]", AM552 &lt;= 12, "Experienced[[8-12]", AM552 &lt;= 18, "Long Tenured[13-18]")</f>
        <v>New to Role[1-3]</v>
      </c>
      <c r="AO552" s="1">
        <v>0</v>
      </c>
      <c r="AP552" s="9" t="str" cm="1">
        <f t="array" ref="AP552">_xlfn.IFS(AO552 &lt;= 3, "Recently[1-3]", AO552 &lt;= 6, "Due Soon[4-6]", AO552 &lt;= 10, "Overdue[7-10]", AO552 &lt;= 15, "Long Overdue[11-15]")</f>
        <v>Recently[1-3]</v>
      </c>
      <c r="AQ552" s="9" t="str" cm="1">
        <f t="array" ref="AQ552">_xlfn.IFS(AR552 &lt;= 3, "New Relationship[1-3]", AR552 &lt;= 7, "Established Relationship[4-7]", AR552 &lt;= 12, "Long Term Relationship[8-12]", AR552 &lt;= 17, "Very Long Term Relationship[13-17]")</f>
        <v>New Relationship[1-3]</v>
      </c>
      <c r="AR552" s="1">
        <v>2</v>
      </c>
    </row>
    <row r="553" spans="1:44" x14ac:dyDescent="0.25">
      <c r="A553" s="1">
        <v>39</v>
      </c>
      <c r="B553" s="8" t="str" cm="1">
        <f t="array" ref="B553">_xlfn.IFS(A553 &lt;= 25, "[18-25]", A553 &lt;= 35, "[26-35]", A553 &lt;=45, "[36-45]", A553 &lt;= 60, "[46- 60]")</f>
        <v>[36-45]</v>
      </c>
      <c r="C553" s="3" t="s">
        <v>43</v>
      </c>
      <c r="D553">
        <f t="shared" si="8"/>
        <v>0</v>
      </c>
      <c r="E553" t="s">
        <v>36</v>
      </c>
      <c r="F553" s="1">
        <v>141</v>
      </c>
      <c r="G553" s="3" t="s">
        <v>61</v>
      </c>
      <c r="H553" s="1">
        <v>3</v>
      </c>
      <c r="I553" s="9" t="str" cm="1">
        <f t="array" ref="I553">_xlfn.IFS(H553 &lt;= 2, "[1-2] very close", H553 &lt;= 10, "[3-10] close", H553 &lt;= 20, "[11-20] moderate", H553 &lt;= 30, "[21-30] far")</f>
        <v>[3-10] close</v>
      </c>
      <c r="J553" s="1">
        <v>3</v>
      </c>
      <c r="K553" s="3" t="s">
        <v>61</v>
      </c>
      <c r="L553" s="1">
        <v>1</v>
      </c>
      <c r="M553" s="1">
        <v>760</v>
      </c>
      <c r="N553" s="1">
        <v>3</v>
      </c>
      <c r="O553" s="3" t="s">
        <v>39</v>
      </c>
      <c r="P553" s="1">
        <v>44</v>
      </c>
      <c r="Q553" s="1">
        <v>4</v>
      </c>
      <c r="R553" s="1">
        <v>2</v>
      </c>
      <c r="S553" s="3" t="s">
        <v>61</v>
      </c>
      <c r="T553" s="1">
        <v>2</v>
      </c>
      <c r="U553" s="3" t="s">
        <v>48</v>
      </c>
      <c r="V553" s="4">
        <v>6389</v>
      </c>
      <c r="W553" s="1">
        <v>18767</v>
      </c>
      <c r="X553" s="1">
        <v>9</v>
      </c>
      <c r="Y553" s="3" t="s">
        <v>42</v>
      </c>
      <c r="Z553" s="3" t="s">
        <v>43</v>
      </c>
      <c r="AA553" s="5">
        <v>0.15</v>
      </c>
      <c r="AB553" s="10" t="str" cm="1">
        <f t="array" ref="AB553">_xlfn.IFS(AA553 &lt;= 15%, "Low Hike[11-15%]", AA553 &lt;= 20%, "Moderate Hike[16-20%]", AA553 &lt;= 25%,"High Hike[21-25%]")</f>
        <v>Low Hike[11-15%]</v>
      </c>
      <c r="AC553" s="1">
        <v>3</v>
      </c>
      <c r="AD553" s="1">
        <v>3</v>
      </c>
      <c r="AE553" s="1">
        <v>80</v>
      </c>
      <c r="AF553" s="1">
        <v>1</v>
      </c>
      <c r="AG553" s="1">
        <v>12</v>
      </c>
      <c r="AH553" s="9" t="str" cm="1">
        <f t="array" ref="AH553">_xlfn.IFS(AG553 &lt;= 5, "New[1-5]", AG553 &lt;= 10, "Early Career[6-10]", AG553 &lt;= 20, "Established[11-20]", AG553 &lt;= 30, "Veteran[21-30]", AG553 &lt;= 40, "Late Career[31-40]")</f>
        <v>Established[11-20]</v>
      </c>
      <c r="AI553" s="1">
        <v>3</v>
      </c>
      <c r="AJ553" s="1">
        <v>1</v>
      </c>
      <c r="AK553" s="1">
        <v>8</v>
      </c>
      <c r="AL553" s="9" t="str" cm="1">
        <f t="array" ref="AL553">_xlfn.IFS(AK553 &lt;= 5, "New[1-5]", AK553 &lt;= 10, "Early Career[6-10]", AK553 &lt;= 20, "Established[11-20]", AK553 &lt;= 30, "Veteran[21-30]", AK553 &lt;= 40, "Late Career[31-40]")</f>
        <v>Early Career[6-10]</v>
      </c>
      <c r="AM553" s="1">
        <v>3</v>
      </c>
      <c r="AN553" s="9" t="str" cm="1">
        <f t="array" ref="AN553">_xlfn.IFS(AM553 &lt;= 3, "New to Role[1-3]", AM553 &lt;= 7, "Settled[4-7]", AM553 &lt;= 12, "Experienced[[8-12]", AM553 &lt;= 18, "Long Tenured[13-18]")</f>
        <v>New to Role[1-3]</v>
      </c>
      <c r="AO553" s="1">
        <v>3</v>
      </c>
      <c r="AP553" s="9" t="str" cm="1">
        <f t="array" ref="AP553">_xlfn.IFS(AO553 &lt;= 3, "Recently[1-3]", AO553 &lt;= 6, "Due Soon[4-6]", AO553 &lt;= 10, "Overdue[7-10]", AO553 &lt;= 15, "Long Overdue[11-15]")</f>
        <v>Recently[1-3]</v>
      </c>
      <c r="AQ553" s="9" t="str" cm="1">
        <f t="array" ref="AQ553">_xlfn.IFS(AR553 &lt;= 3, "New Relationship[1-3]", AR553 &lt;= 7, "Established Relationship[4-7]", AR553 &lt;= 12, "Long Term Relationship[8-12]", AR553 &lt;= 17, "Very Long Term Relationship[13-17]")</f>
        <v>Established Relationship[4-7]</v>
      </c>
      <c r="AR553" s="1">
        <v>6</v>
      </c>
    </row>
    <row r="554" spans="1:44" x14ac:dyDescent="0.25">
      <c r="A554" s="1">
        <v>56</v>
      </c>
      <c r="B554" s="8" t="str" cm="1">
        <f t="array" ref="B554">_xlfn.IFS(A554 &lt;= 25, "[18-25]", A554 &lt;= 35, "[26-35]", A554 &lt;=45, "[36-45]", A554 &lt;= 60, "[46- 60]")</f>
        <v>[46- 60]</v>
      </c>
      <c r="C554" s="3" t="s">
        <v>43</v>
      </c>
      <c r="D554">
        <f t="shared" si="8"/>
        <v>0</v>
      </c>
      <c r="E554" t="s">
        <v>36</v>
      </c>
      <c r="F554" s="1">
        <v>832</v>
      </c>
      <c r="G554" s="3" t="s">
        <v>45</v>
      </c>
      <c r="H554" s="1">
        <v>9</v>
      </c>
      <c r="I554" s="9" t="str" cm="1">
        <f t="array" ref="I554">_xlfn.IFS(H554 &lt;= 2, "[1-2] very close", H554 &lt;= 10, "[3-10] close", H554 &lt;= 20, "[11-20] moderate", H554 &lt;= 30, "[21-30] far")</f>
        <v>[3-10] close</v>
      </c>
      <c r="J554" s="1">
        <v>3</v>
      </c>
      <c r="K554" s="3" t="s">
        <v>51</v>
      </c>
      <c r="L554" s="1">
        <v>1</v>
      </c>
      <c r="M554" s="1">
        <v>762</v>
      </c>
      <c r="N554" s="1">
        <v>3</v>
      </c>
      <c r="O554" s="3" t="s">
        <v>46</v>
      </c>
      <c r="P554" s="1">
        <v>81</v>
      </c>
      <c r="Q554" s="1">
        <v>3</v>
      </c>
      <c r="R554" s="1">
        <v>4</v>
      </c>
      <c r="S554" s="3" t="s">
        <v>54</v>
      </c>
      <c r="T554" s="1">
        <v>4</v>
      </c>
      <c r="U554" s="3" t="s">
        <v>48</v>
      </c>
      <c r="V554" s="4">
        <v>11103</v>
      </c>
      <c r="W554" s="1">
        <v>20420</v>
      </c>
      <c r="X554" s="1">
        <v>7</v>
      </c>
      <c r="Y554" s="3" t="s">
        <v>42</v>
      </c>
      <c r="Z554" s="3" t="s">
        <v>43</v>
      </c>
      <c r="AA554" s="5">
        <v>0.11</v>
      </c>
      <c r="AB554" s="10" t="str" cm="1">
        <f t="array" ref="AB554">_xlfn.IFS(AA554 &lt;= 15%, "Low Hike[11-15%]", AA554 &lt;= 20%, "Moderate Hike[16-20%]", AA554 &lt;= 25%,"High Hike[21-25%]")</f>
        <v>Low Hike[11-15%]</v>
      </c>
      <c r="AC554" s="1">
        <v>3</v>
      </c>
      <c r="AD554" s="1">
        <v>3</v>
      </c>
      <c r="AE554" s="1">
        <v>80</v>
      </c>
      <c r="AF554" s="1">
        <v>0</v>
      </c>
      <c r="AG554" s="1">
        <v>30</v>
      </c>
      <c r="AH554" s="9" t="str" cm="1">
        <f t="array" ref="AH554">_xlfn.IFS(AG554 &lt;= 5, "New[1-5]", AG554 &lt;= 10, "Early Career[6-10]", AG554 &lt;= 20, "Established[11-20]", AG554 &lt;= 30, "Veteran[21-30]", AG554 &lt;= 40, "Late Career[31-40]")</f>
        <v>Veteran[21-30]</v>
      </c>
      <c r="AI554" s="1">
        <v>1</v>
      </c>
      <c r="AJ554" s="1">
        <v>2</v>
      </c>
      <c r="AK554" s="1">
        <v>10</v>
      </c>
      <c r="AL554" s="9" t="str" cm="1">
        <f t="array" ref="AL554">_xlfn.IFS(AK554 &lt;= 5, "New[1-5]", AK554 &lt;= 10, "Early Career[6-10]", AK554 &lt;= 20, "Established[11-20]", AK554 &lt;= 30, "Veteran[21-30]", AK554 &lt;= 40, "Late Career[31-40]")</f>
        <v>Early Career[6-10]</v>
      </c>
      <c r="AM554" s="1">
        <v>7</v>
      </c>
      <c r="AN554" s="9" t="str" cm="1">
        <f t="array" ref="AN554">_xlfn.IFS(AM554 &lt;= 3, "New to Role[1-3]", AM554 &lt;= 7, "Settled[4-7]", AM554 &lt;= 12, "Experienced[[8-12]", AM554 &lt;= 18, "Long Tenured[13-18]")</f>
        <v>Settled[4-7]</v>
      </c>
      <c r="AO554" s="1">
        <v>1</v>
      </c>
      <c r="AP554" s="9" t="str" cm="1">
        <f t="array" ref="AP554">_xlfn.IFS(AO554 &lt;= 3, "Recently[1-3]", AO554 &lt;= 6, "Due Soon[4-6]", AO554 &lt;= 10, "Overdue[7-10]", AO554 &lt;= 15, "Long Overdue[11-15]")</f>
        <v>Recently[1-3]</v>
      </c>
      <c r="AQ554" s="9" t="str" cm="1">
        <f t="array" ref="AQ554">_xlfn.IFS(AR554 &lt;= 3, "New Relationship[1-3]", AR554 &lt;= 7, "Established Relationship[4-7]", AR554 &lt;= 12, "Long Term Relationship[8-12]", AR554 &lt;= 17, "Very Long Term Relationship[13-17]")</f>
        <v>New Relationship[1-3]</v>
      </c>
      <c r="AR554" s="1">
        <v>1</v>
      </c>
    </row>
    <row r="555" spans="1:44" x14ac:dyDescent="0.25">
      <c r="A555" s="1">
        <v>40</v>
      </c>
      <c r="B555" s="8" t="str" cm="1">
        <f t="array" ref="B555">_xlfn.IFS(A555 &lt;= 25, "[18-25]", A555 &lt;= 35, "[26-35]", A555 &lt;=45, "[36-45]", A555 &lt;= 60, "[46- 60]")</f>
        <v>[36-45]</v>
      </c>
      <c r="C555" s="3" t="s">
        <v>43</v>
      </c>
      <c r="D555">
        <f t="shared" si="8"/>
        <v>0</v>
      </c>
      <c r="E555" t="s">
        <v>36</v>
      </c>
      <c r="F555" s="1">
        <v>804</v>
      </c>
      <c r="G555" s="3" t="s">
        <v>45</v>
      </c>
      <c r="H555" s="1">
        <v>2</v>
      </c>
      <c r="I555" s="9" t="str" cm="1">
        <f t="array" ref="I555">_xlfn.IFS(H555 &lt;= 2, "[1-2] very close", H555 &lt;= 10, "[3-10] close", H555 &lt;= 20, "[11-20] moderate", H555 &lt;= 30, "[21-30] far")</f>
        <v>[1-2] very close</v>
      </c>
      <c r="J555" s="1">
        <v>1</v>
      </c>
      <c r="K555" s="3" t="s">
        <v>51</v>
      </c>
      <c r="L555" s="1">
        <v>1</v>
      </c>
      <c r="M555" s="1">
        <v>763</v>
      </c>
      <c r="N555" s="1">
        <v>4</v>
      </c>
      <c r="O555" s="3" t="s">
        <v>39</v>
      </c>
      <c r="P555" s="1">
        <v>86</v>
      </c>
      <c r="Q555" s="1">
        <v>2</v>
      </c>
      <c r="R555" s="1">
        <v>1</v>
      </c>
      <c r="S555" s="3" t="s">
        <v>47</v>
      </c>
      <c r="T555" s="1">
        <v>4</v>
      </c>
      <c r="U555" s="3" t="s">
        <v>41</v>
      </c>
      <c r="V555" s="4">
        <v>2342</v>
      </c>
      <c r="W555" s="1">
        <v>22929</v>
      </c>
      <c r="X555" s="1">
        <v>0</v>
      </c>
      <c r="Y555" s="3" t="s">
        <v>42</v>
      </c>
      <c r="Z555" s="3" t="s">
        <v>35</v>
      </c>
      <c r="AA555" s="5">
        <v>0.2</v>
      </c>
      <c r="AB555" s="10" t="str" cm="1">
        <f t="array" ref="AB555">_xlfn.IFS(AA555 &lt;= 15%, "Low Hike[11-15%]", AA555 &lt;= 20%, "Moderate Hike[16-20%]", AA555 &lt;= 25%,"High Hike[21-25%]")</f>
        <v>Moderate Hike[16-20%]</v>
      </c>
      <c r="AC555" s="1">
        <v>4</v>
      </c>
      <c r="AD555" s="1">
        <v>4</v>
      </c>
      <c r="AE555" s="1">
        <v>80</v>
      </c>
      <c r="AF555" s="1">
        <v>0</v>
      </c>
      <c r="AG555" s="1">
        <v>5</v>
      </c>
      <c r="AH555" s="9" t="str" cm="1">
        <f t="array" ref="AH555">_xlfn.IFS(AG555 &lt;= 5, "New[1-5]", AG555 &lt;= 10, "Early Career[6-10]", AG555 &lt;= 20, "Established[11-20]", AG555 &lt;= 30, "Veteran[21-30]", AG555 &lt;= 40, "Late Career[31-40]")</f>
        <v>New[1-5]</v>
      </c>
      <c r="AI555" s="1">
        <v>2</v>
      </c>
      <c r="AJ555" s="1">
        <v>2</v>
      </c>
      <c r="AK555" s="1">
        <v>4</v>
      </c>
      <c r="AL555" s="9" t="str" cm="1">
        <f t="array" ref="AL555">_xlfn.IFS(AK555 &lt;= 5, "New[1-5]", AK555 &lt;= 10, "Early Career[6-10]", AK555 &lt;= 20, "Established[11-20]", AK555 &lt;= 30, "Veteran[21-30]", AK555 &lt;= 40, "Late Career[31-40]")</f>
        <v>New[1-5]</v>
      </c>
      <c r="AM555" s="1">
        <v>2</v>
      </c>
      <c r="AN555" s="9" t="str" cm="1">
        <f t="array" ref="AN555">_xlfn.IFS(AM555 &lt;= 3, "New to Role[1-3]", AM555 &lt;= 7, "Settled[4-7]", AM555 &lt;= 12, "Experienced[[8-12]", AM555 &lt;= 18, "Long Tenured[13-18]")</f>
        <v>New to Role[1-3]</v>
      </c>
      <c r="AO555" s="1">
        <v>2</v>
      </c>
      <c r="AP555" s="9" t="str" cm="1">
        <f t="array" ref="AP555">_xlfn.IFS(AO555 &lt;= 3, "Recently[1-3]", AO555 &lt;= 6, "Due Soon[4-6]", AO555 &lt;= 10, "Overdue[7-10]", AO555 &lt;= 15, "Long Overdue[11-15]")</f>
        <v>Recently[1-3]</v>
      </c>
      <c r="AQ555" s="9" t="str" cm="1">
        <f t="array" ref="AQ555">_xlfn.IFS(AR555 &lt;= 3, "New Relationship[1-3]", AR555 &lt;= 7, "Established Relationship[4-7]", AR555 &lt;= 12, "Long Term Relationship[8-12]", AR555 &lt;= 17, "Very Long Term Relationship[13-17]")</f>
        <v>New Relationship[1-3]</v>
      </c>
      <c r="AR555" s="1">
        <v>3</v>
      </c>
    </row>
    <row r="556" spans="1:44" x14ac:dyDescent="0.25">
      <c r="A556" s="1">
        <v>27</v>
      </c>
      <c r="B556" s="8" t="str" cm="1">
        <f t="array" ref="B556">_xlfn.IFS(A556 &lt;= 25, "[18-25]", A556 &lt;= 35, "[26-35]", A556 &lt;=45, "[36-45]", A556 &lt;= 60, "[46- 60]")</f>
        <v>[26-35]</v>
      </c>
      <c r="C556" s="3" t="s">
        <v>43</v>
      </c>
      <c r="D556">
        <f t="shared" si="8"/>
        <v>0</v>
      </c>
      <c r="E556" t="s">
        <v>36</v>
      </c>
      <c r="F556" s="1">
        <v>975</v>
      </c>
      <c r="G556" s="3" t="s">
        <v>45</v>
      </c>
      <c r="H556" s="1">
        <v>7</v>
      </c>
      <c r="I556" s="9" t="str" cm="1">
        <f t="array" ref="I556">_xlfn.IFS(H556 &lt;= 2, "[1-2] very close", H556 &lt;= 10, "[3-10] close", H556 &lt;= 20, "[11-20] moderate", H556 &lt;= 30, "[21-30] far")</f>
        <v>[3-10] close</v>
      </c>
      <c r="J556" s="1">
        <v>3</v>
      </c>
      <c r="K556" s="3" t="s">
        <v>51</v>
      </c>
      <c r="L556" s="1">
        <v>1</v>
      </c>
      <c r="M556" s="1">
        <v>764</v>
      </c>
      <c r="N556" s="1">
        <v>4</v>
      </c>
      <c r="O556" s="3" t="s">
        <v>39</v>
      </c>
      <c r="P556" s="1">
        <v>55</v>
      </c>
      <c r="Q556" s="1">
        <v>2</v>
      </c>
      <c r="R556" s="1">
        <v>2</v>
      </c>
      <c r="S556" s="3" t="s">
        <v>54</v>
      </c>
      <c r="T556" s="1">
        <v>1</v>
      </c>
      <c r="U556" s="3" t="s">
        <v>41</v>
      </c>
      <c r="V556" s="4">
        <v>6811</v>
      </c>
      <c r="W556" s="1">
        <v>23398</v>
      </c>
      <c r="X556" s="1">
        <v>8</v>
      </c>
      <c r="Y556" s="3" t="s">
        <v>42</v>
      </c>
      <c r="Z556" s="3" t="s">
        <v>43</v>
      </c>
      <c r="AA556" s="5">
        <v>0.19</v>
      </c>
      <c r="AB556" s="10" t="str" cm="1">
        <f t="array" ref="AB556">_xlfn.IFS(AA556 &lt;= 15%, "Low Hike[11-15%]", AA556 &lt;= 20%, "Moderate Hike[16-20%]", AA556 &lt;= 25%,"High Hike[21-25%]")</f>
        <v>Moderate Hike[16-20%]</v>
      </c>
      <c r="AC556" s="1">
        <v>3</v>
      </c>
      <c r="AD556" s="1">
        <v>1</v>
      </c>
      <c r="AE556" s="1">
        <v>80</v>
      </c>
      <c r="AF556" s="1">
        <v>0</v>
      </c>
      <c r="AG556" s="1">
        <v>9</v>
      </c>
      <c r="AH556" s="9" t="str" cm="1">
        <f t="array" ref="AH556">_xlfn.IFS(AG556 &lt;= 5, "New[1-5]", AG556 &lt;= 10, "Early Career[6-10]", AG556 &lt;= 20, "Established[11-20]", AG556 &lt;= 30, "Veteran[21-30]", AG556 &lt;= 40, "Late Career[31-40]")</f>
        <v>Early Career[6-10]</v>
      </c>
      <c r="AI556" s="1">
        <v>2</v>
      </c>
      <c r="AJ556" s="1">
        <v>1</v>
      </c>
      <c r="AK556" s="1">
        <v>7</v>
      </c>
      <c r="AL556" s="9" t="str" cm="1">
        <f t="array" ref="AL556">_xlfn.IFS(AK556 &lt;= 5, "New[1-5]", AK556 &lt;= 10, "Early Career[6-10]", AK556 &lt;= 20, "Established[11-20]", AK556 &lt;= 30, "Veteran[21-30]", AK556 &lt;= 40, "Late Career[31-40]")</f>
        <v>Early Career[6-10]</v>
      </c>
      <c r="AM556" s="1">
        <v>6</v>
      </c>
      <c r="AN556" s="9" t="str" cm="1">
        <f t="array" ref="AN556">_xlfn.IFS(AM556 &lt;= 3, "New to Role[1-3]", AM556 &lt;= 7, "Settled[4-7]", AM556 &lt;= 12, "Experienced[[8-12]", AM556 &lt;= 18, "Long Tenured[13-18]")</f>
        <v>Settled[4-7]</v>
      </c>
      <c r="AO556" s="1">
        <v>0</v>
      </c>
      <c r="AP556" s="9" t="str" cm="1">
        <f t="array" ref="AP556">_xlfn.IFS(AO556 &lt;= 3, "Recently[1-3]", AO556 &lt;= 6, "Due Soon[4-6]", AO556 &lt;= 10, "Overdue[7-10]", AO556 &lt;= 15, "Long Overdue[11-15]")</f>
        <v>Recently[1-3]</v>
      </c>
      <c r="AQ556" s="9" t="str" cm="1">
        <f t="array" ref="AQ556">_xlfn.IFS(AR556 &lt;= 3, "New Relationship[1-3]", AR556 &lt;= 7, "Established Relationship[4-7]", AR556 &lt;= 12, "Long Term Relationship[8-12]", AR556 &lt;= 17, "Very Long Term Relationship[13-17]")</f>
        <v>Established Relationship[4-7]</v>
      </c>
      <c r="AR556" s="1">
        <v>7</v>
      </c>
    </row>
    <row r="557" spans="1:44" x14ac:dyDescent="0.25">
      <c r="A557" s="1">
        <v>29</v>
      </c>
      <c r="B557" s="8" t="str" cm="1">
        <f t="array" ref="B557">_xlfn.IFS(A557 &lt;= 25, "[18-25]", A557 &lt;= 35, "[26-35]", A557 &lt;=45, "[36-45]", A557 &lt;= 60, "[46- 60]")</f>
        <v>[26-35]</v>
      </c>
      <c r="C557" s="3" t="s">
        <v>43</v>
      </c>
      <c r="D557">
        <f t="shared" si="8"/>
        <v>0</v>
      </c>
      <c r="E557" t="s">
        <v>36</v>
      </c>
      <c r="F557" s="1">
        <v>1090</v>
      </c>
      <c r="G557" s="3" t="s">
        <v>37</v>
      </c>
      <c r="H557" s="1">
        <v>10</v>
      </c>
      <c r="I557" s="9" t="str" cm="1">
        <f t="array" ref="I557">_xlfn.IFS(H557 &lt;= 2, "[1-2] very close", H557 &lt;= 10, "[3-10] close", H557 &lt;= 20, "[11-20] moderate", H557 &lt;= 30, "[21-30] far")</f>
        <v>[3-10] close</v>
      </c>
      <c r="J557" s="1">
        <v>3</v>
      </c>
      <c r="K557" s="3" t="s">
        <v>59</v>
      </c>
      <c r="L557" s="1">
        <v>1</v>
      </c>
      <c r="M557" s="1">
        <v>766</v>
      </c>
      <c r="N557" s="1">
        <v>4</v>
      </c>
      <c r="O557" s="3" t="s">
        <v>46</v>
      </c>
      <c r="P557" s="1">
        <v>83</v>
      </c>
      <c r="Q557" s="1">
        <v>3</v>
      </c>
      <c r="R557" s="1">
        <v>1</v>
      </c>
      <c r="S557" s="3" t="s">
        <v>57</v>
      </c>
      <c r="T557" s="1">
        <v>2</v>
      </c>
      <c r="U557" s="3" t="s">
        <v>52</v>
      </c>
      <c r="V557" s="4">
        <v>2297</v>
      </c>
      <c r="W557" s="1">
        <v>17967</v>
      </c>
      <c r="X557" s="1">
        <v>1</v>
      </c>
      <c r="Y557" s="3" t="s">
        <v>42</v>
      </c>
      <c r="Z557" s="3" t="s">
        <v>43</v>
      </c>
      <c r="AA557" s="5">
        <v>0.14000000000000001</v>
      </c>
      <c r="AB557" s="10" t="str" cm="1">
        <f t="array" ref="AB557">_xlfn.IFS(AA557 &lt;= 15%, "Low Hike[11-15%]", AA557 &lt;= 20%, "Moderate Hike[16-20%]", AA557 &lt;= 25%,"High Hike[21-25%]")</f>
        <v>Low Hike[11-15%]</v>
      </c>
      <c r="AC557" s="1">
        <v>3</v>
      </c>
      <c r="AD557" s="1">
        <v>4</v>
      </c>
      <c r="AE557" s="1">
        <v>80</v>
      </c>
      <c r="AF557" s="1">
        <v>2</v>
      </c>
      <c r="AG557" s="1">
        <v>2</v>
      </c>
      <c r="AH557" s="9" t="str" cm="1">
        <f t="array" ref="AH557">_xlfn.IFS(AG557 &lt;= 5, "New[1-5]", AG557 &lt;= 10, "Early Career[6-10]", AG557 &lt;= 20, "Established[11-20]", AG557 &lt;= 30, "Veteran[21-30]", AG557 &lt;= 40, "Late Career[31-40]")</f>
        <v>New[1-5]</v>
      </c>
      <c r="AI557" s="1">
        <v>2</v>
      </c>
      <c r="AJ557" s="1">
        <v>3</v>
      </c>
      <c r="AK557" s="1">
        <v>2</v>
      </c>
      <c r="AL557" s="9" t="str" cm="1">
        <f t="array" ref="AL557">_xlfn.IFS(AK557 &lt;= 5, "New[1-5]", AK557 &lt;= 10, "Early Career[6-10]", AK557 &lt;= 20, "Established[11-20]", AK557 &lt;= 30, "Veteran[21-30]", AK557 &lt;= 40, "Late Career[31-40]")</f>
        <v>New[1-5]</v>
      </c>
      <c r="AM557" s="1">
        <v>2</v>
      </c>
      <c r="AN557" s="9" t="str" cm="1">
        <f t="array" ref="AN557">_xlfn.IFS(AM557 &lt;= 3, "New to Role[1-3]", AM557 &lt;= 7, "Settled[4-7]", AM557 &lt;= 12, "Experienced[[8-12]", AM557 &lt;= 18, "Long Tenured[13-18]")</f>
        <v>New to Role[1-3]</v>
      </c>
      <c r="AO557" s="1">
        <v>2</v>
      </c>
      <c r="AP557" s="9" t="str" cm="1">
        <f t="array" ref="AP557">_xlfn.IFS(AO557 &lt;= 3, "Recently[1-3]", AO557 &lt;= 6, "Due Soon[4-6]", AO557 &lt;= 10, "Overdue[7-10]", AO557 &lt;= 15, "Long Overdue[11-15]")</f>
        <v>Recently[1-3]</v>
      </c>
      <c r="AQ557" s="9" t="str" cm="1">
        <f t="array" ref="AQ557">_xlfn.IFS(AR557 &lt;= 3, "New Relationship[1-3]", AR557 &lt;= 7, "Established Relationship[4-7]", AR557 &lt;= 12, "Long Term Relationship[8-12]", AR557 &lt;= 17, "Very Long Term Relationship[13-17]")</f>
        <v>New Relationship[1-3]</v>
      </c>
      <c r="AR557" s="1">
        <v>2</v>
      </c>
    </row>
    <row r="558" spans="1:44" x14ac:dyDescent="0.25">
      <c r="A558" s="1">
        <v>53</v>
      </c>
      <c r="B558" s="8" t="str" cm="1">
        <f t="array" ref="B558">_xlfn.IFS(A558 &lt;= 25, "[18-25]", A558 &lt;= 35, "[26-35]", A558 &lt;=45, "[36-45]", A558 &lt;= 60, "[46- 60]")</f>
        <v>[46- 60]</v>
      </c>
      <c r="C558" s="3" t="s">
        <v>43</v>
      </c>
      <c r="D558">
        <f t="shared" si="8"/>
        <v>0</v>
      </c>
      <c r="E558" t="s">
        <v>36</v>
      </c>
      <c r="F558" s="1">
        <v>346</v>
      </c>
      <c r="G558" s="3" t="s">
        <v>45</v>
      </c>
      <c r="H558" s="1">
        <v>6</v>
      </c>
      <c r="I558" s="9" t="str" cm="1">
        <f t="array" ref="I558">_xlfn.IFS(H558 &lt;= 2, "[1-2] very close", H558 &lt;= 10, "[3-10] close", H558 &lt;= 20, "[11-20] moderate", H558 &lt;= 30, "[21-30] far")</f>
        <v>[3-10] close</v>
      </c>
      <c r="J558" s="1">
        <v>3</v>
      </c>
      <c r="K558" s="3" t="s">
        <v>38</v>
      </c>
      <c r="L558" s="1">
        <v>1</v>
      </c>
      <c r="M558" s="1">
        <v>769</v>
      </c>
      <c r="N558" s="1">
        <v>4</v>
      </c>
      <c r="O558" s="3" t="s">
        <v>46</v>
      </c>
      <c r="P558" s="1">
        <v>86</v>
      </c>
      <c r="Q558" s="1">
        <v>3</v>
      </c>
      <c r="R558" s="1">
        <v>2</v>
      </c>
      <c r="S558" s="3" t="s">
        <v>50</v>
      </c>
      <c r="T558" s="1">
        <v>4</v>
      </c>
      <c r="U558" s="3" t="s">
        <v>41</v>
      </c>
      <c r="V558" s="4">
        <v>2450</v>
      </c>
      <c r="W558" s="1">
        <v>10919</v>
      </c>
      <c r="X558" s="1">
        <v>2</v>
      </c>
      <c r="Y558" s="3" t="s">
        <v>42</v>
      </c>
      <c r="Z558" s="3" t="s">
        <v>43</v>
      </c>
      <c r="AA558" s="5">
        <v>0.17</v>
      </c>
      <c r="AB558" s="10" t="str" cm="1">
        <f t="array" ref="AB558">_xlfn.IFS(AA558 &lt;= 15%, "Low Hike[11-15%]", AA558 &lt;= 20%, "Moderate Hike[16-20%]", AA558 &lt;= 25%,"High Hike[21-25%]")</f>
        <v>Moderate Hike[16-20%]</v>
      </c>
      <c r="AC558" s="1">
        <v>3</v>
      </c>
      <c r="AD558" s="1">
        <v>4</v>
      </c>
      <c r="AE558" s="1">
        <v>80</v>
      </c>
      <c r="AF558" s="1">
        <v>0</v>
      </c>
      <c r="AG558" s="1">
        <v>19</v>
      </c>
      <c r="AH558" s="9" t="str" cm="1">
        <f t="array" ref="AH558">_xlfn.IFS(AG558 &lt;= 5, "New[1-5]", AG558 &lt;= 10, "Early Career[6-10]", AG558 &lt;= 20, "Established[11-20]", AG558 &lt;= 30, "Veteran[21-30]", AG558 &lt;= 40, "Late Career[31-40]")</f>
        <v>Established[11-20]</v>
      </c>
      <c r="AI558" s="1">
        <v>4</v>
      </c>
      <c r="AJ558" s="1">
        <v>3</v>
      </c>
      <c r="AK558" s="1">
        <v>2</v>
      </c>
      <c r="AL558" s="9" t="str" cm="1">
        <f t="array" ref="AL558">_xlfn.IFS(AK558 &lt;= 5, "New[1-5]", AK558 &lt;= 10, "Early Career[6-10]", AK558 &lt;= 20, "Established[11-20]", AK558 &lt;= 30, "Veteran[21-30]", AK558 &lt;= 40, "Late Career[31-40]")</f>
        <v>New[1-5]</v>
      </c>
      <c r="AM558" s="1">
        <v>2</v>
      </c>
      <c r="AN558" s="9" t="str" cm="1">
        <f t="array" ref="AN558">_xlfn.IFS(AM558 &lt;= 3, "New to Role[1-3]", AM558 &lt;= 7, "Settled[4-7]", AM558 &lt;= 12, "Experienced[[8-12]", AM558 &lt;= 18, "Long Tenured[13-18]")</f>
        <v>New to Role[1-3]</v>
      </c>
      <c r="AO558" s="1">
        <v>2</v>
      </c>
      <c r="AP558" s="9" t="str" cm="1">
        <f t="array" ref="AP558">_xlfn.IFS(AO558 &lt;= 3, "Recently[1-3]", AO558 &lt;= 6, "Due Soon[4-6]", AO558 &lt;= 10, "Overdue[7-10]", AO558 &lt;= 15, "Long Overdue[11-15]")</f>
        <v>Recently[1-3]</v>
      </c>
      <c r="AQ558" s="9" t="str" cm="1">
        <f t="array" ref="AQ558">_xlfn.IFS(AR558 &lt;= 3, "New Relationship[1-3]", AR558 &lt;= 7, "Established Relationship[4-7]", AR558 &lt;= 12, "Long Term Relationship[8-12]", AR558 &lt;= 17, "Very Long Term Relationship[13-17]")</f>
        <v>New Relationship[1-3]</v>
      </c>
      <c r="AR558" s="1">
        <v>2</v>
      </c>
    </row>
    <row r="559" spans="1:44" x14ac:dyDescent="0.25">
      <c r="A559" s="1">
        <v>35</v>
      </c>
      <c r="B559" s="8" t="str" cm="1">
        <f t="array" ref="B559">_xlfn.IFS(A559 &lt;= 25, "[18-25]", A559 &lt;= 35, "[26-35]", A559 &lt;=45, "[36-45]", A559 &lt;= 60, "[46- 60]")</f>
        <v>[26-35]</v>
      </c>
      <c r="C559" s="3" t="s">
        <v>43</v>
      </c>
      <c r="D559">
        <f t="shared" si="8"/>
        <v>0</v>
      </c>
      <c r="E559" t="s">
        <v>62</v>
      </c>
      <c r="F559" s="1">
        <v>1225</v>
      </c>
      <c r="G559" s="3" t="s">
        <v>45</v>
      </c>
      <c r="H559" s="1">
        <v>2</v>
      </c>
      <c r="I559" s="9" t="str" cm="1">
        <f t="array" ref="I559">_xlfn.IFS(H559 &lt;= 2, "[1-2] very close", H559 &lt;= 10, "[3-10] close", H559 &lt;= 20, "[11-20] moderate", H559 &lt;= 30, "[21-30] far")</f>
        <v>[1-2] very close</v>
      </c>
      <c r="J559" s="1">
        <v>4</v>
      </c>
      <c r="K559" s="3" t="s">
        <v>38</v>
      </c>
      <c r="L559" s="1">
        <v>1</v>
      </c>
      <c r="M559" s="1">
        <v>771</v>
      </c>
      <c r="N559" s="1">
        <v>4</v>
      </c>
      <c r="O559" s="3" t="s">
        <v>39</v>
      </c>
      <c r="P559" s="1">
        <v>61</v>
      </c>
      <c r="Q559" s="1">
        <v>3</v>
      </c>
      <c r="R559" s="1">
        <v>2</v>
      </c>
      <c r="S559" s="3" t="s">
        <v>54</v>
      </c>
      <c r="T559" s="1">
        <v>1</v>
      </c>
      <c r="U559" s="3" t="s">
        <v>52</v>
      </c>
      <c r="V559" s="4">
        <v>5093</v>
      </c>
      <c r="W559" s="1">
        <v>4761</v>
      </c>
      <c r="X559" s="1">
        <v>2</v>
      </c>
      <c r="Y559" s="3" t="s">
        <v>42</v>
      </c>
      <c r="Z559" s="3" t="s">
        <v>43</v>
      </c>
      <c r="AA559" s="5">
        <v>0.11</v>
      </c>
      <c r="AB559" s="10" t="str" cm="1">
        <f t="array" ref="AB559">_xlfn.IFS(AA559 &lt;= 15%, "Low Hike[11-15%]", AA559 &lt;= 20%, "Moderate Hike[16-20%]", AA559 &lt;= 25%,"High Hike[21-25%]")</f>
        <v>Low Hike[11-15%]</v>
      </c>
      <c r="AC559" s="1">
        <v>3</v>
      </c>
      <c r="AD559" s="1">
        <v>1</v>
      </c>
      <c r="AE559" s="1">
        <v>80</v>
      </c>
      <c r="AF559" s="1">
        <v>1</v>
      </c>
      <c r="AG559" s="1">
        <v>16</v>
      </c>
      <c r="AH559" s="9" t="str" cm="1">
        <f t="array" ref="AH559">_xlfn.IFS(AG559 &lt;= 5, "New[1-5]", AG559 &lt;= 10, "Early Career[6-10]", AG559 &lt;= 20, "Established[11-20]", AG559 &lt;= 30, "Veteran[21-30]", AG559 &lt;= 40, "Late Career[31-40]")</f>
        <v>Established[11-20]</v>
      </c>
      <c r="AI559" s="1">
        <v>2</v>
      </c>
      <c r="AJ559" s="1">
        <v>4</v>
      </c>
      <c r="AK559" s="1">
        <v>1</v>
      </c>
      <c r="AL559" s="9" t="str" cm="1">
        <f t="array" ref="AL559">_xlfn.IFS(AK559 &lt;= 5, "New[1-5]", AK559 &lt;= 10, "Early Career[6-10]", AK559 &lt;= 20, "Established[11-20]", AK559 &lt;= 30, "Veteran[21-30]", AK559 &lt;= 40, "Late Career[31-40]")</f>
        <v>New[1-5]</v>
      </c>
      <c r="AM559" s="1">
        <v>0</v>
      </c>
      <c r="AN559" s="9" t="str" cm="1">
        <f t="array" ref="AN559">_xlfn.IFS(AM559 &lt;= 3, "New to Role[1-3]", AM559 &lt;= 7, "Settled[4-7]", AM559 &lt;= 12, "Experienced[[8-12]", AM559 &lt;= 18, "Long Tenured[13-18]")</f>
        <v>New to Role[1-3]</v>
      </c>
      <c r="AO559" s="1">
        <v>0</v>
      </c>
      <c r="AP559" s="9" t="str" cm="1">
        <f t="array" ref="AP559">_xlfn.IFS(AO559 &lt;= 3, "Recently[1-3]", AO559 &lt;= 6, "Due Soon[4-6]", AO559 &lt;= 10, "Overdue[7-10]", AO559 &lt;= 15, "Long Overdue[11-15]")</f>
        <v>Recently[1-3]</v>
      </c>
      <c r="AQ559" s="9" t="str" cm="1">
        <f t="array" ref="AQ559">_xlfn.IFS(AR559 &lt;= 3, "New Relationship[1-3]", AR559 &lt;= 7, "Established Relationship[4-7]", AR559 &lt;= 12, "Long Term Relationship[8-12]", AR559 &lt;= 17, "Very Long Term Relationship[13-17]")</f>
        <v>New Relationship[1-3]</v>
      </c>
      <c r="AR559" s="1">
        <v>0</v>
      </c>
    </row>
    <row r="560" spans="1:44" x14ac:dyDescent="0.25">
      <c r="A560" s="1">
        <v>32</v>
      </c>
      <c r="B560" s="8" t="str" cm="1">
        <f t="array" ref="B560">_xlfn.IFS(A560 &lt;= 25, "[18-25]", A560 &lt;= 35, "[26-35]", A560 &lt;=45, "[36-45]", A560 &lt;= 60, "[46- 60]")</f>
        <v>[26-35]</v>
      </c>
      <c r="C560" s="3" t="s">
        <v>43</v>
      </c>
      <c r="D560">
        <f t="shared" si="8"/>
        <v>0</v>
      </c>
      <c r="E560" t="s">
        <v>44</v>
      </c>
      <c r="F560" s="1">
        <v>430</v>
      </c>
      <c r="G560" s="3" t="s">
        <v>45</v>
      </c>
      <c r="H560" s="1">
        <v>24</v>
      </c>
      <c r="I560" s="9" t="str" cm="1">
        <f t="array" ref="I560">_xlfn.IFS(H560 &lt;= 2, "[1-2] very close", H560 &lt;= 10, "[3-10] close", H560 &lt;= 20, "[11-20] moderate", H560 &lt;= 30, "[21-30] far")</f>
        <v>[21-30] far</v>
      </c>
      <c r="J560" s="1">
        <v>4</v>
      </c>
      <c r="K560" s="3" t="s">
        <v>38</v>
      </c>
      <c r="L560" s="1">
        <v>1</v>
      </c>
      <c r="M560" s="1">
        <v>772</v>
      </c>
      <c r="N560" s="1">
        <v>1</v>
      </c>
      <c r="O560" s="3" t="s">
        <v>46</v>
      </c>
      <c r="P560" s="1">
        <v>80</v>
      </c>
      <c r="Q560" s="1">
        <v>3</v>
      </c>
      <c r="R560" s="1">
        <v>2</v>
      </c>
      <c r="S560" s="3" t="s">
        <v>50</v>
      </c>
      <c r="T560" s="1">
        <v>4</v>
      </c>
      <c r="U560" s="3" t="s">
        <v>48</v>
      </c>
      <c r="V560" s="4">
        <v>5309</v>
      </c>
      <c r="W560" s="1">
        <v>21146</v>
      </c>
      <c r="X560" s="1">
        <v>1</v>
      </c>
      <c r="Y560" s="3" t="s">
        <v>42</v>
      </c>
      <c r="Z560" s="3" t="s">
        <v>43</v>
      </c>
      <c r="AA560" s="5">
        <v>0.15</v>
      </c>
      <c r="AB560" s="10" t="str" cm="1">
        <f t="array" ref="AB560">_xlfn.IFS(AA560 &lt;= 15%, "Low Hike[11-15%]", AA560 &lt;= 20%, "Moderate Hike[16-20%]", AA560 &lt;= 25%,"High Hike[21-25%]")</f>
        <v>Low Hike[11-15%]</v>
      </c>
      <c r="AC560" s="1">
        <v>3</v>
      </c>
      <c r="AD560" s="1">
        <v>4</v>
      </c>
      <c r="AE560" s="1">
        <v>80</v>
      </c>
      <c r="AF560" s="1">
        <v>2</v>
      </c>
      <c r="AG560" s="1">
        <v>10</v>
      </c>
      <c r="AH560" s="9" t="str" cm="1">
        <f t="array" ref="AH560">_xlfn.IFS(AG560 &lt;= 5, "New[1-5]", AG560 &lt;= 10, "Early Career[6-10]", AG560 &lt;= 20, "Established[11-20]", AG560 &lt;= 30, "Veteran[21-30]", AG560 &lt;= 40, "Late Career[31-40]")</f>
        <v>Early Career[6-10]</v>
      </c>
      <c r="AI560" s="1">
        <v>2</v>
      </c>
      <c r="AJ560" s="1">
        <v>3</v>
      </c>
      <c r="AK560" s="1">
        <v>10</v>
      </c>
      <c r="AL560" s="9" t="str" cm="1">
        <f t="array" ref="AL560">_xlfn.IFS(AK560 &lt;= 5, "New[1-5]", AK560 &lt;= 10, "Early Career[6-10]", AK560 &lt;= 20, "Established[11-20]", AK560 &lt;= 30, "Veteran[21-30]", AK560 &lt;= 40, "Late Career[31-40]")</f>
        <v>Early Career[6-10]</v>
      </c>
      <c r="AM560" s="1">
        <v>8</v>
      </c>
      <c r="AN560" s="9" t="str" cm="1">
        <f t="array" ref="AN560">_xlfn.IFS(AM560 &lt;= 3, "New to Role[1-3]", AM560 &lt;= 7, "Settled[4-7]", AM560 &lt;= 12, "Experienced[[8-12]", AM560 &lt;= 18, "Long Tenured[13-18]")</f>
        <v>Experienced[[8-12]</v>
      </c>
      <c r="AO560" s="1">
        <v>4</v>
      </c>
      <c r="AP560" s="9" t="str" cm="1">
        <f t="array" ref="AP560">_xlfn.IFS(AO560 &lt;= 3, "Recently[1-3]", AO560 &lt;= 6, "Due Soon[4-6]", AO560 &lt;= 10, "Overdue[7-10]", AO560 &lt;= 15, "Long Overdue[11-15]")</f>
        <v>Due Soon[4-6]</v>
      </c>
      <c r="AQ560" s="9" t="str" cm="1">
        <f t="array" ref="AQ560">_xlfn.IFS(AR560 &lt;= 3, "New Relationship[1-3]", AR560 &lt;= 7, "Established Relationship[4-7]", AR560 &lt;= 12, "Long Term Relationship[8-12]", AR560 &lt;= 17, "Very Long Term Relationship[13-17]")</f>
        <v>Established Relationship[4-7]</v>
      </c>
      <c r="AR560" s="1">
        <v>7</v>
      </c>
    </row>
    <row r="561" spans="1:44" x14ac:dyDescent="0.25">
      <c r="A561" s="1">
        <v>38</v>
      </c>
      <c r="B561" s="8" t="str" cm="1">
        <f t="array" ref="B561">_xlfn.IFS(A561 &lt;= 25, "[18-25]", A561 &lt;= 35, "[26-35]", A561 &lt;=45, "[36-45]", A561 &lt;= 60, "[46- 60]")</f>
        <v>[36-45]</v>
      </c>
      <c r="C561" s="3" t="s">
        <v>43</v>
      </c>
      <c r="D561">
        <f t="shared" si="8"/>
        <v>0</v>
      </c>
      <c r="E561" t="s">
        <v>36</v>
      </c>
      <c r="F561" s="1">
        <v>268</v>
      </c>
      <c r="G561" s="3" t="s">
        <v>45</v>
      </c>
      <c r="H561" s="1">
        <v>2</v>
      </c>
      <c r="I561" s="9" t="str" cm="1">
        <f t="array" ref="I561">_xlfn.IFS(H561 &lt;= 2, "[1-2] very close", H561 &lt;= 10, "[3-10] close", H561 &lt;= 20, "[11-20] moderate", H561 &lt;= 30, "[21-30] far")</f>
        <v>[1-2] very close</v>
      </c>
      <c r="J561" s="1">
        <v>5</v>
      </c>
      <c r="K561" s="3" t="s">
        <v>51</v>
      </c>
      <c r="L561" s="1">
        <v>1</v>
      </c>
      <c r="M561" s="1">
        <v>773</v>
      </c>
      <c r="N561" s="1">
        <v>4</v>
      </c>
      <c r="O561" s="3" t="s">
        <v>46</v>
      </c>
      <c r="P561" s="1">
        <v>92</v>
      </c>
      <c r="Q561" s="1">
        <v>3</v>
      </c>
      <c r="R561" s="1">
        <v>1</v>
      </c>
      <c r="S561" s="3" t="s">
        <v>47</v>
      </c>
      <c r="T561" s="1">
        <v>3</v>
      </c>
      <c r="U561" s="3" t="s">
        <v>48</v>
      </c>
      <c r="V561" s="4">
        <v>3057</v>
      </c>
      <c r="W561" s="1">
        <v>20471</v>
      </c>
      <c r="X561" s="1">
        <v>6</v>
      </c>
      <c r="Y561" s="3" t="s">
        <v>42</v>
      </c>
      <c r="Z561" s="3" t="s">
        <v>35</v>
      </c>
      <c r="AA561" s="5">
        <v>0.13</v>
      </c>
      <c r="AB561" s="10" t="str" cm="1">
        <f t="array" ref="AB561">_xlfn.IFS(AA561 &lt;= 15%, "Low Hike[11-15%]", AA561 &lt;= 20%, "Moderate Hike[16-20%]", AA561 &lt;= 25%,"High Hike[21-25%]")</f>
        <v>Low Hike[11-15%]</v>
      </c>
      <c r="AC561" s="1">
        <v>3</v>
      </c>
      <c r="AD561" s="1">
        <v>2</v>
      </c>
      <c r="AE561" s="1">
        <v>80</v>
      </c>
      <c r="AF561" s="1">
        <v>1</v>
      </c>
      <c r="AG561" s="1">
        <v>6</v>
      </c>
      <c r="AH561" s="9" t="str" cm="1">
        <f t="array" ref="AH561">_xlfn.IFS(AG561 &lt;= 5, "New[1-5]", AG561 &lt;= 10, "Early Career[6-10]", AG561 &lt;= 20, "Established[11-20]", AG561 &lt;= 30, "Veteran[21-30]", AG561 &lt;= 40, "Late Career[31-40]")</f>
        <v>Early Career[6-10]</v>
      </c>
      <c r="AI561" s="1">
        <v>0</v>
      </c>
      <c r="AJ561" s="1">
        <v>1</v>
      </c>
      <c r="AK561" s="1">
        <v>1</v>
      </c>
      <c r="AL561" s="9" t="str" cm="1">
        <f t="array" ref="AL561">_xlfn.IFS(AK561 &lt;= 5, "New[1-5]", AK561 &lt;= 10, "Early Career[6-10]", AK561 &lt;= 20, "Established[11-20]", AK561 &lt;= 30, "Veteran[21-30]", AK561 &lt;= 40, "Late Career[31-40]")</f>
        <v>New[1-5]</v>
      </c>
      <c r="AM561" s="1">
        <v>0</v>
      </c>
      <c r="AN561" s="9" t="str" cm="1">
        <f t="array" ref="AN561">_xlfn.IFS(AM561 &lt;= 3, "New to Role[1-3]", AM561 &lt;= 7, "Settled[4-7]", AM561 &lt;= 12, "Experienced[[8-12]", AM561 &lt;= 18, "Long Tenured[13-18]")</f>
        <v>New to Role[1-3]</v>
      </c>
      <c r="AO561" s="1">
        <v>0</v>
      </c>
      <c r="AP561" s="9" t="str" cm="1">
        <f t="array" ref="AP561">_xlfn.IFS(AO561 &lt;= 3, "Recently[1-3]", AO561 &lt;= 6, "Due Soon[4-6]", AO561 &lt;= 10, "Overdue[7-10]", AO561 &lt;= 15, "Long Overdue[11-15]")</f>
        <v>Recently[1-3]</v>
      </c>
      <c r="AQ561" s="9" t="str" cm="1">
        <f t="array" ref="AQ561">_xlfn.IFS(AR561 &lt;= 3, "New Relationship[1-3]", AR561 &lt;= 7, "Established Relationship[4-7]", AR561 &lt;= 12, "Long Term Relationship[8-12]", AR561 &lt;= 17, "Very Long Term Relationship[13-17]")</f>
        <v>New Relationship[1-3]</v>
      </c>
      <c r="AR561" s="1">
        <v>1</v>
      </c>
    </row>
    <row r="562" spans="1:44" x14ac:dyDescent="0.25">
      <c r="A562" s="1">
        <v>34</v>
      </c>
      <c r="B562" s="8" t="str" cm="1">
        <f t="array" ref="B562">_xlfn.IFS(A562 &lt;= 25, "[18-25]", A562 &lt;= 35, "[26-35]", A562 &lt;=45, "[36-45]", A562 &lt;= 60, "[46- 60]")</f>
        <v>[26-35]</v>
      </c>
      <c r="C562" s="3" t="s">
        <v>43</v>
      </c>
      <c r="D562">
        <f t="shared" si="8"/>
        <v>0</v>
      </c>
      <c r="E562" t="s">
        <v>36</v>
      </c>
      <c r="F562" s="1">
        <v>167</v>
      </c>
      <c r="G562" s="3" t="s">
        <v>45</v>
      </c>
      <c r="H562" s="1">
        <v>8</v>
      </c>
      <c r="I562" s="9" t="str" cm="1">
        <f t="array" ref="I562">_xlfn.IFS(H562 &lt;= 2, "[1-2] very close", H562 &lt;= 10, "[3-10] close", H562 &lt;= 20, "[11-20] moderate", H562 &lt;= 30, "[21-30] far")</f>
        <v>[3-10] close</v>
      </c>
      <c r="J562" s="1">
        <v>5</v>
      </c>
      <c r="K562" s="3" t="s">
        <v>38</v>
      </c>
      <c r="L562" s="1">
        <v>1</v>
      </c>
      <c r="M562" s="1">
        <v>775</v>
      </c>
      <c r="N562" s="1">
        <v>2</v>
      </c>
      <c r="O562" s="3" t="s">
        <v>39</v>
      </c>
      <c r="P562" s="1">
        <v>32</v>
      </c>
      <c r="Q562" s="1">
        <v>3</v>
      </c>
      <c r="R562" s="1">
        <v>2</v>
      </c>
      <c r="S562" s="3" t="s">
        <v>53</v>
      </c>
      <c r="T562" s="1">
        <v>1</v>
      </c>
      <c r="U562" s="3" t="s">
        <v>52</v>
      </c>
      <c r="V562" s="4">
        <v>5121</v>
      </c>
      <c r="W562" s="1">
        <v>4187</v>
      </c>
      <c r="X562" s="1">
        <v>3</v>
      </c>
      <c r="Y562" s="3" t="s">
        <v>42</v>
      </c>
      <c r="Z562" s="3" t="s">
        <v>43</v>
      </c>
      <c r="AA562" s="5">
        <v>0.14000000000000001</v>
      </c>
      <c r="AB562" s="10" t="str" cm="1">
        <f t="array" ref="AB562">_xlfn.IFS(AA562 &lt;= 15%, "Low Hike[11-15%]", AA562 &lt;= 20%, "Moderate Hike[16-20%]", AA562 &lt;= 25%,"High Hike[21-25%]")</f>
        <v>Low Hike[11-15%]</v>
      </c>
      <c r="AC562" s="1">
        <v>3</v>
      </c>
      <c r="AD562" s="1">
        <v>3</v>
      </c>
      <c r="AE562" s="1">
        <v>80</v>
      </c>
      <c r="AF562" s="1">
        <v>1</v>
      </c>
      <c r="AG562" s="1">
        <v>7</v>
      </c>
      <c r="AH562" s="9" t="str" cm="1">
        <f t="array" ref="AH562">_xlfn.IFS(AG562 &lt;= 5, "New[1-5]", AG562 &lt;= 10, "Early Career[6-10]", AG562 &lt;= 20, "Established[11-20]", AG562 &lt;= 30, "Veteran[21-30]", AG562 &lt;= 40, "Late Career[31-40]")</f>
        <v>Early Career[6-10]</v>
      </c>
      <c r="AI562" s="1">
        <v>3</v>
      </c>
      <c r="AJ562" s="1">
        <v>3</v>
      </c>
      <c r="AK562" s="1">
        <v>0</v>
      </c>
      <c r="AL562" s="9" t="str" cm="1">
        <f t="array" ref="AL562">_xlfn.IFS(AK562 &lt;= 5, "New[1-5]", AK562 &lt;= 10, "Early Career[6-10]", AK562 &lt;= 20, "Established[11-20]", AK562 &lt;= 30, "Veteran[21-30]", AK562 &lt;= 40, "Late Career[31-40]")</f>
        <v>New[1-5]</v>
      </c>
      <c r="AM562" s="1">
        <v>0</v>
      </c>
      <c r="AN562" s="9" t="str" cm="1">
        <f t="array" ref="AN562">_xlfn.IFS(AM562 &lt;= 3, "New to Role[1-3]", AM562 &lt;= 7, "Settled[4-7]", AM562 &lt;= 12, "Experienced[[8-12]", AM562 &lt;= 18, "Long Tenured[13-18]")</f>
        <v>New to Role[1-3]</v>
      </c>
      <c r="AO562" s="1">
        <v>0</v>
      </c>
      <c r="AP562" s="9" t="str" cm="1">
        <f t="array" ref="AP562">_xlfn.IFS(AO562 &lt;= 3, "Recently[1-3]", AO562 &lt;= 6, "Due Soon[4-6]", AO562 &lt;= 10, "Overdue[7-10]", AO562 &lt;= 15, "Long Overdue[11-15]")</f>
        <v>Recently[1-3]</v>
      </c>
      <c r="AQ562" s="9" t="str" cm="1">
        <f t="array" ref="AQ562">_xlfn.IFS(AR562 &lt;= 3, "New Relationship[1-3]", AR562 &lt;= 7, "Established Relationship[4-7]", AR562 &lt;= 12, "Long Term Relationship[8-12]", AR562 &lt;= 17, "Very Long Term Relationship[13-17]")</f>
        <v>New Relationship[1-3]</v>
      </c>
      <c r="AR562" s="1">
        <v>0</v>
      </c>
    </row>
    <row r="563" spans="1:44" x14ac:dyDescent="0.25">
      <c r="A563" s="1">
        <v>52</v>
      </c>
      <c r="B563" s="8" t="str" cm="1">
        <f t="array" ref="B563">_xlfn.IFS(A563 &lt;= 25, "[18-25]", A563 &lt;= 35, "[26-35]", A563 &lt;=45, "[36-45]", A563 &lt;= 60, "[46- 60]")</f>
        <v>[46- 60]</v>
      </c>
      <c r="C563" s="3" t="s">
        <v>43</v>
      </c>
      <c r="D563">
        <f t="shared" si="8"/>
        <v>0</v>
      </c>
      <c r="E563" t="s">
        <v>36</v>
      </c>
      <c r="F563" s="1">
        <v>621</v>
      </c>
      <c r="G563" s="3" t="s">
        <v>37</v>
      </c>
      <c r="H563" s="1">
        <v>3</v>
      </c>
      <c r="I563" s="9" t="str" cm="1">
        <f t="array" ref="I563">_xlfn.IFS(H563 &lt;= 2, "[1-2] very close", H563 &lt;= 10, "[3-10] close", H563 &lt;= 20, "[11-20] moderate", H563 &lt;= 30, "[21-30] far")</f>
        <v>[3-10] close</v>
      </c>
      <c r="J563" s="1">
        <v>4</v>
      </c>
      <c r="K563" s="3" t="s">
        <v>59</v>
      </c>
      <c r="L563" s="1">
        <v>1</v>
      </c>
      <c r="M563" s="1">
        <v>776</v>
      </c>
      <c r="N563" s="1">
        <v>3</v>
      </c>
      <c r="O563" s="3" t="s">
        <v>46</v>
      </c>
      <c r="P563" s="1">
        <v>31</v>
      </c>
      <c r="Q563" s="1">
        <v>2</v>
      </c>
      <c r="R563" s="1">
        <v>4</v>
      </c>
      <c r="S563" s="3" t="s">
        <v>56</v>
      </c>
      <c r="T563" s="1">
        <v>1</v>
      </c>
      <c r="U563" s="3" t="s">
        <v>48</v>
      </c>
      <c r="V563" s="4">
        <v>16856</v>
      </c>
      <c r="W563" s="1">
        <v>10084</v>
      </c>
      <c r="X563" s="1">
        <v>1</v>
      </c>
      <c r="Y563" s="3" t="s">
        <v>42</v>
      </c>
      <c r="Z563" s="3" t="s">
        <v>43</v>
      </c>
      <c r="AA563" s="5">
        <v>0.11</v>
      </c>
      <c r="AB563" s="10" t="str" cm="1">
        <f t="array" ref="AB563">_xlfn.IFS(AA563 &lt;= 15%, "Low Hike[11-15%]", AA563 &lt;= 20%, "Moderate Hike[16-20%]", AA563 &lt;= 25%,"High Hike[21-25%]")</f>
        <v>Low Hike[11-15%]</v>
      </c>
      <c r="AC563" s="1">
        <v>3</v>
      </c>
      <c r="AD563" s="1">
        <v>1</v>
      </c>
      <c r="AE563" s="1">
        <v>80</v>
      </c>
      <c r="AF563" s="1">
        <v>0</v>
      </c>
      <c r="AG563" s="1">
        <v>34</v>
      </c>
      <c r="AH563" s="9" t="str" cm="1">
        <f t="array" ref="AH563">_xlfn.IFS(AG563 &lt;= 5, "New[1-5]", AG563 &lt;= 10, "Early Career[6-10]", AG563 &lt;= 20, "Established[11-20]", AG563 &lt;= 30, "Veteran[21-30]", AG563 &lt;= 40, "Late Career[31-40]")</f>
        <v>Late Career[31-40]</v>
      </c>
      <c r="AI563" s="1">
        <v>3</v>
      </c>
      <c r="AJ563" s="1">
        <v>4</v>
      </c>
      <c r="AK563" s="1">
        <v>34</v>
      </c>
      <c r="AL563" s="9" t="str" cm="1">
        <f t="array" ref="AL563">_xlfn.IFS(AK563 &lt;= 5, "New[1-5]", AK563 &lt;= 10, "Early Career[6-10]", AK563 &lt;= 20, "Established[11-20]", AK563 &lt;= 30, "Veteran[21-30]", AK563 &lt;= 40, "Late Career[31-40]")</f>
        <v>Late Career[31-40]</v>
      </c>
      <c r="AM563" s="1">
        <v>6</v>
      </c>
      <c r="AN563" s="9" t="str" cm="1">
        <f t="array" ref="AN563">_xlfn.IFS(AM563 &lt;= 3, "New to Role[1-3]", AM563 &lt;= 7, "Settled[4-7]", AM563 &lt;= 12, "Experienced[[8-12]", AM563 &lt;= 18, "Long Tenured[13-18]")</f>
        <v>Settled[4-7]</v>
      </c>
      <c r="AO563" s="1">
        <v>1</v>
      </c>
      <c r="AP563" s="9" t="str" cm="1">
        <f t="array" ref="AP563">_xlfn.IFS(AO563 &lt;= 3, "Recently[1-3]", AO563 &lt;= 6, "Due Soon[4-6]", AO563 &lt;= 10, "Overdue[7-10]", AO563 &lt;= 15, "Long Overdue[11-15]")</f>
        <v>Recently[1-3]</v>
      </c>
      <c r="AQ563" s="9" t="str" cm="1">
        <f t="array" ref="AQ563">_xlfn.IFS(AR563 &lt;= 3, "New Relationship[1-3]", AR563 &lt;= 7, "Established Relationship[4-7]", AR563 &lt;= 12, "Long Term Relationship[8-12]", AR563 &lt;= 17, "Very Long Term Relationship[13-17]")</f>
        <v>Very Long Term Relationship[13-17]</v>
      </c>
      <c r="AR563" s="1">
        <v>16</v>
      </c>
    </row>
    <row r="564" spans="1:44" x14ac:dyDescent="0.25">
      <c r="A564" s="1">
        <v>33</v>
      </c>
      <c r="B564" s="8" t="str" cm="1">
        <f t="array" ref="B564">_xlfn.IFS(A564 &lt;= 25, "[18-25]", A564 &lt;= 35, "[26-35]", A564 &lt;=45, "[36-45]", A564 &lt;= 60, "[46- 60]")</f>
        <v>[26-35]</v>
      </c>
      <c r="C564" s="3" t="s">
        <v>35</v>
      </c>
      <c r="D564">
        <f t="shared" si="8"/>
        <v>1</v>
      </c>
      <c r="E564" t="s">
        <v>36</v>
      </c>
      <c r="F564" s="1">
        <v>527</v>
      </c>
      <c r="G564" s="3" t="s">
        <v>45</v>
      </c>
      <c r="H564" s="1">
        <v>1</v>
      </c>
      <c r="I564" s="9" t="str" cm="1">
        <f t="array" ref="I564">_xlfn.IFS(H564 &lt;= 2, "[1-2] very close", H564 &lt;= 10, "[3-10] close", H564 &lt;= 20, "[11-20] moderate", H564 &lt;= 30, "[21-30] far")</f>
        <v>[1-2] very close</v>
      </c>
      <c r="J564" s="1">
        <v>4</v>
      </c>
      <c r="K564" s="3" t="s">
        <v>49</v>
      </c>
      <c r="L564" s="1">
        <v>1</v>
      </c>
      <c r="M564" s="1">
        <v>780</v>
      </c>
      <c r="N564" s="1">
        <v>4</v>
      </c>
      <c r="O564" s="3" t="s">
        <v>46</v>
      </c>
      <c r="P564" s="1">
        <v>63</v>
      </c>
      <c r="Q564" s="1">
        <v>3</v>
      </c>
      <c r="R564" s="1">
        <v>1</v>
      </c>
      <c r="S564" s="3" t="s">
        <v>47</v>
      </c>
      <c r="T564" s="1">
        <v>4</v>
      </c>
      <c r="U564" s="3" t="s">
        <v>41</v>
      </c>
      <c r="V564" s="4">
        <v>2686</v>
      </c>
      <c r="W564" s="1">
        <v>5207</v>
      </c>
      <c r="X564" s="1">
        <v>1</v>
      </c>
      <c r="Y564" s="3" t="s">
        <v>42</v>
      </c>
      <c r="Z564" s="3" t="s">
        <v>35</v>
      </c>
      <c r="AA564" s="5">
        <v>0.13</v>
      </c>
      <c r="AB564" s="10" t="str" cm="1">
        <f t="array" ref="AB564">_xlfn.IFS(AA564 &lt;= 15%, "Low Hike[11-15%]", AA564 &lt;= 20%, "Moderate Hike[16-20%]", AA564 &lt;= 25%,"High Hike[21-25%]")</f>
        <v>Low Hike[11-15%]</v>
      </c>
      <c r="AC564" s="1">
        <v>3</v>
      </c>
      <c r="AD564" s="1">
        <v>3</v>
      </c>
      <c r="AE564" s="1">
        <v>80</v>
      </c>
      <c r="AF564" s="1">
        <v>0</v>
      </c>
      <c r="AG564" s="1">
        <v>10</v>
      </c>
      <c r="AH564" s="9" t="str" cm="1">
        <f t="array" ref="AH564">_xlfn.IFS(AG564 &lt;= 5, "New[1-5]", AG564 &lt;= 10, "Early Career[6-10]", AG564 &lt;= 20, "Established[11-20]", AG564 &lt;= 30, "Veteran[21-30]", AG564 &lt;= 40, "Late Career[31-40]")</f>
        <v>Early Career[6-10]</v>
      </c>
      <c r="AI564" s="1">
        <v>2</v>
      </c>
      <c r="AJ564" s="1">
        <v>2</v>
      </c>
      <c r="AK564" s="1">
        <v>10</v>
      </c>
      <c r="AL564" s="9" t="str" cm="1">
        <f t="array" ref="AL564">_xlfn.IFS(AK564 &lt;= 5, "New[1-5]", AK564 &lt;= 10, "Early Career[6-10]", AK564 &lt;= 20, "Established[11-20]", AK564 &lt;= 30, "Veteran[21-30]", AK564 &lt;= 40, "Late Career[31-40]")</f>
        <v>Early Career[6-10]</v>
      </c>
      <c r="AM564" s="1">
        <v>9</v>
      </c>
      <c r="AN564" s="9" t="str" cm="1">
        <f t="array" ref="AN564">_xlfn.IFS(AM564 &lt;= 3, "New to Role[1-3]", AM564 &lt;= 7, "Settled[4-7]", AM564 &lt;= 12, "Experienced[[8-12]", AM564 &lt;= 18, "Long Tenured[13-18]")</f>
        <v>Experienced[[8-12]</v>
      </c>
      <c r="AO564" s="1">
        <v>7</v>
      </c>
      <c r="AP564" s="9" t="str" cm="1">
        <f t="array" ref="AP564">_xlfn.IFS(AO564 &lt;= 3, "Recently[1-3]", AO564 &lt;= 6, "Due Soon[4-6]", AO564 &lt;= 10, "Overdue[7-10]", AO564 &lt;= 15, "Long Overdue[11-15]")</f>
        <v>Overdue[7-10]</v>
      </c>
      <c r="AQ564" s="9" t="str" cm="1">
        <f t="array" ref="AQ564">_xlfn.IFS(AR564 &lt;= 3, "New Relationship[1-3]", AR564 &lt;= 7, "Established Relationship[4-7]", AR564 &lt;= 12, "Long Term Relationship[8-12]", AR564 &lt;= 17, "Very Long Term Relationship[13-17]")</f>
        <v>Long Term Relationship[8-12]</v>
      </c>
      <c r="AR564" s="1">
        <v>8</v>
      </c>
    </row>
    <row r="565" spans="1:44" x14ac:dyDescent="0.25">
      <c r="A565" s="1">
        <v>25</v>
      </c>
      <c r="B565" s="8" t="str" cm="1">
        <f t="array" ref="B565">_xlfn.IFS(A565 &lt;= 25, "[18-25]", A565 &lt;= 35, "[26-35]", A565 &lt;=45, "[36-45]", A565 &lt;= 60, "[46- 60]")</f>
        <v>[18-25]</v>
      </c>
      <c r="C565" s="3" t="s">
        <v>43</v>
      </c>
      <c r="D565">
        <f t="shared" si="8"/>
        <v>0</v>
      </c>
      <c r="E565" t="s">
        <v>36</v>
      </c>
      <c r="F565" s="1">
        <v>883</v>
      </c>
      <c r="G565" s="3" t="s">
        <v>37</v>
      </c>
      <c r="H565" s="1">
        <v>26</v>
      </c>
      <c r="I565" s="9" t="str" cm="1">
        <f t="array" ref="I565">_xlfn.IFS(H565 &lt;= 2, "[1-2] very close", H565 &lt;= 10, "[3-10] close", H565 &lt;= 20, "[11-20] moderate", H565 &lt;= 30, "[21-30] far")</f>
        <v>[21-30] far</v>
      </c>
      <c r="J565" s="1">
        <v>1</v>
      </c>
      <c r="K565" s="3" t="s">
        <v>51</v>
      </c>
      <c r="L565" s="1">
        <v>1</v>
      </c>
      <c r="M565" s="1">
        <v>781</v>
      </c>
      <c r="N565" s="1">
        <v>3</v>
      </c>
      <c r="O565" s="3" t="s">
        <v>39</v>
      </c>
      <c r="P565" s="1">
        <v>32</v>
      </c>
      <c r="Q565" s="1">
        <v>3</v>
      </c>
      <c r="R565" s="1">
        <v>2</v>
      </c>
      <c r="S565" s="3" t="s">
        <v>40</v>
      </c>
      <c r="T565" s="1">
        <v>4</v>
      </c>
      <c r="U565" s="3" t="s">
        <v>41</v>
      </c>
      <c r="V565" s="4">
        <v>6180</v>
      </c>
      <c r="W565" s="1">
        <v>22807</v>
      </c>
      <c r="X565" s="1">
        <v>1</v>
      </c>
      <c r="Y565" s="3" t="s">
        <v>42</v>
      </c>
      <c r="Z565" s="3" t="s">
        <v>43</v>
      </c>
      <c r="AA565" s="5">
        <v>0.23</v>
      </c>
      <c r="AB565" s="10" t="str" cm="1">
        <f t="array" ref="AB565">_xlfn.IFS(AA565 &lt;= 15%, "Low Hike[11-15%]", AA565 &lt;= 20%, "Moderate Hike[16-20%]", AA565 &lt;= 25%,"High Hike[21-25%]")</f>
        <v>High Hike[21-25%]</v>
      </c>
      <c r="AC565" s="1">
        <v>4</v>
      </c>
      <c r="AD565" s="1">
        <v>2</v>
      </c>
      <c r="AE565" s="1">
        <v>80</v>
      </c>
      <c r="AF565" s="1">
        <v>0</v>
      </c>
      <c r="AG565" s="1">
        <v>6</v>
      </c>
      <c r="AH565" s="9" t="str" cm="1">
        <f t="array" ref="AH565">_xlfn.IFS(AG565 &lt;= 5, "New[1-5]", AG565 &lt;= 10, "Early Career[6-10]", AG565 &lt;= 20, "Established[11-20]", AG565 &lt;= 30, "Veteran[21-30]", AG565 &lt;= 40, "Late Career[31-40]")</f>
        <v>Early Career[6-10]</v>
      </c>
      <c r="AI565" s="1">
        <v>5</v>
      </c>
      <c r="AJ565" s="1">
        <v>2</v>
      </c>
      <c r="AK565" s="1">
        <v>6</v>
      </c>
      <c r="AL565" s="9" t="str" cm="1">
        <f t="array" ref="AL565">_xlfn.IFS(AK565 &lt;= 5, "New[1-5]", AK565 &lt;= 10, "Early Career[6-10]", AK565 &lt;= 20, "Established[11-20]", AK565 &lt;= 30, "Veteran[21-30]", AK565 &lt;= 40, "Late Career[31-40]")</f>
        <v>Early Career[6-10]</v>
      </c>
      <c r="AM565" s="1">
        <v>5</v>
      </c>
      <c r="AN565" s="9" t="str" cm="1">
        <f t="array" ref="AN565">_xlfn.IFS(AM565 &lt;= 3, "New to Role[1-3]", AM565 &lt;= 7, "Settled[4-7]", AM565 &lt;= 12, "Experienced[[8-12]", AM565 &lt;= 18, "Long Tenured[13-18]")</f>
        <v>Settled[4-7]</v>
      </c>
      <c r="AO565" s="1">
        <v>1</v>
      </c>
      <c r="AP565" s="9" t="str" cm="1">
        <f t="array" ref="AP565">_xlfn.IFS(AO565 &lt;= 3, "Recently[1-3]", AO565 &lt;= 6, "Due Soon[4-6]", AO565 &lt;= 10, "Overdue[7-10]", AO565 &lt;= 15, "Long Overdue[11-15]")</f>
        <v>Recently[1-3]</v>
      </c>
      <c r="AQ565" s="9" t="str" cm="1">
        <f t="array" ref="AQ565">_xlfn.IFS(AR565 &lt;= 3, "New Relationship[1-3]", AR565 &lt;= 7, "Established Relationship[4-7]", AR565 &lt;= 12, "Long Term Relationship[8-12]", AR565 &lt;= 17, "Very Long Term Relationship[13-17]")</f>
        <v>Established Relationship[4-7]</v>
      </c>
      <c r="AR565" s="1">
        <v>4</v>
      </c>
    </row>
    <row r="566" spans="1:44" x14ac:dyDescent="0.25">
      <c r="A566" s="1">
        <v>45</v>
      </c>
      <c r="B566" s="8" t="str" cm="1">
        <f t="array" ref="B566">_xlfn.IFS(A566 &lt;= 25, "[18-25]", A566 &lt;= 35, "[26-35]", A566 &lt;=45, "[36-45]", A566 &lt;= 60, "[46- 60]")</f>
        <v>[36-45]</v>
      </c>
      <c r="C566" s="3" t="s">
        <v>43</v>
      </c>
      <c r="D566">
        <f t="shared" si="8"/>
        <v>0</v>
      </c>
      <c r="E566" t="s">
        <v>36</v>
      </c>
      <c r="F566" s="1">
        <v>954</v>
      </c>
      <c r="G566" s="3" t="s">
        <v>37</v>
      </c>
      <c r="H566" s="1">
        <v>2</v>
      </c>
      <c r="I566" s="9" t="str" cm="1">
        <f t="array" ref="I566">_xlfn.IFS(H566 &lt;= 2, "[1-2] very close", H566 &lt;= 10, "[3-10] close", H566 &lt;= 20, "[11-20] moderate", H566 &lt;= 30, "[21-30] far")</f>
        <v>[1-2] very close</v>
      </c>
      <c r="J566" s="1">
        <v>2</v>
      </c>
      <c r="K566" s="3" t="s">
        <v>60</v>
      </c>
      <c r="L566" s="1">
        <v>1</v>
      </c>
      <c r="M566" s="1">
        <v>783</v>
      </c>
      <c r="N566" s="1">
        <v>2</v>
      </c>
      <c r="O566" s="3" t="s">
        <v>46</v>
      </c>
      <c r="P566" s="1">
        <v>46</v>
      </c>
      <c r="Q566" s="1">
        <v>1</v>
      </c>
      <c r="R566" s="1">
        <v>2</v>
      </c>
      <c r="S566" s="3" t="s">
        <v>57</v>
      </c>
      <c r="T566" s="1">
        <v>3</v>
      </c>
      <c r="U566" s="3" t="s">
        <v>41</v>
      </c>
      <c r="V566" s="4">
        <v>6632</v>
      </c>
      <c r="W566" s="1">
        <v>12388</v>
      </c>
      <c r="X566" s="1">
        <v>0</v>
      </c>
      <c r="Y566" s="3" t="s">
        <v>42</v>
      </c>
      <c r="Z566" s="3" t="s">
        <v>43</v>
      </c>
      <c r="AA566" s="5">
        <v>0.13</v>
      </c>
      <c r="AB566" s="10" t="str" cm="1">
        <f t="array" ref="AB566">_xlfn.IFS(AA566 &lt;= 15%, "Low Hike[11-15%]", AA566 &lt;= 20%, "Moderate Hike[16-20%]", AA566 &lt;= 25%,"High Hike[21-25%]")</f>
        <v>Low Hike[11-15%]</v>
      </c>
      <c r="AC566" s="1">
        <v>3</v>
      </c>
      <c r="AD566" s="1">
        <v>1</v>
      </c>
      <c r="AE566" s="1">
        <v>80</v>
      </c>
      <c r="AF566" s="1">
        <v>0</v>
      </c>
      <c r="AG566" s="1">
        <v>9</v>
      </c>
      <c r="AH566" s="9" t="str" cm="1">
        <f t="array" ref="AH566">_xlfn.IFS(AG566 &lt;= 5, "New[1-5]", AG566 &lt;= 10, "Early Career[6-10]", AG566 &lt;= 20, "Established[11-20]", AG566 &lt;= 30, "Veteran[21-30]", AG566 &lt;= 40, "Late Career[31-40]")</f>
        <v>Early Career[6-10]</v>
      </c>
      <c r="AI566" s="1">
        <v>3</v>
      </c>
      <c r="AJ566" s="1">
        <v>3</v>
      </c>
      <c r="AK566" s="1">
        <v>8</v>
      </c>
      <c r="AL566" s="9" t="str" cm="1">
        <f t="array" ref="AL566">_xlfn.IFS(AK566 &lt;= 5, "New[1-5]", AK566 &lt;= 10, "Early Career[6-10]", AK566 &lt;= 20, "Established[11-20]", AK566 &lt;= 30, "Veteran[21-30]", AK566 &lt;= 40, "Late Career[31-40]")</f>
        <v>Early Career[6-10]</v>
      </c>
      <c r="AM566" s="1">
        <v>7</v>
      </c>
      <c r="AN566" s="9" t="str" cm="1">
        <f t="array" ref="AN566">_xlfn.IFS(AM566 &lt;= 3, "New to Role[1-3]", AM566 &lt;= 7, "Settled[4-7]", AM566 &lt;= 12, "Experienced[[8-12]", AM566 &lt;= 18, "Long Tenured[13-18]")</f>
        <v>Settled[4-7]</v>
      </c>
      <c r="AO566" s="1">
        <v>3</v>
      </c>
      <c r="AP566" s="9" t="str" cm="1">
        <f t="array" ref="AP566">_xlfn.IFS(AO566 &lt;= 3, "Recently[1-3]", AO566 &lt;= 6, "Due Soon[4-6]", AO566 &lt;= 10, "Overdue[7-10]", AO566 &lt;= 15, "Long Overdue[11-15]")</f>
        <v>Recently[1-3]</v>
      </c>
      <c r="AQ566" s="9" t="str" cm="1">
        <f t="array" ref="AQ566">_xlfn.IFS(AR566 &lt;= 3, "New Relationship[1-3]", AR566 &lt;= 7, "Established Relationship[4-7]", AR566 &lt;= 12, "Long Term Relationship[8-12]", AR566 &lt;= 17, "Very Long Term Relationship[13-17]")</f>
        <v>New Relationship[1-3]</v>
      </c>
      <c r="AR566" s="1">
        <v>1</v>
      </c>
    </row>
    <row r="567" spans="1:44" x14ac:dyDescent="0.25">
      <c r="A567" s="1">
        <v>23</v>
      </c>
      <c r="B567" s="8" t="str" cm="1">
        <f t="array" ref="B567">_xlfn.IFS(A567 &lt;= 25, "[18-25]", A567 &lt;= 35, "[26-35]", A567 &lt;=45, "[36-45]", A567 &lt;= 60, "[46- 60]")</f>
        <v>[18-25]</v>
      </c>
      <c r="C567" s="3" t="s">
        <v>43</v>
      </c>
      <c r="D567">
        <f t="shared" si="8"/>
        <v>0</v>
      </c>
      <c r="E567" t="s">
        <v>36</v>
      </c>
      <c r="F567" s="1">
        <v>310</v>
      </c>
      <c r="G567" s="3" t="s">
        <v>45</v>
      </c>
      <c r="H567" s="1">
        <v>10</v>
      </c>
      <c r="I567" s="9" t="str" cm="1">
        <f t="array" ref="I567">_xlfn.IFS(H567 &lt;= 2, "[1-2] very close", H567 &lt;= 10, "[3-10] close", H567 &lt;= 20, "[11-20] moderate", H567 &lt;= 30, "[21-30] far")</f>
        <v>[3-10] close</v>
      </c>
      <c r="J567" s="1">
        <v>1</v>
      </c>
      <c r="K567" s="3" t="s">
        <v>51</v>
      </c>
      <c r="L567" s="1">
        <v>1</v>
      </c>
      <c r="M567" s="1">
        <v>784</v>
      </c>
      <c r="N567" s="1">
        <v>1</v>
      </c>
      <c r="O567" s="3" t="s">
        <v>46</v>
      </c>
      <c r="P567" s="1">
        <v>79</v>
      </c>
      <c r="Q567" s="1">
        <v>4</v>
      </c>
      <c r="R567" s="1">
        <v>1</v>
      </c>
      <c r="S567" s="3" t="s">
        <v>47</v>
      </c>
      <c r="T567" s="1">
        <v>3</v>
      </c>
      <c r="U567" s="3" t="s">
        <v>41</v>
      </c>
      <c r="V567" s="4">
        <v>3505</v>
      </c>
      <c r="W567" s="1">
        <v>19630</v>
      </c>
      <c r="X567" s="1">
        <v>1</v>
      </c>
      <c r="Y567" s="3" t="s">
        <v>42</v>
      </c>
      <c r="Z567" s="3" t="s">
        <v>43</v>
      </c>
      <c r="AA567" s="5">
        <v>0.18</v>
      </c>
      <c r="AB567" s="10" t="str" cm="1">
        <f t="array" ref="AB567">_xlfn.IFS(AA567 &lt;= 15%, "Low Hike[11-15%]", AA567 &lt;= 20%, "Moderate Hike[16-20%]", AA567 &lt;= 25%,"High Hike[21-25%]")</f>
        <v>Moderate Hike[16-20%]</v>
      </c>
      <c r="AC567" s="1">
        <v>3</v>
      </c>
      <c r="AD567" s="1">
        <v>4</v>
      </c>
      <c r="AE567" s="1">
        <v>80</v>
      </c>
      <c r="AF567" s="1">
        <v>0</v>
      </c>
      <c r="AG567" s="1">
        <v>2</v>
      </c>
      <c r="AH567" s="9" t="str" cm="1">
        <f t="array" ref="AH567">_xlfn.IFS(AG567 &lt;= 5, "New[1-5]", AG567 &lt;= 10, "Early Career[6-10]", AG567 &lt;= 20, "Established[11-20]", AG567 &lt;= 30, "Veteran[21-30]", AG567 &lt;= 40, "Late Career[31-40]")</f>
        <v>New[1-5]</v>
      </c>
      <c r="AI567" s="1">
        <v>3</v>
      </c>
      <c r="AJ567" s="1">
        <v>3</v>
      </c>
      <c r="AK567" s="1">
        <v>2</v>
      </c>
      <c r="AL567" s="9" t="str" cm="1">
        <f t="array" ref="AL567">_xlfn.IFS(AK567 &lt;= 5, "New[1-5]", AK567 &lt;= 10, "Early Career[6-10]", AK567 &lt;= 20, "Established[11-20]", AK567 &lt;= 30, "Veteran[21-30]", AK567 &lt;= 40, "Late Career[31-40]")</f>
        <v>New[1-5]</v>
      </c>
      <c r="AM567" s="1">
        <v>2</v>
      </c>
      <c r="AN567" s="9" t="str" cm="1">
        <f t="array" ref="AN567">_xlfn.IFS(AM567 &lt;= 3, "New to Role[1-3]", AM567 &lt;= 7, "Settled[4-7]", AM567 &lt;= 12, "Experienced[[8-12]", AM567 &lt;= 18, "Long Tenured[13-18]")</f>
        <v>New to Role[1-3]</v>
      </c>
      <c r="AO567" s="1">
        <v>0</v>
      </c>
      <c r="AP567" s="9" t="str" cm="1">
        <f t="array" ref="AP567">_xlfn.IFS(AO567 &lt;= 3, "Recently[1-3]", AO567 &lt;= 6, "Due Soon[4-6]", AO567 &lt;= 10, "Overdue[7-10]", AO567 &lt;= 15, "Long Overdue[11-15]")</f>
        <v>Recently[1-3]</v>
      </c>
      <c r="AQ567" s="9" t="str" cm="1">
        <f t="array" ref="AQ567">_xlfn.IFS(AR567 &lt;= 3, "New Relationship[1-3]", AR567 &lt;= 7, "Established Relationship[4-7]", AR567 &lt;= 12, "Long Term Relationship[8-12]", AR567 &lt;= 17, "Very Long Term Relationship[13-17]")</f>
        <v>New Relationship[1-3]</v>
      </c>
      <c r="AR567" s="1">
        <v>2</v>
      </c>
    </row>
    <row r="568" spans="1:44" x14ac:dyDescent="0.25">
      <c r="A568" s="1">
        <v>47</v>
      </c>
      <c r="B568" s="8" t="str" cm="1">
        <f t="array" ref="B568">_xlfn.IFS(A568 &lt;= 25, "[18-25]", A568 &lt;= 35, "[26-35]", A568 &lt;=45, "[36-45]", A568 &lt;= 60, "[46- 60]")</f>
        <v>[46- 60]</v>
      </c>
      <c r="C568" s="3" t="s">
        <v>35</v>
      </c>
      <c r="D568">
        <f t="shared" si="8"/>
        <v>1</v>
      </c>
      <c r="E568" t="s">
        <v>44</v>
      </c>
      <c r="F568" s="1">
        <v>719</v>
      </c>
      <c r="G568" s="3" t="s">
        <v>37</v>
      </c>
      <c r="H568" s="1">
        <v>27</v>
      </c>
      <c r="I568" s="9" t="str" cm="1">
        <f t="array" ref="I568">_xlfn.IFS(H568 &lt;= 2, "[1-2] very close", H568 &lt;= 10, "[3-10] close", H568 &lt;= 20, "[11-20] moderate", H568 &lt;= 30, "[21-30] far")</f>
        <v>[21-30] far</v>
      </c>
      <c r="J568" s="1">
        <v>2</v>
      </c>
      <c r="K568" s="3" t="s">
        <v>38</v>
      </c>
      <c r="L568" s="1">
        <v>1</v>
      </c>
      <c r="M568" s="1">
        <v>785</v>
      </c>
      <c r="N568" s="1">
        <v>2</v>
      </c>
      <c r="O568" s="3" t="s">
        <v>39</v>
      </c>
      <c r="P568" s="1">
        <v>77</v>
      </c>
      <c r="Q568" s="1">
        <v>4</v>
      </c>
      <c r="R568" s="1">
        <v>2</v>
      </c>
      <c r="S568" s="3" t="s">
        <v>40</v>
      </c>
      <c r="T568" s="1">
        <v>3</v>
      </c>
      <c r="U568" s="3" t="s">
        <v>41</v>
      </c>
      <c r="V568" s="4">
        <v>6397</v>
      </c>
      <c r="W568" s="1">
        <v>10339</v>
      </c>
      <c r="X568" s="1">
        <v>4</v>
      </c>
      <c r="Y568" s="3" t="s">
        <v>42</v>
      </c>
      <c r="Z568" s="3" t="s">
        <v>35</v>
      </c>
      <c r="AA568" s="5">
        <v>0.12</v>
      </c>
      <c r="AB568" s="10" t="str" cm="1">
        <f t="array" ref="AB568">_xlfn.IFS(AA568 &lt;= 15%, "Low Hike[11-15%]", AA568 &lt;= 20%, "Moderate Hike[16-20%]", AA568 &lt;= 25%,"High Hike[21-25%]")</f>
        <v>Low Hike[11-15%]</v>
      </c>
      <c r="AC568" s="1">
        <v>3</v>
      </c>
      <c r="AD568" s="1">
        <v>4</v>
      </c>
      <c r="AE568" s="1">
        <v>80</v>
      </c>
      <c r="AF568" s="1">
        <v>0</v>
      </c>
      <c r="AG568" s="1">
        <v>8</v>
      </c>
      <c r="AH568" s="9" t="str" cm="1">
        <f t="array" ref="AH568">_xlfn.IFS(AG568 &lt;= 5, "New[1-5]", AG568 &lt;= 10, "Early Career[6-10]", AG568 &lt;= 20, "Established[11-20]", AG568 &lt;= 30, "Veteran[21-30]", AG568 &lt;= 40, "Late Career[31-40]")</f>
        <v>Early Career[6-10]</v>
      </c>
      <c r="AI568" s="1">
        <v>2</v>
      </c>
      <c r="AJ568" s="1">
        <v>3</v>
      </c>
      <c r="AK568" s="1">
        <v>5</v>
      </c>
      <c r="AL568" s="9" t="str" cm="1">
        <f t="array" ref="AL568">_xlfn.IFS(AK568 &lt;= 5, "New[1-5]", AK568 &lt;= 10, "Early Career[6-10]", AK568 &lt;= 20, "Established[11-20]", AK568 &lt;= 30, "Veteran[21-30]", AK568 &lt;= 40, "Late Career[31-40]")</f>
        <v>New[1-5]</v>
      </c>
      <c r="AM568" s="1">
        <v>4</v>
      </c>
      <c r="AN568" s="9" t="str" cm="1">
        <f t="array" ref="AN568">_xlfn.IFS(AM568 &lt;= 3, "New to Role[1-3]", AM568 &lt;= 7, "Settled[4-7]", AM568 &lt;= 12, "Experienced[[8-12]", AM568 &lt;= 18, "Long Tenured[13-18]")</f>
        <v>Settled[4-7]</v>
      </c>
      <c r="AO568" s="1">
        <v>1</v>
      </c>
      <c r="AP568" s="9" t="str" cm="1">
        <f t="array" ref="AP568">_xlfn.IFS(AO568 &lt;= 3, "Recently[1-3]", AO568 &lt;= 6, "Due Soon[4-6]", AO568 &lt;= 10, "Overdue[7-10]", AO568 &lt;= 15, "Long Overdue[11-15]")</f>
        <v>Recently[1-3]</v>
      </c>
      <c r="AQ568" s="9" t="str" cm="1">
        <f t="array" ref="AQ568">_xlfn.IFS(AR568 &lt;= 3, "New Relationship[1-3]", AR568 &lt;= 7, "Established Relationship[4-7]", AR568 &lt;= 12, "Long Term Relationship[8-12]", AR568 &lt;= 17, "Very Long Term Relationship[13-17]")</f>
        <v>New Relationship[1-3]</v>
      </c>
      <c r="AR568" s="1">
        <v>3</v>
      </c>
    </row>
    <row r="569" spans="1:44" x14ac:dyDescent="0.25">
      <c r="A569" s="1">
        <v>34</v>
      </c>
      <c r="B569" s="8" t="str" cm="1">
        <f t="array" ref="B569">_xlfn.IFS(A569 &lt;= 25, "[18-25]", A569 &lt;= 35, "[26-35]", A569 &lt;=45, "[36-45]", A569 &lt;= 60, "[46- 60]")</f>
        <v>[26-35]</v>
      </c>
      <c r="C569" s="3" t="s">
        <v>43</v>
      </c>
      <c r="D569">
        <f t="shared" si="8"/>
        <v>0</v>
      </c>
      <c r="E569" t="s">
        <v>36</v>
      </c>
      <c r="F569" s="1">
        <v>304</v>
      </c>
      <c r="G569" s="3" t="s">
        <v>37</v>
      </c>
      <c r="H569" s="1">
        <v>2</v>
      </c>
      <c r="I569" s="9" t="str" cm="1">
        <f t="array" ref="I569">_xlfn.IFS(H569 &lt;= 2, "[1-2] very close", H569 &lt;= 10, "[3-10] close", H569 &lt;= 20, "[11-20] moderate", H569 &lt;= 30, "[21-30] far")</f>
        <v>[1-2] very close</v>
      </c>
      <c r="J569" s="1">
        <v>3</v>
      </c>
      <c r="K569" s="3" t="s">
        <v>49</v>
      </c>
      <c r="L569" s="1">
        <v>1</v>
      </c>
      <c r="M569" s="1">
        <v>786</v>
      </c>
      <c r="N569" s="1">
        <v>4</v>
      </c>
      <c r="O569" s="3" t="s">
        <v>46</v>
      </c>
      <c r="P569" s="1">
        <v>60</v>
      </c>
      <c r="Q569" s="1">
        <v>3</v>
      </c>
      <c r="R569" s="1">
        <v>2</v>
      </c>
      <c r="S569" s="3" t="s">
        <v>40</v>
      </c>
      <c r="T569" s="1">
        <v>4</v>
      </c>
      <c r="U569" s="3" t="s">
        <v>41</v>
      </c>
      <c r="V569" s="4">
        <v>6274</v>
      </c>
      <c r="W569" s="1">
        <v>18686</v>
      </c>
      <c r="X569" s="1">
        <v>1</v>
      </c>
      <c r="Y569" s="3" t="s">
        <v>42</v>
      </c>
      <c r="Z569" s="3" t="s">
        <v>43</v>
      </c>
      <c r="AA569" s="5">
        <v>0.22</v>
      </c>
      <c r="AB569" s="10" t="str" cm="1">
        <f t="array" ref="AB569">_xlfn.IFS(AA569 &lt;= 15%, "Low Hike[11-15%]", AA569 &lt;= 20%, "Moderate Hike[16-20%]", AA569 &lt;= 25%,"High Hike[21-25%]")</f>
        <v>High Hike[21-25%]</v>
      </c>
      <c r="AC569" s="1">
        <v>4</v>
      </c>
      <c r="AD569" s="1">
        <v>3</v>
      </c>
      <c r="AE569" s="1">
        <v>80</v>
      </c>
      <c r="AF569" s="1">
        <v>0</v>
      </c>
      <c r="AG569" s="1">
        <v>6</v>
      </c>
      <c r="AH569" s="9" t="str" cm="1">
        <f t="array" ref="AH569">_xlfn.IFS(AG569 &lt;= 5, "New[1-5]", AG569 &lt;= 10, "Early Career[6-10]", AG569 &lt;= 20, "Established[11-20]", AG569 &lt;= 30, "Veteran[21-30]", AG569 &lt;= 40, "Late Career[31-40]")</f>
        <v>Early Career[6-10]</v>
      </c>
      <c r="AI569" s="1">
        <v>5</v>
      </c>
      <c r="AJ569" s="1">
        <v>3</v>
      </c>
      <c r="AK569" s="1">
        <v>6</v>
      </c>
      <c r="AL569" s="9" t="str" cm="1">
        <f t="array" ref="AL569">_xlfn.IFS(AK569 &lt;= 5, "New[1-5]", AK569 &lt;= 10, "Early Career[6-10]", AK569 &lt;= 20, "Established[11-20]", AK569 &lt;= 30, "Veteran[21-30]", AK569 &lt;= 40, "Late Career[31-40]")</f>
        <v>Early Career[6-10]</v>
      </c>
      <c r="AM569" s="1">
        <v>5</v>
      </c>
      <c r="AN569" s="9" t="str" cm="1">
        <f t="array" ref="AN569">_xlfn.IFS(AM569 &lt;= 3, "New to Role[1-3]", AM569 &lt;= 7, "Settled[4-7]", AM569 &lt;= 12, "Experienced[[8-12]", AM569 &lt;= 18, "Long Tenured[13-18]")</f>
        <v>Settled[4-7]</v>
      </c>
      <c r="AO569" s="1">
        <v>1</v>
      </c>
      <c r="AP569" s="9" t="str" cm="1">
        <f t="array" ref="AP569">_xlfn.IFS(AO569 &lt;= 3, "Recently[1-3]", AO569 &lt;= 6, "Due Soon[4-6]", AO569 &lt;= 10, "Overdue[7-10]", AO569 &lt;= 15, "Long Overdue[11-15]")</f>
        <v>Recently[1-3]</v>
      </c>
      <c r="AQ569" s="9" t="str" cm="1">
        <f t="array" ref="AQ569">_xlfn.IFS(AR569 &lt;= 3, "New Relationship[1-3]", AR569 &lt;= 7, "Established Relationship[4-7]", AR569 &lt;= 12, "Long Term Relationship[8-12]", AR569 &lt;= 17, "Very Long Term Relationship[13-17]")</f>
        <v>Established Relationship[4-7]</v>
      </c>
      <c r="AR569" s="1">
        <v>4</v>
      </c>
    </row>
    <row r="570" spans="1:44" x14ac:dyDescent="0.25">
      <c r="A570" s="1">
        <v>55</v>
      </c>
      <c r="B570" s="8" t="str" cm="1">
        <f t="array" ref="B570">_xlfn.IFS(A570 &lt;= 25, "[18-25]", A570 &lt;= 35, "[26-35]", A570 &lt;=45, "[36-45]", A570 &lt;= 60, "[46- 60]")</f>
        <v>[46- 60]</v>
      </c>
      <c r="C570" s="3" t="s">
        <v>35</v>
      </c>
      <c r="D570">
        <f t="shared" si="8"/>
        <v>1</v>
      </c>
      <c r="E570" t="s">
        <v>36</v>
      </c>
      <c r="F570" s="1">
        <v>725</v>
      </c>
      <c r="G570" s="3" t="s">
        <v>45</v>
      </c>
      <c r="H570" s="1">
        <v>2</v>
      </c>
      <c r="I570" s="9" t="str" cm="1">
        <f t="array" ref="I570">_xlfn.IFS(H570 &lt;= 2, "[1-2] very close", H570 &lt;= 10, "[3-10] close", H570 &lt;= 20, "[11-20] moderate", H570 &lt;= 30, "[21-30] far")</f>
        <v>[1-2] very close</v>
      </c>
      <c r="J570" s="1">
        <v>3</v>
      </c>
      <c r="K570" s="3" t="s">
        <v>51</v>
      </c>
      <c r="L570" s="1">
        <v>1</v>
      </c>
      <c r="M570" s="1">
        <v>787</v>
      </c>
      <c r="N570" s="1">
        <v>4</v>
      </c>
      <c r="O570" s="3" t="s">
        <v>46</v>
      </c>
      <c r="P570" s="1">
        <v>78</v>
      </c>
      <c r="Q570" s="1">
        <v>3</v>
      </c>
      <c r="R570" s="1">
        <v>5</v>
      </c>
      <c r="S570" s="3" t="s">
        <v>56</v>
      </c>
      <c r="T570" s="1">
        <v>1</v>
      </c>
      <c r="U570" s="3" t="s">
        <v>48</v>
      </c>
      <c r="V570" s="4">
        <v>19859</v>
      </c>
      <c r="W570" s="1">
        <v>21199</v>
      </c>
      <c r="X570" s="1">
        <v>5</v>
      </c>
      <c r="Y570" s="3" t="s">
        <v>42</v>
      </c>
      <c r="Z570" s="3" t="s">
        <v>35</v>
      </c>
      <c r="AA570" s="5">
        <v>0.13</v>
      </c>
      <c r="AB570" s="10" t="str" cm="1">
        <f t="array" ref="AB570">_xlfn.IFS(AA570 &lt;= 15%, "Low Hike[11-15%]", AA570 &lt;= 20%, "Moderate Hike[16-20%]", AA570 &lt;= 25%,"High Hike[21-25%]")</f>
        <v>Low Hike[11-15%]</v>
      </c>
      <c r="AC570" s="1">
        <v>3</v>
      </c>
      <c r="AD570" s="1">
        <v>4</v>
      </c>
      <c r="AE570" s="1">
        <v>80</v>
      </c>
      <c r="AF570" s="1">
        <v>1</v>
      </c>
      <c r="AG570" s="1">
        <v>24</v>
      </c>
      <c r="AH570" s="9" t="str" cm="1">
        <f t="array" ref="AH570">_xlfn.IFS(AG570 &lt;= 5, "New[1-5]", AG570 &lt;= 10, "Early Career[6-10]", AG570 &lt;= 20, "Established[11-20]", AG570 &lt;= 30, "Veteran[21-30]", AG570 &lt;= 40, "Late Career[31-40]")</f>
        <v>Veteran[21-30]</v>
      </c>
      <c r="AI570" s="1">
        <v>2</v>
      </c>
      <c r="AJ570" s="1">
        <v>3</v>
      </c>
      <c r="AK570" s="1">
        <v>5</v>
      </c>
      <c r="AL570" s="9" t="str" cm="1">
        <f t="array" ref="AL570">_xlfn.IFS(AK570 &lt;= 5, "New[1-5]", AK570 &lt;= 10, "Early Career[6-10]", AK570 &lt;= 20, "Established[11-20]", AK570 &lt;= 30, "Veteran[21-30]", AK570 &lt;= 40, "Late Career[31-40]")</f>
        <v>New[1-5]</v>
      </c>
      <c r="AM570" s="1">
        <v>2</v>
      </c>
      <c r="AN570" s="9" t="str" cm="1">
        <f t="array" ref="AN570">_xlfn.IFS(AM570 &lt;= 3, "New to Role[1-3]", AM570 &lt;= 7, "Settled[4-7]", AM570 &lt;= 12, "Experienced[[8-12]", AM570 &lt;= 18, "Long Tenured[13-18]")</f>
        <v>New to Role[1-3]</v>
      </c>
      <c r="AO570" s="1">
        <v>1</v>
      </c>
      <c r="AP570" s="9" t="str" cm="1">
        <f t="array" ref="AP570">_xlfn.IFS(AO570 &lt;= 3, "Recently[1-3]", AO570 &lt;= 6, "Due Soon[4-6]", AO570 &lt;= 10, "Overdue[7-10]", AO570 &lt;= 15, "Long Overdue[11-15]")</f>
        <v>Recently[1-3]</v>
      </c>
      <c r="AQ570" s="9" t="str" cm="1">
        <f t="array" ref="AQ570">_xlfn.IFS(AR570 &lt;= 3, "New Relationship[1-3]", AR570 &lt;= 7, "Established Relationship[4-7]", AR570 &lt;= 12, "Long Term Relationship[8-12]", AR570 &lt;= 17, "Very Long Term Relationship[13-17]")</f>
        <v>Established Relationship[4-7]</v>
      </c>
      <c r="AR570" s="1">
        <v>4</v>
      </c>
    </row>
    <row r="571" spans="1:44" x14ac:dyDescent="0.25">
      <c r="A571" s="1">
        <v>36</v>
      </c>
      <c r="B571" s="8" t="str" cm="1">
        <f t="array" ref="B571">_xlfn.IFS(A571 &lt;= 25, "[18-25]", A571 &lt;= 35, "[26-35]", A571 &lt;=45, "[36-45]", A571 &lt;= 60, "[46- 60]")</f>
        <v>[36-45]</v>
      </c>
      <c r="C571" s="3" t="s">
        <v>43</v>
      </c>
      <c r="D571">
        <f t="shared" si="8"/>
        <v>0</v>
      </c>
      <c r="E571" t="s">
        <v>62</v>
      </c>
      <c r="F571" s="1">
        <v>1434</v>
      </c>
      <c r="G571" s="3" t="s">
        <v>37</v>
      </c>
      <c r="H571" s="1">
        <v>8</v>
      </c>
      <c r="I571" s="9" t="str" cm="1">
        <f t="array" ref="I571">_xlfn.IFS(H571 &lt;= 2, "[1-2] very close", H571 &lt;= 10, "[3-10] close", H571 &lt;= 20, "[11-20] moderate", H571 &lt;= 30, "[21-30] far")</f>
        <v>[3-10] close</v>
      </c>
      <c r="J571" s="1">
        <v>4</v>
      </c>
      <c r="K571" s="3" t="s">
        <v>38</v>
      </c>
      <c r="L571" s="1">
        <v>1</v>
      </c>
      <c r="M571" s="1">
        <v>789</v>
      </c>
      <c r="N571" s="1">
        <v>1</v>
      </c>
      <c r="O571" s="3" t="s">
        <v>46</v>
      </c>
      <c r="P571" s="1">
        <v>76</v>
      </c>
      <c r="Q571" s="1">
        <v>2</v>
      </c>
      <c r="R571" s="1">
        <v>3</v>
      </c>
      <c r="S571" s="3" t="s">
        <v>40</v>
      </c>
      <c r="T571" s="1">
        <v>1</v>
      </c>
      <c r="U571" s="3" t="s">
        <v>41</v>
      </c>
      <c r="V571" s="4">
        <v>7587</v>
      </c>
      <c r="W571" s="1">
        <v>14229</v>
      </c>
      <c r="X571" s="1">
        <v>1</v>
      </c>
      <c r="Y571" s="3" t="s">
        <v>42</v>
      </c>
      <c r="Z571" s="3" t="s">
        <v>43</v>
      </c>
      <c r="AA571" s="5">
        <v>0.15</v>
      </c>
      <c r="AB571" s="10" t="str" cm="1">
        <f t="array" ref="AB571">_xlfn.IFS(AA571 &lt;= 15%, "Low Hike[11-15%]", AA571 &lt;= 20%, "Moderate Hike[16-20%]", AA571 &lt;= 25%,"High Hike[21-25%]")</f>
        <v>Low Hike[11-15%]</v>
      </c>
      <c r="AC571" s="1">
        <v>3</v>
      </c>
      <c r="AD571" s="1">
        <v>2</v>
      </c>
      <c r="AE571" s="1">
        <v>80</v>
      </c>
      <c r="AF571" s="1">
        <v>0</v>
      </c>
      <c r="AG571" s="1">
        <v>10</v>
      </c>
      <c r="AH571" s="9" t="str" cm="1">
        <f t="array" ref="AH571">_xlfn.IFS(AG571 &lt;= 5, "New[1-5]", AG571 &lt;= 10, "Early Career[6-10]", AG571 &lt;= 20, "Established[11-20]", AG571 &lt;= 30, "Veteran[21-30]", AG571 &lt;= 40, "Late Career[31-40]")</f>
        <v>Early Career[6-10]</v>
      </c>
      <c r="AI571" s="1">
        <v>1</v>
      </c>
      <c r="AJ571" s="1">
        <v>3</v>
      </c>
      <c r="AK571" s="1">
        <v>10</v>
      </c>
      <c r="AL571" s="9" t="str" cm="1">
        <f t="array" ref="AL571">_xlfn.IFS(AK571 &lt;= 5, "New[1-5]", AK571 &lt;= 10, "Early Career[6-10]", AK571 &lt;= 20, "Established[11-20]", AK571 &lt;= 30, "Veteran[21-30]", AK571 &lt;= 40, "Late Career[31-40]")</f>
        <v>Early Career[6-10]</v>
      </c>
      <c r="AM571" s="1">
        <v>7</v>
      </c>
      <c r="AN571" s="9" t="str" cm="1">
        <f t="array" ref="AN571">_xlfn.IFS(AM571 &lt;= 3, "New to Role[1-3]", AM571 &lt;= 7, "Settled[4-7]", AM571 &lt;= 12, "Experienced[[8-12]", AM571 &lt;= 18, "Long Tenured[13-18]")</f>
        <v>Settled[4-7]</v>
      </c>
      <c r="AO571" s="1">
        <v>0</v>
      </c>
      <c r="AP571" s="9" t="str" cm="1">
        <f t="array" ref="AP571">_xlfn.IFS(AO571 &lt;= 3, "Recently[1-3]", AO571 &lt;= 6, "Due Soon[4-6]", AO571 &lt;= 10, "Overdue[7-10]", AO571 &lt;= 15, "Long Overdue[11-15]")</f>
        <v>Recently[1-3]</v>
      </c>
      <c r="AQ571" s="9" t="str" cm="1">
        <f t="array" ref="AQ571">_xlfn.IFS(AR571 &lt;= 3, "New Relationship[1-3]", AR571 &lt;= 7, "Established Relationship[4-7]", AR571 &lt;= 12, "Long Term Relationship[8-12]", AR571 &lt;= 17, "Very Long Term Relationship[13-17]")</f>
        <v>Long Term Relationship[8-12]</v>
      </c>
      <c r="AR571" s="1">
        <v>9</v>
      </c>
    </row>
    <row r="572" spans="1:44" x14ac:dyDescent="0.25">
      <c r="A572" s="1">
        <v>52</v>
      </c>
      <c r="B572" s="8" t="str" cm="1">
        <f t="array" ref="B572">_xlfn.IFS(A572 &lt;= 25, "[18-25]", A572 &lt;= 35, "[26-35]", A572 &lt;=45, "[36-45]", A572 &lt;= 60, "[46- 60]")</f>
        <v>[46- 60]</v>
      </c>
      <c r="C572" s="3" t="s">
        <v>43</v>
      </c>
      <c r="D572">
        <f t="shared" si="8"/>
        <v>0</v>
      </c>
      <c r="E572" t="s">
        <v>62</v>
      </c>
      <c r="F572" s="1">
        <v>715</v>
      </c>
      <c r="G572" s="3" t="s">
        <v>45</v>
      </c>
      <c r="H572" s="1">
        <v>19</v>
      </c>
      <c r="I572" s="9" t="str" cm="1">
        <f t="array" ref="I572">_xlfn.IFS(H572 &lt;= 2, "[1-2] very close", H572 &lt;= 10, "[3-10] close", H572 &lt;= 20, "[11-20] moderate", H572 &lt;= 30, "[21-30] far")</f>
        <v>[11-20] moderate</v>
      </c>
      <c r="J572" s="1">
        <v>4</v>
      </c>
      <c r="K572" s="3" t="s">
        <v>51</v>
      </c>
      <c r="L572" s="1">
        <v>1</v>
      </c>
      <c r="M572" s="1">
        <v>791</v>
      </c>
      <c r="N572" s="1">
        <v>4</v>
      </c>
      <c r="O572" s="3" t="s">
        <v>46</v>
      </c>
      <c r="P572" s="1">
        <v>41</v>
      </c>
      <c r="Q572" s="1">
        <v>3</v>
      </c>
      <c r="R572" s="1">
        <v>1</v>
      </c>
      <c r="S572" s="3" t="s">
        <v>47</v>
      </c>
      <c r="T572" s="1">
        <v>4</v>
      </c>
      <c r="U572" s="3" t="s">
        <v>48</v>
      </c>
      <c r="V572" s="4">
        <v>4258</v>
      </c>
      <c r="W572" s="1">
        <v>26589</v>
      </c>
      <c r="X572" s="1">
        <v>0</v>
      </c>
      <c r="Y572" s="3" t="s">
        <v>42</v>
      </c>
      <c r="Z572" s="3" t="s">
        <v>43</v>
      </c>
      <c r="AA572" s="5">
        <v>0.18</v>
      </c>
      <c r="AB572" s="10" t="str" cm="1">
        <f t="array" ref="AB572">_xlfn.IFS(AA572 &lt;= 15%, "Low Hike[11-15%]", AA572 &lt;= 20%, "Moderate Hike[16-20%]", AA572 &lt;= 25%,"High Hike[21-25%]")</f>
        <v>Moderate Hike[16-20%]</v>
      </c>
      <c r="AC572" s="1">
        <v>3</v>
      </c>
      <c r="AD572" s="1">
        <v>1</v>
      </c>
      <c r="AE572" s="1">
        <v>80</v>
      </c>
      <c r="AF572" s="1">
        <v>1</v>
      </c>
      <c r="AG572" s="1">
        <v>5</v>
      </c>
      <c r="AH572" s="9" t="str" cm="1">
        <f t="array" ref="AH572">_xlfn.IFS(AG572 &lt;= 5, "New[1-5]", AG572 &lt;= 10, "Early Career[6-10]", AG572 &lt;= 20, "Established[11-20]", AG572 &lt;= 30, "Veteran[21-30]", AG572 &lt;= 40, "Late Career[31-40]")</f>
        <v>New[1-5]</v>
      </c>
      <c r="AI572" s="1">
        <v>3</v>
      </c>
      <c r="AJ572" s="1">
        <v>3</v>
      </c>
      <c r="AK572" s="1">
        <v>4</v>
      </c>
      <c r="AL572" s="9" t="str" cm="1">
        <f t="array" ref="AL572">_xlfn.IFS(AK572 &lt;= 5, "New[1-5]", AK572 &lt;= 10, "Early Career[6-10]", AK572 &lt;= 20, "Established[11-20]", AK572 &lt;= 30, "Veteran[21-30]", AK572 &lt;= 40, "Late Career[31-40]")</f>
        <v>New[1-5]</v>
      </c>
      <c r="AM572" s="1">
        <v>3</v>
      </c>
      <c r="AN572" s="9" t="str" cm="1">
        <f t="array" ref="AN572">_xlfn.IFS(AM572 &lt;= 3, "New to Role[1-3]", AM572 &lt;= 7, "Settled[4-7]", AM572 &lt;= 12, "Experienced[[8-12]", AM572 &lt;= 18, "Long Tenured[13-18]")</f>
        <v>New to Role[1-3]</v>
      </c>
      <c r="AO572" s="1">
        <v>1</v>
      </c>
      <c r="AP572" s="9" t="str" cm="1">
        <f t="array" ref="AP572">_xlfn.IFS(AO572 &lt;= 3, "Recently[1-3]", AO572 &lt;= 6, "Due Soon[4-6]", AO572 &lt;= 10, "Overdue[7-10]", AO572 &lt;= 15, "Long Overdue[11-15]")</f>
        <v>Recently[1-3]</v>
      </c>
      <c r="AQ572" s="9" t="str" cm="1">
        <f t="array" ref="AQ572">_xlfn.IFS(AR572 &lt;= 3, "New Relationship[1-3]", AR572 &lt;= 7, "Established Relationship[4-7]", AR572 &lt;= 12, "Long Term Relationship[8-12]", AR572 &lt;= 17, "Very Long Term Relationship[13-17]")</f>
        <v>New Relationship[1-3]</v>
      </c>
      <c r="AR572" s="1">
        <v>2</v>
      </c>
    </row>
    <row r="573" spans="1:44" x14ac:dyDescent="0.25">
      <c r="A573" s="1">
        <v>26</v>
      </c>
      <c r="B573" s="8" t="str" cm="1">
        <f t="array" ref="B573">_xlfn.IFS(A573 &lt;= 25, "[18-25]", A573 &lt;= 35, "[26-35]", A573 &lt;=45, "[36-45]", A573 &lt;= 60, "[46- 60]")</f>
        <v>[26-35]</v>
      </c>
      <c r="C573" s="3" t="s">
        <v>43</v>
      </c>
      <c r="D573">
        <f t="shared" si="8"/>
        <v>0</v>
      </c>
      <c r="E573" t="s">
        <v>44</v>
      </c>
      <c r="F573" s="1">
        <v>575</v>
      </c>
      <c r="G573" s="3" t="s">
        <v>45</v>
      </c>
      <c r="H573" s="1">
        <v>1</v>
      </c>
      <c r="I573" s="9" t="str" cm="1">
        <f t="array" ref="I573">_xlfn.IFS(H573 &lt;= 2, "[1-2] very close", H573 &lt;= 10, "[3-10] close", H573 &lt;= 20, "[11-20] moderate", H573 &lt;= 30, "[21-30] far")</f>
        <v>[1-2] very close</v>
      </c>
      <c r="J573" s="1">
        <v>2</v>
      </c>
      <c r="K573" s="3" t="s">
        <v>38</v>
      </c>
      <c r="L573" s="1">
        <v>1</v>
      </c>
      <c r="M573" s="1">
        <v>792</v>
      </c>
      <c r="N573" s="1">
        <v>1</v>
      </c>
      <c r="O573" s="3" t="s">
        <v>39</v>
      </c>
      <c r="P573" s="1">
        <v>71</v>
      </c>
      <c r="Q573" s="1">
        <v>1</v>
      </c>
      <c r="R573" s="1">
        <v>1</v>
      </c>
      <c r="S573" s="3" t="s">
        <v>50</v>
      </c>
      <c r="T573" s="1">
        <v>4</v>
      </c>
      <c r="U573" s="3" t="s">
        <v>52</v>
      </c>
      <c r="V573" s="4">
        <v>4364</v>
      </c>
      <c r="W573" s="1">
        <v>5288</v>
      </c>
      <c r="X573" s="1">
        <v>3</v>
      </c>
      <c r="Y573" s="3" t="s">
        <v>42</v>
      </c>
      <c r="Z573" s="3" t="s">
        <v>43</v>
      </c>
      <c r="AA573" s="5">
        <v>0.14000000000000001</v>
      </c>
      <c r="AB573" s="10" t="str" cm="1">
        <f t="array" ref="AB573">_xlfn.IFS(AA573 &lt;= 15%, "Low Hike[11-15%]", AA573 &lt;= 20%, "Moderate Hike[16-20%]", AA573 &lt;= 25%,"High Hike[21-25%]")</f>
        <v>Low Hike[11-15%]</v>
      </c>
      <c r="AC573" s="1">
        <v>3</v>
      </c>
      <c r="AD573" s="1">
        <v>1</v>
      </c>
      <c r="AE573" s="1">
        <v>80</v>
      </c>
      <c r="AF573" s="1">
        <v>1</v>
      </c>
      <c r="AG573" s="1">
        <v>5</v>
      </c>
      <c r="AH573" s="9" t="str" cm="1">
        <f t="array" ref="AH573">_xlfn.IFS(AG573 &lt;= 5, "New[1-5]", AG573 &lt;= 10, "Early Career[6-10]", AG573 &lt;= 20, "Established[11-20]", AG573 &lt;= 30, "Veteran[21-30]", AG573 &lt;= 40, "Late Career[31-40]")</f>
        <v>New[1-5]</v>
      </c>
      <c r="AI573" s="1">
        <v>2</v>
      </c>
      <c r="AJ573" s="1">
        <v>3</v>
      </c>
      <c r="AK573" s="1">
        <v>2</v>
      </c>
      <c r="AL573" s="9" t="str" cm="1">
        <f t="array" ref="AL573">_xlfn.IFS(AK573 &lt;= 5, "New[1-5]", AK573 &lt;= 10, "Early Career[6-10]", AK573 &lt;= 20, "Established[11-20]", AK573 &lt;= 30, "Veteran[21-30]", AK573 &lt;= 40, "Late Career[31-40]")</f>
        <v>New[1-5]</v>
      </c>
      <c r="AM573" s="1">
        <v>2</v>
      </c>
      <c r="AN573" s="9" t="str" cm="1">
        <f t="array" ref="AN573">_xlfn.IFS(AM573 &lt;= 3, "New to Role[1-3]", AM573 &lt;= 7, "Settled[4-7]", AM573 &lt;= 12, "Experienced[[8-12]", AM573 &lt;= 18, "Long Tenured[13-18]")</f>
        <v>New to Role[1-3]</v>
      </c>
      <c r="AO573" s="1">
        <v>2</v>
      </c>
      <c r="AP573" s="9" t="str" cm="1">
        <f t="array" ref="AP573">_xlfn.IFS(AO573 &lt;= 3, "Recently[1-3]", AO573 &lt;= 6, "Due Soon[4-6]", AO573 &lt;= 10, "Overdue[7-10]", AO573 &lt;= 15, "Long Overdue[11-15]")</f>
        <v>Recently[1-3]</v>
      </c>
      <c r="AQ573" s="9" t="str" cm="1">
        <f t="array" ref="AQ573">_xlfn.IFS(AR573 &lt;= 3, "New Relationship[1-3]", AR573 &lt;= 7, "Established Relationship[4-7]", AR573 &lt;= 12, "Long Term Relationship[8-12]", AR573 &lt;= 17, "Very Long Term Relationship[13-17]")</f>
        <v>New Relationship[1-3]</v>
      </c>
      <c r="AR573" s="1">
        <v>0</v>
      </c>
    </row>
    <row r="574" spans="1:44" x14ac:dyDescent="0.25">
      <c r="A574" s="1">
        <v>29</v>
      </c>
      <c r="B574" s="8" t="str" cm="1">
        <f t="array" ref="B574">_xlfn.IFS(A574 &lt;= 25, "[18-25]", A574 &lt;= 35, "[26-35]", A574 &lt;=45, "[36-45]", A574 &lt;= 60, "[46- 60]")</f>
        <v>[26-35]</v>
      </c>
      <c r="C574" s="3" t="s">
        <v>43</v>
      </c>
      <c r="D574">
        <f t="shared" si="8"/>
        <v>0</v>
      </c>
      <c r="E574" t="s">
        <v>36</v>
      </c>
      <c r="F574" s="1">
        <v>657</v>
      </c>
      <c r="G574" s="3" t="s">
        <v>45</v>
      </c>
      <c r="H574" s="1">
        <v>27</v>
      </c>
      <c r="I574" s="9" t="str" cm="1">
        <f t="array" ref="I574">_xlfn.IFS(H574 &lt;= 2, "[1-2] very close", H574 &lt;= 10, "[3-10] close", H574 &lt;= 20, "[11-20] moderate", H574 &lt;= 30, "[21-30] far")</f>
        <v>[21-30] far</v>
      </c>
      <c r="J574" s="1">
        <v>3</v>
      </c>
      <c r="K574" s="3" t="s">
        <v>51</v>
      </c>
      <c r="L574" s="1">
        <v>1</v>
      </c>
      <c r="M574" s="1">
        <v>793</v>
      </c>
      <c r="N574" s="1">
        <v>2</v>
      </c>
      <c r="O574" s="3" t="s">
        <v>39</v>
      </c>
      <c r="P574" s="1">
        <v>66</v>
      </c>
      <c r="Q574" s="1">
        <v>3</v>
      </c>
      <c r="R574" s="1">
        <v>2</v>
      </c>
      <c r="S574" s="3" t="s">
        <v>54</v>
      </c>
      <c r="T574" s="1">
        <v>3</v>
      </c>
      <c r="U574" s="3" t="s">
        <v>48</v>
      </c>
      <c r="V574" s="4">
        <v>4335</v>
      </c>
      <c r="W574" s="1">
        <v>25549</v>
      </c>
      <c r="X574" s="1">
        <v>4</v>
      </c>
      <c r="Y574" s="3" t="s">
        <v>42</v>
      </c>
      <c r="Z574" s="3" t="s">
        <v>43</v>
      </c>
      <c r="AA574" s="5">
        <v>0.12</v>
      </c>
      <c r="AB574" s="10" t="str" cm="1">
        <f t="array" ref="AB574">_xlfn.IFS(AA574 &lt;= 15%, "Low Hike[11-15%]", AA574 &lt;= 20%, "Moderate Hike[16-20%]", AA574 &lt;= 25%,"High Hike[21-25%]")</f>
        <v>Low Hike[11-15%]</v>
      </c>
      <c r="AC574" s="1">
        <v>3</v>
      </c>
      <c r="AD574" s="1">
        <v>1</v>
      </c>
      <c r="AE574" s="1">
        <v>80</v>
      </c>
      <c r="AF574" s="1">
        <v>1</v>
      </c>
      <c r="AG574" s="1">
        <v>11</v>
      </c>
      <c r="AH574" s="9" t="str" cm="1">
        <f t="array" ref="AH574">_xlfn.IFS(AG574 &lt;= 5, "New[1-5]", AG574 &lt;= 10, "Early Career[6-10]", AG574 &lt;= 20, "Established[11-20]", AG574 &lt;= 30, "Veteran[21-30]", AG574 &lt;= 40, "Late Career[31-40]")</f>
        <v>Established[11-20]</v>
      </c>
      <c r="AI574" s="1">
        <v>3</v>
      </c>
      <c r="AJ574" s="1">
        <v>2</v>
      </c>
      <c r="AK574" s="1">
        <v>8</v>
      </c>
      <c r="AL574" s="9" t="str" cm="1">
        <f t="array" ref="AL574">_xlfn.IFS(AK574 &lt;= 5, "New[1-5]", AK574 &lt;= 10, "Early Career[6-10]", AK574 &lt;= 20, "Established[11-20]", AK574 &lt;= 30, "Veteran[21-30]", AK574 &lt;= 40, "Late Career[31-40]")</f>
        <v>Early Career[6-10]</v>
      </c>
      <c r="AM574" s="1">
        <v>7</v>
      </c>
      <c r="AN574" s="9" t="str" cm="1">
        <f t="array" ref="AN574">_xlfn.IFS(AM574 &lt;= 3, "New to Role[1-3]", AM574 &lt;= 7, "Settled[4-7]", AM574 &lt;= 12, "Experienced[[8-12]", AM574 &lt;= 18, "Long Tenured[13-18]")</f>
        <v>Settled[4-7]</v>
      </c>
      <c r="AO574" s="1">
        <v>1</v>
      </c>
      <c r="AP574" s="9" t="str" cm="1">
        <f t="array" ref="AP574">_xlfn.IFS(AO574 &lt;= 3, "Recently[1-3]", AO574 &lt;= 6, "Due Soon[4-6]", AO574 &lt;= 10, "Overdue[7-10]", AO574 &lt;= 15, "Long Overdue[11-15]")</f>
        <v>Recently[1-3]</v>
      </c>
      <c r="AQ574" s="9" t="str" cm="1">
        <f t="array" ref="AQ574">_xlfn.IFS(AR574 &lt;= 3, "New Relationship[1-3]", AR574 &lt;= 7, "Established Relationship[4-7]", AR574 &lt;= 12, "Long Term Relationship[8-12]", AR574 &lt;= 17, "Very Long Term Relationship[13-17]")</f>
        <v>New Relationship[1-3]</v>
      </c>
      <c r="AR574" s="1">
        <v>1</v>
      </c>
    </row>
    <row r="575" spans="1:44" x14ac:dyDescent="0.25">
      <c r="A575" s="1">
        <v>26</v>
      </c>
      <c r="B575" s="8" t="str" cm="1">
        <f t="array" ref="B575">_xlfn.IFS(A575 &lt;= 25, "[18-25]", A575 &lt;= 35, "[26-35]", A575 &lt;=45, "[36-45]", A575 &lt;= 60, "[46- 60]")</f>
        <v>[26-35]</v>
      </c>
      <c r="C575" s="3" t="s">
        <v>35</v>
      </c>
      <c r="D575">
        <f t="shared" si="8"/>
        <v>1</v>
      </c>
      <c r="E575" t="s">
        <v>36</v>
      </c>
      <c r="F575" s="1">
        <v>1146</v>
      </c>
      <c r="G575" s="3" t="s">
        <v>37</v>
      </c>
      <c r="H575" s="1">
        <v>8</v>
      </c>
      <c r="I575" s="9" t="str" cm="1">
        <f t="array" ref="I575">_xlfn.IFS(H575 &lt;= 2, "[1-2] very close", H575 &lt;= 10, "[3-10] close", H575 &lt;= 20, "[11-20] moderate", H575 &lt;= 30, "[21-30] far")</f>
        <v>[3-10] close</v>
      </c>
      <c r="J575" s="1">
        <v>3</v>
      </c>
      <c r="K575" s="3" t="s">
        <v>60</v>
      </c>
      <c r="L575" s="1">
        <v>1</v>
      </c>
      <c r="M575" s="1">
        <v>796</v>
      </c>
      <c r="N575" s="1">
        <v>4</v>
      </c>
      <c r="O575" s="3" t="s">
        <v>46</v>
      </c>
      <c r="P575" s="1">
        <v>38</v>
      </c>
      <c r="Q575" s="1">
        <v>2</v>
      </c>
      <c r="R575" s="1">
        <v>2</v>
      </c>
      <c r="S575" s="3" t="s">
        <v>40</v>
      </c>
      <c r="T575" s="1">
        <v>1</v>
      </c>
      <c r="U575" s="3" t="s">
        <v>41</v>
      </c>
      <c r="V575" s="4">
        <v>5326</v>
      </c>
      <c r="W575" s="1">
        <v>3064</v>
      </c>
      <c r="X575" s="1">
        <v>6</v>
      </c>
      <c r="Y575" s="3" t="s">
        <v>42</v>
      </c>
      <c r="Z575" s="3" t="s">
        <v>43</v>
      </c>
      <c r="AA575" s="5">
        <v>0.17</v>
      </c>
      <c r="AB575" s="10" t="str" cm="1">
        <f t="array" ref="AB575">_xlfn.IFS(AA575 &lt;= 15%, "Low Hike[11-15%]", AA575 &lt;= 20%, "Moderate Hike[16-20%]", AA575 &lt;= 25%,"High Hike[21-25%]")</f>
        <v>Moderate Hike[16-20%]</v>
      </c>
      <c r="AC575" s="1">
        <v>3</v>
      </c>
      <c r="AD575" s="1">
        <v>3</v>
      </c>
      <c r="AE575" s="1">
        <v>80</v>
      </c>
      <c r="AF575" s="1">
        <v>0</v>
      </c>
      <c r="AG575" s="1">
        <v>6</v>
      </c>
      <c r="AH575" s="9" t="str" cm="1">
        <f t="array" ref="AH575">_xlfn.IFS(AG575 &lt;= 5, "New[1-5]", AG575 &lt;= 10, "Early Career[6-10]", AG575 &lt;= 20, "Established[11-20]", AG575 &lt;= 30, "Veteran[21-30]", AG575 &lt;= 40, "Late Career[31-40]")</f>
        <v>Early Career[6-10]</v>
      </c>
      <c r="AI575" s="1">
        <v>2</v>
      </c>
      <c r="AJ575" s="1">
        <v>2</v>
      </c>
      <c r="AK575" s="1">
        <v>4</v>
      </c>
      <c r="AL575" s="9" t="str" cm="1">
        <f t="array" ref="AL575">_xlfn.IFS(AK575 &lt;= 5, "New[1-5]", AK575 &lt;= 10, "Early Career[6-10]", AK575 &lt;= 20, "Established[11-20]", AK575 &lt;= 30, "Veteran[21-30]", AK575 &lt;= 40, "Late Career[31-40]")</f>
        <v>New[1-5]</v>
      </c>
      <c r="AM575" s="1">
        <v>3</v>
      </c>
      <c r="AN575" s="9" t="str" cm="1">
        <f t="array" ref="AN575">_xlfn.IFS(AM575 &lt;= 3, "New to Role[1-3]", AM575 &lt;= 7, "Settled[4-7]", AM575 &lt;= 12, "Experienced[[8-12]", AM575 &lt;= 18, "Long Tenured[13-18]")</f>
        <v>New to Role[1-3]</v>
      </c>
      <c r="AO575" s="1">
        <v>1</v>
      </c>
      <c r="AP575" s="9" t="str" cm="1">
        <f t="array" ref="AP575">_xlfn.IFS(AO575 &lt;= 3, "Recently[1-3]", AO575 &lt;= 6, "Due Soon[4-6]", AO575 &lt;= 10, "Overdue[7-10]", AO575 &lt;= 15, "Long Overdue[11-15]")</f>
        <v>Recently[1-3]</v>
      </c>
      <c r="AQ575" s="9" t="str" cm="1">
        <f t="array" ref="AQ575">_xlfn.IFS(AR575 &lt;= 3, "New Relationship[1-3]", AR575 &lt;= 7, "Established Relationship[4-7]", AR575 &lt;= 12, "Long Term Relationship[8-12]", AR575 &lt;= 17, "Very Long Term Relationship[13-17]")</f>
        <v>New Relationship[1-3]</v>
      </c>
      <c r="AR575" s="1">
        <v>2</v>
      </c>
    </row>
    <row r="576" spans="1:44" x14ac:dyDescent="0.25">
      <c r="A576" s="1">
        <v>34</v>
      </c>
      <c r="B576" s="8" t="str" cm="1">
        <f t="array" ref="B576">_xlfn.IFS(A576 &lt;= 25, "[18-25]", A576 &lt;= 35, "[26-35]", A576 &lt;=45, "[36-45]", A576 &lt;= 60, "[46- 60]")</f>
        <v>[26-35]</v>
      </c>
      <c r="C576" s="3" t="s">
        <v>43</v>
      </c>
      <c r="D576">
        <f t="shared" si="8"/>
        <v>0</v>
      </c>
      <c r="E576" t="s">
        <v>36</v>
      </c>
      <c r="F576" s="1">
        <v>182</v>
      </c>
      <c r="G576" s="3" t="s">
        <v>45</v>
      </c>
      <c r="H576" s="1">
        <v>1</v>
      </c>
      <c r="I576" s="9" t="str" cm="1">
        <f t="array" ref="I576">_xlfn.IFS(H576 &lt;= 2, "[1-2] very close", H576 &lt;= 10, "[3-10] close", H576 &lt;= 20, "[11-20] moderate", H576 &lt;= 30, "[21-30] far")</f>
        <v>[1-2] very close</v>
      </c>
      <c r="J576" s="1">
        <v>4</v>
      </c>
      <c r="K576" s="3" t="s">
        <v>38</v>
      </c>
      <c r="L576" s="1">
        <v>1</v>
      </c>
      <c r="M576" s="1">
        <v>797</v>
      </c>
      <c r="N576" s="1">
        <v>2</v>
      </c>
      <c r="O576" s="3" t="s">
        <v>39</v>
      </c>
      <c r="P576" s="1">
        <v>72</v>
      </c>
      <c r="Q576" s="1">
        <v>4</v>
      </c>
      <c r="R576" s="1">
        <v>1</v>
      </c>
      <c r="S576" s="3" t="s">
        <v>47</v>
      </c>
      <c r="T576" s="1">
        <v>4</v>
      </c>
      <c r="U576" s="3" t="s">
        <v>41</v>
      </c>
      <c r="V576" s="4">
        <v>3280</v>
      </c>
      <c r="W576" s="1">
        <v>13551</v>
      </c>
      <c r="X576" s="1">
        <v>2</v>
      </c>
      <c r="Y576" s="3" t="s">
        <v>42</v>
      </c>
      <c r="Z576" s="3" t="s">
        <v>43</v>
      </c>
      <c r="AA576" s="5">
        <v>0.16</v>
      </c>
      <c r="AB576" s="10" t="str" cm="1">
        <f t="array" ref="AB576">_xlfn.IFS(AA576 &lt;= 15%, "Low Hike[11-15%]", AA576 &lt;= 20%, "Moderate Hike[16-20%]", AA576 &lt;= 25%,"High Hike[21-25%]")</f>
        <v>Moderate Hike[16-20%]</v>
      </c>
      <c r="AC576" s="1">
        <v>3</v>
      </c>
      <c r="AD576" s="1">
        <v>3</v>
      </c>
      <c r="AE576" s="1">
        <v>80</v>
      </c>
      <c r="AF576" s="1">
        <v>0</v>
      </c>
      <c r="AG576" s="1">
        <v>10</v>
      </c>
      <c r="AH576" s="9" t="str" cm="1">
        <f t="array" ref="AH576">_xlfn.IFS(AG576 &lt;= 5, "New[1-5]", AG576 &lt;= 10, "Early Career[6-10]", AG576 &lt;= 20, "Established[11-20]", AG576 &lt;= 30, "Veteran[21-30]", AG576 &lt;= 40, "Late Career[31-40]")</f>
        <v>Early Career[6-10]</v>
      </c>
      <c r="AI576" s="1">
        <v>2</v>
      </c>
      <c r="AJ576" s="1">
        <v>3</v>
      </c>
      <c r="AK576" s="1">
        <v>4</v>
      </c>
      <c r="AL576" s="9" t="str" cm="1">
        <f t="array" ref="AL576">_xlfn.IFS(AK576 &lt;= 5, "New[1-5]", AK576 &lt;= 10, "Early Career[6-10]", AK576 &lt;= 20, "Established[11-20]", AK576 &lt;= 30, "Veteran[21-30]", AK576 &lt;= 40, "Late Career[31-40]")</f>
        <v>New[1-5]</v>
      </c>
      <c r="AM576" s="1">
        <v>2</v>
      </c>
      <c r="AN576" s="9" t="str" cm="1">
        <f t="array" ref="AN576">_xlfn.IFS(AM576 &lt;= 3, "New to Role[1-3]", AM576 &lt;= 7, "Settled[4-7]", AM576 &lt;= 12, "Experienced[[8-12]", AM576 &lt;= 18, "Long Tenured[13-18]")</f>
        <v>New to Role[1-3]</v>
      </c>
      <c r="AO576" s="1">
        <v>1</v>
      </c>
      <c r="AP576" s="9" t="str" cm="1">
        <f t="array" ref="AP576">_xlfn.IFS(AO576 &lt;= 3, "Recently[1-3]", AO576 &lt;= 6, "Due Soon[4-6]", AO576 &lt;= 10, "Overdue[7-10]", AO576 &lt;= 15, "Long Overdue[11-15]")</f>
        <v>Recently[1-3]</v>
      </c>
      <c r="AQ576" s="9" t="str" cm="1">
        <f t="array" ref="AQ576">_xlfn.IFS(AR576 &lt;= 3, "New Relationship[1-3]", AR576 &lt;= 7, "Established Relationship[4-7]", AR576 &lt;= 12, "Long Term Relationship[8-12]", AR576 &lt;= 17, "Very Long Term Relationship[13-17]")</f>
        <v>New Relationship[1-3]</v>
      </c>
      <c r="AR576" s="1">
        <v>3</v>
      </c>
    </row>
    <row r="577" spans="1:44" x14ac:dyDescent="0.25">
      <c r="A577" s="1">
        <v>54</v>
      </c>
      <c r="B577" s="8" t="str" cm="1">
        <f t="array" ref="B577">_xlfn.IFS(A577 &lt;= 25, "[18-25]", A577 &lt;= 35, "[26-35]", A577 &lt;=45, "[36-45]", A577 &lt;= 60, "[46- 60]")</f>
        <v>[46- 60]</v>
      </c>
      <c r="C577" s="3" t="s">
        <v>43</v>
      </c>
      <c r="D577">
        <f t="shared" si="8"/>
        <v>0</v>
      </c>
      <c r="E577" t="s">
        <v>36</v>
      </c>
      <c r="F577" s="1">
        <v>376</v>
      </c>
      <c r="G577" s="3" t="s">
        <v>45</v>
      </c>
      <c r="H577" s="1">
        <v>19</v>
      </c>
      <c r="I577" s="9" t="str" cm="1">
        <f t="array" ref="I577">_xlfn.IFS(H577 &lt;= 2, "[1-2] very close", H577 &lt;= 10, "[3-10] close", H577 &lt;= 20, "[11-20] moderate", H577 &lt;= 30, "[21-30] far")</f>
        <v>[11-20] moderate</v>
      </c>
      <c r="J577" s="1">
        <v>4</v>
      </c>
      <c r="K577" s="3" t="s">
        <v>51</v>
      </c>
      <c r="L577" s="1">
        <v>1</v>
      </c>
      <c r="M577" s="1">
        <v>799</v>
      </c>
      <c r="N577" s="1">
        <v>4</v>
      </c>
      <c r="O577" s="3" t="s">
        <v>39</v>
      </c>
      <c r="P577" s="1">
        <v>95</v>
      </c>
      <c r="Q577" s="1">
        <v>3</v>
      </c>
      <c r="R577" s="1">
        <v>2</v>
      </c>
      <c r="S577" s="3" t="s">
        <v>53</v>
      </c>
      <c r="T577" s="1">
        <v>1</v>
      </c>
      <c r="U577" s="3" t="s">
        <v>52</v>
      </c>
      <c r="V577" s="4">
        <v>5485</v>
      </c>
      <c r="W577" s="1">
        <v>22670</v>
      </c>
      <c r="X577" s="1">
        <v>9</v>
      </c>
      <c r="Y577" s="3" t="s">
        <v>42</v>
      </c>
      <c r="Z577" s="3" t="s">
        <v>35</v>
      </c>
      <c r="AA577" s="5">
        <v>0.11</v>
      </c>
      <c r="AB577" s="10" t="str" cm="1">
        <f t="array" ref="AB577">_xlfn.IFS(AA577 &lt;= 15%, "Low Hike[11-15%]", AA577 &lt;= 20%, "Moderate Hike[16-20%]", AA577 &lt;= 25%,"High Hike[21-25%]")</f>
        <v>Low Hike[11-15%]</v>
      </c>
      <c r="AC577" s="1">
        <v>3</v>
      </c>
      <c r="AD577" s="1">
        <v>2</v>
      </c>
      <c r="AE577" s="1">
        <v>80</v>
      </c>
      <c r="AF577" s="1">
        <v>2</v>
      </c>
      <c r="AG577" s="1">
        <v>9</v>
      </c>
      <c r="AH577" s="9" t="str" cm="1">
        <f t="array" ref="AH577">_xlfn.IFS(AG577 &lt;= 5, "New[1-5]", AG577 &lt;= 10, "Early Career[6-10]", AG577 &lt;= 20, "Established[11-20]", AG577 &lt;= 30, "Veteran[21-30]", AG577 &lt;= 40, "Late Career[31-40]")</f>
        <v>Early Career[6-10]</v>
      </c>
      <c r="AI577" s="1">
        <v>4</v>
      </c>
      <c r="AJ577" s="1">
        <v>3</v>
      </c>
      <c r="AK577" s="1">
        <v>5</v>
      </c>
      <c r="AL577" s="9" t="str" cm="1">
        <f t="array" ref="AL577">_xlfn.IFS(AK577 &lt;= 5, "New[1-5]", AK577 &lt;= 10, "Early Career[6-10]", AK577 &lt;= 20, "Established[11-20]", AK577 &lt;= 30, "Veteran[21-30]", AK577 &lt;= 40, "Late Career[31-40]")</f>
        <v>New[1-5]</v>
      </c>
      <c r="AM577" s="1">
        <v>3</v>
      </c>
      <c r="AN577" s="9" t="str" cm="1">
        <f t="array" ref="AN577">_xlfn.IFS(AM577 &lt;= 3, "New to Role[1-3]", AM577 &lt;= 7, "Settled[4-7]", AM577 &lt;= 12, "Experienced[[8-12]", AM577 &lt;= 18, "Long Tenured[13-18]")</f>
        <v>New to Role[1-3]</v>
      </c>
      <c r="AO577" s="1">
        <v>1</v>
      </c>
      <c r="AP577" s="9" t="str" cm="1">
        <f t="array" ref="AP577">_xlfn.IFS(AO577 &lt;= 3, "Recently[1-3]", AO577 &lt;= 6, "Due Soon[4-6]", AO577 &lt;= 10, "Overdue[7-10]", AO577 &lt;= 15, "Long Overdue[11-15]")</f>
        <v>Recently[1-3]</v>
      </c>
      <c r="AQ577" s="9" t="str" cm="1">
        <f t="array" ref="AQ577">_xlfn.IFS(AR577 &lt;= 3, "New Relationship[1-3]", AR577 &lt;= 7, "Established Relationship[4-7]", AR577 &lt;= 12, "Long Term Relationship[8-12]", AR577 &lt;= 17, "Very Long Term Relationship[13-17]")</f>
        <v>Established Relationship[4-7]</v>
      </c>
      <c r="AR577" s="1">
        <v>4</v>
      </c>
    </row>
    <row r="578" spans="1:44" x14ac:dyDescent="0.25">
      <c r="A578" s="1">
        <v>27</v>
      </c>
      <c r="B578" s="8" t="str" cm="1">
        <f t="array" ref="B578">_xlfn.IFS(A578 &lt;= 25, "[18-25]", A578 &lt;= 35, "[26-35]", A578 &lt;=45, "[36-45]", A578 &lt;= 60, "[46- 60]")</f>
        <v>[26-35]</v>
      </c>
      <c r="C578" s="3" t="s">
        <v>43</v>
      </c>
      <c r="D578">
        <f t="shared" ref="D578:D641" si="9">IF(C578 = "Yes",1, 0)</f>
        <v>0</v>
      </c>
      <c r="E578" t="s">
        <v>44</v>
      </c>
      <c r="F578" s="1">
        <v>829</v>
      </c>
      <c r="G578" s="3" t="s">
        <v>37</v>
      </c>
      <c r="H578" s="1">
        <v>8</v>
      </c>
      <c r="I578" s="9" t="str" cm="1">
        <f t="array" ref="I578">_xlfn.IFS(H578 &lt;= 2, "[1-2] very close", H578 &lt;= 10, "[3-10] close", H578 &lt;= 20, "[11-20] moderate", H578 &lt;= 30, "[21-30] far")</f>
        <v>[3-10] close</v>
      </c>
      <c r="J578" s="1">
        <v>1</v>
      </c>
      <c r="K578" s="3" t="s">
        <v>59</v>
      </c>
      <c r="L578" s="1">
        <v>1</v>
      </c>
      <c r="M578" s="1">
        <v>800</v>
      </c>
      <c r="N578" s="1">
        <v>3</v>
      </c>
      <c r="O578" s="3" t="s">
        <v>46</v>
      </c>
      <c r="P578" s="1">
        <v>84</v>
      </c>
      <c r="Q578" s="1">
        <v>3</v>
      </c>
      <c r="R578" s="1">
        <v>2</v>
      </c>
      <c r="S578" s="3" t="s">
        <v>40</v>
      </c>
      <c r="T578" s="1">
        <v>4</v>
      </c>
      <c r="U578" s="3" t="s">
        <v>48</v>
      </c>
      <c r="V578" s="4">
        <v>4342</v>
      </c>
      <c r="W578" s="1">
        <v>24008</v>
      </c>
      <c r="X578" s="1">
        <v>0</v>
      </c>
      <c r="Y578" s="3" t="s">
        <v>42</v>
      </c>
      <c r="Z578" s="3" t="s">
        <v>43</v>
      </c>
      <c r="AA578" s="5">
        <v>0.19</v>
      </c>
      <c r="AB578" s="10" t="str" cm="1">
        <f t="array" ref="AB578">_xlfn.IFS(AA578 &lt;= 15%, "Low Hike[11-15%]", AA578 &lt;= 20%, "Moderate Hike[16-20%]", AA578 &lt;= 25%,"High Hike[21-25%]")</f>
        <v>Moderate Hike[16-20%]</v>
      </c>
      <c r="AC578" s="1">
        <v>3</v>
      </c>
      <c r="AD578" s="1">
        <v>2</v>
      </c>
      <c r="AE578" s="1">
        <v>80</v>
      </c>
      <c r="AF578" s="1">
        <v>1</v>
      </c>
      <c r="AG578" s="1">
        <v>5</v>
      </c>
      <c r="AH578" s="9" t="str" cm="1">
        <f t="array" ref="AH578">_xlfn.IFS(AG578 &lt;= 5, "New[1-5]", AG578 &lt;= 10, "Early Career[6-10]", AG578 &lt;= 20, "Established[11-20]", AG578 &lt;= 30, "Veteran[21-30]", AG578 &lt;= 40, "Late Career[31-40]")</f>
        <v>New[1-5]</v>
      </c>
      <c r="AI578" s="1">
        <v>3</v>
      </c>
      <c r="AJ578" s="1">
        <v>3</v>
      </c>
      <c r="AK578" s="1">
        <v>4</v>
      </c>
      <c r="AL578" s="9" t="str" cm="1">
        <f t="array" ref="AL578">_xlfn.IFS(AK578 &lt;= 5, "New[1-5]", AK578 &lt;= 10, "Early Career[6-10]", AK578 &lt;= 20, "Established[11-20]", AK578 &lt;= 30, "Veteran[21-30]", AK578 &lt;= 40, "Late Career[31-40]")</f>
        <v>New[1-5]</v>
      </c>
      <c r="AM578" s="1">
        <v>2</v>
      </c>
      <c r="AN578" s="9" t="str" cm="1">
        <f t="array" ref="AN578">_xlfn.IFS(AM578 &lt;= 3, "New to Role[1-3]", AM578 &lt;= 7, "Settled[4-7]", AM578 &lt;= 12, "Experienced[[8-12]", AM578 &lt;= 18, "Long Tenured[13-18]")</f>
        <v>New to Role[1-3]</v>
      </c>
      <c r="AO578" s="1">
        <v>1</v>
      </c>
      <c r="AP578" s="9" t="str" cm="1">
        <f t="array" ref="AP578">_xlfn.IFS(AO578 &lt;= 3, "Recently[1-3]", AO578 &lt;= 6, "Due Soon[4-6]", AO578 &lt;= 10, "Overdue[7-10]", AO578 &lt;= 15, "Long Overdue[11-15]")</f>
        <v>Recently[1-3]</v>
      </c>
      <c r="AQ578" s="9" t="str" cm="1">
        <f t="array" ref="AQ578">_xlfn.IFS(AR578 &lt;= 3, "New Relationship[1-3]", AR578 &lt;= 7, "Established Relationship[4-7]", AR578 &lt;= 12, "Long Term Relationship[8-12]", AR578 &lt;= 17, "Very Long Term Relationship[13-17]")</f>
        <v>New Relationship[1-3]</v>
      </c>
      <c r="AR578" s="1">
        <v>1</v>
      </c>
    </row>
    <row r="579" spans="1:44" x14ac:dyDescent="0.25">
      <c r="A579" s="1">
        <v>37</v>
      </c>
      <c r="B579" s="8" t="str" cm="1">
        <f t="array" ref="B579">_xlfn.IFS(A579 &lt;= 25, "[18-25]", A579 &lt;= 35, "[26-35]", A579 &lt;=45, "[36-45]", A579 &lt;= 60, "[46- 60]")</f>
        <v>[36-45]</v>
      </c>
      <c r="C579" s="3" t="s">
        <v>43</v>
      </c>
      <c r="D579">
        <f t="shared" si="9"/>
        <v>0</v>
      </c>
      <c r="E579" t="s">
        <v>36</v>
      </c>
      <c r="F579" s="1">
        <v>571</v>
      </c>
      <c r="G579" s="3" t="s">
        <v>45</v>
      </c>
      <c r="H579" s="1">
        <v>10</v>
      </c>
      <c r="I579" s="9" t="str" cm="1">
        <f t="array" ref="I579">_xlfn.IFS(H579 &lt;= 2, "[1-2] very close", H579 &lt;= 10, "[3-10] close", H579 &lt;= 20, "[11-20] moderate", H579 &lt;= 30, "[21-30] far")</f>
        <v>[3-10] close</v>
      </c>
      <c r="J579" s="1">
        <v>1</v>
      </c>
      <c r="K579" s="3" t="s">
        <v>38</v>
      </c>
      <c r="L579" s="1">
        <v>1</v>
      </c>
      <c r="M579" s="1">
        <v>802</v>
      </c>
      <c r="N579" s="1">
        <v>4</v>
      </c>
      <c r="O579" s="3" t="s">
        <v>39</v>
      </c>
      <c r="P579" s="1">
        <v>82</v>
      </c>
      <c r="Q579" s="1">
        <v>3</v>
      </c>
      <c r="R579" s="1">
        <v>1</v>
      </c>
      <c r="S579" s="3" t="s">
        <v>47</v>
      </c>
      <c r="T579" s="1">
        <v>1</v>
      </c>
      <c r="U579" s="3" t="s">
        <v>52</v>
      </c>
      <c r="V579" s="4">
        <v>2782</v>
      </c>
      <c r="W579" s="1">
        <v>19905</v>
      </c>
      <c r="X579" s="1">
        <v>0</v>
      </c>
      <c r="Y579" s="3" t="s">
        <v>42</v>
      </c>
      <c r="Z579" s="3" t="s">
        <v>35</v>
      </c>
      <c r="AA579" s="5">
        <v>0.13</v>
      </c>
      <c r="AB579" s="10" t="str" cm="1">
        <f t="array" ref="AB579">_xlfn.IFS(AA579 &lt;= 15%, "Low Hike[11-15%]", AA579 &lt;= 20%, "Moderate Hike[16-20%]", AA579 &lt;= 25%,"High Hike[21-25%]")</f>
        <v>Low Hike[11-15%]</v>
      </c>
      <c r="AC579" s="1">
        <v>3</v>
      </c>
      <c r="AD579" s="1">
        <v>2</v>
      </c>
      <c r="AE579" s="1">
        <v>80</v>
      </c>
      <c r="AF579" s="1">
        <v>2</v>
      </c>
      <c r="AG579" s="1">
        <v>6</v>
      </c>
      <c r="AH579" s="9" t="str" cm="1">
        <f t="array" ref="AH579">_xlfn.IFS(AG579 &lt;= 5, "New[1-5]", AG579 &lt;= 10, "Early Career[6-10]", AG579 &lt;= 20, "Established[11-20]", AG579 &lt;= 30, "Veteran[21-30]", AG579 &lt;= 40, "Late Career[31-40]")</f>
        <v>Early Career[6-10]</v>
      </c>
      <c r="AI579" s="1">
        <v>3</v>
      </c>
      <c r="AJ579" s="1">
        <v>2</v>
      </c>
      <c r="AK579" s="1">
        <v>5</v>
      </c>
      <c r="AL579" s="9" t="str" cm="1">
        <f t="array" ref="AL579">_xlfn.IFS(AK579 &lt;= 5, "New[1-5]", AK579 &lt;= 10, "Early Career[6-10]", AK579 &lt;= 20, "Established[11-20]", AK579 &lt;= 30, "Veteran[21-30]", AK579 &lt;= 40, "Late Career[31-40]")</f>
        <v>New[1-5]</v>
      </c>
      <c r="AM579" s="1">
        <v>3</v>
      </c>
      <c r="AN579" s="9" t="str" cm="1">
        <f t="array" ref="AN579">_xlfn.IFS(AM579 &lt;= 3, "New to Role[1-3]", AM579 &lt;= 7, "Settled[4-7]", AM579 &lt;= 12, "Experienced[[8-12]", AM579 &lt;= 18, "Long Tenured[13-18]")</f>
        <v>New to Role[1-3]</v>
      </c>
      <c r="AO579" s="1">
        <v>4</v>
      </c>
      <c r="AP579" s="9" t="str" cm="1">
        <f t="array" ref="AP579">_xlfn.IFS(AO579 &lt;= 3, "Recently[1-3]", AO579 &lt;= 6, "Due Soon[4-6]", AO579 &lt;= 10, "Overdue[7-10]", AO579 &lt;= 15, "Long Overdue[11-15]")</f>
        <v>Due Soon[4-6]</v>
      </c>
      <c r="AQ579" s="9" t="str" cm="1">
        <f t="array" ref="AQ579">_xlfn.IFS(AR579 &lt;= 3, "New Relationship[1-3]", AR579 &lt;= 7, "Established Relationship[4-7]", AR579 &lt;= 12, "Long Term Relationship[8-12]", AR579 &lt;= 17, "Very Long Term Relationship[13-17]")</f>
        <v>New Relationship[1-3]</v>
      </c>
      <c r="AR579" s="1">
        <v>3</v>
      </c>
    </row>
    <row r="580" spans="1:44" x14ac:dyDescent="0.25">
      <c r="A580" s="1">
        <v>38</v>
      </c>
      <c r="B580" s="8" t="str" cm="1">
        <f t="array" ref="B580">_xlfn.IFS(A580 &lt;= 25, "[18-25]", A580 &lt;= 35, "[26-35]", A580 &lt;=45, "[36-45]", A580 &lt;= 60, "[46- 60]")</f>
        <v>[36-45]</v>
      </c>
      <c r="C580" s="3" t="s">
        <v>43</v>
      </c>
      <c r="D580">
        <f t="shared" si="9"/>
        <v>0</v>
      </c>
      <c r="E580" t="s">
        <v>44</v>
      </c>
      <c r="F580" s="1">
        <v>240</v>
      </c>
      <c r="G580" s="3" t="s">
        <v>45</v>
      </c>
      <c r="H580" s="1">
        <v>2</v>
      </c>
      <c r="I580" s="9" t="str" cm="1">
        <f t="array" ref="I580">_xlfn.IFS(H580 &lt;= 2, "[1-2] very close", H580 &lt;= 10, "[3-10] close", H580 &lt;= 20, "[11-20] moderate", H580 &lt;= 30, "[21-30] far")</f>
        <v>[1-2] very close</v>
      </c>
      <c r="J580" s="1">
        <v>4</v>
      </c>
      <c r="K580" s="3" t="s">
        <v>38</v>
      </c>
      <c r="L580" s="1">
        <v>1</v>
      </c>
      <c r="M580" s="1">
        <v>803</v>
      </c>
      <c r="N580" s="1">
        <v>1</v>
      </c>
      <c r="O580" s="3" t="s">
        <v>39</v>
      </c>
      <c r="P580" s="1">
        <v>75</v>
      </c>
      <c r="Q580" s="1">
        <v>4</v>
      </c>
      <c r="R580" s="1">
        <v>2</v>
      </c>
      <c r="S580" s="3" t="s">
        <v>53</v>
      </c>
      <c r="T580" s="1">
        <v>1</v>
      </c>
      <c r="U580" s="3" t="s">
        <v>41</v>
      </c>
      <c r="V580" s="4">
        <v>5980</v>
      </c>
      <c r="W580" s="1">
        <v>26085</v>
      </c>
      <c r="X580" s="1">
        <v>6</v>
      </c>
      <c r="Y580" s="3" t="s">
        <v>42</v>
      </c>
      <c r="Z580" s="3" t="s">
        <v>35</v>
      </c>
      <c r="AA580" s="5">
        <v>0.12</v>
      </c>
      <c r="AB580" s="10" t="str" cm="1">
        <f t="array" ref="AB580">_xlfn.IFS(AA580 &lt;= 15%, "Low Hike[11-15%]", AA580 &lt;= 20%, "Moderate Hike[16-20%]", AA580 &lt;= 25%,"High Hike[21-25%]")</f>
        <v>Low Hike[11-15%]</v>
      </c>
      <c r="AC580" s="1">
        <v>3</v>
      </c>
      <c r="AD580" s="1">
        <v>4</v>
      </c>
      <c r="AE580" s="1">
        <v>80</v>
      </c>
      <c r="AF580" s="1">
        <v>0</v>
      </c>
      <c r="AG580" s="1">
        <v>17</v>
      </c>
      <c r="AH580" s="9" t="str" cm="1">
        <f t="array" ref="AH580">_xlfn.IFS(AG580 &lt;= 5, "New[1-5]", AG580 &lt;= 10, "Early Career[6-10]", AG580 &lt;= 20, "Established[11-20]", AG580 &lt;= 30, "Veteran[21-30]", AG580 &lt;= 40, "Late Career[31-40]")</f>
        <v>Established[11-20]</v>
      </c>
      <c r="AI580" s="1">
        <v>2</v>
      </c>
      <c r="AJ580" s="1">
        <v>3</v>
      </c>
      <c r="AK580" s="1">
        <v>15</v>
      </c>
      <c r="AL580" s="9" t="str" cm="1">
        <f t="array" ref="AL580">_xlfn.IFS(AK580 &lt;= 5, "New[1-5]", AK580 &lt;= 10, "Early Career[6-10]", AK580 &lt;= 20, "Established[11-20]", AK580 &lt;= 30, "Veteran[21-30]", AK580 &lt;= 40, "Late Career[31-40]")</f>
        <v>Established[11-20]</v>
      </c>
      <c r="AM580" s="1">
        <v>7</v>
      </c>
      <c r="AN580" s="9" t="str" cm="1">
        <f t="array" ref="AN580">_xlfn.IFS(AM580 &lt;= 3, "New to Role[1-3]", AM580 &lt;= 7, "Settled[4-7]", AM580 &lt;= 12, "Experienced[[8-12]", AM580 &lt;= 18, "Long Tenured[13-18]")</f>
        <v>Settled[4-7]</v>
      </c>
      <c r="AO580" s="1">
        <v>4</v>
      </c>
      <c r="AP580" s="9" t="str" cm="1">
        <f t="array" ref="AP580">_xlfn.IFS(AO580 &lt;= 3, "Recently[1-3]", AO580 &lt;= 6, "Due Soon[4-6]", AO580 &lt;= 10, "Overdue[7-10]", AO580 &lt;= 15, "Long Overdue[11-15]")</f>
        <v>Due Soon[4-6]</v>
      </c>
      <c r="AQ580" s="9" t="str" cm="1">
        <f t="array" ref="AQ580">_xlfn.IFS(AR580 &lt;= 3, "New Relationship[1-3]", AR580 &lt;= 7, "Established Relationship[4-7]", AR580 &lt;= 12, "Long Term Relationship[8-12]", AR580 &lt;= 17, "Very Long Term Relationship[13-17]")</f>
        <v>Long Term Relationship[8-12]</v>
      </c>
      <c r="AR580" s="1">
        <v>12</v>
      </c>
    </row>
    <row r="581" spans="1:44" x14ac:dyDescent="0.25">
      <c r="A581" s="1">
        <v>34</v>
      </c>
      <c r="B581" s="8" t="str" cm="1">
        <f t="array" ref="B581">_xlfn.IFS(A581 &lt;= 25, "[18-25]", A581 &lt;= 35, "[26-35]", A581 &lt;=45, "[36-45]", A581 &lt;= 60, "[46- 60]")</f>
        <v>[26-35]</v>
      </c>
      <c r="C581" s="3" t="s">
        <v>43</v>
      </c>
      <c r="D581">
        <f t="shared" si="9"/>
        <v>0</v>
      </c>
      <c r="E581" t="s">
        <v>36</v>
      </c>
      <c r="F581" s="1">
        <v>121</v>
      </c>
      <c r="G581" s="3" t="s">
        <v>45</v>
      </c>
      <c r="H581" s="1">
        <v>2</v>
      </c>
      <c r="I581" s="9" t="str" cm="1">
        <f t="array" ref="I581">_xlfn.IFS(H581 &lt;= 2, "[1-2] very close", H581 &lt;= 10, "[3-10] close", H581 &lt;= 20, "[11-20] moderate", H581 &lt;= 30, "[21-30] far")</f>
        <v>[1-2] very close</v>
      </c>
      <c r="J581" s="1">
        <v>4</v>
      </c>
      <c r="K581" s="3" t="s">
        <v>51</v>
      </c>
      <c r="L581" s="1">
        <v>1</v>
      </c>
      <c r="M581" s="1">
        <v>804</v>
      </c>
      <c r="N581" s="1">
        <v>3</v>
      </c>
      <c r="O581" s="3" t="s">
        <v>39</v>
      </c>
      <c r="P581" s="1">
        <v>86</v>
      </c>
      <c r="Q581" s="1">
        <v>2</v>
      </c>
      <c r="R581" s="1">
        <v>1</v>
      </c>
      <c r="S581" s="3" t="s">
        <v>47</v>
      </c>
      <c r="T581" s="1">
        <v>1</v>
      </c>
      <c r="U581" s="3" t="s">
        <v>41</v>
      </c>
      <c r="V581" s="4">
        <v>4381</v>
      </c>
      <c r="W581" s="1">
        <v>7530</v>
      </c>
      <c r="X581" s="1">
        <v>1</v>
      </c>
      <c r="Y581" s="3" t="s">
        <v>42</v>
      </c>
      <c r="Z581" s="3" t="s">
        <v>43</v>
      </c>
      <c r="AA581" s="5">
        <v>0.11</v>
      </c>
      <c r="AB581" s="10" t="str" cm="1">
        <f t="array" ref="AB581">_xlfn.IFS(AA581 &lt;= 15%, "Low Hike[11-15%]", AA581 &lt;= 20%, "Moderate Hike[16-20%]", AA581 &lt;= 25%,"High Hike[21-25%]")</f>
        <v>Low Hike[11-15%]</v>
      </c>
      <c r="AC581" s="1">
        <v>3</v>
      </c>
      <c r="AD581" s="1">
        <v>3</v>
      </c>
      <c r="AE581" s="1">
        <v>80</v>
      </c>
      <c r="AF581" s="1">
        <v>0</v>
      </c>
      <c r="AG581" s="1">
        <v>6</v>
      </c>
      <c r="AH581" s="9" t="str" cm="1">
        <f t="array" ref="AH581">_xlfn.IFS(AG581 &lt;= 5, "New[1-5]", AG581 &lt;= 10, "Early Career[6-10]", AG581 &lt;= 20, "Established[11-20]", AG581 &lt;= 30, "Veteran[21-30]", AG581 &lt;= 40, "Late Career[31-40]")</f>
        <v>Early Career[6-10]</v>
      </c>
      <c r="AI581" s="1">
        <v>3</v>
      </c>
      <c r="AJ581" s="1">
        <v>3</v>
      </c>
      <c r="AK581" s="1">
        <v>6</v>
      </c>
      <c r="AL581" s="9" t="str" cm="1">
        <f t="array" ref="AL581">_xlfn.IFS(AK581 &lt;= 5, "New[1-5]", AK581 &lt;= 10, "Early Career[6-10]", AK581 &lt;= 20, "Established[11-20]", AK581 &lt;= 30, "Veteran[21-30]", AK581 &lt;= 40, "Late Career[31-40]")</f>
        <v>Early Career[6-10]</v>
      </c>
      <c r="AM581" s="1">
        <v>5</v>
      </c>
      <c r="AN581" s="9" t="str" cm="1">
        <f t="array" ref="AN581">_xlfn.IFS(AM581 &lt;= 3, "New to Role[1-3]", AM581 &lt;= 7, "Settled[4-7]", AM581 &lt;= 12, "Experienced[[8-12]", AM581 &lt;= 18, "Long Tenured[13-18]")</f>
        <v>Settled[4-7]</v>
      </c>
      <c r="AO581" s="1">
        <v>1</v>
      </c>
      <c r="AP581" s="9" t="str" cm="1">
        <f t="array" ref="AP581">_xlfn.IFS(AO581 &lt;= 3, "Recently[1-3]", AO581 &lt;= 6, "Due Soon[4-6]", AO581 &lt;= 10, "Overdue[7-10]", AO581 &lt;= 15, "Long Overdue[11-15]")</f>
        <v>Recently[1-3]</v>
      </c>
      <c r="AQ581" s="9" t="str" cm="1">
        <f t="array" ref="AQ581">_xlfn.IFS(AR581 &lt;= 3, "New Relationship[1-3]", AR581 &lt;= 7, "Established Relationship[4-7]", AR581 &lt;= 12, "Long Term Relationship[8-12]", AR581 &lt;= 17, "Very Long Term Relationship[13-17]")</f>
        <v>New Relationship[1-3]</v>
      </c>
      <c r="AR581" s="1">
        <v>3</v>
      </c>
    </row>
    <row r="582" spans="1:44" x14ac:dyDescent="0.25">
      <c r="A582" s="1">
        <v>35</v>
      </c>
      <c r="B582" s="8" t="str" cm="1">
        <f t="array" ref="B582">_xlfn.IFS(A582 &lt;= 25, "[18-25]", A582 &lt;= 35, "[26-35]", A582 &lt;=45, "[36-45]", A582 &lt;= 60, "[46- 60]")</f>
        <v>[26-35]</v>
      </c>
      <c r="C582" s="3" t="s">
        <v>43</v>
      </c>
      <c r="D582">
        <f t="shared" si="9"/>
        <v>0</v>
      </c>
      <c r="E582" t="s">
        <v>36</v>
      </c>
      <c r="F582" s="1">
        <v>384</v>
      </c>
      <c r="G582" s="3" t="s">
        <v>37</v>
      </c>
      <c r="H582" s="1">
        <v>8</v>
      </c>
      <c r="I582" s="9" t="str" cm="1">
        <f t="array" ref="I582">_xlfn.IFS(H582 &lt;= 2, "[1-2] very close", H582 &lt;= 10, "[3-10] close", H582 &lt;= 20, "[11-20] moderate", H582 &lt;= 30, "[21-30] far")</f>
        <v>[3-10] close</v>
      </c>
      <c r="J582" s="1">
        <v>4</v>
      </c>
      <c r="K582" s="3" t="s">
        <v>38</v>
      </c>
      <c r="L582" s="1">
        <v>1</v>
      </c>
      <c r="M582" s="1">
        <v>805</v>
      </c>
      <c r="N582" s="1">
        <v>1</v>
      </c>
      <c r="O582" s="3" t="s">
        <v>39</v>
      </c>
      <c r="P582" s="1">
        <v>72</v>
      </c>
      <c r="Q582" s="1">
        <v>3</v>
      </c>
      <c r="R582" s="1">
        <v>1</v>
      </c>
      <c r="S582" s="3" t="s">
        <v>57</v>
      </c>
      <c r="T582" s="1">
        <v>4</v>
      </c>
      <c r="U582" s="3" t="s">
        <v>48</v>
      </c>
      <c r="V582" s="4">
        <v>2572</v>
      </c>
      <c r="W582" s="1">
        <v>20317</v>
      </c>
      <c r="X582" s="1">
        <v>1</v>
      </c>
      <c r="Y582" s="3" t="s">
        <v>42</v>
      </c>
      <c r="Z582" s="3" t="s">
        <v>43</v>
      </c>
      <c r="AA582" s="5">
        <v>0.16</v>
      </c>
      <c r="AB582" s="10" t="str" cm="1">
        <f t="array" ref="AB582">_xlfn.IFS(AA582 &lt;= 15%, "Low Hike[11-15%]", AA582 &lt;= 20%, "Moderate Hike[16-20%]", AA582 &lt;= 25%,"High Hike[21-25%]")</f>
        <v>Moderate Hike[16-20%]</v>
      </c>
      <c r="AC582" s="1">
        <v>3</v>
      </c>
      <c r="AD582" s="1">
        <v>2</v>
      </c>
      <c r="AE582" s="1">
        <v>80</v>
      </c>
      <c r="AF582" s="1">
        <v>1</v>
      </c>
      <c r="AG582" s="1">
        <v>3</v>
      </c>
      <c r="AH582" s="9" t="str" cm="1">
        <f t="array" ref="AH582">_xlfn.IFS(AG582 &lt;= 5, "New[1-5]", AG582 &lt;= 10, "Early Career[6-10]", AG582 &lt;= 20, "Established[11-20]", AG582 &lt;= 30, "Veteran[21-30]", AG582 &lt;= 40, "Late Career[31-40]")</f>
        <v>New[1-5]</v>
      </c>
      <c r="AI582" s="1">
        <v>1</v>
      </c>
      <c r="AJ582" s="1">
        <v>2</v>
      </c>
      <c r="AK582" s="1">
        <v>3</v>
      </c>
      <c r="AL582" s="9" t="str" cm="1">
        <f t="array" ref="AL582">_xlfn.IFS(AK582 &lt;= 5, "New[1-5]", AK582 &lt;= 10, "Early Career[6-10]", AK582 &lt;= 20, "Established[11-20]", AK582 &lt;= 30, "Veteran[21-30]", AK582 &lt;= 40, "Late Career[31-40]")</f>
        <v>New[1-5]</v>
      </c>
      <c r="AM582" s="1">
        <v>2</v>
      </c>
      <c r="AN582" s="9" t="str" cm="1">
        <f t="array" ref="AN582">_xlfn.IFS(AM582 &lt;= 3, "New to Role[1-3]", AM582 &lt;= 7, "Settled[4-7]", AM582 &lt;= 12, "Experienced[[8-12]", AM582 &lt;= 18, "Long Tenured[13-18]")</f>
        <v>New to Role[1-3]</v>
      </c>
      <c r="AO582" s="1">
        <v>0</v>
      </c>
      <c r="AP582" s="9" t="str" cm="1">
        <f t="array" ref="AP582">_xlfn.IFS(AO582 &lt;= 3, "Recently[1-3]", AO582 &lt;= 6, "Due Soon[4-6]", AO582 &lt;= 10, "Overdue[7-10]", AO582 &lt;= 15, "Long Overdue[11-15]")</f>
        <v>Recently[1-3]</v>
      </c>
      <c r="AQ582" s="9" t="str" cm="1">
        <f t="array" ref="AQ582">_xlfn.IFS(AR582 &lt;= 3, "New Relationship[1-3]", AR582 &lt;= 7, "Established Relationship[4-7]", AR582 &lt;= 12, "Long Term Relationship[8-12]", AR582 &lt;= 17, "Very Long Term Relationship[13-17]")</f>
        <v>New Relationship[1-3]</v>
      </c>
      <c r="AR582" s="1">
        <v>2</v>
      </c>
    </row>
    <row r="583" spans="1:44" x14ac:dyDescent="0.25">
      <c r="A583" s="1">
        <v>30</v>
      </c>
      <c r="B583" s="8" t="str" cm="1">
        <f t="array" ref="B583">_xlfn.IFS(A583 &lt;= 25, "[18-25]", A583 &lt;= 35, "[26-35]", A583 &lt;=45, "[36-45]", A583 &lt;= 60, "[46- 60]")</f>
        <v>[26-35]</v>
      </c>
      <c r="C583" s="3" t="s">
        <v>43</v>
      </c>
      <c r="D583">
        <f t="shared" si="9"/>
        <v>0</v>
      </c>
      <c r="E583" t="s">
        <v>36</v>
      </c>
      <c r="F583" s="1">
        <v>921</v>
      </c>
      <c r="G583" s="3" t="s">
        <v>45</v>
      </c>
      <c r="H583" s="1">
        <v>1</v>
      </c>
      <c r="I583" s="9" t="str" cm="1">
        <f t="array" ref="I583">_xlfn.IFS(H583 &lt;= 2, "[1-2] very close", H583 &lt;= 10, "[3-10] close", H583 &lt;= 20, "[11-20] moderate", H583 &lt;= 30, "[21-30] far")</f>
        <v>[1-2] very close</v>
      </c>
      <c r="J583" s="1">
        <v>3</v>
      </c>
      <c r="K583" s="3" t="s">
        <v>38</v>
      </c>
      <c r="L583" s="1">
        <v>1</v>
      </c>
      <c r="M583" s="1">
        <v>806</v>
      </c>
      <c r="N583" s="1">
        <v>4</v>
      </c>
      <c r="O583" s="3" t="s">
        <v>46</v>
      </c>
      <c r="P583" s="1">
        <v>38</v>
      </c>
      <c r="Q583" s="1">
        <v>1</v>
      </c>
      <c r="R583" s="1">
        <v>1</v>
      </c>
      <c r="S583" s="3" t="s">
        <v>50</v>
      </c>
      <c r="T583" s="1">
        <v>3</v>
      </c>
      <c r="U583" s="3" t="s">
        <v>48</v>
      </c>
      <c r="V583" s="4">
        <v>3833</v>
      </c>
      <c r="W583" s="1">
        <v>24375</v>
      </c>
      <c r="X583" s="1">
        <v>3</v>
      </c>
      <c r="Y583" s="3" t="s">
        <v>42</v>
      </c>
      <c r="Z583" s="3" t="s">
        <v>43</v>
      </c>
      <c r="AA583" s="5">
        <v>0.21</v>
      </c>
      <c r="AB583" s="10" t="str" cm="1">
        <f t="array" ref="AB583">_xlfn.IFS(AA583 &lt;= 15%, "Low Hike[11-15%]", AA583 &lt;= 20%, "Moderate Hike[16-20%]", AA583 &lt;= 25%,"High Hike[21-25%]")</f>
        <v>High Hike[21-25%]</v>
      </c>
      <c r="AC583" s="1">
        <v>4</v>
      </c>
      <c r="AD583" s="1">
        <v>3</v>
      </c>
      <c r="AE583" s="1">
        <v>80</v>
      </c>
      <c r="AF583" s="1">
        <v>2</v>
      </c>
      <c r="AG583" s="1">
        <v>7</v>
      </c>
      <c r="AH583" s="9" t="str" cm="1">
        <f t="array" ref="AH583">_xlfn.IFS(AG583 &lt;= 5, "New[1-5]", AG583 &lt;= 10, "Early Career[6-10]", AG583 &lt;= 20, "Established[11-20]", AG583 &lt;= 30, "Veteran[21-30]", AG583 &lt;= 40, "Late Career[31-40]")</f>
        <v>Early Career[6-10]</v>
      </c>
      <c r="AI583" s="1">
        <v>2</v>
      </c>
      <c r="AJ583" s="1">
        <v>3</v>
      </c>
      <c r="AK583" s="1">
        <v>2</v>
      </c>
      <c r="AL583" s="9" t="str" cm="1">
        <f t="array" ref="AL583">_xlfn.IFS(AK583 &lt;= 5, "New[1-5]", AK583 &lt;= 10, "Early Career[6-10]", AK583 &lt;= 20, "Established[11-20]", AK583 &lt;= 30, "Veteran[21-30]", AK583 &lt;= 40, "Late Career[31-40]")</f>
        <v>New[1-5]</v>
      </c>
      <c r="AM583" s="1">
        <v>2</v>
      </c>
      <c r="AN583" s="9" t="str" cm="1">
        <f t="array" ref="AN583">_xlfn.IFS(AM583 &lt;= 3, "New to Role[1-3]", AM583 &lt;= 7, "Settled[4-7]", AM583 &lt;= 12, "Experienced[[8-12]", AM583 &lt;= 18, "Long Tenured[13-18]")</f>
        <v>New to Role[1-3]</v>
      </c>
      <c r="AO583" s="1">
        <v>0</v>
      </c>
      <c r="AP583" s="9" t="str" cm="1">
        <f t="array" ref="AP583">_xlfn.IFS(AO583 &lt;= 3, "Recently[1-3]", AO583 &lt;= 6, "Due Soon[4-6]", AO583 &lt;= 10, "Overdue[7-10]", AO583 &lt;= 15, "Long Overdue[11-15]")</f>
        <v>Recently[1-3]</v>
      </c>
      <c r="AQ583" s="9" t="str" cm="1">
        <f t="array" ref="AQ583">_xlfn.IFS(AR583 &lt;= 3, "New Relationship[1-3]", AR583 &lt;= 7, "Established Relationship[4-7]", AR583 &lt;= 12, "Long Term Relationship[8-12]", AR583 &lt;= 17, "Very Long Term Relationship[13-17]")</f>
        <v>New Relationship[1-3]</v>
      </c>
      <c r="AR583" s="1">
        <v>2</v>
      </c>
    </row>
    <row r="584" spans="1:44" x14ac:dyDescent="0.25">
      <c r="A584" s="1">
        <v>40</v>
      </c>
      <c r="B584" s="8" t="str" cm="1">
        <f t="array" ref="B584">_xlfn.IFS(A584 &lt;= 25, "[18-25]", A584 &lt;= 35, "[26-35]", A584 &lt;=45, "[36-45]", A584 &lt;= 60, "[46- 60]")</f>
        <v>[36-45]</v>
      </c>
      <c r="C584" s="3" t="s">
        <v>43</v>
      </c>
      <c r="D584">
        <f t="shared" si="9"/>
        <v>0</v>
      </c>
      <c r="E584" t="s">
        <v>44</v>
      </c>
      <c r="F584" s="1">
        <v>791</v>
      </c>
      <c r="G584" s="3" t="s">
        <v>45</v>
      </c>
      <c r="H584" s="1">
        <v>2</v>
      </c>
      <c r="I584" s="9" t="str" cm="1">
        <f t="array" ref="I584">_xlfn.IFS(H584 &lt;= 2, "[1-2] very close", H584 &lt;= 10, "[3-10] close", H584 &lt;= 20, "[11-20] moderate", H584 &lt;= 30, "[21-30] far")</f>
        <v>[1-2] very close</v>
      </c>
      <c r="J584" s="1">
        <v>2</v>
      </c>
      <c r="K584" s="3" t="s">
        <v>51</v>
      </c>
      <c r="L584" s="1">
        <v>1</v>
      </c>
      <c r="M584" s="1">
        <v>807</v>
      </c>
      <c r="N584" s="1">
        <v>3</v>
      </c>
      <c r="O584" s="3" t="s">
        <v>39</v>
      </c>
      <c r="P584" s="1">
        <v>38</v>
      </c>
      <c r="Q584" s="1">
        <v>4</v>
      </c>
      <c r="R584" s="1">
        <v>2</v>
      </c>
      <c r="S584" s="3" t="s">
        <v>54</v>
      </c>
      <c r="T584" s="1">
        <v>2</v>
      </c>
      <c r="U584" s="3" t="s">
        <v>48</v>
      </c>
      <c r="V584" s="4">
        <v>4244</v>
      </c>
      <c r="W584" s="1">
        <v>9931</v>
      </c>
      <c r="X584" s="1">
        <v>1</v>
      </c>
      <c r="Y584" s="3" t="s">
        <v>42</v>
      </c>
      <c r="Z584" s="3" t="s">
        <v>43</v>
      </c>
      <c r="AA584" s="5">
        <v>0.24</v>
      </c>
      <c r="AB584" s="10" t="str" cm="1">
        <f t="array" ref="AB584">_xlfn.IFS(AA584 &lt;= 15%, "Low Hike[11-15%]", AA584 &lt;= 20%, "Moderate Hike[16-20%]", AA584 &lt;= 25%,"High Hike[21-25%]")</f>
        <v>High Hike[21-25%]</v>
      </c>
      <c r="AC584" s="1">
        <v>4</v>
      </c>
      <c r="AD584" s="1">
        <v>4</v>
      </c>
      <c r="AE584" s="1">
        <v>80</v>
      </c>
      <c r="AF584" s="1">
        <v>1</v>
      </c>
      <c r="AG584" s="1">
        <v>8</v>
      </c>
      <c r="AH584" s="9" t="str" cm="1">
        <f t="array" ref="AH584">_xlfn.IFS(AG584 &lt;= 5, "New[1-5]", AG584 &lt;= 10, "Early Career[6-10]", AG584 &lt;= 20, "Established[11-20]", AG584 &lt;= 30, "Veteran[21-30]", AG584 &lt;= 40, "Late Career[31-40]")</f>
        <v>Early Career[6-10]</v>
      </c>
      <c r="AI584" s="1">
        <v>2</v>
      </c>
      <c r="AJ584" s="1">
        <v>3</v>
      </c>
      <c r="AK584" s="1">
        <v>8</v>
      </c>
      <c r="AL584" s="9" t="str" cm="1">
        <f t="array" ref="AL584">_xlfn.IFS(AK584 &lt;= 5, "New[1-5]", AK584 &lt;= 10, "Early Career[6-10]", AK584 &lt;= 20, "Established[11-20]", AK584 &lt;= 30, "Veteran[21-30]", AK584 &lt;= 40, "Late Career[31-40]")</f>
        <v>Early Career[6-10]</v>
      </c>
      <c r="AM584" s="1">
        <v>7</v>
      </c>
      <c r="AN584" s="9" t="str" cm="1">
        <f t="array" ref="AN584">_xlfn.IFS(AM584 &lt;= 3, "New to Role[1-3]", AM584 &lt;= 7, "Settled[4-7]", AM584 &lt;= 12, "Experienced[[8-12]", AM584 &lt;= 18, "Long Tenured[13-18]")</f>
        <v>Settled[4-7]</v>
      </c>
      <c r="AO584" s="1">
        <v>3</v>
      </c>
      <c r="AP584" s="9" t="str" cm="1">
        <f t="array" ref="AP584">_xlfn.IFS(AO584 &lt;= 3, "Recently[1-3]", AO584 &lt;= 6, "Due Soon[4-6]", AO584 &lt;= 10, "Overdue[7-10]", AO584 &lt;= 15, "Long Overdue[11-15]")</f>
        <v>Recently[1-3]</v>
      </c>
      <c r="AQ584" s="9" t="str" cm="1">
        <f t="array" ref="AQ584">_xlfn.IFS(AR584 &lt;= 3, "New Relationship[1-3]", AR584 &lt;= 7, "Established Relationship[4-7]", AR584 &lt;= 12, "Long Term Relationship[8-12]", AR584 &lt;= 17, "Very Long Term Relationship[13-17]")</f>
        <v>Established Relationship[4-7]</v>
      </c>
      <c r="AR584" s="1">
        <v>7</v>
      </c>
    </row>
    <row r="585" spans="1:44" x14ac:dyDescent="0.25">
      <c r="A585" s="1">
        <v>34</v>
      </c>
      <c r="B585" s="8" t="str" cm="1">
        <f t="array" ref="B585">_xlfn.IFS(A585 &lt;= 25, "[18-25]", A585 &lt;= 35, "[26-35]", A585 &lt;=45, "[36-45]", A585 &lt;= 60, "[46- 60]")</f>
        <v>[26-35]</v>
      </c>
      <c r="C585" s="3" t="s">
        <v>43</v>
      </c>
      <c r="D585">
        <f t="shared" si="9"/>
        <v>0</v>
      </c>
      <c r="E585" t="s">
        <v>36</v>
      </c>
      <c r="F585" s="1">
        <v>1111</v>
      </c>
      <c r="G585" s="3" t="s">
        <v>37</v>
      </c>
      <c r="H585" s="1">
        <v>8</v>
      </c>
      <c r="I585" s="9" t="str" cm="1">
        <f t="array" ref="I585">_xlfn.IFS(H585 &lt;= 2, "[1-2] very close", H585 &lt;= 10, "[3-10] close", H585 &lt;= 20, "[11-20] moderate", H585 &lt;= 30, "[21-30] far")</f>
        <v>[3-10] close</v>
      </c>
      <c r="J585" s="1">
        <v>2</v>
      </c>
      <c r="K585" s="3" t="s">
        <v>38</v>
      </c>
      <c r="L585" s="1">
        <v>1</v>
      </c>
      <c r="M585" s="1">
        <v>808</v>
      </c>
      <c r="N585" s="1">
        <v>3</v>
      </c>
      <c r="O585" s="3" t="s">
        <v>39</v>
      </c>
      <c r="P585" s="1">
        <v>93</v>
      </c>
      <c r="Q585" s="1">
        <v>3</v>
      </c>
      <c r="R585" s="1">
        <v>2</v>
      </c>
      <c r="S585" s="3" t="s">
        <v>40</v>
      </c>
      <c r="T585" s="1">
        <v>1</v>
      </c>
      <c r="U585" s="3" t="s">
        <v>48</v>
      </c>
      <c r="V585" s="4">
        <v>6500</v>
      </c>
      <c r="W585" s="1">
        <v>13305</v>
      </c>
      <c r="X585" s="1">
        <v>5</v>
      </c>
      <c r="Y585" s="3" t="s">
        <v>42</v>
      </c>
      <c r="Z585" s="3" t="s">
        <v>43</v>
      </c>
      <c r="AA585" s="5">
        <v>0.17</v>
      </c>
      <c r="AB585" s="10" t="str" cm="1">
        <f t="array" ref="AB585">_xlfn.IFS(AA585 &lt;= 15%, "Low Hike[11-15%]", AA585 &lt;= 20%, "Moderate Hike[16-20%]", AA585 &lt;= 25%,"High Hike[21-25%]")</f>
        <v>Moderate Hike[16-20%]</v>
      </c>
      <c r="AC585" s="1">
        <v>3</v>
      </c>
      <c r="AD585" s="1">
        <v>2</v>
      </c>
      <c r="AE585" s="1">
        <v>80</v>
      </c>
      <c r="AF585" s="1">
        <v>1</v>
      </c>
      <c r="AG585" s="1">
        <v>6</v>
      </c>
      <c r="AH585" s="9" t="str" cm="1">
        <f t="array" ref="AH585">_xlfn.IFS(AG585 &lt;= 5, "New[1-5]", AG585 &lt;= 10, "Early Career[6-10]", AG585 &lt;= 20, "Established[11-20]", AG585 &lt;= 30, "Veteran[21-30]", AG585 &lt;= 40, "Late Career[31-40]")</f>
        <v>Early Career[6-10]</v>
      </c>
      <c r="AI585" s="1">
        <v>1</v>
      </c>
      <c r="AJ585" s="1">
        <v>3</v>
      </c>
      <c r="AK585" s="1">
        <v>3</v>
      </c>
      <c r="AL585" s="9" t="str" cm="1">
        <f t="array" ref="AL585">_xlfn.IFS(AK585 &lt;= 5, "New[1-5]", AK585 &lt;= 10, "Early Career[6-10]", AK585 &lt;= 20, "Established[11-20]", AK585 &lt;= 30, "Veteran[21-30]", AK585 &lt;= 40, "Late Career[31-40]")</f>
        <v>New[1-5]</v>
      </c>
      <c r="AM585" s="1">
        <v>2</v>
      </c>
      <c r="AN585" s="9" t="str" cm="1">
        <f t="array" ref="AN585">_xlfn.IFS(AM585 &lt;= 3, "New to Role[1-3]", AM585 &lt;= 7, "Settled[4-7]", AM585 &lt;= 12, "Experienced[[8-12]", AM585 &lt;= 18, "Long Tenured[13-18]")</f>
        <v>New to Role[1-3]</v>
      </c>
      <c r="AO585" s="1">
        <v>1</v>
      </c>
      <c r="AP585" s="9" t="str" cm="1">
        <f t="array" ref="AP585">_xlfn.IFS(AO585 &lt;= 3, "Recently[1-3]", AO585 &lt;= 6, "Due Soon[4-6]", AO585 &lt;= 10, "Overdue[7-10]", AO585 &lt;= 15, "Long Overdue[11-15]")</f>
        <v>Recently[1-3]</v>
      </c>
      <c r="AQ585" s="9" t="str" cm="1">
        <f t="array" ref="AQ585">_xlfn.IFS(AR585 &lt;= 3, "New Relationship[1-3]", AR585 &lt;= 7, "Established Relationship[4-7]", AR585 &lt;= 12, "Long Term Relationship[8-12]", AR585 &lt;= 17, "Very Long Term Relationship[13-17]")</f>
        <v>New Relationship[1-3]</v>
      </c>
      <c r="AR585" s="1">
        <v>2</v>
      </c>
    </row>
    <row r="586" spans="1:44" x14ac:dyDescent="0.25">
      <c r="A586" s="1">
        <v>42</v>
      </c>
      <c r="B586" s="8" t="str" cm="1">
        <f t="array" ref="B586">_xlfn.IFS(A586 &lt;= 25, "[18-25]", A586 &lt;= 35, "[26-35]", A586 &lt;=45, "[36-45]", A586 &lt;= 60, "[46- 60]")</f>
        <v>[36-45]</v>
      </c>
      <c r="C586" s="3" t="s">
        <v>43</v>
      </c>
      <c r="D586">
        <f t="shared" si="9"/>
        <v>0</v>
      </c>
      <c r="E586" t="s">
        <v>44</v>
      </c>
      <c r="F586" s="1">
        <v>570</v>
      </c>
      <c r="G586" s="3" t="s">
        <v>45</v>
      </c>
      <c r="H586" s="1">
        <v>8</v>
      </c>
      <c r="I586" s="9" t="str" cm="1">
        <f t="array" ref="I586">_xlfn.IFS(H586 &lt;= 2, "[1-2] very close", H586 &lt;= 10, "[3-10] close", H586 &lt;= 20, "[11-20] moderate", H586 &lt;= 30, "[21-30] far")</f>
        <v>[3-10] close</v>
      </c>
      <c r="J586" s="1">
        <v>3</v>
      </c>
      <c r="K586" s="3" t="s">
        <v>38</v>
      </c>
      <c r="L586" s="1">
        <v>1</v>
      </c>
      <c r="M586" s="1">
        <v>809</v>
      </c>
      <c r="N586" s="1">
        <v>2</v>
      </c>
      <c r="O586" s="3" t="s">
        <v>46</v>
      </c>
      <c r="P586" s="1">
        <v>66</v>
      </c>
      <c r="Q586" s="1">
        <v>3</v>
      </c>
      <c r="R586" s="1">
        <v>5</v>
      </c>
      <c r="S586" s="3" t="s">
        <v>56</v>
      </c>
      <c r="T586" s="1">
        <v>4</v>
      </c>
      <c r="U586" s="3" t="s">
        <v>52</v>
      </c>
      <c r="V586" s="4">
        <v>18430</v>
      </c>
      <c r="W586" s="1">
        <v>16225</v>
      </c>
      <c r="X586" s="1">
        <v>1</v>
      </c>
      <c r="Y586" s="3" t="s">
        <v>42</v>
      </c>
      <c r="Z586" s="3" t="s">
        <v>43</v>
      </c>
      <c r="AA586" s="5">
        <v>0.13</v>
      </c>
      <c r="AB586" s="10" t="str" cm="1">
        <f t="array" ref="AB586">_xlfn.IFS(AA586 &lt;= 15%, "Low Hike[11-15%]", AA586 &lt;= 20%, "Moderate Hike[16-20%]", AA586 &lt;= 25%,"High Hike[21-25%]")</f>
        <v>Low Hike[11-15%]</v>
      </c>
      <c r="AC586" s="1">
        <v>3</v>
      </c>
      <c r="AD586" s="1">
        <v>2</v>
      </c>
      <c r="AE586" s="1">
        <v>80</v>
      </c>
      <c r="AF586" s="1">
        <v>1</v>
      </c>
      <c r="AG586" s="1">
        <v>24</v>
      </c>
      <c r="AH586" s="9" t="str" cm="1">
        <f t="array" ref="AH586">_xlfn.IFS(AG586 &lt;= 5, "New[1-5]", AG586 &lt;= 10, "Early Career[6-10]", AG586 &lt;= 20, "Established[11-20]", AG586 &lt;= 30, "Veteran[21-30]", AG586 &lt;= 40, "Late Career[31-40]")</f>
        <v>Veteran[21-30]</v>
      </c>
      <c r="AI586" s="1">
        <v>4</v>
      </c>
      <c r="AJ586" s="1">
        <v>2</v>
      </c>
      <c r="AK586" s="1">
        <v>24</v>
      </c>
      <c r="AL586" s="9" t="str" cm="1">
        <f t="array" ref="AL586">_xlfn.IFS(AK586 &lt;= 5, "New[1-5]", AK586 &lt;= 10, "Early Career[6-10]", AK586 &lt;= 20, "Established[11-20]", AK586 &lt;= 30, "Veteran[21-30]", AK586 &lt;= 40, "Late Career[31-40]")</f>
        <v>Veteran[21-30]</v>
      </c>
      <c r="AM586" s="1">
        <v>7</v>
      </c>
      <c r="AN586" s="9" t="str" cm="1">
        <f t="array" ref="AN586">_xlfn.IFS(AM586 &lt;= 3, "New to Role[1-3]", AM586 &lt;= 7, "Settled[4-7]", AM586 &lt;= 12, "Experienced[[8-12]", AM586 &lt;= 18, "Long Tenured[13-18]")</f>
        <v>Settled[4-7]</v>
      </c>
      <c r="AO586" s="1">
        <v>14</v>
      </c>
      <c r="AP586" s="9" t="str" cm="1">
        <f t="array" ref="AP586">_xlfn.IFS(AO586 &lt;= 3, "Recently[1-3]", AO586 &lt;= 6, "Due Soon[4-6]", AO586 &lt;= 10, "Overdue[7-10]", AO586 &lt;= 15, "Long Overdue[11-15]")</f>
        <v>Long Overdue[11-15]</v>
      </c>
      <c r="AQ586" s="9" t="str" cm="1">
        <f t="array" ref="AQ586">_xlfn.IFS(AR586 &lt;= 3, "New Relationship[1-3]", AR586 &lt;= 7, "Established Relationship[4-7]", AR586 &lt;= 12, "Long Term Relationship[8-12]", AR586 &lt;= 17, "Very Long Term Relationship[13-17]")</f>
        <v>Long Term Relationship[8-12]</v>
      </c>
      <c r="AR586" s="1">
        <v>9</v>
      </c>
    </row>
    <row r="587" spans="1:44" x14ac:dyDescent="0.25">
      <c r="A587" s="1">
        <v>23</v>
      </c>
      <c r="B587" s="8" t="str" cm="1">
        <f t="array" ref="B587">_xlfn.IFS(A587 &lt;= 25, "[18-25]", A587 &lt;= 35, "[26-35]", A587 &lt;=45, "[36-45]", A587 &lt;= 60, "[46- 60]")</f>
        <v>[18-25]</v>
      </c>
      <c r="C587" s="3" t="s">
        <v>35</v>
      </c>
      <c r="D587">
        <f t="shared" si="9"/>
        <v>1</v>
      </c>
      <c r="E587" t="s">
        <v>36</v>
      </c>
      <c r="F587" s="1">
        <v>1243</v>
      </c>
      <c r="G587" s="3" t="s">
        <v>45</v>
      </c>
      <c r="H587" s="1">
        <v>6</v>
      </c>
      <c r="I587" s="9" t="str" cm="1">
        <f t="array" ref="I587">_xlfn.IFS(H587 &lt;= 2, "[1-2] very close", H587 &lt;= 10, "[3-10] close", H587 &lt;= 20, "[11-20] moderate", H587 &lt;= 30, "[21-30] far")</f>
        <v>[3-10] close</v>
      </c>
      <c r="J587" s="1">
        <v>3</v>
      </c>
      <c r="K587" s="3" t="s">
        <v>38</v>
      </c>
      <c r="L587" s="1">
        <v>1</v>
      </c>
      <c r="M587" s="1">
        <v>811</v>
      </c>
      <c r="N587" s="1">
        <v>3</v>
      </c>
      <c r="O587" s="3" t="s">
        <v>46</v>
      </c>
      <c r="P587" s="1">
        <v>63</v>
      </c>
      <c r="Q587" s="1">
        <v>4</v>
      </c>
      <c r="R587" s="1">
        <v>1</v>
      </c>
      <c r="S587" s="3" t="s">
        <v>50</v>
      </c>
      <c r="T587" s="1">
        <v>1</v>
      </c>
      <c r="U587" s="3" t="s">
        <v>48</v>
      </c>
      <c r="V587" s="4">
        <v>1601</v>
      </c>
      <c r="W587" s="1">
        <v>3445</v>
      </c>
      <c r="X587" s="1">
        <v>1</v>
      </c>
      <c r="Y587" s="3" t="s">
        <v>42</v>
      </c>
      <c r="Z587" s="3" t="s">
        <v>35</v>
      </c>
      <c r="AA587" s="5">
        <v>0.21</v>
      </c>
      <c r="AB587" s="10" t="str" cm="1">
        <f t="array" ref="AB587">_xlfn.IFS(AA587 &lt;= 15%, "Low Hike[11-15%]", AA587 &lt;= 20%, "Moderate Hike[16-20%]", AA587 &lt;= 25%,"High Hike[21-25%]")</f>
        <v>High Hike[21-25%]</v>
      </c>
      <c r="AC587" s="1">
        <v>4</v>
      </c>
      <c r="AD587" s="1">
        <v>3</v>
      </c>
      <c r="AE587" s="1">
        <v>80</v>
      </c>
      <c r="AF587" s="1">
        <v>2</v>
      </c>
      <c r="AG587" s="1">
        <v>1</v>
      </c>
      <c r="AH587" s="9" t="str" cm="1">
        <f t="array" ref="AH587">_xlfn.IFS(AG587 &lt;= 5, "New[1-5]", AG587 &lt;= 10, "Early Career[6-10]", AG587 &lt;= 20, "Established[11-20]", AG587 &lt;= 30, "Veteran[21-30]", AG587 &lt;= 40, "Late Career[31-40]")</f>
        <v>New[1-5]</v>
      </c>
      <c r="AI587" s="1">
        <v>2</v>
      </c>
      <c r="AJ587" s="1">
        <v>3</v>
      </c>
      <c r="AK587" s="1">
        <v>0</v>
      </c>
      <c r="AL587" s="9" t="str" cm="1">
        <f t="array" ref="AL587">_xlfn.IFS(AK587 &lt;= 5, "New[1-5]", AK587 &lt;= 10, "Early Career[6-10]", AK587 &lt;= 20, "Established[11-20]", AK587 &lt;= 30, "Veteran[21-30]", AK587 &lt;= 40, "Late Career[31-40]")</f>
        <v>New[1-5]</v>
      </c>
      <c r="AM587" s="1">
        <v>0</v>
      </c>
      <c r="AN587" s="9" t="str" cm="1">
        <f t="array" ref="AN587">_xlfn.IFS(AM587 &lt;= 3, "New to Role[1-3]", AM587 &lt;= 7, "Settled[4-7]", AM587 &lt;= 12, "Experienced[[8-12]", AM587 &lt;= 18, "Long Tenured[13-18]")</f>
        <v>New to Role[1-3]</v>
      </c>
      <c r="AO587" s="1">
        <v>0</v>
      </c>
      <c r="AP587" s="9" t="str" cm="1">
        <f t="array" ref="AP587">_xlfn.IFS(AO587 &lt;= 3, "Recently[1-3]", AO587 &lt;= 6, "Due Soon[4-6]", AO587 &lt;= 10, "Overdue[7-10]", AO587 &lt;= 15, "Long Overdue[11-15]")</f>
        <v>Recently[1-3]</v>
      </c>
      <c r="AQ587" s="9" t="str" cm="1">
        <f t="array" ref="AQ587">_xlfn.IFS(AR587 &lt;= 3, "New Relationship[1-3]", AR587 &lt;= 7, "Established Relationship[4-7]", AR587 &lt;= 12, "Long Term Relationship[8-12]", AR587 &lt;= 17, "Very Long Term Relationship[13-17]")</f>
        <v>New Relationship[1-3]</v>
      </c>
      <c r="AR587" s="1">
        <v>0</v>
      </c>
    </row>
    <row r="588" spans="1:44" x14ac:dyDescent="0.25">
      <c r="A588" s="1">
        <v>24</v>
      </c>
      <c r="B588" s="8" t="str" cm="1">
        <f t="array" ref="B588">_xlfn.IFS(A588 &lt;= 25, "[18-25]", A588 &lt;= 35, "[26-35]", A588 &lt;=45, "[36-45]", A588 &lt;= 60, "[46- 60]")</f>
        <v>[18-25]</v>
      </c>
      <c r="C588" s="3" t="s">
        <v>43</v>
      </c>
      <c r="D588">
        <f t="shared" si="9"/>
        <v>0</v>
      </c>
      <c r="E588" t="s">
        <v>62</v>
      </c>
      <c r="F588" s="1">
        <v>1092</v>
      </c>
      <c r="G588" s="3" t="s">
        <v>45</v>
      </c>
      <c r="H588" s="1">
        <v>9</v>
      </c>
      <c r="I588" s="9" t="str" cm="1">
        <f t="array" ref="I588">_xlfn.IFS(H588 &lt;= 2, "[1-2] very close", H588 &lt;= 10, "[3-10] close", H588 &lt;= 20, "[11-20] moderate", H588 &lt;= 30, "[21-30] far")</f>
        <v>[3-10] close</v>
      </c>
      <c r="J588" s="1">
        <v>3</v>
      </c>
      <c r="K588" s="3" t="s">
        <v>38</v>
      </c>
      <c r="L588" s="1">
        <v>1</v>
      </c>
      <c r="M588" s="1">
        <v>812</v>
      </c>
      <c r="N588" s="1">
        <v>3</v>
      </c>
      <c r="O588" s="3" t="s">
        <v>46</v>
      </c>
      <c r="P588" s="1">
        <v>60</v>
      </c>
      <c r="Q588" s="1">
        <v>2</v>
      </c>
      <c r="R588" s="1">
        <v>1</v>
      </c>
      <c r="S588" s="3" t="s">
        <v>50</v>
      </c>
      <c r="T588" s="1">
        <v>2</v>
      </c>
      <c r="U588" s="3" t="s">
        <v>52</v>
      </c>
      <c r="V588" s="4">
        <v>2694</v>
      </c>
      <c r="W588" s="1">
        <v>26551</v>
      </c>
      <c r="X588" s="1">
        <v>1</v>
      </c>
      <c r="Y588" s="3" t="s">
        <v>42</v>
      </c>
      <c r="Z588" s="3" t="s">
        <v>43</v>
      </c>
      <c r="AA588" s="5">
        <v>0.11</v>
      </c>
      <c r="AB588" s="10" t="str" cm="1">
        <f t="array" ref="AB588">_xlfn.IFS(AA588 &lt;= 15%, "Low Hike[11-15%]", AA588 &lt;= 20%, "Moderate Hike[16-20%]", AA588 &lt;= 25%,"High Hike[21-25%]")</f>
        <v>Low Hike[11-15%]</v>
      </c>
      <c r="AC588" s="1">
        <v>3</v>
      </c>
      <c r="AD588" s="1">
        <v>3</v>
      </c>
      <c r="AE588" s="1">
        <v>80</v>
      </c>
      <c r="AF588" s="1">
        <v>3</v>
      </c>
      <c r="AG588" s="1">
        <v>1</v>
      </c>
      <c r="AH588" s="9" t="str" cm="1">
        <f t="array" ref="AH588">_xlfn.IFS(AG588 &lt;= 5, "New[1-5]", AG588 &lt;= 10, "Early Career[6-10]", AG588 &lt;= 20, "Established[11-20]", AG588 &lt;= 30, "Veteran[21-30]", AG588 &lt;= 40, "Late Career[31-40]")</f>
        <v>New[1-5]</v>
      </c>
      <c r="AI588" s="1">
        <v>4</v>
      </c>
      <c r="AJ588" s="1">
        <v>3</v>
      </c>
      <c r="AK588" s="1">
        <v>1</v>
      </c>
      <c r="AL588" s="9" t="str" cm="1">
        <f t="array" ref="AL588">_xlfn.IFS(AK588 &lt;= 5, "New[1-5]", AK588 &lt;= 10, "Early Career[6-10]", AK588 &lt;= 20, "Established[11-20]", AK588 &lt;= 30, "Veteran[21-30]", AK588 &lt;= 40, "Late Career[31-40]")</f>
        <v>New[1-5]</v>
      </c>
      <c r="AM588" s="1">
        <v>0</v>
      </c>
      <c r="AN588" s="9" t="str" cm="1">
        <f t="array" ref="AN588">_xlfn.IFS(AM588 &lt;= 3, "New to Role[1-3]", AM588 &lt;= 7, "Settled[4-7]", AM588 &lt;= 12, "Experienced[[8-12]", AM588 &lt;= 18, "Long Tenured[13-18]")</f>
        <v>New to Role[1-3]</v>
      </c>
      <c r="AO588" s="1">
        <v>0</v>
      </c>
      <c r="AP588" s="9" t="str" cm="1">
        <f t="array" ref="AP588">_xlfn.IFS(AO588 &lt;= 3, "Recently[1-3]", AO588 &lt;= 6, "Due Soon[4-6]", AO588 &lt;= 10, "Overdue[7-10]", AO588 &lt;= 15, "Long Overdue[11-15]")</f>
        <v>Recently[1-3]</v>
      </c>
      <c r="AQ588" s="9" t="str" cm="1">
        <f t="array" ref="AQ588">_xlfn.IFS(AR588 &lt;= 3, "New Relationship[1-3]", AR588 &lt;= 7, "Established Relationship[4-7]", AR588 &lt;= 12, "Long Term Relationship[8-12]", AR588 &lt;= 17, "Very Long Term Relationship[13-17]")</f>
        <v>New Relationship[1-3]</v>
      </c>
      <c r="AR588" s="1">
        <v>0</v>
      </c>
    </row>
    <row r="589" spans="1:44" x14ac:dyDescent="0.25">
      <c r="A589" s="1">
        <v>52</v>
      </c>
      <c r="B589" s="8" t="str" cm="1">
        <f t="array" ref="B589">_xlfn.IFS(A589 &lt;= 25, "[18-25]", A589 &lt;= 35, "[26-35]", A589 &lt;=45, "[36-45]", A589 &lt;= 60, "[46- 60]")</f>
        <v>[46- 60]</v>
      </c>
      <c r="C589" s="3" t="s">
        <v>43</v>
      </c>
      <c r="D589">
        <f t="shared" si="9"/>
        <v>0</v>
      </c>
      <c r="E589" t="s">
        <v>36</v>
      </c>
      <c r="F589" s="1">
        <v>1325</v>
      </c>
      <c r="G589" s="3" t="s">
        <v>45</v>
      </c>
      <c r="H589" s="1">
        <v>11</v>
      </c>
      <c r="I589" s="9" t="str" cm="1">
        <f t="array" ref="I589">_xlfn.IFS(H589 &lt;= 2, "[1-2] very close", H589 &lt;= 10, "[3-10] close", H589 &lt;= 20, "[11-20] moderate", H589 &lt;= 30, "[21-30] far")</f>
        <v>[11-20] moderate</v>
      </c>
      <c r="J589" s="1">
        <v>4</v>
      </c>
      <c r="K589" s="3" t="s">
        <v>38</v>
      </c>
      <c r="L589" s="1">
        <v>1</v>
      </c>
      <c r="M589" s="1">
        <v>813</v>
      </c>
      <c r="N589" s="1">
        <v>4</v>
      </c>
      <c r="O589" s="3" t="s">
        <v>39</v>
      </c>
      <c r="P589" s="1">
        <v>82</v>
      </c>
      <c r="Q589" s="1">
        <v>3</v>
      </c>
      <c r="R589" s="1">
        <v>2</v>
      </c>
      <c r="S589" s="3" t="s">
        <v>50</v>
      </c>
      <c r="T589" s="1">
        <v>3</v>
      </c>
      <c r="U589" s="3" t="s">
        <v>48</v>
      </c>
      <c r="V589" s="4">
        <v>3149</v>
      </c>
      <c r="W589" s="1">
        <v>21821</v>
      </c>
      <c r="X589" s="1">
        <v>8</v>
      </c>
      <c r="Y589" s="3" t="s">
        <v>42</v>
      </c>
      <c r="Z589" s="3" t="s">
        <v>43</v>
      </c>
      <c r="AA589" s="5">
        <v>0.2</v>
      </c>
      <c r="AB589" s="10" t="str" cm="1">
        <f t="array" ref="AB589">_xlfn.IFS(AA589 &lt;= 15%, "Low Hike[11-15%]", AA589 &lt;= 20%, "Moderate Hike[16-20%]", AA589 &lt;= 25%,"High Hike[21-25%]")</f>
        <v>Moderate Hike[16-20%]</v>
      </c>
      <c r="AC589" s="1">
        <v>4</v>
      </c>
      <c r="AD589" s="1">
        <v>2</v>
      </c>
      <c r="AE589" s="1">
        <v>80</v>
      </c>
      <c r="AF589" s="1">
        <v>1</v>
      </c>
      <c r="AG589" s="1">
        <v>9</v>
      </c>
      <c r="AH589" s="9" t="str" cm="1">
        <f t="array" ref="AH589">_xlfn.IFS(AG589 &lt;= 5, "New[1-5]", AG589 &lt;= 10, "Early Career[6-10]", AG589 &lt;= 20, "Established[11-20]", AG589 &lt;= 30, "Veteran[21-30]", AG589 &lt;= 40, "Late Career[31-40]")</f>
        <v>Early Career[6-10]</v>
      </c>
      <c r="AI589" s="1">
        <v>3</v>
      </c>
      <c r="AJ589" s="1">
        <v>3</v>
      </c>
      <c r="AK589" s="1">
        <v>5</v>
      </c>
      <c r="AL589" s="9" t="str" cm="1">
        <f t="array" ref="AL589">_xlfn.IFS(AK589 &lt;= 5, "New[1-5]", AK589 &lt;= 10, "Early Career[6-10]", AK589 &lt;= 20, "Established[11-20]", AK589 &lt;= 30, "Veteran[21-30]", AK589 &lt;= 40, "Late Career[31-40]")</f>
        <v>New[1-5]</v>
      </c>
      <c r="AM589" s="1">
        <v>2</v>
      </c>
      <c r="AN589" s="9" t="str" cm="1">
        <f t="array" ref="AN589">_xlfn.IFS(AM589 &lt;= 3, "New to Role[1-3]", AM589 &lt;= 7, "Settled[4-7]", AM589 &lt;= 12, "Experienced[[8-12]", AM589 &lt;= 18, "Long Tenured[13-18]")</f>
        <v>New to Role[1-3]</v>
      </c>
      <c r="AO589" s="1">
        <v>1</v>
      </c>
      <c r="AP589" s="9" t="str" cm="1">
        <f t="array" ref="AP589">_xlfn.IFS(AO589 &lt;= 3, "Recently[1-3]", AO589 &lt;= 6, "Due Soon[4-6]", AO589 &lt;= 10, "Overdue[7-10]", AO589 &lt;= 15, "Long Overdue[11-15]")</f>
        <v>Recently[1-3]</v>
      </c>
      <c r="AQ589" s="9" t="str" cm="1">
        <f t="array" ref="AQ589">_xlfn.IFS(AR589 &lt;= 3, "New Relationship[1-3]", AR589 &lt;= 7, "Established Relationship[4-7]", AR589 &lt;= 12, "Long Term Relationship[8-12]", AR589 &lt;= 17, "Very Long Term Relationship[13-17]")</f>
        <v>Established Relationship[4-7]</v>
      </c>
      <c r="AR589" s="1">
        <v>4</v>
      </c>
    </row>
    <row r="590" spans="1:44" x14ac:dyDescent="0.25">
      <c r="A590" s="1">
        <v>50</v>
      </c>
      <c r="B590" s="8" t="str" cm="1">
        <f t="array" ref="B590">_xlfn.IFS(A590 &lt;= 25, "[18-25]", A590 &lt;= 35, "[26-35]", A590 &lt;=45, "[36-45]", A590 &lt;= 60, "[46- 60]")</f>
        <v>[46- 60]</v>
      </c>
      <c r="C590" s="3" t="s">
        <v>43</v>
      </c>
      <c r="D590">
        <f t="shared" si="9"/>
        <v>0</v>
      </c>
      <c r="E590" t="s">
        <v>36</v>
      </c>
      <c r="F590" s="1">
        <v>691</v>
      </c>
      <c r="G590" s="3" t="s">
        <v>45</v>
      </c>
      <c r="H590" s="1">
        <v>2</v>
      </c>
      <c r="I590" s="9" t="str" cm="1">
        <f t="array" ref="I590">_xlfn.IFS(H590 &lt;= 2, "[1-2] very close", H590 &lt;= 10, "[3-10] close", H590 &lt;= 20, "[11-20] moderate", H590 &lt;= 30, "[21-30] far")</f>
        <v>[1-2] very close</v>
      </c>
      <c r="J590" s="1">
        <v>3</v>
      </c>
      <c r="K590" s="3" t="s">
        <v>51</v>
      </c>
      <c r="L590" s="1">
        <v>1</v>
      </c>
      <c r="M590" s="1">
        <v>815</v>
      </c>
      <c r="N590" s="1">
        <v>3</v>
      </c>
      <c r="O590" s="3" t="s">
        <v>46</v>
      </c>
      <c r="P590" s="1">
        <v>64</v>
      </c>
      <c r="Q590" s="1">
        <v>3</v>
      </c>
      <c r="R590" s="1">
        <v>4</v>
      </c>
      <c r="S590" s="3" t="s">
        <v>58</v>
      </c>
      <c r="T590" s="1">
        <v>3</v>
      </c>
      <c r="U590" s="3" t="s">
        <v>48</v>
      </c>
      <c r="V590" s="4">
        <v>17639</v>
      </c>
      <c r="W590" s="1">
        <v>6881</v>
      </c>
      <c r="X590" s="1">
        <v>5</v>
      </c>
      <c r="Y590" s="3" t="s">
        <v>42</v>
      </c>
      <c r="Z590" s="3" t="s">
        <v>43</v>
      </c>
      <c r="AA590" s="5">
        <v>0.16</v>
      </c>
      <c r="AB590" s="10" t="str" cm="1">
        <f t="array" ref="AB590">_xlfn.IFS(AA590 &lt;= 15%, "Low Hike[11-15%]", AA590 &lt;= 20%, "Moderate Hike[16-20%]", AA590 &lt;= 25%,"High Hike[21-25%]")</f>
        <v>Moderate Hike[16-20%]</v>
      </c>
      <c r="AC590" s="1">
        <v>3</v>
      </c>
      <c r="AD590" s="1">
        <v>4</v>
      </c>
      <c r="AE590" s="1">
        <v>80</v>
      </c>
      <c r="AF590" s="1">
        <v>0</v>
      </c>
      <c r="AG590" s="1">
        <v>30</v>
      </c>
      <c r="AH590" s="9" t="str" cm="1">
        <f t="array" ref="AH590">_xlfn.IFS(AG590 &lt;= 5, "New[1-5]", AG590 &lt;= 10, "Early Career[6-10]", AG590 &lt;= 20, "Established[11-20]", AG590 &lt;= 30, "Veteran[21-30]", AG590 &lt;= 40, "Late Career[31-40]")</f>
        <v>Veteran[21-30]</v>
      </c>
      <c r="AI590" s="1">
        <v>3</v>
      </c>
      <c r="AJ590" s="1">
        <v>3</v>
      </c>
      <c r="AK590" s="1">
        <v>4</v>
      </c>
      <c r="AL590" s="9" t="str" cm="1">
        <f t="array" ref="AL590">_xlfn.IFS(AK590 &lt;= 5, "New[1-5]", AK590 &lt;= 10, "Early Career[6-10]", AK590 &lt;= 20, "Established[11-20]", AK590 &lt;= 30, "Veteran[21-30]", AK590 &lt;= 40, "Late Career[31-40]")</f>
        <v>New[1-5]</v>
      </c>
      <c r="AM590" s="1">
        <v>3</v>
      </c>
      <c r="AN590" s="9" t="str" cm="1">
        <f t="array" ref="AN590">_xlfn.IFS(AM590 &lt;= 3, "New to Role[1-3]", AM590 &lt;= 7, "Settled[4-7]", AM590 &lt;= 12, "Experienced[[8-12]", AM590 &lt;= 18, "Long Tenured[13-18]")</f>
        <v>New to Role[1-3]</v>
      </c>
      <c r="AO590" s="1">
        <v>0</v>
      </c>
      <c r="AP590" s="9" t="str" cm="1">
        <f t="array" ref="AP590">_xlfn.IFS(AO590 &lt;= 3, "Recently[1-3]", AO590 &lt;= 6, "Due Soon[4-6]", AO590 &lt;= 10, "Overdue[7-10]", AO590 &lt;= 15, "Long Overdue[11-15]")</f>
        <v>Recently[1-3]</v>
      </c>
      <c r="AQ590" s="9" t="str" cm="1">
        <f t="array" ref="AQ590">_xlfn.IFS(AR590 &lt;= 3, "New Relationship[1-3]", AR590 &lt;= 7, "Established Relationship[4-7]", AR590 &lt;= 12, "Long Term Relationship[8-12]", AR590 &lt;= 17, "Very Long Term Relationship[13-17]")</f>
        <v>New Relationship[1-3]</v>
      </c>
      <c r="AR590" s="1">
        <v>3</v>
      </c>
    </row>
    <row r="591" spans="1:44" x14ac:dyDescent="0.25">
      <c r="A591" s="1">
        <v>29</v>
      </c>
      <c r="B591" s="8" t="str" cm="1">
        <f t="array" ref="B591">_xlfn.IFS(A591 &lt;= 25, "[18-25]", A591 &lt;= 35, "[26-35]", A591 &lt;=45, "[36-45]", A591 &lt;= 60, "[46- 60]")</f>
        <v>[26-35]</v>
      </c>
      <c r="C591" s="3" t="s">
        <v>35</v>
      </c>
      <c r="D591">
        <f t="shared" si="9"/>
        <v>1</v>
      </c>
      <c r="E591" t="s">
        <v>36</v>
      </c>
      <c r="F591" s="1">
        <v>805</v>
      </c>
      <c r="G591" s="3" t="s">
        <v>45</v>
      </c>
      <c r="H591" s="1">
        <v>1</v>
      </c>
      <c r="I591" s="9" t="str" cm="1">
        <f t="array" ref="I591">_xlfn.IFS(H591 &lt;= 2, "[1-2] very close", H591 &lt;= 10, "[3-10] close", H591 &lt;= 20, "[11-20] moderate", H591 &lt;= 30, "[21-30] far")</f>
        <v>[1-2] very close</v>
      </c>
      <c r="J591" s="1">
        <v>2</v>
      </c>
      <c r="K591" s="3" t="s">
        <v>38</v>
      </c>
      <c r="L591" s="1">
        <v>1</v>
      </c>
      <c r="M591" s="1">
        <v>816</v>
      </c>
      <c r="N591" s="1">
        <v>2</v>
      </c>
      <c r="O591" s="3" t="s">
        <v>39</v>
      </c>
      <c r="P591" s="1">
        <v>36</v>
      </c>
      <c r="Q591" s="1">
        <v>2</v>
      </c>
      <c r="R591" s="1">
        <v>1</v>
      </c>
      <c r="S591" s="3" t="s">
        <v>50</v>
      </c>
      <c r="T591" s="1">
        <v>1</v>
      </c>
      <c r="U591" s="3" t="s">
        <v>48</v>
      </c>
      <c r="V591" s="4">
        <v>2319</v>
      </c>
      <c r="W591" s="1">
        <v>6689</v>
      </c>
      <c r="X591" s="1">
        <v>1</v>
      </c>
      <c r="Y591" s="3" t="s">
        <v>42</v>
      </c>
      <c r="Z591" s="3" t="s">
        <v>35</v>
      </c>
      <c r="AA591" s="5">
        <v>0.11</v>
      </c>
      <c r="AB591" s="10" t="str" cm="1">
        <f t="array" ref="AB591">_xlfn.IFS(AA591 &lt;= 15%, "Low Hike[11-15%]", AA591 &lt;= 20%, "Moderate Hike[16-20%]", AA591 &lt;= 25%,"High Hike[21-25%]")</f>
        <v>Low Hike[11-15%]</v>
      </c>
      <c r="AC591" s="1">
        <v>3</v>
      </c>
      <c r="AD591" s="1">
        <v>4</v>
      </c>
      <c r="AE591" s="1">
        <v>80</v>
      </c>
      <c r="AF591" s="1">
        <v>1</v>
      </c>
      <c r="AG591" s="1">
        <v>1</v>
      </c>
      <c r="AH591" s="9" t="str" cm="1">
        <f t="array" ref="AH591">_xlfn.IFS(AG591 &lt;= 5, "New[1-5]", AG591 &lt;= 10, "Early Career[6-10]", AG591 &lt;= 20, "Established[11-20]", AG591 &lt;= 30, "Veteran[21-30]", AG591 &lt;= 40, "Late Career[31-40]")</f>
        <v>New[1-5]</v>
      </c>
      <c r="AI591" s="1">
        <v>1</v>
      </c>
      <c r="AJ591" s="1">
        <v>3</v>
      </c>
      <c r="AK591" s="1">
        <v>1</v>
      </c>
      <c r="AL591" s="9" t="str" cm="1">
        <f t="array" ref="AL591">_xlfn.IFS(AK591 &lt;= 5, "New[1-5]", AK591 &lt;= 10, "Early Career[6-10]", AK591 &lt;= 20, "Established[11-20]", AK591 &lt;= 30, "Veteran[21-30]", AK591 &lt;= 40, "Late Career[31-40]")</f>
        <v>New[1-5]</v>
      </c>
      <c r="AM591" s="1">
        <v>0</v>
      </c>
      <c r="AN591" s="9" t="str" cm="1">
        <f t="array" ref="AN591">_xlfn.IFS(AM591 &lt;= 3, "New to Role[1-3]", AM591 &lt;= 7, "Settled[4-7]", AM591 &lt;= 12, "Experienced[[8-12]", AM591 &lt;= 18, "Long Tenured[13-18]")</f>
        <v>New to Role[1-3]</v>
      </c>
      <c r="AO591" s="1">
        <v>0</v>
      </c>
      <c r="AP591" s="9" t="str" cm="1">
        <f t="array" ref="AP591">_xlfn.IFS(AO591 &lt;= 3, "Recently[1-3]", AO591 &lt;= 6, "Due Soon[4-6]", AO591 &lt;= 10, "Overdue[7-10]", AO591 &lt;= 15, "Long Overdue[11-15]")</f>
        <v>Recently[1-3]</v>
      </c>
      <c r="AQ591" s="9" t="str" cm="1">
        <f t="array" ref="AQ591">_xlfn.IFS(AR591 &lt;= 3, "New Relationship[1-3]", AR591 &lt;= 7, "Established Relationship[4-7]", AR591 &lt;= 12, "Long Term Relationship[8-12]", AR591 &lt;= 17, "Very Long Term Relationship[13-17]")</f>
        <v>New Relationship[1-3]</v>
      </c>
      <c r="AR591" s="1">
        <v>0</v>
      </c>
    </row>
    <row r="592" spans="1:44" x14ac:dyDescent="0.25">
      <c r="A592" s="1">
        <v>33</v>
      </c>
      <c r="B592" s="8" t="str" cm="1">
        <f t="array" ref="B592">_xlfn.IFS(A592 &lt;= 25, "[18-25]", A592 &lt;= 35, "[26-35]", A592 &lt;=45, "[36-45]", A592 &lt;= 60, "[46- 60]")</f>
        <v>[26-35]</v>
      </c>
      <c r="C592" s="3" t="s">
        <v>43</v>
      </c>
      <c r="D592">
        <f t="shared" si="9"/>
        <v>0</v>
      </c>
      <c r="E592" t="s">
        <v>36</v>
      </c>
      <c r="F592" s="1">
        <v>213</v>
      </c>
      <c r="G592" s="3" t="s">
        <v>45</v>
      </c>
      <c r="H592" s="1">
        <v>7</v>
      </c>
      <c r="I592" s="9" t="str" cm="1">
        <f t="array" ref="I592">_xlfn.IFS(H592 &lt;= 2, "[1-2] very close", H592 &lt;= 10, "[3-10] close", H592 &lt;= 20, "[11-20] moderate", H592 &lt;= 30, "[21-30] far")</f>
        <v>[3-10] close</v>
      </c>
      <c r="J592" s="1">
        <v>3</v>
      </c>
      <c r="K592" s="3" t="s">
        <v>51</v>
      </c>
      <c r="L592" s="1">
        <v>1</v>
      </c>
      <c r="M592" s="1">
        <v>817</v>
      </c>
      <c r="N592" s="1">
        <v>3</v>
      </c>
      <c r="O592" s="3" t="s">
        <v>46</v>
      </c>
      <c r="P592" s="1">
        <v>49</v>
      </c>
      <c r="Q592" s="1">
        <v>3</v>
      </c>
      <c r="R592" s="1">
        <v>3</v>
      </c>
      <c r="S592" s="3" t="s">
        <v>58</v>
      </c>
      <c r="T592" s="1">
        <v>3</v>
      </c>
      <c r="U592" s="3" t="s">
        <v>48</v>
      </c>
      <c r="V592" s="4">
        <v>11691</v>
      </c>
      <c r="W592" s="1">
        <v>25995</v>
      </c>
      <c r="X592" s="1">
        <v>0</v>
      </c>
      <c r="Y592" s="3" t="s">
        <v>42</v>
      </c>
      <c r="Z592" s="3" t="s">
        <v>43</v>
      </c>
      <c r="AA592" s="5">
        <v>0.11</v>
      </c>
      <c r="AB592" s="10" t="str" cm="1">
        <f t="array" ref="AB592">_xlfn.IFS(AA592 &lt;= 15%, "Low Hike[11-15%]", AA592 &lt;= 20%, "Moderate Hike[16-20%]", AA592 &lt;= 25%,"High Hike[21-25%]")</f>
        <v>Low Hike[11-15%]</v>
      </c>
      <c r="AC592" s="1">
        <v>3</v>
      </c>
      <c r="AD592" s="1">
        <v>4</v>
      </c>
      <c r="AE592" s="1">
        <v>80</v>
      </c>
      <c r="AF592" s="1">
        <v>0</v>
      </c>
      <c r="AG592" s="1">
        <v>14</v>
      </c>
      <c r="AH592" s="9" t="str" cm="1">
        <f t="array" ref="AH592">_xlfn.IFS(AG592 &lt;= 5, "New[1-5]", AG592 &lt;= 10, "Early Career[6-10]", AG592 &lt;= 20, "Established[11-20]", AG592 &lt;= 30, "Veteran[21-30]", AG592 &lt;= 40, "Late Career[31-40]")</f>
        <v>Established[11-20]</v>
      </c>
      <c r="AI592" s="1">
        <v>3</v>
      </c>
      <c r="AJ592" s="1">
        <v>4</v>
      </c>
      <c r="AK592" s="1">
        <v>13</v>
      </c>
      <c r="AL592" s="9" t="str" cm="1">
        <f t="array" ref="AL592">_xlfn.IFS(AK592 &lt;= 5, "New[1-5]", AK592 &lt;= 10, "Early Career[6-10]", AK592 &lt;= 20, "Established[11-20]", AK592 &lt;= 30, "Veteran[21-30]", AK592 &lt;= 40, "Late Career[31-40]")</f>
        <v>Established[11-20]</v>
      </c>
      <c r="AM592" s="1">
        <v>9</v>
      </c>
      <c r="AN592" s="9" t="str" cm="1">
        <f t="array" ref="AN592">_xlfn.IFS(AM592 &lt;= 3, "New to Role[1-3]", AM592 &lt;= 7, "Settled[4-7]", AM592 &lt;= 12, "Experienced[[8-12]", AM592 &lt;= 18, "Long Tenured[13-18]")</f>
        <v>Experienced[[8-12]</v>
      </c>
      <c r="AO592" s="1">
        <v>3</v>
      </c>
      <c r="AP592" s="9" t="str" cm="1">
        <f t="array" ref="AP592">_xlfn.IFS(AO592 &lt;= 3, "Recently[1-3]", AO592 &lt;= 6, "Due Soon[4-6]", AO592 &lt;= 10, "Overdue[7-10]", AO592 &lt;= 15, "Long Overdue[11-15]")</f>
        <v>Recently[1-3]</v>
      </c>
      <c r="AQ592" s="9" t="str" cm="1">
        <f t="array" ref="AQ592">_xlfn.IFS(AR592 &lt;= 3, "New Relationship[1-3]", AR592 &lt;= 7, "Established Relationship[4-7]", AR592 &lt;= 12, "Long Term Relationship[8-12]", AR592 &lt;= 17, "Very Long Term Relationship[13-17]")</f>
        <v>Established Relationship[4-7]</v>
      </c>
      <c r="AR592" s="1">
        <v>7</v>
      </c>
    </row>
    <row r="593" spans="1:44" x14ac:dyDescent="0.25">
      <c r="A593" s="1">
        <v>33</v>
      </c>
      <c r="B593" s="8" t="str" cm="1">
        <f t="array" ref="B593">_xlfn.IFS(A593 &lt;= 25, "[18-25]", A593 &lt;= 35, "[26-35]", A593 &lt;=45, "[36-45]", A593 &lt;= 60, "[46- 60]")</f>
        <v>[26-35]</v>
      </c>
      <c r="C593" s="3" t="s">
        <v>35</v>
      </c>
      <c r="D593">
        <f t="shared" si="9"/>
        <v>1</v>
      </c>
      <c r="E593" t="s">
        <v>36</v>
      </c>
      <c r="F593" s="1">
        <v>118</v>
      </c>
      <c r="G593" s="3" t="s">
        <v>37</v>
      </c>
      <c r="H593" s="1">
        <v>16</v>
      </c>
      <c r="I593" s="9" t="str" cm="1">
        <f t="array" ref="I593">_xlfn.IFS(H593 &lt;= 2, "[1-2] very close", H593 &lt;= 10, "[3-10] close", H593 &lt;= 20, "[11-20] moderate", H593 &lt;= 30, "[21-30] far")</f>
        <v>[11-20] moderate</v>
      </c>
      <c r="J593" s="1">
        <v>3</v>
      </c>
      <c r="K593" s="3" t="s">
        <v>59</v>
      </c>
      <c r="L593" s="1">
        <v>1</v>
      </c>
      <c r="M593" s="1">
        <v>819</v>
      </c>
      <c r="N593" s="1">
        <v>1</v>
      </c>
      <c r="O593" s="3" t="s">
        <v>39</v>
      </c>
      <c r="P593" s="1">
        <v>69</v>
      </c>
      <c r="Q593" s="1">
        <v>3</v>
      </c>
      <c r="R593" s="1">
        <v>2</v>
      </c>
      <c r="S593" s="3" t="s">
        <v>40</v>
      </c>
      <c r="T593" s="1">
        <v>1</v>
      </c>
      <c r="U593" s="3" t="s">
        <v>41</v>
      </c>
      <c r="V593" s="4">
        <v>5324</v>
      </c>
      <c r="W593" s="1">
        <v>26507</v>
      </c>
      <c r="X593" s="1">
        <v>5</v>
      </c>
      <c r="Y593" s="3" t="s">
        <v>42</v>
      </c>
      <c r="Z593" s="3" t="s">
        <v>43</v>
      </c>
      <c r="AA593" s="5">
        <v>0.15</v>
      </c>
      <c r="AB593" s="10" t="str" cm="1">
        <f t="array" ref="AB593">_xlfn.IFS(AA593 &lt;= 15%, "Low Hike[11-15%]", AA593 &lt;= 20%, "Moderate Hike[16-20%]", AA593 &lt;= 25%,"High Hike[21-25%]")</f>
        <v>Low Hike[11-15%]</v>
      </c>
      <c r="AC593" s="1">
        <v>3</v>
      </c>
      <c r="AD593" s="1">
        <v>3</v>
      </c>
      <c r="AE593" s="1">
        <v>80</v>
      </c>
      <c r="AF593" s="1">
        <v>0</v>
      </c>
      <c r="AG593" s="1">
        <v>6</v>
      </c>
      <c r="AH593" s="9" t="str" cm="1">
        <f t="array" ref="AH593">_xlfn.IFS(AG593 &lt;= 5, "New[1-5]", AG593 &lt;= 10, "Early Career[6-10]", AG593 &lt;= 20, "Established[11-20]", AG593 &lt;= 30, "Veteran[21-30]", AG593 &lt;= 40, "Late Career[31-40]")</f>
        <v>Early Career[6-10]</v>
      </c>
      <c r="AI593" s="1">
        <v>3</v>
      </c>
      <c r="AJ593" s="1">
        <v>3</v>
      </c>
      <c r="AK593" s="1">
        <v>3</v>
      </c>
      <c r="AL593" s="9" t="str" cm="1">
        <f t="array" ref="AL593">_xlfn.IFS(AK593 &lt;= 5, "New[1-5]", AK593 &lt;= 10, "Early Career[6-10]", AK593 &lt;= 20, "Established[11-20]", AK593 &lt;= 30, "Veteran[21-30]", AK593 &lt;= 40, "Late Career[31-40]")</f>
        <v>New[1-5]</v>
      </c>
      <c r="AM593" s="1">
        <v>2</v>
      </c>
      <c r="AN593" s="9" t="str" cm="1">
        <f t="array" ref="AN593">_xlfn.IFS(AM593 &lt;= 3, "New to Role[1-3]", AM593 &lt;= 7, "Settled[4-7]", AM593 &lt;= 12, "Experienced[[8-12]", AM593 &lt;= 18, "Long Tenured[13-18]")</f>
        <v>New to Role[1-3]</v>
      </c>
      <c r="AO593" s="1">
        <v>0</v>
      </c>
      <c r="AP593" s="9" t="str" cm="1">
        <f t="array" ref="AP593">_xlfn.IFS(AO593 &lt;= 3, "Recently[1-3]", AO593 &lt;= 6, "Due Soon[4-6]", AO593 &lt;= 10, "Overdue[7-10]", AO593 &lt;= 15, "Long Overdue[11-15]")</f>
        <v>Recently[1-3]</v>
      </c>
      <c r="AQ593" s="9" t="str" cm="1">
        <f t="array" ref="AQ593">_xlfn.IFS(AR593 &lt;= 3, "New Relationship[1-3]", AR593 &lt;= 7, "Established Relationship[4-7]", AR593 &lt;= 12, "Long Term Relationship[8-12]", AR593 &lt;= 17, "Very Long Term Relationship[13-17]")</f>
        <v>New Relationship[1-3]</v>
      </c>
      <c r="AR593" s="1">
        <v>2</v>
      </c>
    </row>
    <row r="594" spans="1:44" x14ac:dyDescent="0.25">
      <c r="A594" s="1">
        <v>47</v>
      </c>
      <c r="B594" s="8" t="str" cm="1">
        <f t="array" ref="B594">_xlfn.IFS(A594 &lt;= 25, "[18-25]", A594 &lt;= 35, "[26-35]", A594 &lt;=45, "[36-45]", A594 &lt;= 60, "[46- 60]")</f>
        <v>[46- 60]</v>
      </c>
      <c r="C594" s="3" t="s">
        <v>43</v>
      </c>
      <c r="D594">
        <f t="shared" si="9"/>
        <v>0</v>
      </c>
      <c r="E594" t="s">
        <v>36</v>
      </c>
      <c r="F594" s="1">
        <v>202</v>
      </c>
      <c r="G594" s="3" t="s">
        <v>45</v>
      </c>
      <c r="H594" s="1">
        <v>2</v>
      </c>
      <c r="I594" s="9" t="str" cm="1">
        <f t="array" ref="I594">_xlfn.IFS(H594 &lt;= 2, "[1-2] very close", H594 &lt;= 10, "[3-10] close", H594 &lt;= 20, "[11-20] moderate", H594 &lt;= 30, "[21-30] far")</f>
        <v>[1-2] very close</v>
      </c>
      <c r="J594" s="1">
        <v>2</v>
      </c>
      <c r="K594" s="3" t="s">
        <v>49</v>
      </c>
      <c r="L594" s="1">
        <v>1</v>
      </c>
      <c r="M594" s="1">
        <v>820</v>
      </c>
      <c r="N594" s="1">
        <v>3</v>
      </c>
      <c r="O594" s="3" t="s">
        <v>39</v>
      </c>
      <c r="P594" s="1">
        <v>33</v>
      </c>
      <c r="Q594" s="1">
        <v>3</v>
      </c>
      <c r="R594" s="1">
        <v>4</v>
      </c>
      <c r="S594" s="3" t="s">
        <v>56</v>
      </c>
      <c r="T594" s="1">
        <v>4</v>
      </c>
      <c r="U594" s="3" t="s">
        <v>48</v>
      </c>
      <c r="V594" s="4">
        <v>16752</v>
      </c>
      <c r="W594" s="1">
        <v>12982</v>
      </c>
      <c r="X594" s="1">
        <v>1</v>
      </c>
      <c r="Y594" s="3" t="s">
        <v>42</v>
      </c>
      <c r="Z594" s="3" t="s">
        <v>35</v>
      </c>
      <c r="AA594" s="5">
        <v>0.11</v>
      </c>
      <c r="AB594" s="10" t="str" cm="1">
        <f t="array" ref="AB594">_xlfn.IFS(AA594 &lt;= 15%, "Low Hike[11-15%]", AA594 &lt;= 20%, "Moderate Hike[16-20%]", AA594 &lt;= 25%,"High Hike[21-25%]")</f>
        <v>Low Hike[11-15%]</v>
      </c>
      <c r="AC594" s="1">
        <v>3</v>
      </c>
      <c r="AD594" s="1">
        <v>3</v>
      </c>
      <c r="AE594" s="1">
        <v>80</v>
      </c>
      <c r="AF594" s="1">
        <v>1</v>
      </c>
      <c r="AG594" s="1">
        <v>26</v>
      </c>
      <c r="AH594" s="9" t="str" cm="1">
        <f t="array" ref="AH594">_xlfn.IFS(AG594 &lt;= 5, "New[1-5]", AG594 &lt;= 10, "Early Career[6-10]", AG594 &lt;= 20, "Established[11-20]", AG594 &lt;= 30, "Veteran[21-30]", AG594 &lt;= 40, "Late Career[31-40]")</f>
        <v>Veteran[21-30]</v>
      </c>
      <c r="AI594" s="1">
        <v>3</v>
      </c>
      <c r="AJ594" s="1">
        <v>2</v>
      </c>
      <c r="AK594" s="1">
        <v>26</v>
      </c>
      <c r="AL594" s="9" t="str" cm="1">
        <f t="array" ref="AL594">_xlfn.IFS(AK594 &lt;= 5, "New[1-5]", AK594 &lt;= 10, "Early Career[6-10]", AK594 &lt;= 20, "Established[11-20]", AK594 &lt;= 30, "Veteran[21-30]", AK594 &lt;= 40, "Late Career[31-40]")</f>
        <v>Veteran[21-30]</v>
      </c>
      <c r="AM594" s="1">
        <v>14</v>
      </c>
      <c r="AN594" s="9" t="str" cm="1">
        <f t="array" ref="AN594">_xlfn.IFS(AM594 &lt;= 3, "New to Role[1-3]", AM594 &lt;= 7, "Settled[4-7]", AM594 &lt;= 12, "Experienced[[8-12]", AM594 &lt;= 18, "Long Tenured[13-18]")</f>
        <v>Long Tenured[13-18]</v>
      </c>
      <c r="AO594" s="1">
        <v>3</v>
      </c>
      <c r="AP594" s="9" t="str" cm="1">
        <f t="array" ref="AP594">_xlfn.IFS(AO594 &lt;= 3, "Recently[1-3]", AO594 &lt;= 6, "Due Soon[4-6]", AO594 &lt;= 10, "Overdue[7-10]", AO594 &lt;= 15, "Long Overdue[11-15]")</f>
        <v>Recently[1-3]</v>
      </c>
      <c r="AQ594" s="9" t="str" cm="1">
        <f t="array" ref="AQ594">_xlfn.IFS(AR594 &lt;= 3, "New Relationship[1-3]", AR594 &lt;= 7, "Established Relationship[4-7]", AR594 &lt;= 12, "Long Term Relationship[8-12]", AR594 &lt;= 17, "Very Long Term Relationship[13-17]")</f>
        <v>New Relationship[1-3]</v>
      </c>
      <c r="AR594" s="1">
        <v>0</v>
      </c>
    </row>
    <row r="595" spans="1:44" x14ac:dyDescent="0.25">
      <c r="A595" s="1">
        <v>36</v>
      </c>
      <c r="B595" s="8" t="str" cm="1">
        <f t="array" ref="B595">_xlfn.IFS(A595 &lt;= 25, "[18-25]", A595 &lt;= 35, "[26-35]", A595 &lt;=45, "[36-45]", A595 &lt;= 60, "[46- 60]")</f>
        <v>[36-45]</v>
      </c>
      <c r="C595" s="3" t="s">
        <v>43</v>
      </c>
      <c r="D595">
        <f t="shared" si="9"/>
        <v>0</v>
      </c>
      <c r="E595" t="s">
        <v>36</v>
      </c>
      <c r="F595" s="1">
        <v>676</v>
      </c>
      <c r="G595" s="3" t="s">
        <v>45</v>
      </c>
      <c r="H595" s="1">
        <v>1</v>
      </c>
      <c r="I595" s="9" t="str" cm="1">
        <f t="array" ref="I595">_xlfn.IFS(H595 &lt;= 2, "[1-2] very close", H595 &lt;= 10, "[3-10] close", H595 &lt;= 20, "[11-20] moderate", H595 &lt;= 30, "[21-30] far")</f>
        <v>[1-2] very close</v>
      </c>
      <c r="J595" s="1">
        <v>3</v>
      </c>
      <c r="K595" s="3" t="s">
        <v>49</v>
      </c>
      <c r="L595" s="1">
        <v>1</v>
      </c>
      <c r="M595" s="1">
        <v>823</v>
      </c>
      <c r="N595" s="1">
        <v>3</v>
      </c>
      <c r="O595" s="3" t="s">
        <v>39</v>
      </c>
      <c r="P595" s="1">
        <v>35</v>
      </c>
      <c r="Q595" s="1">
        <v>3</v>
      </c>
      <c r="R595" s="1">
        <v>2</v>
      </c>
      <c r="S595" s="3" t="s">
        <v>53</v>
      </c>
      <c r="T595" s="1">
        <v>2</v>
      </c>
      <c r="U595" s="3" t="s">
        <v>48</v>
      </c>
      <c r="V595" s="4">
        <v>5228</v>
      </c>
      <c r="W595" s="1">
        <v>23361</v>
      </c>
      <c r="X595" s="1">
        <v>0</v>
      </c>
      <c r="Y595" s="3" t="s">
        <v>42</v>
      </c>
      <c r="Z595" s="3" t="s">
        <v>43</v>
      </c>
      <c r="AA595" s="5">
        <v>0.15</v>
      </c>
      <c r="AB595" s="10" t="str" cm="1">
        <f t="array" ref="AB595">_xlfn.IFS(AA595 &lt;= 15%, "Low Hike[11-15%]", AA595 &lt;= 20%, "Moderate Hike[16-20%]", AA595 &lt;= 25%,"High Hike[21-25%]")</f>
        <v>Low Hike[11-15%]</v>
      </c>
      <c r="AC595" s="1">
        <v>3</v>
      </c>
      <c r="AD595" s="1">
        <v>1</v>
      </c>
      <c r="AE595" s="1">
        <v>80</v>
      </c>
      <c r="AF595" s="1">
        <v>1</v>
      </c>
      <c r="AG595" s="1">
        <v>10</v>
      </c>
      <c r="AH595" s="9" t="str" cm="1">
        <f t="array" ref="AH595">_xlfn.IFS(AG595 &lt;= 5, "New[1-5]", AG595 &lt;= 10, "Early Career[6-10]", AG595 &lt;= 20, "Established[11-20]", AG595 &lt;= 30, "Veteran[21-30]", AG595 &lt;= 40, "Late Career[31-40]")</f>
        <v>Early Career[6-10]</v>
      </c>
      <c r="AI595" s="1">
        <v>2</v>
      </c>
      <c r="AJ595" s="1">
        <v>3</v>
      </c>
      <c r="AK595" s="1">
        <v>9</v>
      </c>
      <c r="AL595" s="9" t="str" cm="1">
        <f t="array" ref="AL595">_xlfn.IFS(AK595 &lt;= 5, "New[1-5]", AK595 &lt;= 10, "Early Career[6-10]", AK595 &lt;= 20, "Established[11-20]", AK595 &lt;= 30, "Veteran[21-30]", AK595 &lt;= 40, "Late Career[31-40]")</f>
        <v>Early Career[6-10]</v>
      </c>
      <c r="AM595" s="1">
        <v>7</v>
      </c>
      <c r="AN595" s="9" t="str" cm="1">
        <f t="array" ref="AN595">_xlfn.IFS(AM595 &lt;= 3, "New to Role[1-3]", AM595 &lt;= 7, "Settled[4-7]", AM595 &lt;= 12, "Experienced[[8-12]", AM595 &lt;= 18, "Long Tenured[13-18]")</f>
        <v>Settled[4-7]</v>
      </c>
      <c r="AO595" s="1">
        <v>0</v>
      </c>
      <c r="AP595" s="9" t="str" cm="1">
        <f t="array" ref="AP595">_xlfn.IFS(AO595 &lt;= 3, "Recently[1-3]", AO595 &lt;= 6, "Due Soon[4-6]", AO595 &lt;= 10, "Overdue[7-10]", AO595 &lt;= 15, "Long Overdue[11-15]")</f>
        <v>Recently[1-3]</v>
      </c>
      <c r="AQ595" s="9" t="str" cm="1">
        <f t="array" ref="AQ595">_xlfn.IFS(AR595 &lt;= 3, "New Relationship[1-3]", AR595 &lt;= 7, "Established Relationship[4-7]", AR595 &lt;= 12, "Long Term Relationship[8-12]", AR595 &lt;= 17, "Very Long Term Relationship[13-17]")</f>
        <v>Established Relationship[4-7]</v>
      </c>
      <c r="AR595" s="1">
        <v>5</v>
      </c>
    </row>
    <row r="596" spans="1:44" x14ac:dyDescent="0.25">
      <c r="A596" s="1">
        <v>29</v>
      </c>
      <c r="B596" s="8" t="str" cm="1">
        <f t="array" ref="B596">_xlfn.IFS(A596 &lt;= 25, "[18-25]", A596 &lt;= 35, "[26-35]", A596 &lt;=45, "[36-45]", A596 &lt;= 60, "[46- 60]")</f>
        <v>[26-35]</v>
      </c>
      <c r="C596" s="3" t="s">
        <v>43</v>
      </c>
      <c r="D596">
        <f t="shared" si="9"/>
        <v>0</v>
      </c>
      <c r="E596" t="s">
        <v>36</v>
      </c>
      <c r="F596" s="1">
        <v>1252</v>
      </c>
      <c r="G596" s="3" t="s">
        <v>45</v>
      </c>
      <c r="H596" s="1">
        <v>23</v>
      </c>
      <c r="I596" s="9" t="str" cm="1">
        <f t="array" ref="I596">_xlfn.IFS(H596 &lt;= 2, "[1-2] very close", H596 &lt;= 10, "[3-10] close", H596 &lt;= 20, "[11-20] moderate", H596 &lt;= 30, "[21-30] far")</f>
        <v>[21-30] far</v>
      </c>
      <c r="J596" s="1">
        <v>2</v>
      </c>
      <c r="K596" s="3" t="s">
        <v>38</v>
      </c>
      <c r="L596" s="1">
        <v>1</v>
      </c>
      <c r="M596" s="1">
        <v>824</v>
      </c>
      <c r="N596" s="1">
        <v>3</v>
      </c>
      <c r="O596" s="3" t="s">
        <v>46</v>
      </c>
      <c r="P596" s="1">
        <v>81</v>
      </c>
      <c r="Q596" s="1">
        <v>4</v>
      </c>
      <c r="R596" s="1">
        <v>1</v>
      </c>
      <c r="S596" s="3" t="s">
        <v>47</v>
      </c>
      <c r="T596" s="1">
        <v>3</v>
      </c>
      <c r="U596" s="3" t="s">
        <v>48</v>
      </c>
      <c r="V596" s="4">
        <v>2700</v>
      </c>
      <c r="W596" s="1">
        <v>23779</v>
      </c>
      <c r="X596" s="1">
        <v>1</v>
      </c>
      <c r="Y596" s="3" t="s">
        <v>42</v>
      </c>
      <c r="Z596" s="3" t="s">
        <v>43</v>
      </c>
      <c r="AA596" s="5">
        <v>0.24</v>
      </c>
      <c r="AB596" s="10" t="str" cm="1">
        <f t="array" ref="AB596">_xlfn.IFS(AA596 &lt;= 15%, "Low Hike[11-15%]", AA596 &lt;= 20%, "Moderate Hike[16-20%]", AA596 &lt;= 25%,"High Hike[21-25%]")</f>
        <v>High Hike[21-25%]</v>
      </c>
      <c r="AC596" s="1">
        <v>4</v>
      </c>
      <c r="AD596" s="1">
        <v>3</v>
      </c>
      <c r="AE596" s="1">
        <v>80</v>
      </c>
      <c r="AF596" s="1">
        <v>1</v>
      </c>
      <c r="AG596" s="1">
        <v>10</v>
      </c>
      <c r="AH596" s="9" t="str" cm="1">
        <f t="array" ref="AH596">_xlfn.IFS(AG596 &lt;= 5, "New[1-5]", AG596 &lt;= 10, "Early Career[6-10]", AG596 &lt;= 20, "Established[11-20]", AG596 &lt;= 30, "Veteran[21-30]", AG596 &lt;= 40, "Late Career[31-40]")</f>
        <v>Early Career[6-10]</v>
      </c>
      <c r="AI596" s="1">
        <v>3</v>
      </c>
      <c r="AJ596" s="1">
        <v>3</v>
      </c>
      <c r="AK596" s="1">
        <v>10</v>
      </c>
      <c r="AL596" s="9" t="str" cm="1">
        <f t="array" ref="AL596">_xlfn.IFS(AK596 &lt;= 5, "New[1-5]", AK596 &lt;= 10, "Early Career[6-10]", AK596 &lt;= 20, "Established[11-20]", AK596 &lt;= 30, "Veteran[21-30]", AK596 &lt;= 40, "Late Career[31-40]")</f>
        <v>Early Career[6-10]</v>
      </c>
      <c r="AM596" s="1">
        <v>7</v>
      </c>
      <c r="AN596" s="9" t="str" cm="1">
        <f t="array" ref="AN596">_xlfn.IFS(AM596 &lt;= 3, "New to Role[1-3]", AM596 &lt;= 7, "Settled[4-7]", AM596 &lt;= 12, "Experienced[[8-12]", AM596 &lt;= 18, "Long Tenured[13-18]")</f>
        <v>Settled[4-7]</v>
      </c>
      <c r="AO596" s="1">
        <v>0</v>
      </c>
      <c r="AP596" s="9" t="str" cm="1">
        <f t="array" ref="AP596">_xlfn.IFS(AO596 &lt;= 3, "Recently[1-3]", AO596 &lt;= 6, "Due Soon[4-6]", AO596 &lt;= 10, "Overdue[7-10]", AO596 &lt;= 15, "Long Overdue[11-15]")</f>
        <v>Recently[1-3]</v>
      </c>
      <c r="AQ596" s="9" t="str" cm="1">
        <f t="array" ref="AQ596">_xlfn.IFS(AR596 &lt;= 3, "New Relationship[1-3]", AR596 &lt;= 7, "Established Relationship[4-7]", AR596 &lt;= 12, "Long Term Relationship[8-12]", AR596 &lt;= 17, "Very Long Term Relationship[13-17]")</f>
        <v>Established Relationship[4-7]</v>
      </c>
      <c r="AR596" s="1">
        <v>7</v>
      </c>
    </row>
    <row r="597" spans="1:44" x14ac:dyDescent="0.25">
      <c r="A597" s="1">
        <v>58</v>
      </c>
      <c r="B597" s="8" t="str" cm="1">
        <f t="array" ref="B597">_xlfn.IFS(A597 &lt;= 25, "[18-25]", A597 &lt;= 35, "[26-35]", A597 &lt;=45, "[36-45]", A597 &lt;= 60, "[46- 60]")</f>
        <v>[46- 60]</v>
      </c>
      <c r="C597" s="3" t="s">
        <v>35</v>
      </c>
      <c r="D597">
        <f t="shared" si="9"/>
        <v>1</v>
      </c>
      <c r="E597" t="s">
        <v>36</v>
      </c>
      <c r="F597" s="1">
        <v>286</v>
      </c>
      <c r="G597" s="3" t="s">
        <v>45</v>
      </c>
      <c r="H597" s="1">
        <v>2</v>
      </c>
      <c r="I597" s="9" t="str" cm="1">
        <f t="array" ref="I597">_xlfn.IFS(H597 &lt;= 2, "[1-2] very close", H597 &lt;= 10, "[3-10] close", H597 &lt;= 20, "[11-20] moderate", H597 &lt;= 30, "[21-30] far")</f>
        <v>[1-2] very close</v>
      </c>
      <c r="J597" s="1">
        <v>4</v>
      </c>
      <c r="K597" s="3" t="s">
        <v>38</v>
      </c>
      <c r="L597" s="1">
        <v>1</v>
      </c>
      <c r="M597" s="1">
        <v>825</v>
      </c>
      <c r="N597" s="1">
        <v>4</v>
      </c>
      <c r="O597" s="3" t="s">
        <v>46</v>
      </c>
      <c r="P597" s="1">
        <v>31</v>
      </c>
      <c r="Q597" s="1">
        <v>3</v>
      </c>
      <c r="R597" s="1">
        <v>5</v>
      </c>
      <c r="S597" s="3" t="s">
        <v>58</v>
      </c>
      <c r="T597" s="1">
        <v>2</v>
      </c>
      <c r="U597" s="3" t="s">
        <v>41</v>
      </c>
      <c r="V597" s="4">
        <v>19246</v>
      </c>
      <c r="W597" s="1">
        <v>25761</v>
      </c>
      <c r="X597" s="1">
        <v>7</v>
      </c>
      <c r="Y597" s="3" t="s">
        <v>42</v>
      </c>
      <c r="Z597" s="3" t="s">
        <v>35</v>
      </c>
      <c r="AA597" s="5">
        <v>0.12</v>
      </c>
      <c r="AB597" s="10" t="str" cm="1">
        <f t="array" ref="AB597">_xlfn.IFS(AA597 &lt;= 15%, "Low Hike[11-15%]", AA597 &lt;= 20%, "Moderate Hike[16-20%]", AA597 &lt;= 25%,"High Hike[21-25%]")</f>
        <v>Low Hike[11-15%]</v>
      </c>
      <c r="AC597" s="1">
        <v>3</v>
      </c>
      <c r="AD597" s="1">
        <v>4</v>
      </c>
      <c r="AE597" s="1">
        <v>80</v>
      </c>
      <c r="AF597" s="1">
        <v>0</v>
      </c>
      <c r="AG597" s="1">
        <v>40</v>
      </c>
      <c r="AH597" s="9" t="str" cm="1">
        <f t="array" ref="AH597">_xlfn.IFS(AG597 &lt;= 5, "New[1-5]", AG597 &lt;= 10, "Early Career[6-10]", AG597 &lt;= 20, "Established[11-20]", AG597 &lt;= 30, "Veteran[21-30]", AG597 &lt;= 40, "Late Career[31-40]")</f>
        <v>Late Career[31-40]</v>
      </c>
      <c r="AI597" s="1">
        <v>2</v>
      </c>
      <c r="AJ597" s="1">
        <v>3</v>
      </c>
      <c r="AK597" s="1">
        <v>31</v>
      </c>
      <c r="AL597" s="9" t="str" cm="1">
        <f t="array" ref="AL597">_xlfn.IFS(AK597 &lt;= 5, "New[1-5]", AK597 &lt;= 10, "Early Career[6-10]", AK597 &lt;= 20, "Established[11-20]", AK597 &lt;= 30, "Veteran[21-30]", AK597 &lt;= 40, "Late Career[31-40]")</f>
        <v>Late Career[31-40]</v>
      </c>
      <c r="AM597" s="1">
        <v>15</v>
      </c>
      <c r="AN597" s="9" t="str" cm="1">
        <f t="array" ref="AN597">_xlfn.IFS(AM597 &lt;= 3, "New to Role[1-3]", AM597 &lt;= 7, "Settled[4-7]", AM597 &lt;= 12, "Experienced[[8-12]", AM597 &lt;= 18, "Long Tenured[13-18]")</f>
        <v>Long Tenured[13-18]</v>
      </c>
      <c r="AO597" s="1">
        <v>13</v>
      </c>
      <c r="AP597" s="9" t="str" cm="1">
        <f t="array" ref="AP597">_xlfn.IFS(AO597 &lt;= 3, "Recently[1-3]", AO597 &lt;= 6, "Due Soon[4-6]", AO597 &lt;= 10, "Overdue[7-10]", AO597 &lt;= 15, "Long Overdue[11-15]")</f>
        <v>Long Overdue[11-15]</v>
      </c>
      <c r="AQ597" s="9" t="str" cm="1">
        <f t="array" ref="AQ597">_xlfn.IFS(AR597 &lt;= 3, "New Relationship[1-3]", AR597 &lt;= 7, "Established Relationship[4-7]", AR597 &lt;= 12, "Long Term Relationship[8-12]", AR597 &lt;= 17, "Very Long Term Relationship[13-17]")</f>
        <v>Long Term Relationship[8-12]</v>
      </c>
      <c r="AR597" s="1">
        <v>8</v>
      </c>
    </row>
    <row r="598" spans="1:44" x14ac:dyDescent="0.25">
      <c r="A598" s="1">
        <v>35</v>
      </c>
      <c r="B598" s="8" t="str" cm="1">
        <f t="array" ref="B598">_xlfn.IFS(A598 &lt;= 25, "[18-25]", A598 &lt;= 35, "[26-35]", A598 &lt;=45, "[36-45]", A598 &lt;= 60, "[46- 60]")</f>
        <v>[26-35]</v>
      </c>
      <c r="C598" s="3" t="s">
        <v>43</v>
      </c>
      <c r="D598">
        <f t="shared" si="9"/>
        <v>0</v>
      </c>
      <c r="E598" t="s">
        <v>36</v>
      </c>
      <c r="F598" s="1">
        <v>1258</v>
      </c>
      <c r="G598" s="3" t="s">
        <v>45</v>
      </c>
      <c r="H598" s="1">
        <v>1</v>
      </c>
      <c r="I598" s="9" t="str" cm="1">
        <f t="array" ref="I598">_xlfn.IFS(H598 &lt;= 2, "[1-2] very close", H598 &lt;= 10, "[3-10] close", H598 &lt;= 20, "[11-20] moderate", H598 &lt;= 30, "[21-30] far")</f>
        <v>[1-2] very close</v>
      </c>
      <c r="J598" s="1">
        <v>4</v>
      </c>
      <c r="K598" s="3" t="s">
        <v>38</v>
      </c>
      <c r="L598" s="1">
        <v>1</v>
      </c>
      <c r="M598" s="1">
        <v>826</v>
      </c>
      <c r="N598" s="1">
        <v>4</v>
      </c>
      <c r="O598" s="3" t="s">
        <v>39</v>
      </c>
      <c r="P598" s="1">
        <v>40</v>
      </c>
      <c r="Q598" s="1">
        <v>4</v>
      </c>
      <c r="R598" s="1">
        <v>1</v>
      </c>
      <c r="S598" s="3" t="s">
        <v>47</v>
      </c>
      <c r="T598" s="1">
        <v>3</v>
      </c>
      <c r="U598" s="3" t="s">
        <v>41</v>
      </c>
      <c r="V598" s="4">
        <v>2506</v>
      </c>
      <c r="W598" s="1">
        <v>13301</v>
      </c>
      <c r="X598" s="1">
        <v>3</v>
      </c>
      <c r="Y598" s="3" t="s">
        <v>42</v>
      </c>
      <c r="Z598" s="3" t="s">
        <v>43</v>
      </c>
      <c r="AA598" s="5">
        <v>0.13</v>
      </c>
      <c r="AB598" s="10" t="str" cm="1">
        <f t="array" ref="AB598">_xlfn.IFS(AA598 &lt;= 15%, "Low Hike[11-15%]", AA598 &lt;= 20%, "Moderate Hike[16-20%]", AA598 &lt;= 25%,"High Hike[21-25%]")</f>
        <v>Low Hike[11-15%]</v>
      </c>
      <c r="AC598" s="1">
        <v>3</v>
      </c>
      <c r="AD598" s="1">
        <v>3</v>
      </c>
      <c r="AE598" s="1">
        <v>80</v>
      </c>
      <c r="AF598" s="1">
        <v>0</v>
      </c>
      <c r="AG598" s="1">
        <v>7</v>
      </c>
      <c r="AH598" s="9" t="str" cm="1">
        <f t="array" ref="AH598">_xlfn.IFS(AG598 &lt;= 5, "New[1-5]", AG598 &lt;= 10, "Early Career[6-10]", AG598 &lt;= 20, "Established[11-20]", AG598 &lt;= 30, "Veteran[21-30]", AG598 &lt;= 40, "Late Career[31-40]")</f>
        <v>Early Career[6-10]</v>
      </c>
      <c r="AI598" s="1">
        <v>0</v>
      </c>
      <c r="AJ598" s="1">
        <v>3</v>
      </c>
      <c r="AK598" s="1">
        <v>2</v>
      </c>
      <c r="AL598" s="9" t="str" cm="1">
        <f t="array" ref="AL598">_xlfn.IFS(AK598 &lt;= 5, "New[1-5]", AK598 &lt;= 10, "Early Career[6-10]", AK598 &lt;= 20, "Established[11-20]", AK598 &lt;= 30, "Veteran[21-30]", AK598 &lt;= 40, "Late Career[31-40]")</f>
        <v>New[1-5]</v>
      </c>
      <c r="AM598" s="1">
        <v>2</v>
      </c>
      <c r="AN598" s="9" t="str" cm="1">
        <f t="array" ref="AN598">_xlfn.IFS(AM598 &lt;= 3, "New to Role[1-3]", AM598 &lt;= 7, "Settled[4-7]", AM598 &lt;= 12, "Experienced[[8-12]", AM598 &lt;= 18, "Long Tenured[13-18]")</f>
        <v>New to Role[1-3]</v>
      </c>
      <c r="AO598" s="1">
        <v>2</v>
      </c>
      <c r="AP598" s="9" t="str" cm="1">
        <f t="array" ref="AP598">_xlfn.IFS(AO598 &lt;= 3, "Recently[1-3]", AO598 &lt;= 6, "Due Soon[4-6]", AO598 &lt;= 10, "Overdue[7-10]", AO598 &lt;= 15, "Long Overdue[11-15]")</f>
        <v>Recently[1-3]</v>
      </c>
      <c r="AQ598" s="9" t="str" cm="1">
        <f t="array" ref="AQ598">_xlfn.IFS(AR598 &lt;= 3, "New Relationship[1-3]", AR598 &lt;= 7, "Established Relationship[4-7]", AR598 &lt;= 12, "Long Term Relationship[8-12]", AR598 &lt;= 17, "Very Long Term Relationship[13-17]")</f>
        <v>New Relationship[1-3]</v>
      </c>
      <c r="AR598" s="1">
        <v>2</v>
      </c>
    </row>
    <row r="599" spans="1:44" x14ac:dyDescent="0.25">
      <c r="A599" s="1">
        <v>42</v>
      </c>
      <c r="B599" s="8" t="str" cm="1">
        <f t="array" ref="B599">_xlfn.IFS(A599 &lt;= 25, "[18-25]", A599 &lt;= 35, "[26-35]", A599 &lt;=45, "[36-45]", A599 &lt;= 60, "[46- 60]")</f>
        <v>[36-45]</v>
      </c>
      <c r="C599" s="3" t="s">
        <v>43</v>
      </c>
      <c r="D599">
        <f t="shared" si="9"/>
        <v>0</v>
      </c>
      <c r="E599" t="s">
        <v>36</v>
      </c>
      <c r="F599" s="1">
        <v>932</v>
      </c>
      <c r="G599" s="3" t="s">
        <v>45</v>
      </c>
      <c r="H599" s="1">
        <v>1</v>
      </c>
      <c r="I599" s="9" t="str" cm="1">
        <f t="array" ref="I599">_xlfn.IFS(H599 &lt;= 2, "[1-2] very close", H599 &lt;= 10, "[3-10] close", H599 &lt;= 20, "[11-20] moderate", H599 &lt;= 30, "[21-30] far")</f>
        <v>[1-2] very close</v>
      </c>
      <c r="J599" s="1">
        <v>2</v>
      </c>
      <c r="K599" s="3" t="s">
        <v>38</v>
      </c>
      <c r="L599" s="1">
        <v>1</v>
      </c>
      <c r="M599" s="1">
        <v>827</v>
      </c>
      <c r="N599" s="1">
        <v>4</v>
      </c>
      <c r="O599" s="3" t="s">
        <v>39</v>
      </c>
      <c r="P599" s="1">
        <v>43</v>
      </c>
      <c r="Q599" s="1">
        <v>2</v>
      </c>
      <c r="R599" s="1">
        <v>2</v>
      </c>
      <c r="S599" s="3" t="s">
        <v>53</v>
      </c>
      <c r="T599" s="1">
        <v>4</v>
      </c>
      <c r="U599" s="3" t="s">
        <v>48</v>
      </c>
      <c r="V599" s="4">
        <v>6062</v>
      </c>
      <c r="W599" s="1">
        <v>4051</v>
      </c>
      <c r="X599" s="1">
        <v>9</v>
      </c>
      <c r="Y599" s="3" t="s">
        <v>42</v>
      </c>
      <c r="Z599" s="3" t="s">
        <v>35</v>
      </c>
      <c r="AA599" s="5">
        <v>0.13</v>
      </c>
      <c r="AB599" s="10" t="str" cm="1">
        <f t="array" ref="AB599">_xlfn.IFS(AA599 &lt;= 15%, "Low Hike[11-15%]", AA599 &lt;= 20%, "Moderate Hike[16-20%]", AA599 &lt;= 25%,"High Hike[21-25%]")</f>
        <v>Low Hike[11-15%]</v>
      </c>
      <c r="AC599" s="1">
        <v>3</v>
      </c>
      <c r="AD599" s="1">
        <v>4</v>
      </c>
      <c r="AE599" s="1">
        <v>80</v>
      </c>
      <c r="AF599" s="1">
        <v>1</v>
      </c>
      <c r="AG599" s="1">
        <v>8</v>
      </c>
      <c r="AH599" s="9" t="str" cm="1">
        <f t="array" ref="AH599">_xlfn.IFS(AG599 &lt;= 5, "New[1-5]", AG599 &lt;= 10, "Early Career[6-10]", AG599 &lt;= 20, "Established[11-20]", AG599 &lt;= 30, "Veteran[21-30]", AG599 &lt;= 40, "Late Career[31-40]")</f>
        <v>Early Career[6-10]</v>
      </c>
      <c r="AI599" s="1">
        <v>4</v>
      </c>
      <c r="AJ599" s="1">
        <v>3</v>
      </c>
      <c r="AK599" s="1">
        <v>4</v>
      </c>
      <c r="AL599" s="9" t="str" cm="1">
        <f t="array" ref="AL599">_xlfn.IFS(AK599 &lt;= 5, "New[1-5]", AK599 &lt;= 10, "Early Career[6-10]", AK599 &lt;= 20, "Established[11-20]", AK599 &lt;= 30, "Veteran[21-30]", AK599 &lt;= 40, "Late Career[31-40]")</f>
        <v>New[1-5]</v>
      </c>
      <c r="AM599" s="1">
        <v>3</v>
      </c>
      <c r="AN599" s="9" t="str" cm="1">
        <f t="array" ref="AN599">_xlfn.IFS(AM599 &lt;= 3, "New to Role[1-3]", AM599 &lt;= 7, "Settled[4-7]", AM599 &lt;= 12, "Experienced[[8-12]", AM599 &lt;= 18, "Long Tenured[13-18]")</f>
        <v>New to Role[1-3]</v>
      </c>
      <c r="AO599" s="1">
        <v>0</v>
      </c>
      <c r="AP599" s="9" t="str" cm="1">
        <f t="array" ref="AP599">_xlfn.IFS(AO599 &lt;= 3, "Recently[1-3]", AO599 &lt;= 6, "Due Soon[4-6]", AO599 &lt;= 10, "Overdue[7-10]", AO599 &lt;= 15, "Long Overdue[11-15]")</f>
        <v>Recently[1-3]</v>
      </c>
      <c r="AQ599" s="9" t="str" cm="1">
        <f t="array" ref="AQ599">_xlfn.IFS(AR599 &lt;= 3, "New Relationship[1-3]", AR599 &lt;= 7, "Established Relationship[4-7]", AR599 &lt;= 12, "Long Term Relationship[8-12]", AR599 &lt;= 17, "Very Long Term Relationship[13-17]")</f>
        <v>New Relationship[1-3]</v>
      </c>
      <c r="AR599" s="1">
        <v>2</v>
      </c>
    </row>
    <row r="600" spans="1:44" x14ac:dyDescent="0.25">
      <c r="A600" s="1">
        <v>28</v>
      </c>
      <c r="B600" s="8" t="str" cm="1">
        <f t="array" ref="B600">_xlfn.IFS(A600 &lt;= 25, "[18-25]", A600 &lt;= 35, "[26-35]", A600 &lt;=45, "[36-45]", A600 &lt;= 60, "[46- 60]")</f>
        <v>[26-35]</v>
      </c>
      <c r="C600" s="3" t="s">
        <v>35</v>
      </c>
      <c r="D600">
        <f t="shared" si="9"/>
        <v>1</v>
      </c>
      <c r="E600" t="s">
        <v>36</v>
      </c>
      <c r="F600" s="1">
        <v>890</v>
      </c>
      <c r="G600" s="3" t="s">
        <v>45</v>
      </c>
      <c r="H600" s="1">
        <v>2</v>
      </c>
      <c r="I600" s="9" t="str" cm="1">
        <f t="array" ref="I600">_xlfn.IFS(H600 &lt;= 2, "[1-2] very close", H600 &lt;= 10, "[3-10] close", H600 &lt;= 20, "[11-20] moderate", H600 &lt;= 30, "[21-30] far")</f>
        <v>[1-2] very close</v>
      </c>
      <c r="J600" s="1">
        <v>4</v>
      </c>
      <c r="K600" s="3" t="s">
        <v>51</v>
      </c>
      <c r="L600" s="1">
        <v>1</v>
      </c>
      <c r="M600" s="1">
        <v>828</v>
      </c>
      <c r="N600" s="1">
        <v>3</v>
      </c>
      <c r="O600" s="3" t="s">
        <v>46</v>
      </c>
      <c r="P600" s="1">
        <v>46</v>
      </c>
      <c r="Q600" s="1">
        <v>3</v>
      </c>
      <c r="R600" s="1">
        <v>1</v>
      </c>
      <c r="S600" s="3" t="s">
        <v>47</v>
      </c>
      <c r="T600" s="1">
        <v>3</v>
      </c>
      <c r="U600" s="3" t="s">
        <v>41</v>
      </c>
      <c r="V600" s="4">
        <v>4382</v>
      </c>
      <c r="W600" s="1">
        <v>16374</v>
      </c>
      <c r="X600" s="1">
        <v>6</v>
      </c>
      <c r="Y600" s="3" t="s">
        <v>42</v>
      </c>
      <c r="Z600" s="3" t="s">
        <v>43</v>
      </c>
      <c r="AA600" s="5">
        <v>0.17</v>
      </c>
      <c r="AB600" s="10" t="str" cm="1">
        <f t="array" ref="AB600">_xlfn.IFS(AA600 &lt;= 15%, "Low Hike[11-15%]", AA600 &lt;= 20%, "Moderate Hike[16-20%]", AA600 &lt;= 25%,"High Hike[21-25%]")</f>
        <v>Moderate Hike[16-20%]</v>
      </c>
      <c r="AC600" s="1">
        <v>3</v>
      </c>
      <c r="AD600" s="1">
        <v>4</v>
      </c>
      <c r="AE600" s="1">
        <v>80</v>
      </c>
      <c r="AF600" s="1">
        <v>0</v>
      </c>
      <c r="AG600" s="1">
        <v>5</v>
      </c>
      <c r="AH600" s="9" t="str" cm="1">
        <f t="array" ref="AH600">_xlfn.IFS(AG600 &lt;= 5, "New[1-5]", AG600 &lt;= 10, "Early Career[6-10]", AG600 &lt;= 20, "Established[11-20]", AG600 &lt;= 30, "Veteran[21-30]", AG600 &lt;= 40, "Late Career[31-40]")</f>
        <v>New[1-5]</v>
      </c>
      <c r="AI600" s="1">
        <v>3</v>
      </c>
      <c r="AJ600" s="1">
        <v>2</v>
      </c>
      <c r="AK600" s="1">
        <v>2</v>
      </c>
      <c r="AL600" s="9" t="str" cm="1">
        <f t="array" ref="AL600">_xlfn.IFS(AK600 &lt;= 5, "New[1-5]", AK600 &lt;= 10, "Early Career[6-10]", AK600 &lt;= 20, "Established[11-20]", AK600 &lt;= 30, "Veteran[21-30]", AK600 &lt;= 40, "Late Career[31-40]")</f>
        <v>New[1-5]</v>
      </c>
      <c r="AM600" s="1">
        <v>2</v>
      </c>
      <c r="AN600" s="9" t="str" cm="1">
        <f t="array" ref="AN600">_xlfn.IFS(AM600 &lt;= 3, "New to Role[1-3]", AM600 &lt;= 7, "Settled[4-7]", AM600 &lt;= 12, "Experienced[[8-12]", AM600 &lt;= 18, "Long Tenured[13-18]")</f>
        <v>New to Role[1-3]</v>
      </c>
      <c r="AO600" s="1">
        <v>2</v>
      </c>
      <c r="AP600" s="9" t="str" cm="1">
        <f t="array" ref="AP600">_xlfn.IFS(AO600 &lt;= 3, "Recently[1-3]", AO600 &lt;= 6, "Due Soon[4-6]", AO600 &lt;= 10, "Overdue[7-10]", AO600 &lt;= 15, "Long Overdue[11-15]")</f>
        <v>Recently[1-3]</v>
      </c>
      <c r="AQ600" s="9" t="str" cm="1">
        <f t="array" ref="AQ600">_xlfn.IFS(AR600 &lt;= 3, "New Relationship[1-3]", AR600 &lt;= 7, "Established Relationship[4-7]", AR600 &lt;= 12, "Long Term Relationship[8-12]", AR600 &lt;= 17, "Very Long Term Relationship[13-17]")</f>
        <v>New Relationship[1-3]</v>
      </c>
      <c r="AR600" s="1">
        <v>1</v>
      </c>
    </row>
    <row r="601" spans="1:44" x14ac:dyDescent="0.25">
      <c r="A601" s="1">
        <v>36</v>
      </c>
      <c r="B601" s="8" t="str" cm="1">
        <f t="array" ref="B601">_xlfn.IFS(A601 &lt;= 25, "[18-25]", A601 &lt;= 35, "[26-35]", A601 &lt;=45, "[36-45]", A601 &lt;= 60, "[46- 60]")</f>
        <v>[36-45]</v>
      </c>
      <c r="C601" s="3" t="s">
        <v>43</v>
      </c>
      <c r="D601">
        <f t="shared" si="9"/>
        <v>0</v>
      </c>
      <c r="E601" t="s">
        <v>36</v>
      </c>
      <c r="F601" s="1">
        <v>1041</v>
      </c>
      <c r="G601" s="3" t="s">
        <v>61</v>
      </c>
      <c r="H601" s="1">
        <v>13</v>
      </c>
      <c r="I601" s="9" t="str" cm="1">
        <f t="array" ref="I601">_xlfn.IFS(H601 &lt;= 2, "[1-2] very close", H601 &lt;= 10, "[3-10] close", H601 &lt;= 20, "[11-20] moderate", H601 &lt;= 30, "[21-30] far")</f>
        <v>[11-20] moderate</v>
      </c>
      <c r="J601" s="1">
        <v>3</v>
      </c>
      <c r="K601" s="3" t="s">
        <v>61</v>
      </c>
      <c r="L601" s="1">
        <v>1</v>
      </c>
      <c r="M601" s="1">
        <v>829</v>
      </c>
      <c r="N601" s="1">
        <v>3</v>
      </c>
      <c r="O601" s="3" t="s">
        <v>46</v>
      </c>
      <c r="P601" s="1">
        <v>36</v>
      </c>
      <c r="Q601" s="1">
        <v>3</v>
      </c>
      <c r="R601" s="1">
        <v>1</v>
      </c>
      <c r="S601" s="3" t="s">
        <v>61</v>
      </c>
      <c r="T601" s="1">
        <v>2</v>
      </c>
      <c r="U601" s="3" t="s">
        <v>48</v>
      </c>
      <c r="V601" s="4">
        <v>2143</v>
      </c>
      <c r="W601" s="1">
        <v>25527</v>
      </c>
      <c r="X601" s="1">
        <v>4</v>
      </c>
      <c r="Y601" s="3" t="s">
        <v>42</v>
      </c>
      <c r="Z601" s="3" t="s">
        <v>43</v>
      </c>
      <c r="AA601" s="5">
        <v>0.13</v>
      </c>
      <c r="AB601" s="10" t="str" cm="1">
        <f t="array" ref="AB601">_xlfn.IFS(AA601 &lt;= 15%, "Low Hike[11-15%]", AA601 &lt;= 20%, "Moderate Hike[16-20%]", AA601 &lt;= 25%,"High Hike[21-25%]")</f>
        <v>Low Hike[11-15%]</v>
      </c>
      <c r="AC601" s="1">
        <v>3</v>
      </c>
      <c r="AD601" s="1">
        <v>2</v>
      </c>
      <c r="AE601" s="1">
        <v>80</v>
      </c>
      <c r="AF601" s="1">
        <v>1</v>
      </c>
      <c r="AG601" s="1">
        <v>8</v>
      </c>
      <c r="AH601" s="9" t="str" cm="1">
        <f t="array" ref="AH601">_xlfn.IFS(AG601 &lt;= 5, "New[1-5]", AG601 &lt;= 10, "Early Career[6-10]", AG601 &lt;= 20, "Established[11-20]", AG601 &lt;= 30, "Veteran[21-30]", AG601 &lt;= 40, "Late Career[31-40]")</f>
        <v>Early Career[6-10]</v>
      </c>
      <c r="AI601" s="1">
        <v>2</v>
      </c>
      <c r="AJ601" s="1">
        <v>3</v>
      </c>
      <c r="AK601" s="1">
        <v>5</v>
      </c>
      <c r="AL601" s="9" t="str" cm="1">
        <f t="array" ref="AL601">_xlfn.IFS(AK601 &lt;= 5, "New[1-5]", AK601 &lt;= 10, "Early Career[6-10]", AK601 &lt;= 20, "Established[11-20]", AK601 &lt;= 30, "Veteran[21-30]", AK601 &lt;= 40, "Late Career[31-40]")</f>
        <v>New[1-5]</v>
      </c>
      <c r="AM601" s="1">
        <v>2</v>
      </c>
      <c r="AN601" s="9" t="str" cm="1">
        <f t="array" ref="AN601">_xlfn.IFS(AM601 &lt;= 3, "New to Role[1-3]", AM601 &lt;= 7, "Settled[4-7]", AM601 &lt;= 12, "Experienced[[8-12]", AM601 &lt;= 18, "Long Tenured[13-18]")</f>
        <v>New to Role[1-3]</v>
      </c>
      <c r="AO601" s="1">
        <v>0</v>
      </c>
      <c r="AP601" s="9" t="str" cm="1">
        <f t="array" ref="AP601">_xlfn.IFS(AO601 &lt;= 3, "Recently[1-3]", AO601 &lt;= 6, "Due Soon[4-6]", AO601 &lt;= 10, "Overdue[7-10]", AO601 &lt;= 15, "Long Overdue[11-15]")</f>
        <v>Recently[1-3]</v>
      </c>
      <c r="AQ601" s="9" t="str" cm="1">
        <f t="array" ref="AQ601">_xlfn.IFS(AR601 &lt;= 3, "New Relationship[1-3]", AR601 &lt;= 7, "Established Relationship[4-7]", AR601 &lt;= 12, "Long Term Relationship[8-12]", AR601 &lt;= 17, "Very Long Term Relationship[13-17]")</f>
        <v>Established Relationship[4-7]</v>
      </c>
      <c r="AR601" s="1">
        <v>4</v>
      </c>
    </row>
    <row r="602" spans="1:44" x14ac:dyDescent="0.25">
      <c r="A602" s="1">
        <v>32</v>
      </c>
      <c r="B602" s="8" t="str" cm="1">
        <f t="array" ref="B602">_xlfn.IFS(A602 &lt;= 25, "[18-25]", A602 &lt;= 35, "[26-35]", A602 &lt;=45, "[36-45]", A602 &lt;= 60, "[46- 60]")</f>
        <v>[26-35]</v>
      </c>
      <c r="C602" s="3" t="s">
        <v>43</v>
      </c>
      <c r="D602">
        <f t="shared" si="9"/>
        <v>0</v>
      </c>
      <c r="E602" t="s">
        <v>36</v>
      </c>
      <c r="F602" s="1">
        <v>859</v>
      </c>
      <c r="G602" s="3" t="s">
        <v>45</v>
      </c>
      <c r="H602" s="1">
        <v>4</v>
      </c>
      <c r="I602" s="9" t="str" cm="1">
        <f t="array" ref="I602">_xlfn.IFS(H602 &lt;= 2, "[1-2] very close", H602 &lt;= 10, "[3-10] close", H602 &lt;= 20, "[11-20] moderate", H602 &lt;= 30, "[21-30] far")</f>
        <v>[3-10] close</v>
      </c>
      <c r="J602" s="1">
        <v>3</v>
      </c>
      <c r="K602" s="3" t="s">
        <v>38</v>
      </c>
      <c r="L602" s="1">
        <v>1</v>
      </c>
      <c r="M602" s="1">
        <v>830</v>
      </c>
      <c r="N602" s="1">
        <v>3</v>
      </c>
      <c r="O602" s="3" t="s">
        <v>39</v>
      </c>
      <c r="P602" s="1">
        <v>98</v>
      </c>
      <c r="Q602" s="1">
        <v>2</v>
      </c>
      <c r="R602" s="1">
        <v>2</v>
      </c>
      <c r="S602" s="3" t="s">
        <v>53</v>
      </c>
      <c r="T602" s="1">
        <v>3</v>
      </c>
      <c r="U602" s="3" t="s">
        <v>48</v>
      </c>
      <c r="V602" s="4">
        <v>6162</v>
      </c>
      <c r="W602" s="1">
        <v>19124</v>
      </c>
      <c r="X602" s="1">
        <v>1</v>
      </c>
      <c r="Y602" s="3" t="s">
        <v>42</v>
      </c>
      <c r="Z602" s="3" t="s">
        <v>43</v>
      </c>
      <c r="AA602" s="5">
        <v>0.12</v>
      </c>
      <c r="AB602" s="10" t="str" cm="1">
        <f t="array" ref="AB602">_xlfn.IFS(AA602 &lt;= 15%, "Low Hike[11-15%]", AA602 &lt;= 20%, "Moderate Hike[16-20%]", AA602 &lt;= 25%,"High Hike[21-25%]")</f>
        <v>Low Hike[11-15%]</v>
      </c>
      <c r="AC602" s="1">
        <v>3</v>
      </c>
      <c r="AD602" s="1">
        <v>3</v>
      </c>
      <c r="AE602" s="1">
        <v>80</v>
      </c>
      <c r="AF602" s="1">
        <v>1</v>
      </c>
      <c r="AG602" s="1">
        <v>14</v>
      </c>
      <c r="AH602" s="9" t="str" cm="1">
        <f t="array" ref="AH602">_xlfn.IFS(AG602 &lt;= 5, "New[1-5]", AG602 &lt;= 10, "Early Career[6-10]", AG602 &lt;= 20, "Established[11-20]", AG602 &lt;= 30, "Veteran[21-30]", AG602 &lt;= 40, "Late Career[31-40]")</f>
        <v>Established[11-20]</v>
      </c>
      <c r="AI602" s="1">
        <v>3</v>
      </c>
      <c r="AJ602" s="1">
        <v>3</v>
      </c>
      <c r="AK602" s="1">
        <v>14</v>
      </c>
      <c r="AL602" s="9" t="str" cm="1">
        <f t="array" ref="AL602">_xlfn.IFS(AK602 &lt;= 5, "New[1-5]", AK602 &lt;= 10, "Early Career[6-10]", AK602 &lt;= 20, "Established[11-20]", AK602 &lt;= 30, "Veteran[21-30]", AK602 &lt;= 40, "Late Career[31-40]")</f>
        <v>Established[11-20]</v>
      </c>
      <c r="AM602" s="1">
        <v>13</v>
      </c>
      <c r="AN602" s="9" t="str" cm="1">
        <f t="array" ref="AN602">_xlfn.IFS(AM602 &lt;= 3, "New to Role[1-3]", AM602 &lt;= 7, "Settled[4-7]", AM602 &lt;= 12, "Experienced[[8-12]", AM602 &lt;= 18, "Long Tenured[13-18]")</f>
        <v>Long Tenured[13-18]</v>
      </c>
      <c r="AO602" s="1">
        <v>6</v>
      </c>
      <c r="AP602" s="9" t="str" cm="1">
        <f t="array" ref="AP602">_xlfn.IFS(AO602 &lt;= 3, "Recently[1-3]", AO602 &lt;= 6, "Due Soon[4-6]", AO602 &lt;= 10, "Overdue[7-10]", AO602 &lt;= 15, "Long Overdue[11-15]")</f>
        <v>Due Soon[4-6]</v>
      </c>
      <c r="AQ602" s="9" t="str" cm="1">
        <f t="array" ref="AQ602">_xlfn.IFS(AR602 &lt;= 3, "New Relationship[1-3]", AR602 &lt;= 7, "Established Relationship[4-7]", AR602 &lt;= 12, "Long Term Relationship[8-12]", AR602 &lt;= 17, "Very Long Term Relationship[13-17]")</f>
        <v>Long Term Relationship[8-12]</v>
      </c>
      <c r="AR602" s="1">
        <v>8</v>
      </c>
    </row>
    <row r="603" spans="1:44" x14ac:dyDescent="0.25">
      <c r="A603" s="1">
        <v>40</v>
      </c>
      <c r="B603" s="8" t="str" cm="1">
        <f t="array" ref="B603">_xlfn.IFS(A603 &lt;= 25, "[18-25]", A603 &lt;= 35, "[26-35]", A603 &lt;=45, "[36-45]", A603 &lt;= 60, "[46- 60]")</f>
        <v>[36-45]</v>
      </c>
      <c r="C603" s="3" t="s">
        <v>43</v>
      </c>
      <c r="D603">
        <f t="shared" si="9"/>
        <v>0</v>
      </c>
      <c r="E603" t="s">
        <v>44</v>
      </c>
      <c r="F603" s="1">
        <v>720</v>
      </c>
      <c r="G603" s="3" t="s">
        <v>45</v>
      </c>
      <c r="H603" s="1">
        <v>16</v>
      </c>
      <c r="I603" s="9" t="str" cm="1">
        <f t="array" ref="I603">_xlfn.IFS(H603 &lt;= 2, "[1-2] very close", H603 &lt;= 10, "[3-10] close", H603 &lt;= 20, "[11-20] moderate", H603 &lt;= 30, "[21-30] far")</f>
        <v>[11-20] moderate</v>
      </c>
      <c r="J603" s="1">
        <v>4</v>
      </c>
      <c r="K603" s="3" t="s">
        <v>51</v>
      </c>
      <c r="L603" s="1">
        <v>1</v>
      </c>
      <c r="M603" s="1">
        <v>832</v>
      </c>
      <c r="N603" s="1">
        <v>1</v>
      </c>
      <c r="O603" s="3" t="s">
        <v>46</v>
      </c>
      <c r="P603" s="1">
        <v>51</v>
      </c>
      <c r="Q603" s="1">
        <v>2</v>
      </c>
      <c r="R603" s="1">
        <v>2</v>
      </c>
      <c r="S603" s="3" t="s">
        <v>50</v>
      </c>
      <c r="T603" s="1">
        <v>3</v>
      </c>
      <c r="U603" s="3" t="s">
        <v>41</v>
      </c>
      <c r="V603" s="4">
        <v>5094</v>
      </c>
      <c r="W603" s="1">
        <v>11983</v>
      </c>
      <c r="X603" s="1">
        <v>6</v>
      </c>
      <c r="Y603" s="3" t="s">
        <v>42</v>
      </c>
      <c r="Z603" s="3" t="s">
        <v>43</v>
      </c>
      <c r="AA603" s="5">
        <v>0.14000000000000001</v>
      </c>
      <c r="AB603" s="10" t="str" cm="1">
        <f t="array" ref="AB603">_xlfn.IFS(AA603 &lt;= 15%, "Low Hike[11-15%]", AA603 &lt;= 20%, "Moderate Hike[16-20%]", AA603 &lt;= 25%,"High Hike[21-25%]")</f>
        <v>Low Hike[11-15%]</v>
      </c>
      <c r="AC603" s="1">
        <v>3</v>
      </c>
      <c r="AD603" s="1">
        <v>4</v>
      </c>
      <c r="AE603" s="1">
        <v>80</v>
      </c>
      <c r="AF603" s="1">
        <v>0</v>
      </c>
      <c r="AG603" s="1">
        <v>10</v>
      </c>
      <c r="AH603" s="9" t="str" cm="1">
        <f t="array" ref="AH603">_xlfn.IFS(AG603 &lt;= 5, "New[1-5]", AG603 &lt;= 10, "Early Career[6-10]", AG603 &lt;= 20, "Established[11-20]", AG603 &lt;= 30, "Veteran[21-30]", AG603 &lt;= 40, "Late Career[31-40]")</f>
        <v>Early Career[6-10]</v>
      </c>
      <c r="AI603" s="1">
        <v>6</v>
      </c>
      <c r="AJ603" s="1">
        <v>3</v>
      </c>
      <c r="AK603" s="1">
        <v>1</v>
      </c>
      <c r="AL603" s="9" t="str" cm="1">
        <f t="array" ref="AL603">_xlfn.IFS(AK603 &lt;= 5, "New[1-5]", AK603 &lt;= 10, "Early Career[6-10]", AK603 &lt;= 20, "Established[11-20]", AK603 &lt;= 30, "Veteran[21-30]", AK603 &lt;= 40, "Late Career[31-40]")</f>
        <v>New[1-5]</v>
      </c>
      <c r="AM603" s="1">
        <v>0</v>
      </c>
      <c r="AN603" s="9" t="str" cm="1">
        <f t="array" ref="AN603">_xlfn.IFS(AM603 &lt;= 3, "New to Role[1-3]", AM603 &lt;= 7, "Settled[4-7]", AM603 &lt;= 12, "Experienced[[8-12]", AM603 &lt;= 18, "Long Tenured[13-18]")</f>
        <v>New to Role[1-3]</v>
      </c>
      <c r="AO603" s="1">
        <v>0</v>
      </c>
      <c r="AP603" s="9" t="str" cm="1">
        <f t="array" ref="AP603">_xlfn.IFS(AO603 &lt;= 3, "Recently[1-3]", AO603 &lt;= 6, "Due Soon[4-6]", AO603 &lt;= 10, "Overdue[7-10]", AO603 &lt;= 15, "Long Overdue[11-15]")</f>
        <v>Recently[1-3]</v>
      </c>
      <c r="AQ603" s="9" t="str" cm="1">
        <f t="array" ref="AQ603">_xlfn.IFS(AR603 &lt;= 3, "New Relationship[1-3]", AR603 &lt;= 7, "Established Relationship[4-7]", AR603 &lt;= 12, "Long Term Relationship[8-12]", AR603 &lt;= 17, "Very Long Term Relationship[13-17]")</f>
        <v>New Relationship[1-3]</v>
      </c>
      <c r="AR603" s="1">
        <v>0</v>
      </c>
    </row>
    <row r="604" spans="1:44" x14ac:dyDescent="0.25">
      <c r="A604" s="1">
        <v>30</v>
      </c>
      <c r="B604" s="8" t="str" cm="1">
        <f t="array" ref="B604">_xlfn.IFS(A604 &lt;= 25, "[18-25]", A604 &lt;= 35, "[26-35]", A604 &lt;=45, "[36-45]", A604 &lt;= 60, "[46- 60]")</f>
        <v>[26-35]</v>
      </c>
      <c r="C604" s="3" t="s">
        <v>43</v>
      </c>
      <c r="D604">
        <f t="shared" si="9"/>
        <v>0</v>
      </c>
      <c r="E604" t="s">
        <v>36</v>
      </c>
      <c r="F604" s="1">
        <v>946</v>
      </c>
      <c r="G604" s="3" t="s">
        <v>45</v>
      </c>
      <c r="H604" s="1">
        <v>2</v>
      </c>
      <c r="I604" s="9" t="str" cm="1">
        <f t="array" ref="I604">_xlfn.IFS(H604 &lt;= 2, "[1-2] very close", H604 &lt;= 10, "[3-10] close", H604 &lt;= 20, "[11-20] moderate", H604 &lt;= 30, "[21-30] far")</f>
        <v>[1-2] very close</v>
      </c>
      <c r="J604" s="1">
        <v>3</v>
      </c>
      <c r="K604" s="3" t="s">
        <v>51</v>
      </c>
      <c r="L604" s="1">
        <v>1</v>
      </c>
      <c r="M604" s="1">
        <v>833</v>
      </c>
      <c r="N604" s="1">
        <v>3</v>
      </c>
      <c r="O604" s="3" t="s">
        <v>39</v>
      </c>
      <c r="P604" s="1">
        <v>52</v>
      </c>
      <c r="Q604" s="1">
        <v>2</v>
      </c>
      <c r="R604" s="1">
        <v>2</v>
      </c>
      <c r="S604" s="3" t="s">
        <v>53</v>
      </c>
      <c r="T604" s="1">
        <v>4</v>
      </c>
      <c r="U604" s="3" t="s">
        <v>41</v>
      </c>
      <c r="V604" s="4">
        <v>6877</v>
      </c>
      <c r="W604" s="1">
        <v>20234</v>
      </c>
      <c r="X604" s="1">
        <v>5</v>
      </c>
      <c r="Y604" s="3" t="s">
        <v>42</v>
      </c>
      <c r="Z604" s="3" t="s">
        <v>35</v>
      </c>
      <c r="AA604" s="5">
        <v>0.24</v>
      </c>
      <c r="AB604" s="10" t="str" cm="1">
        <f t="array" ref="AB604">_xlfn.IFS(AA604 &lt;= 15%, "Low Hike[11-15%]", AA604 &lt;= 20%, "Moderate Hike[16-20%]", AA604 &lt;= 25%,"High Hike[21-25%]")</f>
        <v>High Hike[21-25%]</v>
      </c>
      <c r="AC604" s="1">
        <v>4</v>
      </c>
      <c r="AD604" s="1">
        <v>2</v>
      </c>
      <c r="AE604" s="1">
        <v>80</v>
      </c>
      <c r="AF604" s="1">
        <v>0</v>
      </c>
      <c r="AG604" s="1">
        <v>12</v>
      </c>
      <c r="AH604" s="9" t="str" cm="1">
        <f t="array" ref="AH604">_xlfn.IFS(AG604 &lt;= 5, "New[1-5]", AG604 &lt;= 10, "Early Career[6-10]", AG604 &lt;= 20, "Established[11-20]", AG604 &lt;= 30, "Veteran[21-30]", AG604 &lt;= 40, "Late Career[31-40]")</f>
        <v>Established[11-20]</v>
      </c>
      <c r="AI604" s="1">
        <v>4</v>
      </c>
      <c r="AJ604" s="1">
        <v>2</v>
      </c>
      <c r="AK604" s="1">
        <v>0</v>
      </c>
      <c r="AL604" s="9" t="str" cm="1">
        <f t="array" ref="AL604">_xlfn.IFS(AK604 &lt;= 5, "New[1-5]", AK604 &lt;= 10, "Early Career[6-10]", AK604 &lt;= 20, "Established[11-20]", AK604 &lt;= 30, "Veteran[21-30]", AK604 &lt;= 40, "Late Career[31-40]")</f>
        <v>New[1-5]</v>
      </c>
      <c r="AM604" s="1">
        <v>0</v>
      </c>
      <c r="AN604" s="9" t="str" cm="1">
        <f t="array" ref="AN604">_xlfn.IFS(AM604 &lt;= 3, "New to Role[1-3]", AM604 &lt;= 7, "Settled[4-7]", AM604 &lt;= 12, "Experienced[[8-12]", AM604 &lt;= 18, "Long Tenured[13-18]")</f>
        <v>New to Role[1-3]</v>
      </c>
      <c r="AO604" s="1">
        <v>0</v>
      </c>
      <c r="AP604" s="9" t="str" cm="1">
        <f t="array" ref="AP604">_xlfn.IFS(AO604 &lt;= 3, "Recently[1-3]", AO604 &lt;= 6, "Due Soon[4-6]", AO604 &lt;= 10, "Overdue[7-10]", AO604 &lt;= 15, "Long Overdue[11-15]")</f>
        <v>Recently[1-3]</v>
      </c>
      <c r="AQ604" s="9" t="str" cm="1">
        <f t="array" ref="AQ604">_xlfn.IFS(AR604 &lt;= 3, "New Relationship[1-3]", AR604 &lt;= 7, "Established Relationship[4-7]", AR604 &lt;= 12, "Long Term Relationship[8-12]", AR604 &lt;= 17, "Very Long Term Relationship[13-17]")</f>
        <v>New Relationship[1-3]</v>
      </c>
      <c r="AR604" s="1">
        <v>0</v>
      </c>
    </row>
    <row r="605" spans="1:44" x14ac:dyDescent="0.25">
      <c r="A605" s="1">
        <v>45</v>
      </c>
      <c r="B605" s="8" t="str" cm="1">
        <f t="array" ref="B605">_xlfn.IFS(A605 &lt;= 25, "[18-25]", A605 &lt;= 35, "[26-35]", A605 &lt;=45, "[36-45]", A605 &lt;= 60, "[46- 60]")</f>
        <v>[36-45]</v>
      </c>
      <c r="C605" s="3" t="s">
        <v>43</v>
      </c>
      <c r="D605">
        <f t="shared" si="9"/>
        <v>0</v>
      </c>
      <c r="E605" t="s">
        <v>36</v>
      </c>
      <c r="F605" s="1">
        <v>252</v>
      </c>
      <c r="G605" s="3" t="s">
        <v>45</v>
      </c>
      <c r="H605" s="1">
        <v>2</v>
      </c>
      <c r="I605" s="9" t="str" cm="1">
        <f t="array" ref="I605">_xlfn.IFS(H605 &lt;= 2, "[1-2] very close", H605 &lt;= 10, "[3-10] close", H605 &lt;= 20, "[11-20] moderate", H605 &lt;= 30, "[21-30] far")</f>
        <v>[1-2] very close</v>
      </c>
      <c r="J605" s="1">
        <v>3</v>
      </c>
      <c r="K605" s="3" t="s">
        <v>38</v>
      </c>
      <c r="L605" s="1">
        <v>1</v>
      </c>
      <c r="M605" s="1">
        <v>834</v>
      </c>
      <c r="N605" s="1">
        <v>2</v>
      </c>
      <c r="O605" s="3" t="s">
        <v>39</v>
      </c>
      <c r="P605" s="1">
        <v>95</v>
      </c>
      <c r="Q605" s="1">
        <v>2</v>
      </c>
      <c r="R605" s="1">
        <v>1</v>
      </c>
      <c r="S605" s="3" t="s">
        <v>47</v>
      </c>
      <c r="T605" s="1">
        <v>3</v>
      </c>
      <c r="U605" s="3" t="s">
        <v>41</v>
      </c>
      <c r="V605" s="4">
        <v>2274</v>
      </c>
      <c r="W605" s="1">
        <v>6153</v>
      </c>
      <c r="X605" s="1">
        <v>1</v>
      </c>
      <c r="Y605" s="3" t="s">
        <v>42</v>
      </c>
      <c r="Z605" s="3" t="s">
        <v>43</v>
      </c>
      <c r="AA605" s="5">
        <v>0.14000000000000001</v>
      </c>
      <c r="AB605" s="10" t="str" cm="1">
        <f t="array" ref="AB605">_xlfn.IFS(AA605 &lt;= 15%, "Low Hike[11-15%]", AA605 &lt;= 20%, "Moderate Hike[16-20%]", AA605 &lt;= 25%,"High Hike[21-25%]")</f>
        <v>Low Hike[11-15%]</v>
      </c>
      <c r="AC605" s="1">
        <v>3</v>
      </c>
      <c r="AD605" s="1">
        <v>4</v>
      </c>
      <c r="AE605" s="1">
        <v>80</v>
      </c>
      <c r="AF605" s="1">
        <v>0</v>
      </c>
      <c r="AG605" s="1">
        <v>1</v>
      </c>
      <c r="AH605" s="9" t="str" cm="1">
        <f t="array" ref="AH605">_xlfn.IFS(AG605 &lt;= 5, "New[1-5]", AG605 &lt;= 10, "Early Career[6-10]", AG605 &lt;= 20, "Established[11-20]", AG605 &lt;= 30, "Veteran[21-30]", AG605 &lt;= 40, "Late Career[31-40]")</f>
        <v>New[1-5]</v>
      </c>
      <c r="AI605" s="1">
        <v>3</v>
      </c>
      <c r="AJ605" s="1">
        <v>3</v>
      </c>
      <c r="AK605" s="1">
        <v>1</v>
      </c>
      <c r="AL605" s="9" t="str" cm="1">
        <f t="array" ref="AL605">_xlfn.IFS(AK605 &lt;= 5, "New[1-5]", AK605 &lt;= 10, "Early Career[6-10]", AK605 &lt;= 20, "Established[11-20]", AK605 &lt;= 30, "Veteran[21-30]", AK605 &lt;= 40, "Late Career[31-40]")</f>
        <v>New[1-5]</v>
      </c>
      <c r="AM605" s="1">
        <v>0</v>
      </c>
      <c r="AN605" s="9" t="str" cm="1">
        <f t="array" ref="AN605">_xlfn.IFS(AM605 &lt;= 3, "New to Role[1-3]", AM605 &lt;= 7, "Settled[4-7]", AM605 &lt;= 12, "Experienced[[8-12]", AM605 &lt;= 18, "Long Tenured[13-18]")</f>
        <v>New to Role[1-3]</v>
      </c>
      <c r="AO605" s="1">
        <v>0</v>
      </c>
      <c r="AP605" s="9" t="str" cm="1">
        <f t="array" ref="AP605">_xlfn.IFS(AO605 &lt;= 3, "Recently[1-3]", AO605 &lt;= 6, "Due Soon[4-6]", AO605 &lt;= 10, "Overdue[7-10]", AO605 &lt;= 15, "Long Overdue[11-15]")</f>
        <v>Recently[1-3]</v>
      </c>
      <c r="AQ605" s="9" t="str" cm="1">
        <f t="array" ref="AQ605">_xlfn.IFS(AR605 &lt;= 3, "New Relationship[1-3]", AR605 &lt;= 7, "Established Relationship[4-7]", AR605 &lt;= 12, "Long Term Relationship[8-12]", AR605 &lt;= 17, "Very Long Term Relationship[13-17]")</f>
        <v>New Relationship[1-3]</v>
      </c>
      <c r="AR605" s="1">
        <v>0</v>
      </c>
    </row>
    <row r="606" spans="1:44" x14ac:dyDescent="0.25">
      <c r="A606" s="1">
        <v>42</v>
      </c>
      <c r="B606" s="8" t="str" cm="1">
        <f t="array" ref="B606">_xlfn.IFS(A606 &lt;= 25, "[18-25]", A606 &lt;= 35, "[26-35]", A606 &lt;=45, "[36-45]", A606 &lt;= 60, "[46- 60]")</f>
        <v>[36-45]</v>
      </c>
      <c r="C606" s="3" t="s">
        <v>43</v>
      </c>
      <c r="D606">
        <f t="shared" si="9"/>
        <v>0</v>
      </c>
      <c r="E606" t="s">
        <v>36</v>
      </c>
      <c r="F606" s="1">
        <v>933</v>
      </c>
      <c r="G606" s="3" t="s">
        <v>45</v>
      </c>
      <c r="H606" s="1">
        <v>29</v>
      </c>
      <c r="I606" s="9" t="str" cm="1">
        <f t="array" ref="I606">_xlfn.IFS(H606 &lt;= 2, "[1-2] very close", H606 &lt;= 10, "[3-10] close", H606 &lt;= 20, "[11-20] moderate", H606 &lt;= 30, "[21-30] far")</f>
        <v>[21-30] far</v>
      </c>
      <c r="J606" s="1">
        <v>3</v>
      </c>
      <c r="K606" s="3" t="s">
        <v>38</v>
      </c>
      <c r="L606" s="1">
        <v>1</v>
      </c>
      <c r="M606" s="1">
        <v>836</v>
      </c>
      <c r="N606" s="1">
        <v>2</v>
      </c>
      <c r="O606" s="3" t="s">
        <v>46</v>
      </c>
      <c r="P606" s="1">
        <v>98</v>
      </c>
      <c r="Q606" s="1">
        <v>3</v>
      </c>
      <c r="R606" s="1">
        <v>2</v>
      </c>
      <c r="S606" s="3" t="s">
        <v>53</v>
      </c>
      <c r="T606" s="1">
        <v>2</v>
      </c>
      <c r="U606" s="3" t="s">
        <v>48</v>
      </c>
      <c r="V606" s="4">
        <v>4434</v>
      </c>
      <c r="W606" s="1">
        <v>11806</v>
      </c>
      <c r="X606" s="1">
        <v>1</v>
      </c>
      <c r="Y606" s="3" t="s">
        <v>42</v>
      </c>
      <c r="Z606" s="3" t="s">
        <v>43</v>
      </c>
      <c r="AA606" s="5">
        <v>0.13</v>
      </c>
      <c r="AB606" s="10" t="str" cm="1">
        <f t="array" ref="AB606">_xlfn.IFS(AA606 &lt;= 15%, "Low Hike[11-15%]", AA606 &lt;= 20%, "Moderate Hike[16-20%]", AA606 &lt;= 25%,"High Hike[21-25%]")</f>
        <v>Low Hike[11-15%]</v>
      </c>
      <c r="AC606" s="1">
        <v>3</v>
      </c>
      <c r="AD606" s="1">
        <v>4</v>
      </c>
      <c r="AE606" s="1">
        <v>80</v>
      </c>
      <c r="AF606" s="1">
        <v>1</v>
      </c>
      <c r="AG606" s="1">
        <v>10</v>
      </c>
      <c r="AH606" s="9" t="str" cm="1">
        <f t="array" ref="AH606">_xlfn.IFS(AG606 &lt;= 5, "New[1-5]", AG606 &lt;= 10, "Early Career[6-10]", AG606 &lt;= 20, "Established[11-20]", AG606 &lt;= 30, "Veteran[21-30]", AG606 &lt;= 40, "Late Career[31-40]")</f>
        <v>Early Career[6-10]</v>
      </c>
      <c r="AI606" s="1">
        <v>3</v>
      </c>
      <c r="AJ606" s="1">
        <v>2</v>
      </c>
      <c r="AK606" s="1">
        <v>9</v>
      </c>
      <c r="AL606" s="9" t="str" cm="1">
        <f t="array" ref="AL606">_xlfn.IFS(AK606 &lt;= 5, "New[1-5]", AK606 &lt;= 10, "Early Career[6-10]", AK606 &lt;= 20, "Established[11-20]", AK606 &lt;= 30, "Veteran[21-30]", AK606 &lt;= 40, "Late Career[31-40]")</f>
        <v>Early Career[6-10]</v>
      </c>
      <c r="AM606" s="1">
        <v>8</v>
      </c>
      <c r="AN606" s="9" t="str" cm="1">
        <f t="array" ref="AN606">_xlfn.IFS(AM606 &lt;= 3, "New to Role[1-3]", AM606 &lt;= 7, "Settled[4-7]", AM606 &lt;= 12, "Experienced[[8-12]", AM606 &lt;= 18, "Long Tenured[13-18]")</f>
        <v>Experienced[[8-12]</v>
      </c>
      <c r="AO606" s="1">
        <v>7</v>
      </c>
      <c r="AP606" s="9" t="str" cm="1">
        <f t="array" ref="AP606">_xlfn.IFS(AO606 &lt;= 3, "Recently[1-3]", AO606 &lt;= 6, "Due Soon[4-6]", AO606 &lt;= 10, "Overdue[7-10]", AO606 &lt;= 15, "Long Overdue[11-15]")</f>
        <v>Overdue[7-10]</v>
      </c>
      <c r="AQ606" s="9" t="str" cm="1">
        <f t="array" ref="AQ606">_xlfn.IFS(AR606 &lt;= 3, "New Relationship[1-3]", AR606 &lt;= 7, "Established Relationship[4-7]", AR606 &lt;= 12, "Long Term Relationship[8-12]", AR606 &lt;= 17, "Very Long Term Relationship[13-17]")</f>
        <v>Long Term Relationship[8-12]</v>
      </c>
      <c r="AR606" s="1">
        <v>8</v>
      </c>
    </row>
    <row r="607" spans="1:44" x14ac:dyDescent="0.25">
      <c r="A607" s="1">
        <v>38</v>
      </c>
      <c r="B607" s="8" t="str" cm="1">
        <f t="array" ref="B607">_xlfn.IFS(A607 &lt;= 25, "[18-25]", A607 &lt;= 35, "[26-35]", A607 &lt;=45, "[36-45]", A607 &lt;= 60, "[46- 60]")</f>
        <v>[36-45]</v>
      </c>
      <c r="C607" s="3" t="s">
        <v>43</v>
      </c>
      <c r="D607">
        <f t="shared" si="9"/>
        <v>0</v>
      </c>
      <c r="E607" t="s">
        <v>44</v>
      </c>
      <c r="F607" s="1">
        <v>471</v>
      </c>
      <c r="G607" s="3" t="s">
        <v>45</v>
      </c>
      <c r="H607" s="1">
        <v>12</v>
      </c>
      <c r="I607" s="9" t="str" cm="1">
        <f t="array" ref="I607">_xlfn.IFS(H607 &lt;= 2, "[1-2] very close", H607 &lt;= 10, "[3-10] close", H607 &lt;= 20, "[11-20] moderate", H607 &lt;= 30, "[21-30] far")</f>
        <v>[11-20] moderate</v>
      </c>
      <c r="J607" s="1">
        <v>3</v>
      </c>
      <c r="K607" s="3" t="s">
        <v>38</v>
      </c>
      <c r="L607" s="1">
        <v>1</v>
      </c>
      <c r="M607" s="1">
        <v>837</v>
      </c>
      <c r="N607" s="1">
        <v>1</v>
      </c>
      <c r="O607" s="3" t="s">
        <v>46</v>
      </c>
      <c r="P607" s="1">
        <v>45</v>
      </c>
      <c r="Q607" s="1">
        <v>2</v>
      </c>
      <c r="R607" s="1">
        <v>2</v>
      </c>
      <c r="S607" s="3" t="s">
        <v>54</v>
      </c>
      <c r="T607" s="1">
        <v>1</v>
      </c>
      <c r="U607" s="3" t="s">
        <v>52</v>
      </c>
      <c r="V607" s="4">
        <v>6288</v>
      </c>
      <c r="W607" s="1">
        <v>4284</v>
      </c>
      <c r="X607" s="1">
        <v>2</v>
      </c>
      <c r="Y607" s="3" t="s">
        <v>42</v>
      </c>
      <c r="Z607" s="3" t="s">
        <v>43</v>
      </c>
      <c r="AA607" s="5">
        <v>0.15</v>
      </c>
      <c r="AB607" s="10" t="str" cm="1">
        <f t="array" ref="AB607">_xlfn.IFS(AA607 &lt;= 15%, "Low Hike[11-15%]", AA607 &lt;= 20%, "Moderate Hike[16-20%]", AA607 &lt;= 25%,"High Hike[21-25%]")</f>
        <v>Low Hike[11-15%]</v>
      </c>
      <c r="AC607" s="1">
        <v>3</v>
      </c>
      <c r="AD607" s="1">
        <v>3</v>
      </c>
      <c r="AE607" s="1">
        <v>80</v>
      </c>
      <c r="AF607" s="1">
        <v>1</v>
      </c>
      <c r="AG607" s="1">
        <v>13</v>
      </c>
      <c r="AH607" s="9" t="str" cm="1">
        <f t="array" ref="AH607">_xlfn.IFS(AG607 &lt;= 5, "New[1-5]", AG607 &lt;= 10, "Early Career[6-10]", AG607 &lt;= 20, "Established[11-20]", AG607 &lt;= 30, "Veteran[21-30]", AG607 &lt;= 40, "Late Career[31-40]")</f>
        <v>Established[11-20]</v>
      </c>
      <c r="AI607" s="1">
        <v>3</v>
      </c>
      <c r="AJ607" s="1">
        <v>2</v>
      </c>
      <c r="AK607" s="1">
        <v>4</v>
      </c>
      <c r="AL607" s="9" t="str" cm="1">
        <f t="array" ref="AL607">_xlfn.IFS(AK607 &lt;= 5, "New[1-5]", AK607 &lt;= 10, "Early Career[6-10]", AK607 &lt;= 20, "Established[11-20]", AK607 &lt;= 30, "Veteran[21-30]", AK607 &lt;= 40, "Late Career[31-40]")</f>
        <v>New[1-5]</v>
      </c>
      <c r="AM607" s="1">
        <v>3</v>
      </c>
      <c r="AN607" s="9" t="str" cm="1">
        <f t="array" ref="AN607">_xlfn.IFS(AM607 &lt;= 3, "New to Role[1-3]", AM607 &lt;= 7, "Settled[4-7]", AM607 &lt;= 12, "Experienced[[8-12]", AM607 &lt;= 18, "Long Tenured[13-18]")</f>
        <v>New to Role[1-3]</v>
      </c>
      <c r="AO607" s="1">
        <v>1</v>
      </c>
      <c r="AP607" s="9" t="str" cm="1">
        <f t="array" ref="AP607">_xlfn.IFS(AO607 &lt;= 3, "Recently[1-3]", AO607 &lt;= 6, "Due Soon[4-6]", AO607 &lt;= 10, "Overdue[7-10]", AO607 &lt;= 15, "Long Overdue[11-15]")</f>
        <v>Recently[1-3]</v>
      </c>
      <c r="AQ607" s="9" t="str" cm="1">
        <f t="array" ref="AQ607">_xlfn.IFS(AR607 &lt;= 3, "New Relationship[1-3]", AR607 &lt;= 7, "Established Relationship[4-7]", AR607 &lt;= 12, "Long Term Relationship[8-12]", AR607 &lt;= 17, "Very Long Term Relationship[13-17]")</f>
        <v>New Relationship[1-3]</v>
      </c>
      <c r="AR607" s="1">
        <v>2</v>
      </c>
    </row>
    <row r="608" spans="1:44" x14ac:dyDescent="0.25">
      <c r="A608" s="1">
        <v>34</v>
      </c>
      <c r="B608" s="8" t="str" cm="1">
        <f t="array" ref="B608">_xlfn.IFS(A608 &lt;= 25, "[18-25]", A608 &lt;= 35, "[26-35]", A608 &lt;=45, "[36-45]", A608 &lt;= 60, "[46- 60]")</f>
        <v>[26-35]</v>
      </c>
      <c r="C608" s="3" t="s">
        <v>43</v>
      </c>
      <c r="D608">
        <f t="shared" si="9"/>
        <v>0</v>
      </c>
      <c r="E608" t="s">
        <v>44</v>
      </c>
      <c r="F608" s="1">
        <v>702</v>
      </c>
      <c r="G608" s="3" t="s">
        <v>45</v>
      </c>
      <c r="H608" s="1">
        <v>16</v>
      </c>
      <c r="I608" s="9" t="str" cm="1">
        <f t="array" ref="I608">_xlfn.IFS(H608 &lt;= 2, "[1-2] very close", H608 &lt;= 10, "[3-10] close", H608 &lt;= 20, "[11-20] moderate", H608 &lt;= 30, "[21-30] far")</f>
        <v>[11-20] moderate</v>
      </c>
      <c r="J608" s="1">
        <v>4</v>
      </c>
      <c r="K608" s="3" t="s">
        <v>38</v>
      </c>
      <c r="L608" s="1">
        <v>1</v>
      </c>
      <c r="M608" s="1">
        <v>838</v>
      </c>
      <c r="N608" s="1">
        <v>3</v>
      </c>
      <c r="O608" s="3" t="s">
        <v>39</v>
      </c>
      <c r="P608" s="1">
        <v>100</v>
      </c>
      <c r="Q608" s="1">
        <v>2</v>
      </c>
      <c r="R608" s="1">
        <v>1</v>
      </c>
      <c r="S608" s="3" t="s">
        <v>47</v>
      </c>
      <c r="T608" s="1">
        <v>4</v>
      </c>
      <c r="U608" s="3" t="s">
        <v>41</v>
      </c>
      <c r="V608" s="4">
        <v>2553</v>
      </c>
      <c r="W608" s="1">
        <v>8306</v>
      </c>
      <c r="X608" s="1">
        <v>1</v>
      </c>
      <c r="Y608" s="3" t="s">
        <v>42</v>
      </c>
      <c r="Z608" s="3" t="s">
        <v>43</v>
      </c>
      <c r="AA608" s="5">
        <v>0.16</v>
      </c>
      <c r="AB608" s="10" t="str" cm="1">
        <f t="array" ref="AB608">_xlfn.IFS(AA608 &lt;= 15%, "Low Hike[11-15%]", AA608 &lt;= 20%, "Moderate Hike[16-20%]", AA608 &lt;= 25%,"High Hike[21-25%]")</f>
        <v>Moderate Hike[16-20%]</v>
      </c>
      <c r="AC608" s="1">
        <v>3</v>
      </c>
      <c r="AD608" s="1">
        <v>3</v>
      </c>
      <c r="AE608" s="1">
        <v>80</v>
      </c>
      <c r="AF608" s="1">
        <v>0</v>
      </c>
      <c r="AG608" s="1">
        <v>6</v>
      </c>
      <c r="AH608" s="9" t="str" cm="1">
        <f t="array" ref="AH608">_xlfn.IFS(AG608 &lt;= 5, "New[1-5]", AG608 &lt;= 10, "Early Career[6-10]", AG608 &lt;= 20, "Established[11-20]", AG608 &lt;= 30, "Veteran[21-30]", AG608 &lt;= 40, "Late Career[31-40]")</f>
        <v>Early Career[6-10]</v>
      </c>
      <c r="AI608" s="1">
        <v>3</v>
      </c>
      <c r="AJ608" s="1">
        <v>3</v>
      </c>
      <c r="AK608" s="1">
        <v>5</v>
      </c>
      <c r="AL608" s="9" t="str" cm="1">
        <f t="array" ref="AL608">_xlfn.IFS(AK608 &lt;= 5, "New[1-5]", AK608 &lt;= 10, "Early Career[6-10]", AK608 &lt;= 20, "Established[11-20]", AK608 &lt;= 30, "Veteran[21-30]", AK608 &lt;= 40, "Late Career[31-40]")</f>
        <v>New[1-5]</v>
      </c>
      <c r="AM608" s="1">
        <v>2</v>
      </c>
      <c r="AN608" s="9" t="str" cm="1">
        <f t="array" ref="AN608">_xlfn.IFS(AM608 &lt;= 3, "New to Role[1-3]", AM608 &lt;= 7, "Settled[4-7]", AM608 &lt;= 12, "Experienced[[8-12]", AM608 &lt;= 18, "Long Tenured[13-18]")</f>
        <v>New to Role[1-3]</v>
      </c>
      <c r="AO608" s="1">
        <v>1</v>
      </c>
      <c r="AP608" s="9" t="str" cm="1">
        <f t="array" ref="AP608">_xlfn.IFS(AO608 &lt;= 3, "Recently[1-3]", AO608 &lt;= 6, "Due Soon[4-6]", AO608 &lt;= 10, "Overdue[7-10]", AO608 &lt;= 15, "Long Overdue[11-15]")</f>
        <v>Recently[1-3]</v>
      </c>
      <c r="AQ608" s="9" t="str" cm="1">
        <f t="array" ref="AQ608">_xlfn.IFS(AR608 &lt;= 3, "New Relationship[1-3]", AR608 &lt;= 7, "Established Relationship[4-7]", AR608 &lt;= 12, "Long Term Relationship[8-12]", AR608 &lt;= 17, "Very Long Term Relationship[13-17]")</f>
        <v>New Relationship[1-3]</v>
      </c>
      <c r="AR608" s="1">
        <v>3</v>
      </c>
    </row>
    <row r="609" spans="1:44" x14ac:dyDescent="0.25">
      <c r="A609" s="1">
        <v>49</v>
      </c>
      <c r="B609" s="8" t="str" cm="1">
        <f t="array" ref="B609">_xlfn.IFS(A609 &lt;= 25, "[18-25]", A609 &lt;= 35, "[26-35]", A609 &lt;=45, "[36-45]", A609 &lt;= 60, "[46- 60]")</f>
        <v>[46- 60]</v>
      </c>
      <c r="C609" s="3" t="s">
        <v>35</v>
      </c>
      <c r="D609">
        <f t="shared" si="9"/>
        <v>1</v>
      </c>
      <c r="E609" t="s">
        <v>36</v>
      </c>
      <c r="F609" s="1">
        <v>1184</v>
      </c>
      <c r="G609" s="3" t="s">
        <v>37</v>
      </c>
      <c r="H609" s="1">
        <v>11</v>
      </c>
      <c r="I609" s="9" t="str" cm="1">
        <f t="array" ref="I609">_xlfn.IFS(H609 &lt;= 2, "[1-2] very close", H609 &lt;= 10, "[3-10] close", H609 &lt;= 20, "[11-20] moderate", H609 &lt;= 30, "[21-30] far")</f>
        <v>[11-20] moderate</v>
      </c>
      <c r="J609" s="1">
        <v>3</v>
      </c>
      <c r="K609" s="3" t="s">
        <v>59</v>
      </c>
      <c r="L609" s="1">
        <v>1</v>
      </c>
      <c r="M609" s="1">
        <v>840</v>
      </c>
      <c r="N609" s="1">
        <v>3</v>
      </c>
      <c r="O609" s="3" t="s">
        <v>39</v>
      </c>
      <c r="P609" s="1">
        <v>43</v>
      </c>
      <c r="Q609" s="1">
        <v>3</v>
      </c>
      <c r="R609" s="1">
        <v>3</v>
      </c>
      <c r="S609" s="3" t="s">
        <v>40</v>
      </c>
      <c r="T609" s="1">
        <v>4</v>
      </c>
      <c r="U609" s="3" t="s">
        <v>48</v>
      </c>
      <c r="V609" s="4">
        <v>7654</v>
      </c>
      <c r="W609" s="1">
        <v>5860</v>
      </c>
      <c r="X609" s="1">
        <v>1</v>
      </c>
      <c r="Y609" s="3" t="s">
        <v>42</v>
      </c>
      <c r="Z609" s="3" t="s">
        <v>43</v>
      </c>
      <c r="AA609" s="5">
        <v>0.18</v>
      </c>
      <c r="AB609" s="10" t="str" cm="1">
        <f t="array" ref="AB609">_xlfn.IFS(AA609 &lt;= 15%, "Low Hike[11-15%]", AA609 &lt;= 20%, "Moderate Hike[16-20%]", AA609 &lt;= 25%,"High Hike[21-25%]")</f>
        <v>Moderate Hike[16-20%]</v>
      </c>
      <c r="AC609" s="1">
        <v>3</v>
      </c>
      <c r="AD609" s="1">
        <v>1</v>
      </c>
      <c r="AE609" s="1">
        <v>80</v>
      </c>
      <c r="AF609" s="1">
        <v>2</v>
      </c>
      <c r="AG609" s="1">
        <v>9</v>
      </c>
      <c r="AH609" s="9" t="str" cm="1">
        <f t="array" ref="AH609">_xlfn.IFS(AG609 &lt;= 5, "New[1-5]", AG609 &lt;= 10, "Early Career[6-10]", AG609 &lt;= 20, "Established[11-20]", AG609 &lt;= 30, "Veteran[21-30]", AG609 &lt;= 40, "Late Career[31-40]")</f>
        <v>Early Career[6-10]</v>
      </c>
      <c r="AI609" s="1">
        <v>3</v>
      </c>
      <c r="AJ609" s="1">
        <v>4</v>
      </c>
      <c r="AK609" s="1">
        <v>9</v>
      </c>
      <c r="AL609" s="9" t="str" cm="1">
        <f t="array" ref="AL609">_xlfn.IFS(AK609 &lt;= 5, "New[1-5]", AK609 &lt;= 10, "Early Career[6-10]", AK609 &lt;= 20, "Established[11-20]", AK609 &lt;= 30, "Veteran[21-30]", AK609 &lt;= 40, "Late Career[31-40]")</f>
        <v>Early Career[6-10]</v>
      </c>
      <c r="AM609" s="1">
        <v>8</v>
      </c>
      <c r="AN609" s="9" t="str" cm="1">
        <f t="array" ref="AN609">_xlfn.IFS(AM609 &lt;= 3, "New to Role[1-3]", AM609 &lt;= 7, "Settled[4-7]", AM609 &lt;= 12, "Experienced[[8-12]", AM609 &lt;= 18, "Long Tenured[13-18]")</f>
        <v>Experienced[[8-12]</v>
      </c>
      <c r="AO609" s="1">
        <v>7</v>
      </c>
      <c r="AP609" s="9" t="str" cm="1">
        <f t="array" ref="AP609">_xlfn.IFS(AO609 &lt;= 3, "Recently[1-3]", AO609 &lt;= 6, "Due Soon[4-6]", AO609 &lt;= 10, "Overdue[7-10]", AO609 &lt;= 15, "Long Overdue[11-15]")</f>
        <v>Overdue[7-10]</v>
      </c>
      <c r="AQ609" s="9" t="str" cm="1">
        <f t="array" ref="AQ609">_xlfn.IFS(AR609 &lt;= 3, "New Relationship[1-3]", AR609 &lt;= 7, "Established Relationship[4-7]", AR609 &lt;= 12, "Long Term Relationship[8-12]", AR609 &lt;= 17, "Very Long Term Relationship[13-17]")</f>
        <v>Established Relationship[4-7]</v>
      </c>
      <c r="AR609" s="1">
        <v>7</v>
      </c>
    </row>
    <row r="610" spans="1:44" x14ac:dyDescent="0.25">
      <c r="A610" s="1">
        <v>55</v>
      </c>
      <c r="B610" s="8" t="str" cm="1">
        <f t="array" ref="B610">_xlfn.IFS(A610 &lt;= 25, "[18-25]", A610 &lt;= 35, "[26-35]", A610 &lt;=45, "[36-45]", A610 &lt;= 60, "[46- 60]")</f>
        <v>[46- 60]</v>
      </c>
      <c r="C610" s="3" t="s">
        <v>35</v>
      </c>
      <c r="D610">
        <f t="shared" si="9"/>
        <v>1</v>
      </c>
      <c r="E610" t="s">
        <v>36</v>
      </c>
      <c r="F610" s="1">
        <v>436</v>
      </c>
      <c r="G610" s="3" t="s">
        <v>37</v>
      </c>
      <c r="H610" s="1">
        <v>2</v>
      </c>
      <c r="I610" s="9" t="str" cm="1">
        <f t="array" ref="I610">_xlfn.IFS(H610 &lt;= 2, "[1-2] very close", H610 &lt;= 10, "[3-10] close", H610 &lt;= 20, "[11-20] moderate", H610 &lt;= 30, "[21-30] far")</f>
        <v>[1-2] very close</v>
      </c>
      <c r="J610" s="1">
        <v>1</v>
      </c>
      <c r="K610" s="3" t="s">
        <v>51</v>
      </c>
      <c r="L610" s="1">
        <v>1</v>
      </c>
      <c r="M610" s="1">
        <v>842</v>
      </c>
      <c r="N610" s="1">
        <v>3</v>
      </c>
      <c r="O610" s="3" t="s">
        <v>46</v>
      </c>
      <c r="P610" s="1">
        <v>37</v>
      </c>
      <c r="Q610" s="1">
        <v>3</v>
      </c>
      <c r="R610" s="1">
        <v>2</v>
      </c>
      <c r="S610" s="3" t="s">
        <v>40</v>
      </c>
      <c r="T610" s="1">
        <v>4</v>
      </c>
      <c r="U610" s="3" t="s">
        <v>41</v>
      </c>
      <c r="V610" s="4">
        <v>5160</v>
      </c>
      <c r="W610" s="1">
        <v>21519</v>
      </c>
      <c r="X610" s="1">
        <v>4</v>
      </c>
      <c r="Y610" s="3" t="s">
        <v>42</v>
      </c>
      <c r="Z610" s="3" t="s">
        <v>43</v>
      </c>
      <c r="AA610" s="5">
        <v>0.16</v>
      </c>
      <c r="AB610" s="10" t="str" cm="1">
        <f t="array" ref="AB610">_xlfn.IFS(AA610 &lt;= 15%, "Low Hike[11-15%]", AA610 &lt;= 20%, "Moderate Hike[16-20%]", AA610 &lt;= 25%,"High Hike[21-25%]")</f>
        <v>Moderate Hike[16-20%]</v>
      </c>
      <c r="AC610" s="1">
        <v>3</v>
      </c>
      <c r="AD610" s="1">
        <v>3</v>
      </c>
      <c r="AE610" s="1">
        <v>80</v>
      </c>
      <c r="AF610" s="1">
        <v>0</v>
      </c>
      <c r="AG610" s="1">
        <v>12</v>
      </c>
      <c r="AH610" s="9" t="str" cm="1">
        <f t="array" ref="AH610">_xlfn.IFS(AG610 &lt;= 5, "New[1-5]", AG610 &lt;= 10, "Early Career[6-10]", AG610 &lt;= 20, "Established[11-20]", AG610 &lt;= 30, "Veteran[21-30]", AG610 &lt;= 40, "Late Career[31-40]")</f>
        <v>Established[11-20]</v>
      </c>
      <c r="AI610" s="1">
        <v>3</v>
      </c>
      <c r="AJ610" s="1">
        <v>2</v>
      </c>
      <c r="AK610" s="1">
        <v>9</v>
      </c>
      <c r="AL610" s="9" t="str" cm="1">
        <f t="array" ref="AL610">_xlfn.IFS(AK610 &lt;= 5, "New[1-5]", AK610 &lt;= 10, "Early Career[6-10]", AK610 &lt;= 20, "Established[11-20]", AK610 &lt;= 30, "Veteran[21-30]", AK610 &lt;= 40, "Late Career[31-40]")</f>
        <v>Early Career[6-10]</v>
      </c>
      <c r="AM610" s="1">
        <v>7</v>
      </c>
      <c r="AN610" s="9" t="str" cm="1">
        <f t="array" ref="AN610">_xlfn.IFS(AM610 &lt;= 3, "New to Role[1-3]", AM610 &lt;= 7, "Settled[4-7]", AM610 &lt;= 12, "Experienced[[8-12]", AM610 &lt;= 18, "Long Tenured[13-18]")</f>
        <v>Settled[4-7]</v>
      </c>
      <c r="AO610" s="1">
        <v>7</v>
      </c>
      <c r="AP610" s="9" t="str" cm="1">
        <f t="array" ref="AP610">_xlfn.IFS(AO610 &lt;= 3, "Recently[1-3]", AO610 &lt;= 6, "Due Soon[4-6]", AO610 &lt;= 10, "Overdue[7-10]", AO610 &lt;= 15, "Long Overdue[11-15]")</f>
        <v>Overdue[7-10]</v>
      </c>
      <c r="AQ610" s="9" t="str" cm="1">
        <f t="array" ref="AQ610">_xlfn.IFS(AR610 &lt;= 3, "New Relationship[1-3]", AR610 &lt;= 7, "Established Relationship[4-7]", AR610 &lt;= 12, "Long Term Relationship[8-12]", AR610 &lt;= 17, "Very Long Term Relationship[13-17]")</f>
        <v>New Relationship[1-3]</v>
      </c>
      <c r="AR610" s="1">
        <v>3</v>
      </c>
    </row>
    <row r="611" spans="1:44" x14ac:dyDescent="0.25">
      <c r="A611" s="1">
        <v>43</v>
      </c>
      <c r="B611" s="8" t="str" cm="1">
        <f t="array" ref="B611">_xlfn.IFS(A611 &lt;= 25, "[18-25]", A611 &lt;= 35, "[26-35]", A611 &lt;=45, "[36-45]", A611 &lt;= 60, "[46- 60]")</f>
        <v>[36-45]</v>
      </c>
      <c r="C611" s="3" t="s">
        <v>43</v>
      </c>
      <c r="D611">
        <f t="shared" si="9"/>
        <v>0</v>
      </c>
      <c r="E611" t="s">
        <v>36</v>
      </c>
      <c r="F611" s="1">
        <v>589</v>
      </c>
      <c r="G611" s="3" t="s">
        <v>45</v>
      </c>
      <c r="H611" s="1">
        <v>14</v>
      </c>
      <c r="I611" s="9" t="str" cm="1">
        <f t="array" ref="I611">_xlfn.IFS(H611 &lt;= 2, "[1-2] very close", H611 &lt;= 10, "[3-10] close", H611 &lt;= 20, "[11-20] moderate", H611 &lt;= 30, "[21-30] far")</f>
        <v>[11-20] moderate</v>
      </c>
      <c r="J611" s="1">
        <v>2</v>
      </c>
      <c r="K611" s="3" t="s">
        <v>38</v>
      </c>
      <c r="L611" s="1">
        <v>1</v>
      </c>
      <c r="M611" s="1">
        <v>843</v>
      </c>
      <c r="N611" s="1">
        <v>2</v>
      </c>
      <c r="O611" s="3" t="s">
        <v>46</v>
      </c>
      <c r="P611" s="1">
        <v>94</v>
      </c>
      <c r="Q611" s="1">
        <v>3</v>
      </c>
      <c r="R611" s="1">
        <v>4</v>
      </c>
      <c r="S611" s="3" t="s">
        <v>58</v>
      </c>
      <c r="T611" s="1">
        <v>1</v>
      </c>
      <c r="U611" s="3" t="s">
        <v>48</v>
      </c>
      <c r="V611" s="4">
        <v>17159</v>
      </c>
      <c r="W611" s="1">
        <v>5200</v>
      </c>
      <c r="X611" s="1">
        <v>6</v>
      </c>
      <c r="Y611" s="3" t="s">
        <v>42</v>
      </c>
      <c r="Z611" s="3" t="s">
        <v>43</v>
      </c>
      <c r="AA611" s="5">
        <v>0.24</v>
      </c>
      <c r="AB611" s="10" t="str" cm="1">
        <f t="array" ref="AB611">_xlfn.IFS(AA611 &lt;= 15%, "Low Hike[11-15%]", AA611 &lt;= 20%, "Moderate Hike[16-20%]", AA611 &lt;= 25%,"High Hike[21-25%]")</f>
        <v>High Hike[21-25%]</v>
      </c>
      <c r="AC611" s="1">
        <v>4</v>
      </c>
      <c r="AD611" s="1">
        <v>3</v>
      </c>
      <c r="AE611" s="1">
        <v>80</v>
      </c>
      <c r="AF611" s="1">
        <v>1</v>
      </c>
      <c r="AG611" s="1">
        <v>22</v>
      </c>
      <c r="AH611" s="9" t="str" cm="1">
        <f t="array" ref="AH611">_xlfn.IFS(AG611 &lt;= 5, "New[1-5]", AG611 &lt;= 10, "Early Career[6-10]", AG611 &lt;= 20, "Established[11-20]", AG611 &lt;= 30, "Veteran[21-30]", AG611 &lt;= 40, "Late Career[31-40]")</f>
        <v>Veteran[21-30]</v>
      </c>
      <c r="AI611" s="1">
        <v>3</v>
      </c>
      <c r="AJ611" s="1">
        <v>3</v>
      </c>
      <c r="AK611" s="1">
        <v>4</v>
      </c>
      <c r="AL611" s="9" t="str" cm="1">
        <f t="array" ref="AL611">_xlfn.IFS(AK611 &lt;= 5, "New[1-5]", AK611 &lt;= 10, "Early Career[6-10]", AK611 &lt;= 20, "Established[11-20]", AK611 &lt;= 30, "Veteran[21-30]", AK611 &lt;= 40, "Late Career[31-40]")</f>
        <v>New[1-5]</v>
      </c>
      <c r="AM611" s="1">
        <v>1</v>
      </c>
      <c r="AN611" s="9" t="str" cm="1">
        <f t="array" ref="AN611">_xlfn.IFS(AM611 &lt;= 3, "New to Role[1-3]", AM611 &lt;= 7, "Settled[4-7]", AM611 &lt;= 12, "Experienced[[8-12]", AM611 &lt;= 18, "Long Tenured[13-18]")</f>
        <v>New to Role[1-3]</v>
      </c>
      <c r="AO611" s="1">
        <v>1</v>
      </c>
      <c r="AP611" s="9" t="str" cm="1">
        <f t="array" ref="AP611">_xlfn.IFS(AO611 &lt;= 3, "Recently[1-3]", AO611 &lt;= 6, "Due Soon[4-6]", AO611 &lt;= 10, "Overdue[7-10]", AO611 &lt;= 15, "Long Overdue[11-15]")</f>
        <v>Recently[1-3]</v>
      </c>
      <c r="AQ611" s="9" t="str" cm="1">
        <f t="array" ref="AQ611">_xlfn.IFS(AR611 &lt;= 3, "New Relationship[1-3]", AR611 &lt;= 7, "Established Relationship[4-7]", AR611 &lt;= 12, "Long Term Relationship[8-12]", AR611 &lt;= 17, "Very Long Term Relationship[13-17]")</f>
        <v>New Relationship[1-3]</v>
      </c>
      <c r="AR611" s="1">
        <v>0</v>
      </c>
    </row>
    <row r="612" spans="1:44" x14ac:dyDescent="0.25">
      <c r="A612" s="1">
        <v>27</v>
      </c>
      <c r="B612" s="8" t="str" cm="1">
        <f t="array" ref="B612">_xlfn.IFS(A612 &lt;= 25, "[18-25]", A612 &lt;= 35, "[26-35]", A612 &lt;=45, "[36-45]", A612 &lt;= 60, "[46- 60]")</f>
        <v>[26-35]</v>
      </c>
      <c r="C612" s="3" t="s">
        <v>43</v>
      </c>
      <c r="D612">
        <f t="shared" si="9"/>
        <v>0</v>
      </c>
      <c r="E612" t="s">
        <v>36</v>
      </c>
      <c r="F612" s="1">
        <v>269</v>
      </c>
      <c r="G612" s="3" t="s">
        <v>45</v>
      </c>
      <c r="H612" s="1">
        <v>5</v>
      </c>
      <c r="I612" s="9" t="str" cm="1">
        <f t="array" ref="I612">_xlfn.IFS(H612 &lt;= 2, "[1-2] very close", H612 &lt;= 10, "[3-10] close", H612 &lt;= 20, "[11-20] moderate", H612 &lt;= 30, "[21-30] far")</f>
        <v>[3-10] close</v>
      </c>
      <c r="J612" s="1">
        <v>1</v>
      </c>
      <c r="K612" s="3" t="s">
        <v>60</v>
      </c>
      <c r="L612" s="1">
        <v>1</v>
      </c>
      <c r="M612" s="1">
        <v>844</v>
      </c>
      <c r="N612" s="1">
        <v>3</v>
      </c>
      <c r="O612" s="3" t="s">
        <v>46</v>
      </c>
      <c r="P612" s="1">
        <v>42</v>
      </c>
      <c r="Q612" s="1">
        <v>2</v>
      </c>
      <c r="R612" s="1">
        <v>3</v>
      </c>
      <c r="S612" s="3" t="s">
        <v>58</v>
      </c>
      <c r="T612" s="1">
        <v>4</v>
      </c>
      <c r="U612" s="3" t="s">
        <v>52</v>
      </c>
      <c r="V612" s="4">
        <v>12808</v>
      </c>
      <c r="W612" s="1">
        <v>8842</v>
      </c>
      <c r="X612" s="1">
        <v>1</v>
      </c>
      <c r="Y612" s="3" t="s">
        <v>42</v>
      </c>
      <c r="Z612" s="3" t="s">
        <v>35</v>
      </c>
      <c r="AA612" s="5">
        <v>0.16</v>
      </c>
      <c r="AB612" s="10" t="str" cm="1">
        <f t="array" ref="AB612">_xlfn.IFS(AA612 &lt;= 15%, "Low Hike[11-15%]", AA612 &lt;= 20%, "Moderate Hike[16-20%]", AA612 &lt;= 25%,"High Hike[21-25%]")</f>
        <v>Moderate Hike[16-20%]</v>
      </c>
      <c r="AC612" s="1">
        <v>3</v>
      </c>
      <c r="AD612" s="1">
        <v>2</v>
      </c>
      <c r="AE612" s="1">
        <v>80</v>
      </c>
      <c r="AF612" s="1">
        <v>1</v>
      </c>
      <c r="AG612" s="1">
        <v>9</v>
      </c>
      <c r="AH612" s="9" t="str" cm="1">
        <f t="array" ref="AH612">_xlfn.IFS(AG612 &lt;= 5, "New[1-5]", AG612 &lt;= 10, "Early Career[6-10]", AG612 &lt;= 20, "Established[11-20]", AG612 &lt;= 30, "Veteran[21-30]", AG612 &lt;= 40, "Late Career[31-40]")</f>
        <v>Early Career[6-10]</v>
      </c>
      <c r="AI612" s="1">
        <v>3</v>
      </c>
      <c r="AJ612" s="1">
        <v>3</v>
      </c>
      <c r="AK612" s="1">
        <v>9</v>
      </c>
      <c r="AL612" s="9" t="str" cm="1">
        <f t="array" ref="AL612">_xlfn.IFS(AK612 &lt;= 5, "New[1-5]", AK612 &lt;= 10, "Early Career[6-10]", AK612 &lt;= 20, "Established[11-20]", AK612 &lt;= 30, "Veteran[21-30]", AK612 &lt;= 40, "Late Career[31-40]")</f>
        <v>Early Career[6-10]</v>
      </c>
      <c r="AM612" s="1">
        <v>8</v>
      </c>
      <c r="AN612" s="9" t="str" cm="1">
        <f t="array" ref="AN612">_xlfn.IFS(AM612 &lt;= 3, "New to Role[1-3]", AM612 &lt;= 7, "Settled[4-7]", AM612 &lt;= 12, "Experienced[[8-12]", AM612 &lt;= 18, "Long Tenured[13-18]")</f>
        <v>Experienced[[8-12]</v>
      </c>
      <c r="AO612" s="1">
        <v>0</v>
      </c>
      <c r="AP612" s="9" t="str" cm="1">
        <f t="array" ref="AP612">_xlfn.IFS(AO612 &lt;= 3, "Recently[1-3]", AO612 &lt;= 6, "Due Soon[4-6]", AO612 &lt;= 10, "Overdue[7-10]", AO612 &lt;= 15, "Long Overdue[11-15]")</f>
        <v>Recently[1-3]</v>
      </c>
      <c r="AQ612" s="9" t="str" cm="1">
        <f t="array" ref="AQ612">_xlfn.IFS(AR612 &lt;= 3, "New Relationship[1-3]", AR612 &lt;= 7, "Established Relationship[4-7]", AR612 &lt;= 12, "Long Term Relationship[8-12]", AR612 &lt;= 17, "Very Long Term Relationship[13-17]")</f>
        <v>Long Term Relationship[8-12]</v>
      </c>
      <c r="AR612" s="1">
        <v>8</v>
      </c>
    </row>
    <row r="613" spans="1:44" x14ac:dyDescent="0.25">
      <c r="A613" s="1">
        <v>35</v>
      </c>
      <c r="B613" s="8" t="str" cm="1">
        <f t="array" ref="B613">_xlfn.IFS(A613 &lt;= 25, "[18-25]", A613 &lt;= 35, "[26-35]", A613 &lt;=45, "[36-45]", A613 &lt;= 60, "[46- 60]")</f>
        <v>[26-35]</v>
      </c>
      <c r="C613" s="3" t="s">
        <v>43</v>
      </c>
      <c r="D613">
        <f t="shared" si="9"/>
        <v>0</v>
      </c>
      <c r="E613" t="s">
        <v>36</v>
      </c>
      <c r="F613" s="1">
        <v>950</v>
      </c>
      <c r="G613" s="3" t="s">
        <v>45</v>
      </c>
      <c r="H613" s="1">
        <v>7</v>
      </c>
      <c r="I613" s="9" t="str" cm="1">
        <f t="array" ref="I613">_xlfn.IFS(H613 &lt;= 2, "[1-2] very close", H613 &lt;= 10, "[3-10] close", H613 &lt;= 20, "[11-20] moderate", H613 &lt;= 30, "[21-30] far")</f>
        <v>[3-10] close</v>
      </c>
      <c r="J613" s="1">
        <v>3</v>
      </c>
      <c r="K613" s="3" t="s">
        <v>49</v>
      </c>
      <c r="L613" s="1">
        <v>1</v>
      </c>
      <c r="M613" s="1">
        <v>845</v>
      </c>
      <c r="N613" s="1">
        <v>3</v>
      </c>
      <c r="O613" s="3" t="s">
        <v>46</v>
      </c>
      <c r="P613" s="1">
        <v>59</v>
      </c>
      <c r="Q613" s="1">
        <v>3</v>
      </c>
      <c r="R613" s="1">
        <v>3</v>
      </c>
      <c r="S613" s="3" t="s">
        <v>53</v>
      </c>
      <c r="T613" s="1">
        <v>3</v>
      </c>
      <c r="U613" s="3" t="s">
        <v>41</v>
      </c>
      <c r="V613" s="4">
        <v>10221</v>
      </c>
      <c r="W613" s="1">
        <v>18869</v>
      </c>
      <c r="X613" s="1">
        <v>3</v>
      </c>
      <c r="Y613" s="3" t="s">
        <v>42</v>
      </c>
      <c r="Z613" s="3" t="s">
        <v>43</v>
      </c>
      <c r="AA613" s="5">
        <v>0.21</v>
      </c>
      <c r="AB613" s="10" t="str" cm="1">
        <f t="array" ref="AB613">_xlfn.IFS(AA613 &lt;= 15%, "Low Hike[11-15%]", AA613 &lt;= 20%, "Moderate Hike[16-20%]", AA613 &lt;= 25%,"High Hike[21-25%]")</f>
        <v>High Hike[21-25%]</v>
      </c>
      <c r="AC613" s="1">
        <v>4</v>
      </c>
      <c r="AD613" s="1">
        <v>2</v>
      </c>
      <c r="AE613" s="1">
        <v>80</v>
      </c>
      <c r="AF613" s="1">
        <v>0</v>
      </c>
      <c r="AG613" s="1">
        <v>17</v>
      </c>
      <c r="AH613" s="9" t="str" cm="1">
        <f t="array" ref="AH613">_xlfn.IFS(AG613 &lt;= 5, "New[1-5]", AG613 &lt;= 10, "Early Career[6-10]", AG613 &lt;= 20, "Established[11-20]", AG613 &lt;= 30, "Veteran[21-30]", AG613 &lt;= 40, "Late Career[31-40]")</f>
        <v>Established[11-20]</v>
      </c>
      <c r="AI613" s="1">
        <v>3</v>
      </c>
      <c r="AJ613" s="1">
        <v>4</v>
      </c>
      <c r="AK613" s="1">
        <v>8</v>
      </c>
      <c r="AL613" s="9" t="str" cm="1">
        <f t="array" ref="AL613">_xlfn.IFS(AK613 &lt;= 5, "New[1-5]", AK613 &lt;= 10, "Early Career[6-10]", AK613 &lt;= 20, "Established[11-20]", AK613 &lt;= 30, "Veteran[21-30]", AK613 &lt;= 40, "Late Career[31-40]")</f>
        <v>Early Career[6-10]</v>
      </c>
      <c r="AM613" s="1">
        <v>5</v>
      </c>
      <c r="AN613" s="9" t="str" cm="1">
        <f t="array" ref="AN613">_xlfn.IFS(AM613 &lt;= 3, "New to Role[1-3]", AM613 &lt;= 7, "Settled[4-7]", AM613 &lt;= 12, "Experienced[[8-12]", AM613 &lt;= 18, "Long Tenured[13-18]")</f>
        <v>Settled[4-7]</v>
      </c>
      <c r="AO613" s="1">
        <v>1</v>
      </c>
      <c r="AP613" s="9" t="str" cm="1">
        <f t="array" ref="AP613">_xlfn.IFS(AO613 &lt;= 3, "Recently[1-3]", AO613 &lt;= 6, "Due Soon[4-6]", AO613 &lt;= 10, "Overdue[7-10]", AO613 &lt;= 15, "Long Overdue[11-15]")</f>
        <v>Recently[1-3]</v>
      </c>
      <c r="AQ613" s="9" t="str" cm="1">
        <f t="array" ref="AQ613">_xlfn.IFS(AR613 &lt;= 3, "New Relationship[1-3]", AR613 &lt;= 7, "Established Relationship[4-7]", AR613 &lt;= 12, "Long Term Relationship[8-12]", AR613 &lt;= 17, "Very Long Term Relationship[13-17]")</f>
        <v>Established Relationship[4-7]</v>
      </c>
      <c r="AR613" s="1">
        <v>6</v>
      </c>
    </row>
    <row r="614" spans="1:44" x14ac:dyDescent="0.25">
      <c r="A614" s="1">
        <v>28</v>
      </c>
      <c r="B614" s="8" t="str" cm="1">
        <f t="array" ref="B614">_xlfn.IFS(A614 &lt;= 25, "[18-25]", A614 &lt;= 35, "[26-35]", A614 &lt;=45, "[36-45]", A614 &lt;= 60, "[46- 60]")</f>
        <v>[26-35]</v>
      </c>
      <c r="C614" s="3" t="s">
        <v>43</v>
      </c>
      <c r="D614">
        <f t="shared" si="9"/>
        <v>0</v>
      </c>
      <c r="E614" t="s">
        <v>36</v>
      </c>
      <c r="F614" s="1">
        <v>760</v>
      </c>
      <c r="G614" s="3" t="s">
        <v>37</v>
      </c>
      <c r="H614" s="1">
        <v>2</v>
      </c>
      <c r="I614" s="9" t="str" cm="1">
        <f t="array" ref="I614">_xlfn.IFS(H614 &lt;= 2, "[1-2] very close", H614 &lt;= 10, "[3-10] close", H614 &lt;= 20, "[11-20] moderate", H614 &lt;= 30, "[21-30] far")</f>
        <v>[1-2] very close</v>
      </c>
      <c r="J614" s="1">
        <v>4</v>
      </c>
      <c r="K614" s="3" t="s">
        <v>59</v>
      </c>
      <c r="L614" s="1">
        <v>1</v>
      </c>
      <c r="M614" s="1">
        <v>846</v>
      </c>
      <c r="N614" s="1">
        <v>2</v>
      </c>
      <c r="O614" s="3" t="s">
        <v>39</v>
      </c>
      <c r="P614" s="1">
        <v>81</v>
      </c>
      <c r="Q614" s="1">
        <v>3</v>
      </c>
      <c r="R614" s="1">
        <v>2</v>
      </c>
      <c r="S614" s="3" t="s">
        <v>40</v>
      </c>
      <c r="T614" s="1">
        <v>2</v>
      </c>
      <c r="U614" s="3" t="s">
        <v>48</v>
      </c>
      <c r="V614" s="4">
        <v>4779</v>
      </c>
      <c r="W614" s="1">
        <v>3698</v>
      </c>
      <c r="X614" s="1">
        <v>1</v>
      </c>
      <c r="Y614" s="3" t="s">
        <v>42</v>
      </c>
      <c r="Z614" s="3" t="s">
        <v>35</v>
      </c>
      <c r="AA614" s="5">
        <v>0.2</v>
      </c>
      <c r="AB614" s="10" t="str" cm="1">
        <f t="array" ref="AB614">_xlfn.IFS(AA614 &lt;= 15%, "Low Hike[11-15%]", AA614 &lt;= 20%, "Moderate Hike[16-20%]", AA614 &lt;= 25%,"High Hike[21-25%]")</f>
        <v>Moderate Hike[16-20%]</v>
      </c>
      <c r="AC614" s="1">
        <v>4</v>
      </c>
      <c r="AD614" s="1">
        <v>1</v>
      </c>
      <c r="AE614" s="1">
        <v>80</v>
      </c>
      <c r="AF614" s="1">
        <v>0</v>
      </c>
      <c r="AG614" s="1">
        <v>8</v>
      </c>
      <c r="AH614" s="9" t="str" cm="1">
        <f t="array" ref="AH614">_xlfn.IFS(AG614 &lt;= 5, "New[1-5]", AG614 &lt;= 10, "Early Career[6-10]", AG614 &lt;= 20, "Established[11-20]", AG614 &lt;= 30, "Veteran[21-30]", AG614 &lt;= 40, "Late Career[31-40]")</f>
        <v>Early Career[6-10]</v>
      </c>
      <c r="AI614" s="1">
        <v>2</v>
      </c>
      <c r="AJ614" s="1">
        <v>3</v>
      </c>
      <c r="AK614" s="1">
        <v>8</v>
      </c>
      <c r="AL614" s="9" t="str" cm="1">
        <f t="array" ref="AL614">_xlfn.IFS(AK614 &lt;= 5, "New[1-5]", AK614 &lt;= 10, "Early Career[6-10]", AK614 &lt;= 20, "Established[11-20]", AK614 &lt;= 30, "Veteran[21-30]", AK614 &lt;= 40, "Late Career[31-40]")</f>
        <v>Early Career[6-10]</v>
      </c>
      <c r="AM614" s="1">
        <v>7</v>
      </c>
      <c r="AN614" s="9" t="str" cm="1">
        <f t="array" ref="AN614">_xlfn.IFS(AM614 &lt;= 3, "New to Role[1-3]", AM614 &lt;= 7, "Settled[4-7]", AM614 &lt;= 12, "Experienced[[8-12]", AM614 &lt;= 18, "Long Tenured[13-18]")</f>
        <v>Settled[4-7]</v>
      </c>
      <c r="AO614" s="1">
        <v>7</v>
      </c>
      <c r="AP614" s="9" t="str" cm="1">
        <f t="array" ref="AP614">_xlfn.IFS(AO614 &lt;= 3, "Recently[1-3]", AO614 &lt;= 6, "Due Soon[4-6]", AO614 &lt;= 10, "Overdue[7-10]", AO614 &lt;= 15, "Long Overdue[11-15]")</f>
        <v>Overdue[7-10]</v>
      </c>
      <c r="AQ614" s="9" t="str" cm="1">
        <f t="array" ref="AQ614">_xlfn.IFS(AR614 &lt;= 3, "New Relationship[1-3]", AR614 &lt;= 7, "Established Relationship[4-7]", AR614 &lt;= 12, "Long Term Relationship[8-12]", AR614 &lt;= 17, "Very Long Term Relationship[13-17]")</f>
        <v>Established Relationship[4-7]</v>
      </c>
      <c r="AR614" s="1">
        <v>5</v>
      </c>
    </row>
    <row r="615" spans="1:44" x14ac:dyDescent="0.25">
      <c r="A615" s="1">
        <v>34</v>
      </c>
      <c r="B615" s="8" t="str" cm="1">
        <f t="array" ref="B615">_xlfn.IFS(A615 &lt;= 25, "[18-25]", A615 &lt;= 35, "[26-35]", A615 &lt;=45, "[36-45]", A615 &lt;= 60, "[46- 60]")</f>
        <v>[26-35]</v>
      </c>
      <c r="C615" s="3" t="s">
        <v>43</v>
      </c>
      <c r="D615">
        <f t="shared" si="9"/>
        <v>0</v>
      </c>
      <c r="E615" t="s">
        <v>36</v>
      </c>
      <c r="F615" s="1">
        <v>829</v>
      </c>
      <c r="G615" s="3" t="s">
        <v>61</v>
      </c>
      <c r="H615" s="1">
        <v>3</v>
      </c>
      <c r="I615" s="9" t="str" cm="1">
        <f t="array" ref="I615">_xlfn.IFS(H615 &lt;= 2, "[1-2] very close", H615 &lt;= 10, "[3-10] close", H615 &lt;= 20, "[11-20] moderate", H615 &lt;= 30, "[21-30] far")</f>
        <v>[3-10] close</v>
      </c>
      <c r="J615" s="1">
        <v>2</v>
      </c>
      <c r="K615" s="3" t="s">
        <v>61</v>
      </c>
      <c r="L615" s="1">
        <v>1</v>
      </c>
      <c r="M615" s="1">
        <v>847</v>
      </c>
      <c r="N615" s="1">
        <v>3</v>
      </c>
      <c r="O615" s="3" t="s">
        <v>46</v>
      </c>
      <c r="P615" s="1">
        <v>88</v>
      </c>
      <c r="Q615" s="1">
        <v>3</v>
      </c>
      <c r="R615" s="1">
        <v>1</v>
      </c>
      <c r="S615" s="3" t="s">
        <v>61</v>
      </c>
      <c r="T615" s="1">
        <v>4</v>
      </c>
      <c r="U615" s="3" t="s">
        <v>48</v>
      </c>
      <c r="V615" s="4">
        <v>3737</v>
      </c>
      <c r="W615" s="1">
        <v>2243</v>
      </c>
      <c r="X615" s="1">
        <v>0</v>
      </c>
      <c r="Y615" s="3" t="s">
        <v>42</v>
      </c>
      <c r="Z615" s="3" t="s">
        <v>43</v>
      </c>
      <c r="AA615" s="5">
        <v>0.19</v>
      </c>
      <c r="AB615" s="10" t="str" cm="1">
        <f t="array" ref="AB615">_xlfn.IFS(AA615 &lt;= 15%, "Low Hike[11-15%]", AA615 &lt;= 20%, "Moderate Hike[16-20%]", AA615 &lt;= 25%,"High Hike[21-25%]")</f>
        <v>Moderate Hike[16-20%]</v>
      </c>
      <c r="AC615" s="1">
        <v>3</v>
      </c>
      <c r="AD615" s="1">
        <v>3</v>
      </c>
      <c r="AE615" s="1">
        <v>80</v>
      </c>
      <c r="AF615" s="1">
        <v>1</v>
      </c>
      <c r="AG615" s="1">
        <v>4</v>
      </c>
      <c r="AH615" s="9" t="str" cm="1">
        <f t="array" ref="AH615">_xlfn.IFS(AG615 &lt;= 5, "New[1-5]", AG615 &lt;= 10, "Early Career[6-10]", AG615 &lt;= 20, "Established[11-20]", AG615 &lt;= 30, "Veteran[21-30]", AG615 &lt;= 40, "Late Career[31-40]")</f>
        <v>New[1-5]</v>
      </c>
      <c r="AI615" s="1">
        <v>1</v>
      </c>
      <c r="AJ615" s="1">
        <v>1</v>
      </c>
      <c r="AK615" s="1">
        <v>3</v>
      </c>
      <c r="AL615" s="9" t="str" cm="1">
        <f t="array" ref="AL615">_xlfn.IFS(AK615 &lt;= 5, "New[1-5]", AK615 &lt;= 10, "Early Career[6-10]", AK615 &lt;= 20, "Established[11-20]", AK615 &lt;= 30, "Veteran[21-30]", AK615 &lt;= 40, "Late Career[31-40]")</f>
        <v>New[1-5]</v>
      </c>
      <c r="AM615" s="1">
        <v>2</v>
      </c>
      <c r="AN615" s="9" t="str" cm="1">
        <f t="array" ref="AN615">_xlfn.IFS(AM615 &lt;= 3, "New to Role[1-3]", AM615 &lt;= 7, "Settled[4-7]", AM615 &lt;= 12, "Experienced[[8-12]", AM615 &lt;= 18, "Long Tenured[13-18]")</f>
        <v>New to Role[1-3]</v>
      </c>
      <c r="AO615" s="1">
        <v>0</v>
      </c>
      <c r="AP615" s="9" t="str" cm="1">
        <f t="array" ref="AP615">_xlfn.IFS(AO615 &lt;= 3, "Recently[1-3]", AO615 &lt;= 6, "Due Soon[4-6]", AO615 &lt;= 10, "Overdue[7-10]", AO615 &lt;= 15, "Long Overdue[11-15]")</f>
        <v>Recently[1-3]</v>
      </c>
      <c r="AQ615" s="9" t="str" cm="1">
        <f t="array" ref="AQ615">_xlfn.IFS(AR615 &lt;= 3, "New Relationship[1-3]", AR615 &lt;= 7, "Established Relationship[4-7]", AR615 &lt;= 12, "Long Term Relationship[8-12]", AR615 &lt;= 17, "Very Long Term Relationship[13-17]")</f>
        <v>New Relationship[1-3]</v>
      </c>
      <c r="AR615" s="1">
        <v>2</v>
      </c>
    </row>
    <row r="616" spans="1:44" x14ac:dyDescent="0.25">
      <c r="A616" s="1">
        <v>26</v>
      </c>
      <c r="B616" s="8" t="str" cm="1">
        <f t="array" ref="B616">_xlfn.IFS(A616 &lt;= 25, "[18-25]", A616 &lt;= 35, "[26-35]", A616 &lt;=45, "[36-45]", A616 &lt;= 60, "[46- 60]")</f>
        <v>[26-35]</v>
      </c>
      <c r="C616" s="3" t="s">
        <v>35</v>
      </c>
      <c r="D616">
        <f t="shared" si="9"/>
        <v>1</v>
      </c>
      <c r="E616" t="s">
        <v>44</v>
      </c>
      <c r="F616" s="1">
        <v>887</v>
      </c>
      <c r="G616" s="3" t="s">
        <v>45</v>
      </c>
      <c r="H616" s="1">
        <v>5</v>
      </c>
      <c r="I616" s="9" t="str" cm="1">
        <f t="array" ref="I616">_xlfn.IFS(H616 &lt;= 2, "[1-2] very close", H616 &lt;= 10, "[3-10] close", H616 &lt;= 20, "[11-20] moderate", H616 &lt;= 30, "[21-30] far")</f>
        <v>[3-10] close</v>
      </c>
      <c r="J616" s="1">
        <v>2</v>
      </c>
      <c r="K616" s="3" t="s">
        <v>51</v>
      </c>
      <c r="L616" s="1">
        <v>1</v>
      </c>
      <c r="M616" s="1">
        <v>848</v>
      </c>
      <c r="N616" s="1">
        <v>3</v>
      </c>
      <c r="O616" s="3" t="s">
        <v>39</v>
      </c>
      <c r="P616" s="1">
        <v>88</v>
      </c>
      <c r="Q616" s="1">
        <v>2</v>
      </c>
      <c r="R616" s="1">
        <v>1</v>
      </c>
      <c r="S616" s="3" t="s">
        <v>47</v>
      </c>
      <c r="T616" s="1">
        <v>3</v>
      </c>
      <c r="U616" s="3" t="s">
        <v>48</v>
      </c>
      <c r="V616" s="4">
        <v>2366</v>
      </c>
      <c r="W616" s="1">
        <v>20898</v>
      </c>
      <c r="X616" s="1">
        <v>1</v>
      </c>
      <c r="Y616" s="3" t="s">
        <v>42</v>
      </c>
      <c r="Z616" s="3" t="s">
        <v>35</v>
      </c>
      <c r="AA616" s="5">
        <v>0.14000000000000001</v>
      </c>
      <c r="AB616" s="10" t="str" cm="1">
        <f t="array" ref="AB616">_xlfn.IFS(AA616 &lt;= 15%, "Low Hike[11-15%]", AA616 &lt;= 20%, "Moderate Hike[16-20%]", AA616 &lt;= 25%,"High Hike[21-25%]")</f>
        <v>Low Hike[11-15%]</v>
      </c>
      <c r="AC616" s="1">
        <v>3</v>
      </c>
      <c r="AD616" s="1">
        <v>1</v>
      </c>
      <c r="AE616" s="1">
        <v>80</v>
      </c>
      <c r="AF616" s="1">
        <v>1</v>
      </c>
      <c r="AG616" s="1">
        <v>8</v>
      </c>
      <c r="AH616" s="9" t="str" cm="1">
        <f t="array" ref="AH616">_xlfn.IFS(AG616 &lt;= 5, "New[1-5]", AG616 &lt;= 10, "Early Career[6-10]", AG616 &lt;= 20, "Established[11-20]", AG616 &lt;= 30, "Veteran[21-30]", AG616 &lt;= 40, "Late Career[31-40]")</f>
        <v>Early Career[6-10]</v>
      </c>
      <c r="AI616" s="1">
        <v>2</v>
      </c>
      <c r="AJ616" s="1">
        <v>3</v>
      </c>
      <c r="AK616" s="1">
        <v>8</v>
      </c>
      <c r="AL616" s="9" t="str" cm="1">
        <f t="array" ref="AL616">_xlfn.IFS(AK616 &lt;= 5, "New[1-5]", AK616 &lt;= 10, "Early Career[6-10]", AK616 &lt;= 20, "Established[11-20]", AK616 &lt;= 30, "Veteran[21-30]", AK616 &lt;= 40, "Late Career[31-40]")</f>
        <v>Early Career[6-10]</v>
      </c>
      <c r="AM616" s="1">
        <v>7</v>
      </c>
      <c r="AN616" s="9" t="str" cm="1">
        <f t="array" ref="AN616">_xlfn.IFS(AM616 &lt;= 3, "New to Role[1-3]", AM616 &lt;= 7, "Settled[4-7]", AM616 &lt;= 12, "Experienced[[8-12]", AM616 &lt;= 18, "Long Tenured[13-18]")</f>
        <v>Settled[4-7]</v>
      </c>
      <c r="AO616" s="1">
        <v>1</v>
      </c>
      <c r="AP616" s="9" t="str" cm="1">
        <f t="array" ref="AP616">_xlfn.IFS(AO616 &lt;= 3, "Recently[1-3]", AO616 &lt;= 6, "Due Soon[4-6]", AO616 &lt;= 10, "Overdue[7-10]", AO616 &lt;= 15, "Long Overdue[11-15]")</f>
        <v>Recently[1-3]</v>
      </c>
      <c r="AQ616" s="9" t="str" cm="1">
        <f t="array" ref="AQ616">_xlfn.IFS(AR616 &lt;= 3, "New Relationship[1-3]", AR616 &lt;= 7, "Established Relationship[4-7]", AR616 &lt;= 12, "Long Term Relationship[8-12]", AR616 &lt;= 17, "Very Long Term Relationship[13-17]")</f>
        <v>Established Relationship[4-7]</v>
      </c>
      <c r="AR616" s="1">
        <v>7</v>
      </c>
    </row>
    <row r="617" spans="1:44" x14ac:dyDescent="0.25">
      <c r="A617" s="1">
        <v>27</v>
      </c>
      <c r="B617" s="8" t="str" cm="1">
        <f t="array" ref="B617">_xlfn.IFS(A617 &lt;= 25, "[18-25]", A617 &lt;= 35, "[26-35]", A617 &lt;=45, "[36-45]", A617 &lt;= 60, "[46- 60]")</f>
        <v>[26-35]</v>
      </c>
      <c r="C617" s="3" t="s">
        <v>43</v>
      </c>
      <c r="D617">
        <f t="shared" si="9"/>
        <v>0</v>
      </c>
      <c r="E617" t="s">
        <v>62</v>
      </c>
      <c r="F617" s="1">
        <v>443</v>
      </c>
      <c r="G617" s="3" t="s">
        <v>45</v>
      </c>
      <c r="H617" s="1">
        <v>3</v>
      </c>
      <c r="I617" s="9" t="str" cm="1">
        <f t="array" ref="I617">_xlfn.IFS(H617 &lt;= 2, "[1-2] very close", H617 &lt;= 10, "[3-10] close", H617 &lt;= 20, "[11-20] moderate", H617 &lt;= 30, "[21-30] far")</f>
        <v>[3-10] close</v>
      </c>
      <c r="J617" s="1">
        <v>3</v>
      </c>
      <c r="K617" s="3" t="s">
        <v>51</v>
      </c>
      <c r="L617" s="1">
        <v>1</v>
      </c>
      <c r="M617" s="1">
        <v>850</v>
      </c>
      <c r="N617" s="1">
        <v>4</v>
      </c>
      <c r="O617" s="3" t="s">
        <v>46</v>
      </c>
      <c r="P617" s="1">
        <v>50</v>
      </c>
      <c r="Q617" s="1">
        <v>3</v>
      </c>
      <c r="R617" s="1">
        <v>1</v>
      </c>
      <c r="S617" s="3" t="s">
        <v>47</v>
      </c>
      <c r="T617" s="1">
        <v>4</v>
      </c>
      <c r="U617" s="3" t="s">
        <v>48</v>
      </c>
      <c r="V617" s="4">
        <v>1706</v>
      </c>
      <c r="W617" s="1">
        <v>16571</v>
      </c>
      <c r="X617" s="1">
        <v>1</v>
      </c>
      <c r="Y617" s="3" t="s">
        <v>42</v>
      </c>
      <c r="Z617" s="3" t="s">
        <v>43</v>
      </c>
      <c r="AA617" s="5">
        <v>0.11</v>
      </c>
      <c r="AB617" s="10" t="str" cm="1">
        <f t="array" ref="AB617">_xlfn.IFS(AA617 &lt;= 15%, "Low Hike[11-15%]", AA617 &lt;= 20%, "Moderate Hike[16-20%]", AA617 &lt;= 25%,"High Hike[21-25%]")</f>
        <v>Low Hike[11-15%]</v>
      </c>
      <c r="AC617" s="1">
        <v>3</v>
      </c>
      <c r="AD617" s="1">
        <v>3</v>
      </c>
      <c r="AE617" s="1">
        <v>80</v>
      </c>
      <c r="AF617" s="1">
        <v>3</v>
      </c>
      <c r="AG617" s="1">
        <v>0</v>
      </c>
      <c r="AH617" s="9" t="str" cm="1">
        <f t="array" ref="AH617">_xlfn.IFS(AG617 &lt;= 5, "New[1-5]", AG617 &lt;= 10, "Early Career[6-10]", AG617 &lt;= 20, "Established[11-20]", AG617 &lt;= 30, "Veteran[21-30]", AG617 &lt;= 40, "Late Career[31-40]")</f>
        <v>New[1-5]</v>
      </c>
      <c r="AI617" s="1">
        <v>6</v>
      </c>
      <c r="AJ617" s="1">
        <v>2</v>
      </c>
      <c r="AK617" s="1">
        <v>0</v>
      </c>
      <c r="AL617" s="9" t="str" cm="1">
        <f t="array" ref="AL617">_xlfn.IFS(AK617 &lt;= 5, "New[1-5]", AK617 &lt;= 10, "Early Career[6-10]", AK617 &lt;= 20, "Established[11-20]", AK617 &lt;= 30, "Veteran[21-30]", AK617 &lt;= 40, "Late Career[31-40]")</f>
        <v>New[1-5]</v>
      </c>
      <c r="AM617" s="1">
        <v>0</v>
      </c>
      <c r="AN617" s="9" t="str" cm="1">
        <f t="array" ref="AN617">_xlfn.IFS(AM617 &lt;= 3, "New to Role[1-3]", AM617 &lt;= 7, "Settled[4-7]", AM617 &lt;= 12, "Experienced[[8-12]", AM617 &lt;= 18, "Long Tenured[13-18]")</f>
        <v>New to Role[1-3]</v>
      </c>
      <c r="AO617" s="1">
        <v>0</v>
      </c>
      <c r="AP617" s="9" t="str" cm="1">
        <f t="array" ref="AP617">_xlfn.IFS(AO617 &lt;= 3, "Recently[1-3]", AO617 &lt;= 6, "Due Soon[4-6]", AO617 &lt;= 10, "Overdue[7-10]", AO617 &lt;= 15, "Long Overdue[11-15]")</f>
        <v>Recently[1-3]</v>
      </c>
      <c r="AQ617" s="9" t="str" cm="1">
        <f t="array" ref="AQ617">_xlfn.IFS(AR617 &lt;= 3, "New Relationship[1-3]", AR617 &lt;= 7, "Established Relationship[4-7]", AR617 &lt;= 12, "Long Term Relationship[8-12]", AR617 &lt;= 17, "Very Long Term Relationship[13-17]")</f>
        <v>New Relationship[1-3]</v>
      </c>
      <c r="AR617" s="1">
        <v>0</v>
      </c>
    </row>
    <row r="618" spans="1:44" x14ac:dyDescent="0.25">
      <c r="A618" s="1">
        <v>51</v>
      </c>
      <c r="B618" s="8" t="str" cm="1">
        <f t="array" ref="B618">_xlfn.IFS(A618 &lt;= 25, "[18-25]", A618 &lt;= 35, "[26-35]", A618 &lt;=45, "[36-45]", A618 &lt;= 60, "[46- 60]")</f>
        <v>[46- 60]</v>
      </c>
      <c r="C618" s="3" t="s">
        <v>43</v>
      </c>
      <c r="D618">
        <f t="shared" si="9"/>
        <v>0</v>
      </c>
      <c r="E618" t="s">
        <v>36</v>
      </c>
      <c r="F618" s="1">
        <v>1318</v>
      </c>
      <c r="G618" s="3" t="s">
        <v>37</v>
      </c>
      <c r="H618" s="1">
        <v>26</v>
      </c>
      <c r="I618" s="9" t="str" cm="1">
        <f t="array" ref="I618">_xlfn.IFS(H618 &lt;= 2, "[1-2] very close", H618 &lt;= 10, "[3-10] close", H618 &lt;= 20, "[11-20] moderate", H618 &lt;= 30, "[21-30] far")</f>
        <v>[21-30] far</v>
      </c>
      <c r="J618" s="1">
        <v>4</v>
      </c>
      <c r="K618" s="3" t="s">
        <v>59</v>
      </c>
      <c r="L618" s="1">
        <v>1</v>
      </c>
      <c r="M618" s="1">
        <v>851</v>
      </c>
      <c r="N618" s="1">
        <v>1</v>
      </c>
      <c r="O618" s="3" t="s">
        <v>39</v>
      </c>
      <c r="P618" s="1">
        <v>66</v>
      </c>
      <c r="Q618" s="1">
        <v>3</v>
      </c>
      <c r="R618" s="1">
        <v>4</v>
      </c>
      <c r="S618" s="3" t="s">
        <v>56</v>
      </c>
      <c r="T618" s="1">
        <v>3</v>
      </c>
      <c r="U618" s="3" t="s">
        <v>48</v>
      </c>
      <c r="V618" s="4">
        <v>16307</v>
      </c>
      <c r="W618" s="1">
        <v>5594</v>
      </c>
      <c r="X618" s="1">
        <v>2</v>
      </c>
      <c r="Y618" s="3" t="s">
        <v>42</v>
      </c>
      <c r="Z618" s="3" t="s">
        <v>43</v>
      </c>
      <c r="AA618" s="5">
        <v>0.14000000000000001</v>
      </c>
      <c r="AB618" s="10" t="str" cm="1">
        <f t="array" ref="AB618">_xlfn.IFS(AA618 &lt;= 15%, "Low Hike[11-15%]", AA618 &lt;= 20%, "Moderate Hike[16-20%]", AA618 &lt;= 25%,"High Hike[21-25%]")</f>
        <v>Low Hike[11-15%]</v>
      </c>
      <c r="AC618" s="1">
        <v>3</v>
      </c>
      <c r="AD618" s="1">
        <v>3</v>
      </c>
      <c r="AE618" s="1">
        <v>80</v>
      </c>
      <c r="AF618" s="1">
        <v>1</v>
      </c>
      <c r="AG618" s="1">
        <v>29</v>
      </c>
      <c r="AH618" s="9" t="str" cm="1">
        <f t="array" ref="AH618">_xlfn.IFS(AG618 &lt;= 5, "New[1-5]", AG618 &lt;= 10, "Early Career[6-10]", AG618 &lt;= 20, "Established[11-20]", AG618 &lt;= 30, "Veteran[21-30]", AG618 &lt;= 40, "Late Career[31-40]")</f>
        <v>Veteran[21-30]</v>
      </c>
      <c r="AI618" s="1">
        <v>2</v>
      </c>
      <c r="AJ618" s="1">
        <v>2</v>
      </c>
      <c r="AK618" s="1">
        <v>20</v>
      </c>
      <c r="AL618" s="9" t="str" cm="1">
        <f t="array" ref="AL618">_xlfn.IFS(AK618 &lt;= 5, "New[1-5]", AK618 &lt;= 10, "Early Career[6-10]", AK618 &lt;= 20, "Established[11-20]", AK618 &lt;= 30, "Veteran[21-30]", AK618 &lt;= 40, "Late Career[31-40]")</f>
        <v>Established[11-20]</v>
      </c>
      <c r="AM618" s="1">
        <v>6</v>
      </c>
      <c r="AN618" s="9" t="str" cm="1">
        <f t="array" ref="AN618">_xlfn.IFS(AM618 &lt;= 3, "New to Role[1-3]", AM618 &lt;= 7, "Settled[4-7]", AM618 &lt;= 12, "Experienced[[8-12]", AM618 &lt;= 18, "Long Tenured[13-18]")</f>
        <v>Settled[4-7]</v>
      </c>
      <c r="AO618" s="1">
        <v>4</v>
      </c>
      <c r="AP618" s="9" t="str" cm="1">
        <f t="array" ref="AP618">_xlfn.IFS(AO618 &lt;= 3, "Recently[1-3]", AO618 &lt;= 6, "Due Soon[4-6]", AO618 &lt;= 10, "Overdue[7-10]", AO618 &lt;= 15, "Long Overdue[11-15]")</f>
        <v>Due Soon[4-6]</v>
      </c>
      <c r="AQ618" s="9" t="str" cm="1">
        <f t="array" ref="AQ618">_xlfn.IFS(AR618 &lt;= 3, "New Relationship[1-3]", AR618 &lt;= 7, "Established Relationship[4-7]", AR618 &lt;= 12, "Long Term Relationship[8-12]", AR618 &lt;= 17, "Very Long Term Relationship[13-17]")</f>
        <v>Very Long Term Relationship[13-17]</v>
      </c>
      <c r="AR618" s="1">
        <v>17</v>
      </c>
    </row>
    <row r="619" spans="1:44" x14ac:dyDescent="0.25">
      <c r="A619" s="1">
        <v>44</v>
      </c>
      <c r="B619" s="8" t="str" cm="1">
        <f t="array" ref="B619">_xlfn.IFS(A619 &lt;= 25, "[18-25]", A619 &lt;= 35, "[26-35]", A619 &lt;=45, "[36-45]", A619 &lt;= 60, "[46- 60]")</f>
        <v>[36-45]</v>
      </c>
      <c r="C619" s="3" t="s">
        <v>43</v>
      </c>
      <c r="D619">
        <f t="shared" si="9"/>
        <v>0</v>
      </c>
      <c r="E619" t="s">
        <v>36</v>
      </c>
      <c r="F619" s="1">
        <v>625</v>
      </c>
      <c r="G619" s="3" t="s">
        <v>45</v>
      </c>
      <c r="H619" s="1">
        <v>4</v>
      </c>
      <c r="I619" s="9" t="str" cm="1">
        <f t="array" ref="I619">_xlfn.IFS(H619 &lt;= 2, "[1-2] very close", H619 &lt;= 10, "[3-10] close", H619 &lt;= 20, "[11-20] moderate", H619 &lt;= 30, "[21-30] far")</f>
        <v>[3-10] close</v>
      </c>
      <c r="J619" s="1">
        <v>3</v>
      </c>
      <c r="K619" s="3" t="s">
        <v>51</v>
      </c>
      <c r="L619" s="1">
        <v>1</v>
      </c>
      <c r="M619" s="1">
        <v>852</v>
      </c>
      <c r="N619" s="1">
        <v>4</v>
      </c>
      <c r="O619" s="3" t="s">
        <v>46</v>
      </c>
      <c r="P619" s="1">
        <v>50</v>
      </c>
      <c r="Q619" s="1">
        <v>3</v>
      </c>
      <c r="R619" s="1">
        <v>2</v>
      </c>
      <c r="S619" s="3" t="s">
        <v>54</v>
      </c>
      <c r="T619" s="1">
        <v>2</v>
      </c>
      <c r="U619" s="3" t="s">
        <v>41</v>
      </c>
      <c r="V619" s="4">
        <v>5933</v>
      </c>
      <c r="W619" s="1">
        <v>5197</v>
      </c>
      <c r="X619" s="1">
        <v>9</v>
      </c>
      <c r="Y619" s="3" t="s">
        <v>42</v>
      </c>
      <c r="Z619" s="3" t="s">
        <v>43</v>
      </c>
      <c r="AA619" s="5">
        <v>0.12</v>
      </c>
      <c r="AB619" s="10" t="str" cm="1">
        <f t="array" ref="AB619">_xlfn.IFS(AA619 &lt;= 15%, "Low Hike[11-15%]", AA619 &lt;= 20%, "Moderate Hike[16-20%]", AA619 &lt;= 25%,"High Hike[21-25%]")</f>
        <v>Low Hike[11-15%]</v>
      </c>
      <c r="AC619" s="1">
        <v>3</v>
      </c>
      <c r="AD619" s="1">
        <v>4</v>
      </c>
      <c r="AE619" s="1">
        <v>80</v>
      </c>
      <c r="AF619" s="1">
        <v>0</v>
      </c>
      <c r="AG619" s="1">
        <v>10</v>
      </c>
      <c r="AH619" s="9" t="str" cm="1">
        <f t="array" ref="AH619">_xlfn.IFS(AG619 &lt;= 5, "New[1-5]", AG619 &lt;= 10, "Early Career[6-10]", AG619 &lt;= 20, "Established[11-20]", AG619 &lt;= 30, "Veteran[21-30]", AG619 &lt;= 40, "Late Career[31-40]")</f>
        <v>Early Career[6-10]</v>
      </c>
      <c r="AI619" s="1">
        <v>2</v>
      </c>
      <c r="AJ619" s="1">
        <v>2</v>
      </c>
      <c r="AK619" s="1">
        <v>5</v>
      </c>
      <c r="AL619" s="9" t="str" cm="1">
        <f t="array" ref="AL619">_xlfn.IFS(AK619 &lt;= 5, "New[1-5]", AK619 &lt;= 10, "Early Career[6-10]", AK619 &lt;= 20, "Established[11-20]", AK619 &lt;= 30, "Veteran[21-30]", AK619 &lt;= 40, "Late Career[31-40]")</f>
        <v>New[1-5]</v>
      </c>
      <c r="AM619" s="1">
        <v>2</v>
      </c>
      <c r="AN619" s="9" t="str" cm="1">
        <f t="array" ref="AN619">_xlfn.IFS(AM619 &lt;= 3, "New to Role[1-3]", AM619 &lt;= 7, "Settled[4-7]", AM619 &lt;= 12, "Experienced[[8-12]", AM619 &lt;= 18, "Long Tenured[13-18]")</f>
        <v>New to Role[1-3]</v>
      </c>
      <c r="AO619" s="1">
        <v>2</v>
      </c>
      <c r="AP619" s="9" t="str" cm="1">
        <f t="array" ref="AP619">_xlfn.IFS(AO619 &lt;= 3, "Recently[1-3]", AO619 &lt;= 6, "Due Soon[4-6]", AO619 &lt;= 10, "Overdue[7-10]", AO619 &lt;= 15, "Long Overdue[11-15]")</f>
        <v>Recently[1-3]</v>
      </c>
      <c r="AQ619" s="9" t="str" cm="1">
        <f t="array" ref="AQ619">_xlfn.IFS(AR619 &lt;= 3, "New Relationship[1-3]", AR619 &lt;= 7, "Established Relationship[4-7]", AR619 &lt;= 12, "Long Term Relationship[8-12]", AR619 &lt;= 17, "Very Long Term Relationship[13-17]")</f>
        <v>New Relationship[1-3]</v>
      </c>
      <c r="AR619" s="1">
        <v>3</v>
      </c>
    </row>
    <row r="620" spans="1:44" x14ac:dyDescent="0.25">
      <c r="A620" s="1">
        <v>25</v>
      </c>
      <c r="B620" s="8" t="str" cm="1">
        <f t="array" ref="B620">_xlfn.IFS(A620 &lt;= 25, "[18-25]", A620 &lt;= 35, "[26-35]", A620 &lt;=45, "[36-45]", A620 &lt;= 60, "[46- 60]")</f>
        <v>[18-25]</v>
      </c>
      <c r="C620" s="3" t="s">
        <v>43</v>
      </c>
      <c r="D620">
        <f t="shared" si="9"/>
        <v>0</v>
      </c>
      <c r="E620" t="s">
        <v>36</v>
      </c>
      <c r="F620" s="1">
        <v>180</v>
      </c>
      <c r="G620" s="3" t="s">
        <v>45</v>
      </c>
      <c r="H620" s="1">
        <v>2</v>
      </c>
      <c r="I620" s="9" t="str" cm="1">
        <f t="array" ref="I620">_xlfn.IFS(H620 &lt;= 2, "[1-2] very close", H620 &lt;= 10, "[3-10] close", H620 &lt;= 20, "[11-20] moderate", H620 &lt;= 30, "[21-30] far")</f>
        <v>[1-2] very close</v>
      </c>
      <c r="J620" s="1">
        <v>1</v>
      </c>
      <c r="K620" s="3" t="s">
        <v>51</v>
      </c>
      <c r="L620" s="1">
        <v>1</v>
      </c>
      <c r="M620" s="1">
        <v>854</v>
      </c>
      <c r="N620" s="1">
        <v>1</v>
      </c>
      <c r="O620" s="3" t="s">
        <v>46</v>
      </c>
      <c r="P620" s="1">
        <v>65</v>
      </c>
      <c r="Q620" s="1">
        <v>4</v>
      </c>
      <c r="R620" s="1">
        <v>1</v>
      </c>
      <c r="S620" s="3" t="s">
        <v>47</v>
      </c>
      <c r="T620" s="1">
        <v>1</v>
      </c>
      <c r="U620" s="3" t="s">
        <v>41</v>
      </c>
      <c r="V620" s="4">
        <v>3424</v>
      </c>
      <c r="W620" s="1">
        <v>21632</v>
      </c>
      <c r="X620" s="1">
        <v>7</v>
      </c>
      <c r="Y620" s="3" t="s">
        <v>42</v>
      </c>
      <c r="Z620" s="3" t="s">
        <v>43</v>
      </c>
      <c r="AA620" s="5">
        <v>0.13</v>
      </c>
      <c r="AB620" s="10" t="str" cm="1">
        <f t="array" ref="AB620">_xlfn.IFS(AA620 &lt;= 15%, "Low Hike[11-15%]", AA620 &lt;= 20%, "Moderate Hike[16-20%]", AA620 &lt;= 25%,"High Hike[21-25%]")</f>
        <v>Low Hike[11-15%]</v>
      </c>
      <c r="AC620" s="1">
        <v>3</v>
      </c>
      <c r="AD620" s="1">
        <v>3</v>
      </c>
      <c r="AE620" s="1">
        <v>80</v>
      </c>
      <c r="AF620" s="1">
        <v>0</v>
      </c>
      <c r="AG620" s="1">
        <v>6</v>
      </c>
      <c r="AH620" s="9" t="str" cm="1">
        <f t="array" ref="AH620">_xlfn.IFS(AG620 &lt;= 5, "New[1-5]", AG620 &lt;= 10, "Early Career[6-10]", AG620 &lt;= 20, "Established[11-20]", AG620 &lt;= 30, "Veteran[21-30]", AG620 &lt;= 40, "Late Career[31-40]")</f>
        <v>Early Career[6-10]</v>
      </c>
      <c r="AI620" s="1">
        <v>3</v>
      </c>
      <c r="AJ620" s="1">
        <v>2</v>
      </c>
      <c r="AK620" s="1">
        <v>4</v>
      </c>
      <c r="AL620" s="9" t="str" cm="1">
        <f t="array" ref="AL620">_xlfn.IFS(AK620 &lt;= 5, "New[1-5]", AK620 &lt;= 10, "Early Career[6-10]", AK620 &lt;= 20, "Established[11-20]", AK620 &lt;= 30, "Veteran[21-30]", AK620 &lt;= 40, "Late Career[31-40]")</f>
        <v>New[1-5]</v>
      </c>
      <c r="AM620" s="1">
        <v>3</v>
      </c>
      <c r="AN620" s="9" t="str" cm="1">
        <f t="array" ref="AN620">_xlfn.IFS(AM620 &lt;= 3, "New to Role[1-3]", AM620 &lt;= 7, "Settled[4-7]", AM620 &lt;= 12, "Experienced[[8-12]", AM620 &lt;= 18, "Long Tenured[13-18]")</f>
        <v>New to Role[1-3]</v>
      </c>
      <c r="AO620" s="1">
        <v>0</v>
      </c>
      <c r="AP620" s="9" t="str" cm="1">
        <f t="array" ref="AP620">_xlfn.IFS(AO620 &lt;= 3, "Recently[1-3]", AO620 &lt;= 6, "Due Soon[4-6]", AO620 &lt;= 10, "Overdue[7-10]", AO620 &lt;= 15, "Long Overdue[11-15]")</f>
        <v>Recently[1-3]</v>
      </c>
      <c r="AQ620" s="9" t="str" cm="1">
        <f t="array" ref="AQ620">_xlfn.IFS(AR620 &lt;= 3, "New Relationship[1-3]", AR620 &lt;= 7, "Established Relationship[4-7]", AR620 &lt;= 12, "Long Term Relationship[8-12]", AR620 &lt;= 17, "Very Long Term Relationship[13-17]")</f>
        <v>New Relationship[1-3]</v>
      </c>
      <c r="AR620" s="1">
        <v>1</v>
      </c>
    </row>
    <row r="621" spans="1:44" x14ac:dyDescent="0.25">
      <c r="A621" s="1">
        <v>33</v>
      </c>
      <c r="B621" s="8" t="str" cm="1">
        <f t="array" ref="B621">_xlfn.IFS(A621 &lt;= 25, "[18-25]", A621 &lt;= 35, "[26-35]", A621 &lt;=45, "[36-45]", A621 &lt;= 60, "[46- 60]")</f>
        <v>[26-35]</v>
      </c>
      <c r="C621" s="3" t="s">
        <v>43</v>
      </c>
      <c r="D621">
        <f t="shared" si="9"/>
        <v>0</v>
      </c>
      <c r="E621" t="s">
        <v>36</v>
      </c>
      <c r="F621" s="1">
        <v>586</v>
      </c>
      <c r="G621" s="3" t="s">
        <v>37</v>
      </c>
      <c r="H621" s="1">
        <v>1</v>
      </c>
      <c r="I621" s="9" t="str" cm="1">
        <f t="array" ref="I621">_xlfn.IFS(H621 &lt;= 2, "[1-2] very close", H621 &lt;= 10, "[3-10] close", H621 &lt;= 20, "[11-20] moderate", H621 &lt;= 30, "[21-30] far")</f>
        <v>[1-2] very close</v>
      </c>
      <c r="J621" s="1">
        <v>3</v>
      </c>
      <c r="K621" s="3" t="s">
        <v>51</v>
      </c>
      <c r="L621" s="1">
        <v>1</v>
      </c>
      <c r="M621" s="1">
        <v>855</v>
      </c>
      <c r="N621" s="1">
        <v>1</v>
      </c>
      <c r="O621" s="3" t="s">
        <v>46</v>
      </c>
      <c r="P621" s="1">
        <v>48</v>
      </c>
      <c r="Q621" s="1">
        <v>4</v>
      </c>
      <c r="R621" s="1">
        <v>2</v>
      </c>
      <c r="S621" s="3" t="s">
        <v>40</v>
      </c>
      <c r="T621" s="1">
        <v>1</v>
      </c>
      <c r="U621" s="3" t="s">
        <v>52</v>
      </c>
      <c r="V621" s="4">
        <v>4037</v>
      </c>
      <c r="W621" s="1">
        <v>21816</v>
      </c>
      <c r="X621" s="1">
        <v>1</v>
      </c>
      <c r="Y621" s="3" t="s">
        <v>42</v>
      </c>
      <c r="Z621" s="3" t="s">
        <v>43</v>
      </c>
      <c r="AA621" s="5">
        <v>0.22</v>
      </c>
      <c r="AB621" s="10" t="str" cm="1">
        <f t="array" ref="AB621">_xlfn.IFS(AA621 &lt;= 15%, "Low Hike[11-15%]", AA621 &lt;= 20%, "Moderate Hike[16-20%]", AA621 &lt;= 25%,"High Hike[21-25%]")</f>
        <v>High Hike[21-25%]</v>
      </c>
      <c r="AC621" s="1">
        <v>4</v>
      </c>
      <c r="AD621" s="1">
        <v>1</v>
      </c>
      <c r="AE621" s="1">
        <v>80</v>
      </c>
      <c r="AF621" s="1">
        <v>1</v>
      </c>
      <c r="AG621" s="1">
        <v>9</v>
      </c>
      <c r="AH621" s="9" t="str" cm="1">
        <f t="array" ref="AH621">_xlfn.IFS(AG621 &lt;= 5, "New[1-5]", AG621 &lt;= 10, "Early Career[6-10]", AG621 &lt;= 20, "Established[11-20]", AG621 &lt;= 30, "Veteran[21-30]", AG621 &lt;= 40, "Late Career[31-40]")</f>
        <v>Early Career[6-10]</v>
      </c>
      <c r="AI621" s="1">
        <v>5</v>
      </c>
      <c r="AJ621" s="1">
        <v>3</v>
      </c>
      <c r="AK621" s="1">
        <v>9</v>
      </c>
      <c r="AL621" s="9" t="str" cm="1">
        <f t="array" ref="AL621">_xlfn.IFS(AK621 &lt;= 5, "New[1-5]", AK621 &lt;= 10, "Early Career[6-10]", AK621 &lt;= 20, "Established[11-20]", AK621 &lt;= 30, "Veteran[21-30]", AK621 &lt;= 40, "Late Career[31-40]")</f>
        <v>Early Career[6-10]</v>
      </c>
      <c r="AM621" s="1">
        <v>8</v>
      </c>
      <c r="AN621" s="9" t="str" cm="1">
        <f t="array" ref="AN621">_xlfn.IFS(AM621 &lt;= 3, "New to Role[1-3]", AM621 &lt;= 7, "Settled[4-7]", AM621 &lt;= 12, "Experienced[[8-12]", AM621 &lt;= 18, "Long Tenured[13-18]")</f>
        <v>Experienced[[8-12]</v>
      </c>
      <c r="AO621" s="1">
        <v>0</v>
      </c>
      <c r="AP621" s="9" t="str" cm="1">
        <f t="array" ref="AP621">_xlfn.IFS(AO621 &lt;= 3, "Recently[1-3]", AO621 &lt;= 6, "Due Soon[4-6]", AO621 &lt;= 10, "Overdue[7-10]", AO621 &lt;= 15, "Long Overdue[11-15]")</f>
        <v>Recently[1-3]</v>
      </c>
      <c r="AQ621" s="9" t="str" cm="1">
        <f t="array" ref="AQ621">_xlfn.IFS(AR621 &lt;= 3, "New Relationship[1-3]", AR621 &lt;= 7, "Established Relationship[4-7]", AR621 &lt;= 12, "Long Term Relationship[8-12]", AR621 &lt;= 17, "Very Long Term Relationship[13-17]")</f>
        <v>Long Term Relationship[8-12]</v>
      </c>
      <c r="AR621" s="1">
        <v>8</v>
      </c>
    </row>
    <row r="622" spans="1:44" x14ac:dyDescent="0.25">
      <c r="A622" s="1">
        <v>35</v>
      </c>
      <c r="B622" s="8" t="str" cm="1">
        <f t="array" ref="B622">_xlfn.IFS(A622 &lt;= 25, "[18-25]", A622 &lt;= 35, "[26-35]", A622 &lt;=45, "[36-45]", A622 &lt;= 60, "[46- 60]")</f>
        <v>[26-35]</v>
      </c>
      <c r="C622" s="3" t="s">
        <v>43</v>
      </c>
      <c r="D622">
        <f t="shared" si="9"/>
        <v>0</v>
      </c>
      <c r="E622" t="s">
        <v>36</v>
      </c>
      <c r="F622" s="1">
        <v>1343</v>
      </c>
      <c r="G622" s="3" t="s">
        <v>45</v>
      </c>
      <c r="H622" s="1">
        <v>27</v>
      </c>
      <c r="I622" s="9" t="str" cm="1">
        <f t="array" ref="I622">_xlfn.IFS(H622 &lt;= 2, "[1-2] very close", H622 &lt;= 10, "[3-10] close", H622 &lt;= 20, "[11-20] moderate", H622 &lt;= 30, "[21-30] far")</f>
        <v>[21-30] far</v>
      </c>
      <c r="J622" s="1">
        <v>1</v>
      </c>
      <c r="K622" s="3" t="s">
        <v>51</v>
      </c>
      <c r="L622" s="1">
        <v>1</v>
      </c>
      <c r="M622" s="1">
        <v>856</v>
      </c>
      <c r="N622" s="1">
        <v>3</v>
      </c>
      <c r="O622" s="3" t="s">
        <v>39</v>
      </c>
      <c r="P622" s="1">
        <v>53</v>
      </c>
      <c r="Q622" s="1">
        <v>2</v>
      </c>
      <c r="R622" s="1">
        <v>1</v>
      </c>
      <c r="S622" s="3" t="s">
        <v>47</v>
      </c>
      <c r="T622" s="1">
        <v>1</v>
      </c>
      <c r="U622" s="3" t="s">
        <v>41</v>
      </c>
      <c r="V622" s="4">
        <v>2559</v>
      </c>
      <c r="W622" s="1">
        <v>17852</v>
      </c>
      <c r="X622" s="1">
        <v>1</v>
      </c>
      <c r="Y622" s="3" t="s">
        <v>42</v>
      </c>
      <c r="Z622" s="3" t="s">
        <v>43</v>
      </c>
      <c r="AA622" s="5">
        <v>0.11</v>
      </c>
      <c r="AB622" s="10" t="str" cm="1">
        <f t="array" ref="AB622">_xlfn.IFS(AA622 &lt;= 15%, "Low Hike[11-15%]", AA622 &lt;= 20%, "Moderate Hike[16-20%]", AA622 &lt;= 25%,"High Hike[21-25%]")</f>
        <v>Low Hike[11-15%]</v>
      </c>
      <c r="AC622" s="1">
        <v>3</v>
      </c>
      <c r="AD622" s="1">
        <v>4</v>
      </c>
      <c r="AE622" s="1">
        <v>80</v>
      </c>
      <c r="AF622" s="1">
        <v>0</v>
      </c>
      <c r="AG622" s="1">
        <v>6</v>
      </c>
      <c r="AH622" s="9" t="str" cm="1">
        <f t="array" ref="AH622">_xlfn.IFS(AG622 &lt;= 5, "New[1-5]", AG622 &lt;= 10, "Early Career[6-10]", AG622 &lt;= 20, "Established[11-20]", AG622 &lt;= 30, "Veteran[21-30]", AG622 &lt;= 40, "Late Career[31-40]")</f>
        <v>Early Career[6-10]</v>
      </c>
      <c r="AI622" s="1">
        <v>3</v>
      </c>
      <c r="AJ622" s="1">
        <v>2</v>
      </c>
      <c r="AK622" s="1">
        <v>6</v>
      </c>
      <c r="AL622" s="9" t="str" cm="1">
        <f t="array" ref="AL622">_xlfn.IFS(AK622 &lt;= 5, "New[1-5]", AK622 &lt;= 10, "Early Career[6-10]", AK622 &lt;= 20, "Established[11-20]", AK622 &lt;= 30, "Veteran[21-30]", AK622 &lt;= 40, "Late Career[31-40]")</f>
        <v>Early Career[6-10]</v>
      </c>
      <c r="AM622" s="1">
        <v>5</v>
      </c>
      <c r="AN622" s="9" t="str" cm="1">
        <f t="array" ref="AN622">_xlfn.IFS(AM622 &lt;= 3, "New to Role[1-3]", AM622 &lt;= 7, "Settled[4-7]", AM622 &lt;= 12, "Experienced[[8-12]", AM622 &lt;= 18, "Long Tenured[13-18]")</f>
        <v>Settled[4-7]</v>
      </c>
      <c r="AO622" s="1">
        <v>1</v>
      </c>
      <c r="AP622" s="9" t="str" cm="1">
        <f t="array" ref="AP622">_xlfn.IFS(AO622 &lt;= 3, "Recently[1-3]", AO622 &lt;= 6, "Due Soon[4-6]", AO622 &lt;= 10, "Overdue[7-10]", AO622 &lt;= 15, "Long Overdue[11-15]")</f>
        <v>Recently[1-3]</v>
      </c>
      <c r="AQ622" s="9" t="str" cm="1">
        <f t="array" ref="AQ622">_xlfn.IFS(AR622 &lt;= 3, "New Relationship[1-3]", AR622 &lt;= 7, "Established Relationship[4-7]", AR622 &lt;= 12, "Long Term Relationship[8-12]", AR622 &lt;= 17, "Very Long Term Relationship[13-17]")</f>
        <v>New Relationship[1-3]</v>
      </c>
      <c r="AR622" s="1">
        <v>1</v>
      </c>
    </row>
    <row r="623" spans="1:44" x14ac:dyDescent="0.25">
      <c r="A623" s="1">
        <v>36</v>
      </c>
      <c r="B623" s="8" t="str" cm="1">
        <f t="array" ref="B623">_xlfn.IFS(A623 &lt;= 25, "[18-25]", A623 &lt;= 35, "[26-35]", A623 &lt;=45, "[36-45]", A623 &lt;= 60, "[46- 60]")</f>
        <v>[36-45]</v>
      </c>
      <c r="C623" s="3" t="s">
        <v>43</v>
      </c>
      <c r="D623">
        <f t="shared" si="9"/>
        <v>0</v>
      </c>
      <c r="E623" t="s">
        <v>36</v>
      </c>
      <c r="F623" s="1">
        <v>928</v>
      </c>
      <c r="G623" s="3" t="s">
        <v>37</v>
      </c>
      <c r="H623" s="1">
        <v>1</v>
      </c>
      <c r="I623" s="9" t="str" cm="1">
        <f t="array" ref="I623">_xlfn.IFS(H623 &lt;= 2, "[1-2] very close", H623 &lt;= 10, "[3-10] close", H623 &lt;= 20, "[11-20] moderate", H623 &lt;= 30, "[21-30] far")</f>
        <v>[1-2] very close</v>
      </c>
      <c r="J623" s="1">
        <v>2</v>
      </c>
      <c r="K623" s="3" t="s">
        <v>38</v>
      </c>
      <c r="L623" s="1">
        <v>1</v>
      </c>
      <c r="M623" s="1">
        <v>857</v>
      </c>
      <c r="N623" s="1">
        <v>2</v>
      </c>
      <c r="O623" s="3" t="s">
        <v>46</v>
      </c>
      <c r="P623" s="1">
        <v>56</v>
      </c>
      <c r="Q623" s="1">
        <v>3</v>
      </c>
      <c r="R623" s="1">
        <v>2</v>
      </c>
      <c r="S623" s="3" t="s">
        <v>40</v>
      </c>
      <c r="T623" s="1">
        <v>4</v>
      </c>
      <c r="U623" s="3" t="s">
        <v>48</v>
      </c>
      <c r="V623" s="4">
        <v>6201</v>
      </c>
      <c r="W623" s="1">
        <v>2823</v>
      </c>
      <c r="X623" s="1">
        <v>1</v>
      </c>
      <c r="Y623" s="3" t="s">
        <v>42</v>
      </c>
      <c r="Z623" s="3" t="s">
        <v>35</v>
      </c>
      <c r="AA623" s="5">
        <v>0.14000000000000001</v>
      </c>
      <c r="AB623" s="10" t="str" cm="1">
        <f t="array" ref="AB623">_xlfn.IFS(AA623 &lt;= 15%, "Low Hike[11-15%]", AA623 &lt;= 20%, "Moderate Hike[16-20%]", AA623 &lt;= 25%,"High Hike[21-25%]")</f>
        <v>Low Hike[11-15%]</v>
      </c>
      <c r="AC623" s="1">
        <v>3</v>
      </c>
      <c r="AD623" s="1">
        <v>4</v>
      </c>
      <c r="AE623" s="1">
        <v>80</v>
      </c>
      <c r="AF623" s="1">
        <v>1</v>
      </c>
      <c r="AG623" s="1">
        <v>18</v>
      </c>
      <c r="AH623" s="9" t="str" cm="1">
        <f t="array" ref="AH623">_xlfn.IFS(AG623 &lt;= 5, "New[1-5]", AG623 &lt;= 10, "Early Career[6-10]", AG623 &lt;= 20, "Established[11-20]", AG623 &lt;= 30, "Veteran[21-30]", AG623 &lt;= 40, "Late Career[31-40]")</f>
        <v>Established[11-20]</v>
      </c>
      <c r="AI623" s="1">
        <v>1</v>
      </c>
      <c r="AJ623" s="1">
        <v>2</v>
      </c>
      <c r="AK623" s="1">
        <v>18</v>
      </c>
      <c r="AL623" s="9" t="str" cm="1">
        <f t="array" ref="AL623">_xlfn.IFS(AK623 &lt;= 5, "New[1-5]", AK623 &lt;= 10, "Early Career[6-10]", AK623 &lt;= 20, "Established[11-20]", AK623 &lt;= 30, "Veteran[21-30]", AK623 &lt;= 40, "Late Career[31-40]")</f>
        <v>Established[11-20]</v>
      </c>
      <c r="AM623" s="1">
        <v>14</v>
      </c>
      <c r="AN623" s="9" t="str" cm="1">
        <f t="array" ref="AN623">_xlfn.IFS(AM623 &lt;= 3, "New to Role[1-3]", AM623 &lt;= 7, "Settled[4-7]", AM623 &lt;= 12, "Experienced[[8-12]", AM623 &lt;= 18, "Long Tenured[13-18]")</f>
        <v>Long Tenured[13-18]</v>
      </c>
      <c r="AO623" s="1">
        <v>4</v>
      </c>
      <c r="AP623" s="9" t="str" cm="1">
        <f t="array" ref="AP623">_xlfn.IFS(AO623 &lt;= 3, "Recently[1-3]", AO623 &lt;= 6, "Due Soon[4-6]", AO623 &lt;= 10, "Overdue[7-10]", AO623 &lt;= 15, "Long Overdue[11-15]")</f>
        <v>Due Soon[4-6]</v>
      </c>
      <c r="AQ623" s="9" t="str" cm="1">
        <f t="array" ref="AQ623">_xlfn.IFS(AR623 &lt;= 3, "New Relationship[1-3]", AR623 &lt;= 7, "Established Relationship[4-7]", AR623 &lt;= 12, "Long Term Relationship[8-12]", AR623 &lt;= 17, "Very Long Term Relationship[13-17]")</f>
        <v>Long Term Relationship[8-12]</v>
      </c>
      <c r="AR623" s="1">
        <v>11</v>
      </c>
    </row>
    <row r="624" spans="1:44" x14ac:dyDescent="0.25">
      <c r="A624" s="1">
        <v>32</v>
      </c>
      <c r="B624" s="8" t="str" cm="1">
        <f t="array" ref="B624">_xlfn.IFS(A624 &lt;= 25, "[18-25]", A624 &lt;= 35, "[26-35]", A624 &lt;=45, "[36-45]", A624 &lt;= 60, "[46- 60]")</f>
        <v>[26-35]</v>
      </c>
      <c r="C624" s="3" t="s">
        <v>43</v>
      </c>
      <c r="D624">
        <f t="shared" si="9"/>
        <v>0</v>
      </c>
      <c r="E624" t="s">
        <v>36</v>
      </c>
      <c r="F624" s="1">
        <v>117</v>
      </c>
      <c r="G624" s="3" t="s">
        <v>37</v>
      </c>
      <c r="H624" s="1">
        <v>13</v>
      </c>
      <c r="I624" s="9" t="str" cm="1">
        <f t="array" ref="I624">_xlfn.IFS(H624 &lt;= 2, "[1-2] very close", H624 &lt;= 10, "[3-10] close", H624 &lt;= 20, "[11-20] moderate", H624 &lt;= 30, "[21-30] far")</f>
        <v>[11-20] moderate</v>
      </c>
      <c r="J624" s="1">
        <v>4</v>
      </c>
      <c r="K624" s="3" t="s">
        <v>38</v>
      </c>
      <c r="L624" s="1">
        <v>1</v>
      </c>
      <c r="M624" s="1">
        <v>859</v>
      </c>
      <c r="N624" s="1">
        <v>2</v>
      </c>
      <c r="O624" s="3" t="s">
        <v>46</v>
      </c>
      <c r="P624" s="1">
        <v>73</v>
      </c>
      <c r="Q624" s="1">
        <v>3</v>
      </c>
      <c r="R624" s="1">
        <v>2</v>
      </c>
      <c r="S624" s="3" t="s">
        <v>40</v>
      </c>
      <c r="T624" s="1">
        <v>4</v>
      </c>
      <c r="U624" s="3" t="s">
        <v>52</v>
      </c>
      <c r="V624" s="4">
        <v>4403</v>
      </c>
      <c r="W624" s="1">
        <v>9250</v>
      </c>
      <c r="X624" s="1">
        <v>2</v>
      </c>
      <c r="Y624" s="3" t="s">
        <v>42</v>
      </c>
      <c r="Z624" s="3" t="s">
        <v>43</v>
      </c>
      <c r="AA624" s="5">
        <v>0.11</v>
      </c>
      <c r="AB624" s="10" t="str" cm="1">
        <f t="array" ref="AB624">_xlfn.IFS(AA624 &lt;= 15%, "Low Hike[11-15%]", AA624 &lt;= 20%, "Moderate Hike[16-20%]", AA624 &lt;= 25%,"High Hike[21-25%]")</f>
        <v>Low Hike[11-15%]</v>
      </c>
      <c r="AC624" s="1">
        <v>3</v>
      </c>
      <c r="AD624" s="1">
        <v>3</v>
      </c>
      <c r="AE624" s="1">
        <v>80</v>
      </c>
      <c r="AF624" s="1">
        <v>1</v>
      </c>
      <c r="AG624" s="1">
        <v>8</v>
      </c>
      <c r="AH624" s="9" t="str" cm="1">
        <f t="array" ref="AH624">_xlfn.IFS(AG624 &lt;= 5, "New[1-5]", AG624 &lt;= 10, "Early Career[6-10]", AG624 &lt;= 20, "Established[11-20]", AG624 &lt;= 30, "Veteran[21-30]", AG624 &lt;= 40, "Late Career[31-40]")</f>
        <v>Early Career[6-10]</v>
      </c>
      <c r="AI624" s="1">
        <v>3</v>
      </c>
      <c r="AJ624" s="1">
        <v>2</v>
      </c>
      <c r="AK624" s="1">
        <v>5</v>
      </c>
      <c r="AL624" s="9" t="str" cm="1">
        <f t="array" ref="AL624">_xlfn.IFS(AK624 &lt;= 5, "New[1-5]", AK624 &lt;= 10, "Early Career[6-10]", AK624 &lt;= 20, "Established[11-20]", AK624 &lt;= 30, "Veteran[21-30]", AK624 &lt;= 40, "Late Career[31-40]")</f>
        <v>New[1-5]</v>
      </c>
      <c r="AM624" s="1">
        <v>2</v>
      </c>
      <c r="AN624" s="9" t="str" cm="1">
        <f t="array" ref="AN624">_xlfn.IFS(AM624 &lt;= 3, "New to Role[1-3]", AM624 &lt;= 7, "Settled[4-7]", AM624 &lt;= 12, "Experienced[[8-12]", AM624 &lt;= 18, "Long Tenured[13-18]")</f>
        <v>New to Role[1-3]</v>
      </c>
      <c r="AO624" s="1">
        <v>0</v>
      </c>
      <c r="AP624" s="9" t="str" cm="1">
        <f t="array" ref="AP624">_xlfn.IFS(AO624 &lt;= 3, "Recently[1-3]", AO624 &lt;= 6, "Due Soon[4-6]", AO624 &lt;= 10, "Overdue[7-10]", AO624 &lt;= 15, "Long Overdue[11-15]")</f>
        <v>Recently[1-3]</v>
      </c>
      <c r="AQ624" s="9" t="str" cm="1">
        <f t="array" ref="AQ624">_xlfn.IFS(AR624 &lt;= 3, "New Relationship[1-3]", AR624 &lt;= 7, "Established Relationship[4-7]", AR624 &lt;= 12, "Long Term Relationship[8-12]", AR624 &lt;= 17, "Very Long Term Relationship[13-17]")</f>
        <v>New Relationship[1-3]</v>
      </c>
      <c r="AR624" s="1">
        <v>3</v>
      </c>
    </row>
    <row r="625" spans="1:44" x14ac:dyDescent="0.25">
      <c r="A625" s="1">
        <v>30</v>
      </c>
      <c r="B625" s="8" t="str" cm="1">
        <f t="array" ref="B625">_xlfn.IFS(A625 &lt;= 25, "[18-25]", A625 &lt;= 35, "[26-35]", A625 &lt;=45, "[36-45]", A625 &lt;= 60, "[46- 60]")</f>
        <v>[26-35]</v>
      </c>
      <c r="C625" s="3" t="s">
        <v>43</v>
      </c>
      <c r="D625">
        <f t="shared" si="9"/>
        <v>0</v>
      </c>
      <c r="E625" t="s">
        <v>44</v>
      </c>
      <c r="F625" s="1">
        <v>1012</v>
      </c>
      <c r="G625" s="3" t="s">
        <v>45</v>
      </c>
      <c r="H625" s="1">
        <v>5</v>
      </c>
      <c r="I625" s="9" t="str" cm="1">
        <f t="array" ref="I625">_xlfn.IFS(H625 &lt;= 2, "[1-2] very close", H625 &lt;= 10, "[3-10] close", H625 &lt;= 20, "[11-20] moderate", H625 &lt;= 30, "[21-30] far")</f>
        <v>[3-10] close</v>
      </c>
      <c r="J625" s="1">
        <v>4</v>
      </c>
      <c r="K625" s="3" t="s">
        <v>38</v>
      </c>
      <c r="L625" s="1">
        <v>1</v>
      </c>
      <c r="M625" s="1">
        <v>861</v>
      </c>
      <c r="N625" s="1">
        <v>2</v>
      </c>
      <c r="O625" s="3" t="s">
        <v>46</v>
      </c>
      <c r="P625" s="1">
        <v>75</v>
      </c>
      <c r="Q625" s="1">
        <v>2</v>
      </c>
      <c r="R625" s="1">
        <v>1</v>
      </c>
      <c r="S625" s="3" t="s">
        <v>47</v>
      </c>
      <c r="T625" s="1">
        <v>4</v>
      </c>
      <c r="U625" s="3" t="s">
        <v>52</v>
      </c>
      <c r="V625" s="4">
        <v>3761</v>
      </c>
      <c r="W625" s="1">
        <v>2373</v>
      </c>
      <c r="X625" s="1">
        <v>9</v>
      </c>
      <c r="Y625" s="3" t="s">
        <v>42</v>
      </c>
      <c r="Z625" s="3" t="s">
        <v>43</v>
      </c>
      <c r="AA625" s="5">
        <v>0.12</v>
      </c>
      <c r="AB625" s="10" t="str" cm="1">
        <f t="array" ref="AB625">_xlfn.IFS(AA625 &lt;= 15%, "Low Hike[11-15%]", AA625 &lt;= 20%, "Moderate Hike[16-20%]", AA625 &lt;= 25%,"High Hike[21-25%]")</f>
        <v>Low Hike[11-15%]</v>
      </c>
      <c r="AC625" s="1">
        <v>3</v>
      </c>
      <c r="AD625" s="1">
        <v>2</v>
      </c>
      <c r="AE625" s="1">
        <v>80</v>
      </c>
      <c r="AF625" s="1">
        <v>1</v>
      </c>
      <c r="AG625" s="1">
        <v>10</v>
      </c>
      <c r="AH625" s="9" t="str" cm="1">
        <f t="array" ref="AH625">_xlfn.IFS(AG625 &lt;= 5, "New[1-5]", AG625 &lt;= 10, "Early Career[6-10]", AG625 &lt;= 20, "Established[11-20]", AG625 &lt;= 30, "Veteran[21-30]", AG625 &lt;= 40, "Late Career[31-40]")</f>
        <v>Early Career[6-10]</v>
      </c>
      <c r="AI625" s="1">
        <v>3</v>
      </c>
      <c r="AJ625" s="1">
        <v>2</v>
      </c>
      <c r="AK625" s="1">
        <v>5</v>
      </c>
      <c r="AL625" s="9" t="str" cm="1">
        <f t="array" ref="AL625">_xlfn.IFS(AK625 &lt;= 5, "New[1-5]", AK625 &lt;= 10, "Early Career[6-10]", AK625 &lt;= 20, "Established[11-20]", AK625 &lt;= 30, "Veteran[21-30]", AK625 &lt;= 40, "Late Career[31-40]")</f>
        <v>New[1-5]</v>
      </c>
      <c r="AM625" s="1">
        <v>4</v>
      </c>
      <c r="AN625" s="9" t="str" cm="1">
        <f t="array" ref="AN625">_xlfn.IFS(AM625 &lt;= 3, "New to Role[1-3]", AM625 &lt;= 7, "Settled[4-7]", AM625 &lt;= 12, "Experienced[[8-12]", AM625 &lt;= 18, "Long Tenured[13-18]")</f>
        <v>Settled[4-7]</v>
      </c>
      <c r="AO625" s="1">
        <v>0</v>
      </c>
      <c r="AP625" s="9" t="str" cm="1">
        <f t="array" ref="AP625">_xlfn.IFS(AO625 &lt;= 3, "Recently[1-3]", AO625 &lt;= 6, "Due Soon[4-6]", AO625 &lt;= 10, "Overdue[7-10]", AO625 &lt;= 15, "Long Overdue[11-15]")</f>
        <v>Recently[1-3]</v>
      </c>
      <c r="AQ625" s="9" t="str" cm="1">
        <f t="array" ref="AQ625">_xlfn.IFS(AR625 &lt;= 3, "New Relationship[1-3]", AR625 &lt;= 7, "Established Relationship[4-7]", AR625 &lt;= 12, "Long Term Relationship[8-12]", AR625 &lt;= 17, "Very Long Term Relationship[13-17]")</f>
        <v>New Relationship[1-3]</v>
      </c>
      <c r="AR625" s="1">
        <v>3</v>
      </c>
    </row>
    <row r="626" spans="1:44" x14ac:dyDescent="0.25">
      <c r="A626" s="1">
        <v>53</v>
      </c>
      <c r="B626" s="8" t="str" cm="1">
        <f t="array" ref="B626">_xlfn.IFS(A626 &lt;= 25, "[18-25]", A626 &lt;= 35, "[26-35]", A626 &lt;=45, "[36-45]", A626 &lt;= 60, "[46- 60]")</f>
        <v>[46- 60]</v>
      </c>
      <c r="C626" s="3" t="s">
        <v>43</v>
      </c>
      <c r="D626">
        <f t="shared" si="9"/>
        <v>0</v>
      </c>
      <c r="E626" t="s">
        <v>36</v>
      </c>
      <c r="F626" s="1">
        <v>661</v>
      </c>
      <c r="G626" s="3" t="s">
        <v>37</v>
      </c>
      <c r="H626" s="1">
        <v>7</v>
      </c>
      <c r="I626" s="9" t="str" cm="1">
        <f t="array" ref="I626">_xlfn.IFS(H626 &lt;= 2, "[1-2] very close", H626 &lt;= 10, "[3-10] close", H626 &lt;= 20, "[11-20] moderate", H626 &lt;= 30, "[21-30] far")</f>
        <v>[3-10] close</v>
      </c>
      <c r="J626" s="1">
        <v>2</v>
      </c>
      <c r="K626" s="3" t="s">
        <v>59</v>
      </c>
      <c r="L626" s="1">
        <v>1</v>
      </c>
      <c r="M626" s="1">
        <v>862</v>
      </c>
      <c r="N626" s="1">
        <v>1</v>
      </c>
      <c r="O626" s="3" t="s">
        <v>39</v>
      </c>
      <c r="P626" s="1">
        <v>78</v>
      </c>
      <c r="Q626" s="1">
        <v>2</v>
      </c>
      <c r="R626" s="1">
        <v>3</v>
      </c>
      <c r="S626" s="3" t="s">
        <v>40</v>
      </c>
      <c r="T626" s="1">
        <v>4</v>
      </c>
      <c r="U626" s="3" t="s">
        <v>48</v>
      </c>
      <c r="V626" s="4">
        <v>10934</v>
      </c>
      <c r="W626" s="1">
        <v>20715</v>
      </c>
      <c r="X626" s="1">
        <v>7</v>
      </c>
      <c r="Y626" s="3" t="s">
        <v>42</v>
      </c>
      <c r="Z626" s="3" t="s">
        <v>35</v>
      </c>
      <c r="AA626" s="5">
        <v>0.18</v>
      </c>
      <c r="AB626" s="10" t="str" cm="1">
        <f t="array" ref="AB626">_xlfn.IFS(AA626 &lt;= 15%, "Low Hike[11-15%]", AA626 &lt;= 20%, "Moderate Hike[16-20%]", AA626 &lt;= 25%,"High Hike[21-25%]")</f>
        <v>Moderate Hike[16-20%]</v>
      </c>
      <c r="AC626" s="1">
        <v>3</v>
      </c>
      <c r="AD626" s="1">
        <v>4</v>
      </c>
      <c r="AE626" s="1">
        <v>80</v>
      </c>
      <c r="AF626" s="1">
        <v>1</v>
      </c>
      <c r="AG626" s="1">
        <v>35</v>
      </c>
      <c r="AH626" s="9" t="str" cm="1">
        <f t="array" ref="AH626">_xlfn.IFS(AG626 &lt;= 5, "New[1-5]", AG626 &lt;= 10, "Early Career[6-10]", AG626 &lt;= 20, "Established[11-20]", AG626 &lt;= 30, "Veteran[21-30]", AG626 &lt;= 40, "Late Career[31-40]")</f>
        <v>Late Career[31-40]</v>
      </c>
      <c r="AI626" s="1">
        <v>3</v>
      </c>
      <c r="AJ626" s="1">
        <v>3</v>
      </c>
      <c r="AK626" s="1">
        <v>5</v>
      </c>
      <c r="AL626" s="9" t="str" cm="1">
        <f t="array" ref="AL626">_xlfn.IFS(AK626 &lt;= 5, "New[1-5]", AK626 &lt;= 10, "Early Career[6-10]", AK626 &lt;= 20, "Established[11-20]", AK626 &lt;= 30, "Veteran[21-30]", AK626 &lt;= 40, "Late Career[31-40]")</f>
        <v>New[1-5]</v>
      </c>
      <c r="AM626" s="1">
        <v>2</v>
      </c>
      <c r="AN626" s="9" t="str" cm="1">
        <f t="array" ref="AN626">_xlfn.IFS(AM626 &lt;= 3, "New to Role[1-3]", AM626 &lt;= 7, "Settled[4-7]", AM626 &lt;= 12, "Experienced[[8-12]", AM626 &lt;= 18, "Long Tenured[13-18]")</f>
        <v>New to Role[1-3]</v>
      </c>
      <c r="AO626" s="1">
        <v>0</v>
      </c>
      <c r="AP626" s="9" t="str" cm="1">
        <f t="array" ref="AP626">_xlfn.IFS(AO626 &lt;= 3, "Recently[1-3]", AO626 &lt;= 6, "Due Soon[4-6]", AO626 &lt;= 10, "Overdue[7-10]", AO626 &lt;= 15, "Long Overdue[11-15]")</f>
        <v>Recently[1-3]</v>
      </c>
      <c r="AQ626" s="9" t="str" cm="1">
        <f t="array" ref="AQ626">_xlfn.IFS(AR626 &lt;= 3, "New Relationship[1-3]", AR626 &lt;= 7, "Established Relationship[4-7]", AR626 &lt;= 12, "Long Term Relationship[8-12]", AR626 &lt;= 17, "Very Long Term Relationship[13-17]")</f>
        <v>Established Relationship[4-7]</v>
      </c>
      <c r="AR626" s="1">
        <v>4</v>
      </c>
    </row>
    <row r="627" spans="1:44" x14ac:dyDescent="0.25">
      <c r="A627" s="1">
        <v>45</v>
      </c>
      <c r="B627" s="8" t="str" cm="1">
        <f t="array" ref="B627">_xlfn.IFS(A627 &lt;= 25, "[18-25]", A627 &lt;= 35, "[26-35]", A627 &lt;=45, "[36-45]", A627 &lt;= 60, "[46- 60]")</f>
        <v>[36-45]</v>
      </c>
      <c r="C627" s="3" t="s">
        <v>43</v>
      </c>
      <c r="D627">
        <f t="shared" si="9"/>
        <v>0</v>
      </c>
      <c r="E627" t="s">
        <v>36</v>
      </c>
      <c r="F627" s="1">
        <v>930</v>
      </c>
      <c r="G627" s="3" t="s">
        <v>37</v>
      </c>
      <c r="H627" s="1">
        <v>9</v>
      </c>
      <c r="I627" s="9" t="str" cm="1">
        <f t="array" ref="I627">_xlfn.IFS(H627 &lt;= 2, "[1-2] very close", H627 &lt;= 10, "[3-10] close", H627 &lt;= 20, "[11-20] moderate", H627 &lt;= 30, "[21-30] far")</f>
        <v>[3-10] close</v>
      </c>
      <c r="J627" s="1">
        <v>3</v>
      </c>
      <c r="K627" s="3" t="s">
        <v>59</v>
      </c>
      <c r="L627" s="1">
        <v>1</v>
      </c>
      <c r="M627" s="1">
        <v>864</v>
      </c>
      <c r="N627" s="1">
        <v>4</v>
      </c>
      <c r="O627" s="3" t="s">
        <v>46</v>
      </c>
      <c r="P627" s="1">
        <v>74</v>
      </c>
      <c r="Q627" s="1">
        <v>3</v>
      </c>
      <c r="R627" s="1">
        <v>3</v>
      </c>
      <c r="S627" s="3" t="s">
        <v>40</v>
      </c>
      <c r="T627" s="1">
        <v>1</v>
      </c>
      <c r="U627" s="3" t="s">
        <v>52</v>
      </c>
      <c r="V627" s="4">
        <v>10761</v>
      </c>
      <c r="W627" s="1">
        <v>19239</v>
      </c>
      <c r="X627" s="1">
        <v>4</v>
      </c>
      <c r="Y627" s="3" t="s">
        <v>42</v>
      </c>
      <c r="Z627" s="3" t="s">
        <v>35</v>
      </c>
      <c r="AA627" s="5">
        <v>0.12</v>
      </c>
      <c r="AB627" s="10" t="str" cm="1">
        <f t="array" ref="AB627">_xlfn.IFS(AA627 &lt;= 15%, "Low Hike[11-15%]", AA627 &lt;= 20%, "Moderate Hike[16-20%]", AA627 &lt;= 25%,"High Hike[21-25%]")</f>
        <v>Low Hike[11-15%]</v>
      </c>
      <c r="AC627" s="1">
        <v>3</v>
      </c>
      <c r="AD627" s="1">
        <v>3</v>
      </c>
      <c r="AE627" s="1">
        <v>80</v>
      </c>
      <c r="AF627" s="1">
        <v>1</v>
      </c>
      <c r="AG627" s="1">
        <v>18</v>
      </c>
      <c r="AH627" s="9" t="str" cm="1">
        <f t="array" ref="AH627">_xlfn.IFS(AG627 &lt;= 5, "New[1-5]", AG627 &lt;= 10, "Early Career[6-10]", AG627 &lt;= 20, "Established[11-20]", AG627 &lt;= 30, "Veteran[21-30]", AG627 &lt;= 40, "Late Career[31-40]")</f>
        <v>Established[11-20]</v>
      </c>
      <c r="AI627" s="1">
        <v>2</v>
      </c>
      <c r="AJ627" s="1">
        <v>3</v>
      </c>
      <c r="AK627" s="1">
        <v>5</v>
      </c>
      <c r="AL627" s="9" t="str" cm="1">
        <f t="array" ref="AL627">_xlfn.IFS(AK627 &lt;= 5, "New[1-5]", AK627 &lt;= 10, "Early Career[6-10]", AK627 &lt;= 20, "Established[11-20]", AK627 &lt;= 30, "Veteran[21-30]", AK627 &lt;= 40, "Late Career[31-40]")</f>
        <v>New[1-5]</v>
      </c>
      <c r="AM627" s="1">
        <v>4</v>
      </c>
      <c r="AN627" s="9" t="str" cm="1">
        <f t="array" ref="AN627">_xlfn.IFS(AM627 &lt;= 3, "New to Role[1-3]", AM627 &lt;= 7, "Settled[4-7]", AM627 &lt;= 12, "Experienced[[8-12]", AM627 &lt;= 18, "Long Tenured[13-18]")</f>
        <v>Settled[4-7]</v>
      </c>
      <c r="AO627" s="1">
        <v>0</v>
      </c>
      <c r="AP627" s="9" t="str" cm="1">
        <f t="array" ref="AP627">_xlfn.IFS(AO627 &lt;= 3, "Recently[1-3]", AO627 &lt;= 6, "Due Soon[4-6]", AO627 &lt;= 10, "Overdue[7-10]", AO627 &lt;= 15, "Long Overdue[11-15]")</f>
        <v>Recently[1-3]</v>
      </c>
      <c r="AQ627" s="9" t="str" cm="1">
        <f t="array" ref="AQ627">_xlfn.IFS(AR627 &lt;= 3, "New Relationship[1-3]", AR627 &lt;= 7, "Established Relationship[4-7]", AR627 &lt;= 12, "Long Term Relationship[8-12]", AR627 &lt;= 17, "Very Long Term Relationship[13-17]")</f>
        <v>New Relationship[1-3]</v>
      </c>
      <c r="AR627" s="1">
        <v>2</v>
      </c>
    </row>
    <row r="628" spans="1:44" x14ac:dyDescent="0.25">
      <c r="A628" s="1">
        <v>32</v>
      </c>
      <c r="B628" s="8" t="str" cm="1">
        <f t="array" ref="B628">_xlfn.IFS(A628 &lt;= 25, "[18-25]", A628 &lt;= 35, "[26-35]", A628 &lt;=45, "[36-45]", A628 &lt;= 60, "[46- 60]")</f>
        <v>[26-35]</v>
      </c>
      <c r="C628" s="3" t="s">
        <v>43</v>
      </c>
      <c r="D628">
        <f t="shared" si="9"/>
        <v>0</v>
      </c>
      <c r="E628" t="s">
        <v>36</v>
      </c>
      <c r="F628" s="1">
        <v>638</v>
      </c>
      <c r="G628" s="3" t="s">
        <v>45</v>
      </c>
      <c r="H628" s="1">
        <v>8</v>
      </c>
      <c r="I628" s="9" t="str" cm="1">
        <f t="array" ref="I628">_xlfn.IFS(H628 &lt;= 2, "[1-2] very close", H628 &lt;= 10, "[3-10] close", H628 &lt;= 20, "[11-20] moderate", H628 &lt;= 30, "[21-30] far")</f>
        <v>[3-10] close</v>
      </c>
      <c r="J628" s="1">
        <v>2</v>
      </c>
      <c r="K628" s="3" t="s">
        <v>51</v>
      </c>
      <c r="L628" s="1">
        <v>1</v>
      </c>
      <c r="M628" s="1">
        <v>865</v>
      </c>
      <c r="N628" s="1">
        <v>3</v>
      </c>
      <c r="O628" s="3" t="s">
        <v>39</v>
      </c>
      <c r="P628" s="1">
        <v>91</v>
      </c>
      <c r="Q628" s="1">
        <v>4</v>
      </c>
      <c r="R628" s="1">
        <v>2</v>
      </c>
      <c r="S628" s="3" t="s">
        <v>47</v>
      </c>
      <c r="T628" s="1">
        <v>3</v>
      </c>
      <c r="U628" s="3" t="s">
        <v>48</v>
      </c>
      <c r="V628" s="4">
        <v>5175</v>
      </c>
      <c r="W628" s="1">
        <v>22162</v>
      </c>
      <c r="X628" s="1">
        <v>5</v>
      </c>
      <c r="Y628" s="3" t="s">
        <v>42</v>
      </c>
      <c r="Z628" s="3" t="s">
        <v>43</v>
      </c>
      <c r="AA628" s="5">
        <v>0.12</v>
      </c>
      <c r="AB628" s="10" t="str" cm="1">
        <f t="array" ref="AB628">_xlfn.IFS(AA628 &lt;= 15%, "Low Hike[11-15%]", AA628 &lt;= 20%, "Moderate Hike[16-20%]", AA628 &lt;= 25%,"High Hike[21-25%]")</f>
        <v>Low Hike[11-15%]</v>
      </c>
      <c r="AC628" s="1">
        <v>3</v>
      </c>
      <c r="AD628" s="1">
        <v>3</v>
      </c>
      <c r="AE628" s="1">
        <v>80</v>
      </c>
      <c r="AF628" s="1">
        <v>1</v>
      </c>
      <c r="AG628" s="1">
        <v>9</v>
      </c>
      <c r="AH628" s="9" t="str" cm="1">
        <f t="array" ref="AH628">_xlfn.IFS(AG628 &lt;= 5, "New[1-5]", AG628 &lt;= 10, "Early Career[6-10]", AG628 &lt;= 20, "Established[11-20]", AG628 &lt;= 30, "Veteran[21-30]", AG628 &lt;= 40, "Late Career[31-40]")</f>
        <v>Early Career[6-10]</v>
      </c>
      <c r="AI628" s="1">
        <v>3</v>
      </c>
      <c r="AJ628" s="1">
        <v>2</v>
      </c>
      <c r="AK628" s="1">
        <v>5</v>
      </c>
      <c r="AL628" s="9" t="str" cm="1">
        <f t="array" ref="AL628">_xlfn.IFS(AK628 &lt;= 5, "New[1-5]", AK628 &lt;= 10, "Early Career[6-10]", AK628 &lt;= 20, "Established[11-20]", AK628 &lt;= 30, "Veteran[21-30]", AK628 &lt;= 40, "Late Career[31-40]")</f>
        <v>New[1-5]</v>
      </c>
      <c r="AM628" s="1">
        <v>3</v>
      </c>
      <c r="AN628" s="9" t="str" cm="1">
        <f t="array" ref="AN628">_xlfn.IFS(AM628 &lt;= 3, "New to Role[1-3]", AM628 &lt;= 7, "Settled[4-7]", AM628 &lt;= 12, "Experienced[[8-12]", AM628 &lt;= 18, "Long Tenured[13-18]")</f>
        <v>New to Role[1-3]</v>
      </c>
      <c r="AO628" s="1">
        <v>1</v>
      </c>
      <c r="AP628" s="9" t="str" cm="1">
        <f t="array" ref="AP628">_xlfn.IFS(AO628 &lt;= 3, "Recently[1-3]", AO628 &lt;= 6, "Due Soon[4-6]", AO628 &lt;= 10, "Overdue[7-10]", AO628 &lt;= 15, "Long Overdue[11-15]")</f>
        <v>Recently[1-3]</v>
      </c>
      <c r="AQ628" s="9" t="str" cm="1">
        <f t="array" ref="AQ628">_xlfn.IFS(AR628 &lt;= 3, "New Relationship[1-3]", AR628 &lt;= 7, "Established Relationship[4-7]", AR628 &lt;= 12, "Long Term Relationship[8-12]", AR628 &lt;= 17, "Very Long Term Relationship[13-17]")</f>
        <v>New Relationship[1-3]</v>
      </c>
      <c r="AR628" s="1">
        <v>3</v>
      </c>
    </row>
    <row r="629" spans="1:44" x14ac:dyDescent="0.25">
      <c r="A629" s="1">
        <v>52</v>
      </c>
      <c r="B629" s="8" t="str" cm="1">
        <f t="array" ref="B629">_xlfn.IFS(A629 &lt;= 25, "[18-25]", A629 &lt;= 35, "[26-35]", A629 &lt;=45, "[36-45]", A629 &lt;= 60, "[46- 60]")</f>
        <v>[46- 60]</v>
      </c>
      <c r="C629" s="3" t="s">
        <v>43</v>
      </c>
      <c r="D629">
        <f t="shared" si="9"/>
        <v>0</v>
      </c>
      <c r="E629" t="s">
        <v>44</v>
      </c>
      <c r="F629" s="1">
        <v>890</v>
      </c>
      <c r="G629" s="3" t="s">
        <v>45</v>
      </c>
      <c r="H629" s="1">
        <v>25</v>
      </c>
      <c r="I629" s="9" t="str" cm="1">
        <f t="array" ref="I629">_xlfn.IFS(H629 &lt;= 2, "[1-2] very close", H629 &lt;= 10, "[3-10] close", H629 &lt;= 20, "[11-20] moderate", H629 &lt;= 30, "[21-30] far")</f>
        <v>[21-30] far</v>
      </c>
      <c r="J629" s="1">
        <v>4</v>
      </c>
      <c r="K629" s="3" t="s">
        <v>51</v>
      </c>
      <c r="L629" s="1">
        <v>1</v>
      </c>
      <c r="M629" s="1">
        <v>867</v>
      </c>
      <c r="N629" s="1">
        <v>3</v>
      </c>
      <c r="O629" s="3" t="s">
        <v>39</v>
      </c>
      <c r="P629" s="1">
        <v>81</v>
      </c>
      <c r="Q629" s="1">
        <v>2</v>
      </c>
      <c r="R629" s="1">
        <v>4</v>
      </c>
      <c r="S629" s="3" t="s">
        <v>53</v>
      </c>
      <c r="T629" s="1">
        <v>4</v>
      </c>
      <c r="U629" s="3" t="s">
        <v>48</v>
      </c>
      <c r="V629" s="4">
        <v>13826</v>
      </c>
      <c r="W629" s="1">
        <v>19028</v>
      </c>
      <c r="X629" s="1">
        <v>3</v>
      </c>
      <c r="Y629" s="3" t="s">
        <v>42</v>
      </c>
      <c r="Z629" s="3" t="s">
        <v>43</v>
      </c>
      <c r="AA629" s="5">
        <v>0.22</v>
      </c>
      <c r="AB629" s="10" t="str" cm="1">
        <f t="array" ref="AB629">_xlfn.IFS(AA629 &lt;= 15%, "Low Hike[11-15%]", AA629 &lt;= 20%, "Moderate Hike[16-20%]", AA629 &lt;= 25%,"High Hike[21-25%]")</f>
        <v>High Hike[21-25%]</v>
      </c>
      <c r="AC629" s="1">
        <v>4</v>
      </c>
      <c r="AD629" s="1">
        <v>3</v>
      </c>
      <c r="AE629" s="1">
        <v>80</v>
      </c>
      <c r="AF629" s="1">
        <v>0</v>
      </c>
      <c r="AG629" s="1">
        <v>31</v>
      </c>
      <c r="AH629" s="9" t="str" cm="1">
        <f t="array" ref="AH629">_xlfn.IFS(AG629 &lt;= 5, "New[1-5]", AG629 &lt;= 10, "Early Career[6-10]", AG629 &lt;= 20, "Established[11-20]", AG629 &lt;= 30, "Veteran[21-30]", AG629 &lt;= 40, "Late Career[31-40]")</f>
        <v>Late Career[31-40]</v>
      </c>
      <c r="AI629" s="1">
        <v>3</v>
      </c>
      <c r="AJ629" s="1">
        <v>3</v>
      </c>
      <c r="AK629" s="1">
        <v>9</v>
      </c>
      <c r="AL629" s="9" t="str" cm="1">
        <f t="array" ref="AL629">_xlfn.IFS(AK629 &lt;= 5, "New[1-5]", AK629 &lt;= 10, "Early Career[6-10]", AK629 &lt;= 20, "Established[11-20]", AK629 &lt;= 30, "Veteran[21-30]", AK629 &lt;= 40, "Late Career[31-40]")</f>
        <v>Early Career[6-10]</v>
      </c>
      <c r="AM629" s="1">
        <v>8</v>
      </c>
      <c r="AN629" s="9" t="str" cm="1">
        <f t="array" ref="AN629">_xlfn.IFS(AM629 &lt;= 3, "New to Role[1-3]", AM629 &lt;= 7, "Settled[4-7]", AM629 &lt;= 12, "Experienced[[8-12]", AM629 &lt;= 18, "Long Tenured[13-18]")</f>
        <v>Experienced[[8-12]</v>
      </c>
      <c r="AO629" s="1">
        <v>0</v>
      </c>
      <c r="AP629" s="9" t="str" cm="1">
        <f t="array" ref="AP629">_xlfn.IFS(AO629 &lt;= 3, "Recently[1-3]", AO629 &lt;= 6, "Due Soon[4-6]", AO629 &lt;= 10, "Overdue[7-10]", AO629 &lt;= 15, "Long Overdue[11-15]")</f>
        <v>Recently[1-3]</v>
      </c>
      <c r="AQ629" s="9" t="str" cm="1">
        <f t="array" ref="AQ629">_xlfn.IFS(AR629 &lt;= 3, "New Relationship[1-3]", AR629 &lt;= 7, "Established Relationship[4-7]", AR629 &lt;= 12, "Long Term Relationship[8-12]", AR629 &lt;= 17, "Very Long Term Relationship[13-17]")</f>
        <v>New Relationship[1-3]</v>
      </c>
      <c r="AR629" s="1">
        <v>0</v>
      </c>
    </row>
    <row r="630" spans="1:44" x14ac:dyDescent="0.25">
      <c r="A630" s="1">
        <v>37</v>
      </c>
      <c r="B630" s="8" t="str" cm="1">
        <f t="array" ref="B630">_xlfn.IFS(A630 &lt;= 25, "[18-25]", A630 &lt;= 35, "[26-35]", A630 &lt;=45, "[36-45]", A630 &lt;= 60, "[46- 60]")</f>
        <v>[36-45]</v>
      </c>
      <c r="C630" s="3" t="s">
        <v>43</v>
      </c>
      <c r="D630">
        <f t="shared" si="9"/>
        <v>0</v>
      </c>
      <c r="E630" t="s">
        <v>36</v>
      </c>
      <c r="F630" s="1">
        <v>342</v>
      </c>
      <c r="G630" s="3" t="s">
        <v>37</v>
      </c>
      <c r="H630" s="1">
        <v>16</v>
      </c>
      <c r="I630" s="9" t="str" cm="1">
        <f t="array" ref="I630">_xlfn.IFS(H630 &lt;= 2, "[1-2] very close", H630 &lt;= 10, "[3-10] close", H630 &lt;= 20, "[11-20] moderate", H630 &lt;= 30, "[21-30] far")</f>
        <v>[11-20] moderate</v>
      </c>
      <c r="J630" s="1">
        <v>4</v>
      </c>
      <c r="K630" s="3" t="s">
        <v>59</v>
      </c>
      <c r="L630" s="1">
        <v>1</v>
      </c>
      <c r="M630" s="1">
        <v>868</v>
      </c>
      <c r="N630" s="1">
        <v>4</v>
      </c>
      <c r="O630" s="3" t="s">
        <v>46</v>
      </c>
      <c r="P630" s="1">
        <v>66</v>
      </c>
      <c r="Q630" s="1">
        <v>2</v>
      </c>
      <c r="R630" s="1">
        <v>2</v>
      </c>
      <c r="S630" s="3" t="s">
        <v>40</v>
      </c>
      <c r="T630" s="1">
        <v>3</v>
      </c>
      <c r="U630" s="3" t="s">
        <v>52</v>
      </c>
      <c r="V630" s="4">
        <v>6334</v>
      </c>
      <c r="W630" s="1">
        <v>24558</v>
      </c>
      <c r="X630" s="1">
        <v>4</v>
      </c>
      <c r="Y630" s="3" t="s">
        <v>42</v>
      </c>
      <c r="Z630" s="3" t="s">
        <v>43</v>
      </c>
      <c r="AA630" s="5">
        <v>0.19</v>
      </c>
      <c r="AB630" s="10" t="str" cm="1">
        <f t="array" ref="AB630">_xlfn.IFS(AA630 &lt;= 15%, "Low Hike[11-15%]", AA630 &lt;= 20%, "Moderate Hike[16-20%]", AA630 &lt;= 25%,"High Hike[21-25%]")</f>
        <v>Moderate Hike[16-20%]</v>
      </c>
      <c r="AC630" s="1">
        <v>3</v>
      </c>
      <c r="AD630" s="1">
        <v>4</v>
      </c>
      <c r="AE630" s="1">
        <v>80</v>
      </c>
      <c r="AF630" s="1">
        <v>2</v>
      </c>
      <c r="AG630" s="1">
        <v>9</v>
      </c>
      <c r="AH630" s="9" t="str" cm="1">
        <f t="array" ref="AH630">_xlfn.IFS(AG630 &lt;= 5, "New[1-5]", AG630 &lt;= 10, "Early Career[6-10]", AG630 &lt;= 20, "Established[11-20]", AG630 &lt;= 30, "Veteran[21-30]", AG630 &lt;= 40, "Late Career[31-40]")</f>
        <v>Early Career[6-10]</v>
      </c>
      <c r="AI630" s="1">
        <v>2</v>
      </c>
      <c r="AJ630" s="1">
        <v>3</v>
      </c>
      <c r="AK630" s="1">
        <v>1</v>
      </c>
      <c r="AL630" s="9" t="str" cm="1">
        <f t="array" ref="AL630">_xlfn.IFS(AK630 &lt;= 5, "New[1-5]", AK630 &lt;= 10, "Early Career[6-10]", AK630 &lt;= 20, "Established[11-20]", AK630 &lt;= 30, "Veteran[21-30]", AK630 &lt;= 40, "Late Career[31-40]")</f>
        <v>New[1-5]</v>
      </c>
      <c r="AM630" s="1">
        <v>0</v>
      </c>
      <c r="AN630" s="9" t="str" cm="1">
        <f t="array" ref="AN630">_xlfn.IFS(AM630 &lt;= 3, "New to Role[1-3]", AM630 &lt;= 7, "Settled[4-7]", AM630 &lt;= 12, "Experienced[[8-12]", AM630 &lt;= 18, "Long Tenured[13-18]")</f>
        <v>New to Role[1-3]</v>
      </c>
      <c r="AO630" s="1">
        <v>0</v>
      </c>
      <c r="AP630" s="9" t="str" cm="1">
        <f t="array" ref="AP630">_xlfn.IFS(AO630 &lt;= 3, "Recently[1-3]", AO630 &lt;= 6, "Due Soon[4-6]", AO630 &lt;= 10, "Overdue[7-10]", AO630 &lt;= 15, "Long Overdue[11-15]")</f>
        <v>Recently[1-3]</v>
      </c>
      <c r="AQ630" s="9" t="str" cm="1">
        <f t="array" ref="AQ630">_xlfn.IFS(AR630 &lt;= 3, "New Relationship[1-3]", AR630 &lt;= 7, "Established Relationship[4-7]", AR630 &lt;= 12, "Long Term Relationship[8-12]", AR630 &lt;= 17, "Very Long Term Relationship[13-17]")</f>
        <v>New Relationship[1-3]</v>
      </c>
      <c r="AR630" s="1">
        <v>0</v>
      </c>
    </row>
    <row r="631" spans="1:44" x14ac:dyDescent="0.25">
      <c r="A631" s="1">
        <v>28</v>
      </c>
      <c r="B631" s="8" t="str" cm="1">
        <f t="array" ref="B631">_xlfn.IFS(A631 &lt;= 25, "[18-25]", A631 &lt;= 35, "[26-35]", A631 &lt;=45, "[36-45]", A631 &lt;= 60, "[46- 60]")</f>
        <v>[26-35]</v>
      </c>
      <c r="C631" s="3" t="s">
        <v>43</v>
      </c>
      <c r="D631">
        <f t="shared" si="9"/>
        <v>0</v>
      </c>
      <c r="E631" t="s">
        <v>36</v>
      </c>
      <c r="F631" s="1">
        <v>1169</v>
      </c>
      <c r="G631" s="3" t="s">
        <v>61</v>
      </c>
      <c r="H631" s="1">
        <v>8</v>
      </c>
      <c r="I631" s="9" t="str" cm="1">
        <f t="array" ref="I631">_xlfn.IFS(H631 &lt;= 2, "[1-2] very close", H631 &lt;= 10, "[3-10] close", H631 &lt;= 20, "[11-20] moderate", H631 &lt;= 30, "[21-30] far")</f>
        <v>[3-10] close</v>
      </c>
      <c r="J631" s="1">
        <v>2</v>
      </c>
      <c r="K631" s="3" t="s">
        <v>51</v>
      </c>
      <c r="L631" s="1">
        <v>1</v>
      </c>
      <c r="M631" s="1">
        <v>869</v>
      </c>
      <c r="N631" s="1">
        <v>2</v>
      </c>
      <c r="O631" s="3" t="s">
        <v>46</v>
      </c>
      <c r="P631" s="1">
        <v>63</v>
      </c>
      <c r="Q631" s="1">
        <v>2</v>
      </c>
      <c r="R631" s="1">
        <v>1</v>
      </c>
      <c r="S631" s="3" t="s">
        <v>61</v>
      </c>
      <c r="T631" s="1">
        <v>4</v>
      </c>
      <c r="U631" s="3" t="s">
        <v>52</v>
      </c>
      <c r="V631" s="4">
        <v>4936</v>
      </c>
      <c r="W631" s="1">
        <v>23965</v>
      </c>
      <c r="X631" s="1">
        <v>1</v>
      </c>
      <c r="Y631" s="3" t="s">
        <v>42</v>
      </c>
      <c r="Z631" s="3" t="s">
        <v>43</v>
      </c>
      <c r="AA631" s="5">
        <v>0.13</v>
      </c>
      <c r="AB631" s="10" t="str" cm="1">
        <f t="array" ref="AB631">_xlfn.IFS(AA631 &lt;= 15%, "Low Hike[11-15%]", AA631 &lt;= 20%, "Moderate Hike[16-20%]", AA631 &lt;= 25%,"High Hike[21-25%]")</f>
        <v>Low Hike[11-15%]</v>
      </c>
      <c r="AC631" s="1">
        <v>3</v>
      </c>
      <c r="AD631" s="1">
        <v>4</v>
      </c>
      <c r="AE631" s="1">
        <v>80</v>
      </c>
      <c r="AF631" s="1">
        <v>1</v>
      </c>
      <c r="AG631" s="1">
        <v>6</v>
      </c>
      <c r="AH631" s="9" t="str" cm="1">
        <f t="array" ref="AH631">_xlfn.IFS(AG631 &lt;= 5, "New[1-5]", AG631 &lt;= 10, "Early Career[6-10]", AG631 &lt;= 20, "Established[11-20]", AG631 &lt;= 30, "Veteran[21-30]", AG631 &lt;= 40, "Late Career[31-40]")</f>
        <v>Early Career[6-10]</v>
      </c>
      <c r="AI631" s="1">
        <v>6</v>
      </c>
      <c r="AJ631" s="1">
        <v>3</v>
      </c>
      <c r="AK631" s="1">
        <v>5</v>
      </c>
      <c r="AL631" s="9" t="str" cm="1">
        <f t="array" ref="AL631">_xlfn.IFS(AK631 &lt;= 5, "New[1-5]", AK631 &lt;= 10, "Early Career[6-10]", AK631 &lt;= 20, "Established[11-20]", AK631 &lt;= 30, "Veteran[21-30]", AK631 &lt;= 40, "Late Career[31-40]")</f>
        <v>New[1-5]</v>
      </c>
      <c r="AM631" s="1">
        <v>1</v>
      </c>
      <c r="AN631" s="9" t="str" cm="1">
        <f t="array" ref="AN631">_xlfn.IFS(AM631 &lt;= 3, "New to Role[1-3]", AM631 &lt;= 7, "Settled[4-7]", AM631 &lt;= 12, "Experienced[[8-12]", AM631 &lt;= 18, "Long Tenured[13-18]")</f>
        <v>New to Role[1-3]</v>
      </c>
      <c r="AO631" s="1">
        <v>0</v>
      </c>
      <c r="AP631" s="9" t="str" cm="1">
        <f t="array" ref="AP631">_xlfn.IFS(AO631 &lt;= 3, "Recently[1-3]", AO631 &lt;= 6, "Due Soon[4-6]", AO631 &lt;= 10, "Overdue[7-10]", AO631 &lt;= 15, "Long Overdue[11-15]")</f>
        <v>Recently[1-3]</v>
      </c>
      <c r="AQ631" s="9" t="str" cm="1">
        <f t="array" ref="AQ631">_xlfn.IFS(AR631 &lt;= 3, "New Relationship[1-3]", AR631 &lt;= 7, "Established Relationship[4-7]", AR631 &lt;= 12, "Long Term Relationship[8-12]", AR631 &lt;= 17, "Very Long Term Relationship[13-17]")</f>
        <v>Established Relationship[4-7]</v>
      </c>
      <c r="AR631" s="1">
        <v>4</v>
      </c>
    </row>
    <row r="632" spans="1:44" x14ac:dyDescent="0.25">
      <c r="A632" s="1">
        <v>22</v>
      </c>
      <c r="B632" s="8" t="str" cm="1">
        <f t="array" ref="B632">_xlfn.IFS(A632 &lt;= 25, "[18-25]", A632 &lt;= 35, "[26-35]", A632 &lt;=45, "[36-45]", A632 &lt;= 60, "[46- 60]")</f>
        <v>[18-25]</v>
      </c>
      <c r="C632" s="3" t="s">
        <v>43</v>
      </c>
      <c r="D632">
        <f t="shared" si="9"/>
        <v>0</v>
      </c>
      <c r="E632" t="s">
        <v>36</v>
      </c>
      <c r="F632" s="1">
        <v>1230</v>
      </c>
      <c r="G632" s="3" t="s">
        <v>45</v>
      </c>
      <c r="H632" s="1">
        <v>1</v>
      </c>
      <c r="I632" s="9" t="str" cm="1">
        <f t="array" ref="I632">_xlfn.IFS(H632 &lt;= 2, "[1-2] very close", H632 &lt;= 10, "[3-10] close", H632 &lt;= 20, "[11-20] moderate", H632 &lt;= 30, "[21-30] far")</f>
        <v>[1-2] very close</v>
      </c>
      <c r="J632" s="1">
        <v>2</v>
      </c>
      <c r="K632" s="3" t="s">
        <v>38</v>
      </c>
      <c r="L632" s="1">
        <v>1</v>
      </c>
      <c r="M632" s="1">
        <v>872</v>
      </c>
      <c r="N632" s="1">
        <v>4</v>
      </c>
      <c r="O632" s="3" t="s">
        <v>46</v>
      </c>
      <c r="P632" s="1">
        <v>33</v>
      </c>
      <c r="Q632" s="1">
        <v>2</v>
      </c>
      <c r="R632" s="1">
        <v>2</v>
      </c>
      <c r="S632" s="3" t="s">
        <v>53</v>
      </c>
      <c r="T632" s="1">
        <v>4</v>
      </c>
      <c r="U632" s="3" t="s">
        <v>48</v>
      </c>
      <c r="V632" s="4">
        <v>4775</v>
      </c>
      <c r="W632" s="1">
        <v>19146</v>
      </c>
      <c r="X632" s="1">
        <v>6</v>
      </c>
      <c r="Y632" s="3" t="s">
        <v>42</v>
      </c>
      <c r="Z632" s="3" t="s">
        <v>43</v>
      </c>
      <c r="AA632" s="5">
        <v>0.22</v>
      </c>
      <c r="AB632" s="10" t="str" cm="1">
        <f t="array" ref="AB632">_xlfn.IFS(AA632 &lt;= 15%, "Low Hike[11-15%]", AA632 &lt;= 20%, "Moderate Hike[16-20%]", AA632 &lt;= 25%,"High Hike[21-25%]")</f>
        <v>High Hike[21-25%]</v>
      </c>
      <c r="AC632" s="1">
        <v>4</v>
      </c>
      <c r="AD632" s="1">
        <v>1</v>
      </c>
      <c r="AE632" s="1">
        <v>80</v>
      </c>
      <c r="AF632" s="1">
        <v>2</v>
      </c>
      <c r="AG632" s="1">
        <v>4</v>
      </c>
      <c r="AH632" s="9" t="str" cm="1">
        <f t="array" ref="AH632">_xlfn.IFS(AG632 &lt;= 5, "New[1-5]", AG632 &lt;= 10, "Early Career[6-10]", AG632 &lt;= 20, "Established[11-20]", AG632 &lt;= 30, "Veteran[21-30]", AG632 &lt;= 40, "Late Career[31-40]")</f>
        <v>New[1-5]</v>
      </c>
      <c r="AI632" s="1">
        <v>2</v>
      </c>
      <c r="AJ632" s="1">
        <v>1</v>
      </c>
      <c r="AK632" s="1">
        <v>2</v>
      </c>
      <c r="AL632" s="9" t="str" cm="1">
        <f t="array" ref="AL632">_xlfn.IFS(AK632 &lt;= 5, "New[1-5]", AK632 &lt;= 10, "Early Career[6-10]", AK632 &lt;= 20, "Established[11-20]", AK632 &lt;= 30, "Veteran[21-30]", AK632 &lt;= 40, "Late Career[31-40]")</f>
        <v>New[1-5]</v>
      </c>
      <c r="AM632" s="1">
        <v>2</v>
      </c>
      <c r="AN632" s="9" t="str" cm="1">
        <f t="array" ref="AN632">_xlfn.IFS(AM632 &lt;= 3, "New to Role[1-3]", AM632 &lt;= 7, "Settled[4-7]", AM632 &lt;= 12, "Experienced[[8-12]", AM632 &lt;= 18, "Long Tenured[13-18]")</f>
        <v>New to Role[1-3]</v>
      </c>
      <c r="AO632" s="1">
        <v>2</v>
      </c>
      <c r="AP632" s="9" t="str" cm="1">
        <f t="array" ref="AP632">_xlfn.IFS(AO632 &lt;= 3, "Recently[1-3]", AO632 &lt;= 6, "Due Soon[4-6]", AO632 &lt;= 10, "Overdue[7-10]", AO632 &lt;= 15, "Long Overdue[11-15]")</f>
        <v>Recently[1-3]</v>
      </c>
      <c r="AQ632" s="9" t="str" cm="1">
        <f t="array" ref="AQ632">_xlfn.IFS(AR632 &lt;= 3, "New Relationship[1-3]", AR632 &lt;= 7, "Established Relationship[4-7]", AR632 &lt;= 12, "Long Term Relationship[8-12]", AR632 &lt;= 17, "Very Long Term Relationship[13-17]")</f>
        <v>New Relationship[1-3]</v>
      </c>
      <c r="AR632" s="1">
        <v>2</v>
      </c>
    </row>
    <row r="633" spans="1:44" x14ac:dyDescent="0.25">
      <c r="A633" s="1">
        <v>44</v>
      </c>
      <c r="B633" s="8" t="str" cm="1">
        <f t="array" ref="B633">_xlfn.IFS(A633 &lt;= 25, "[18-25]", A633 &lt;= 35, "[26-35]", A633 &lt;=45, "[36-45]", A633 &lt;= 60, "[46- 60]")</f>
        <v>[36-45]</v>
      </c>
      <c r="C633" s="3" t="s">
        <v>43</v>
      </c>
      <c r="D633">
        <f t="shared" si="9"/>
        <v>0</v>
      </c>
      <c r="E633" t="s">
        <v>36</v>
      </c>
      <c r="F633" s="1">
        <v>986</v>
      </c>
      <c r="G633" s="3" t="s">
        <v>45</v>
      </c>
      <c r="H633" s="1">
        <v>8</v>
      </c>
      <c r="I633" s="9" t="str" cm="1">
        <f t="array" ref="I633">_xlfn.IFS(H633 &lt;= 2, "[1-2] very close", H633 &lt;= 10, "[3-10] close", H633 &lt;= 20, "[11-20] moderate", H633 &lt;= 30, "[21-30] far")</f>
        <v>[3-10] close</v>
      </c>
      <c r="J633" s="1">
        <v>4</v>
      </c>
      <c r="K633" s="3" t="s">
        <v>38</v>
      </c>
      <c r="L633" s="1">
        <v>1</v>
      </c>
      <c r="M633" s="1">
        <v>874</v>
      </c>
      <c r="N633" s="1">
        <v>1</v>
      </c>
      <c r="O633" s="3" t="s">
        <v>46</v>
      </c>
      <c r="P633" s="1">
        <v>62</v>
      </c>
      <c r="Q633" s="1">
        <v>4</v>
      </c>
      <c r="R633" s="1">
        <v>1</v>
      </c>
      <c r="S633" s="3" t="s">
        <v>50</v>
      </c>
      <c r="T633" s="1">
        <v>4</v>
      </c>
      <c r="U633" s="3" t="s">
        <v>48</v>
      </c>
      <c r="V633" s="4">
        <v>2818</v>
      </c>
      <c r="W633" s="1">
        <v>5044</v>
      </c>
      <c r="X633" s="1">
        <v>2</v>
      </c>
      <c r="Y633" s="3" t="s">
        <v>42</v>
      </c>
      <c r="Z633" s="3" t="s">
        <v>35</v>
      </c>
      <c r="AA633" s="5">
        <v>0.24</v>
      </c>
      <c r="AB633" s="10" t="str" cm="1">
        <f t="array" ref="AB633">_xlfn.IFS(AA633 &lt;= 15%, "Low Hike[11-15%]", AA633 &lt;= 20%, "Moderate Hike[16-20%]", AA633 &lt;= 25%,"High Hike[21-25%]")</f>
        <v>High Hike[21-25%]</v>
      </c>
      <c r="AC633" s="1">
        <v>4</v>
      </c>
      <c r="AD633" s="1">
        <v>3</v>
      </c>
      <c r="AE633" s="1">
        <v>80</v>
      </c>
      <c r="AF633" s="1">
        <v>1</v>
      </c>
      <c r="AG633" s="1">
        <v>10</v>
      </c>
      <c r="AH633" s="9" t="str" cm="1">
        <f t="array" ref="AH633">_xlfn.IFS(AG633 &lt;= 5, "New[1-5]", AG633 &lt;= 10, "Early Career[6-10]", AG633 &lt;= 20, "Established[11-20]", AG633 &lt;= 30, "Veteran[21-30]", AG633 &lt;= 40, "Late Career[31-40]")</f>
        <v>Early Career[6-10]</v>
      </c>
      <c r="AI633" s="1">
        <v>2</v>
      </c>
      <c r="AJ633" s="1">
        <v>2</v>
      </c>
      <c r="AK633" s="1">
        <v>3</v>
      </c>
      <c r="AL633" s="9" t="str" cm="1">
        <f t="array" ref="AL633">_xlfn.IFS(AK633 &lt;= 5, "New[1-5]", AK633 &lt;= 10, "Early Career[6-10]", AK633 &lt;= 20, "Established[11-20]", AK633 &lt;= 30, "Veteran[21-30]", AK633 &lt;= 40, "Late Career[31-40]")</f>
        <v>New[1-5]</v>
      </c>
      <c r="AM633" s="1">
        <v>2</v>
      </c>
      <c r="AN633" s="9" t="str" cm="1">
        <f t="array" ref="AN633">_xlfn.IFS(AM633 &lt;= 3, "New to Role[1-3]", AM633 &lt;= 7, "Settled[4-7]", AM633 &lt;= 12, "Experienced[[8-12]", AM633 &lt;= 18, "Long Tenured[13-18]")</f>
        <v>New to Role[1-3]</v>
      </c>
      <c r="AO633" s="1">
        <v>0</v>
      </c>
      <c r="AP633" s="9" t="str" cm="1">
        <f t="array" ref="AP633">_xlfn.IFS(AO633 &lt;= 3, "Recently[1-3]", AO633 &lt;= 6, "Due Soon[4-6]", AO633 &lt;= 10, "Overdue[7-10]", AO633 &lt;= 15, "Long Overdue[11-15]")</f>
        <v>Recently[1-3]</v>
      </c>
      <c r="AQ633" s="9" t="str" cm="1">
        <f t="array" ref="AQ633">_xlfn.IFS(AR633 &lt;= 3, "New Relationship[1-3]", AR633 &lt;= 7, "Established Relationship[4-7]", AR633 &lt;= 12, "Long Term Relationship[8-12]", AR633 &lt;= 17, "Very Long Term Relationship[13-17]")</f>
        <v>New Relationship[1-3]</v>
      </c>
      <c r="AR633" s="1">
        <v>2</v>
      </c>
    </row>
    <row r="634" spans="1:44" x14ac:dyDescent="0.25">
      <c r="A634" s="1">
        <v>42</v>
      </c>
      <c r="B634" s="8" t="str" cm="1">
        <f t="array" ref="B634">_xlfn.IFS(A634 &lt;= 25, "[18-25]", A634 &lt;= 35, "[26-35]", A634 &lt;=45, "[36-45]", A634 &lt;= 60, "[46- 60]")</f>
        <v>[36-45]</v>
      </c>
      <c r="C634" s="3" t="s">
        <v>43</v>
      </c>
      <c r="D634">
        <f t="shared" si="9"/>
        <v>0</v>
      </c>
      <c r="E634" t="s">
        <v>44</v>
      </c>
      <c r="F634" s="1">
        <v>1271</v>
      </c>
      <c r="G634" s="3" t="s">
        <v>45</v>
      </c>
      <c r="H634" s="1">
        <v>2</v>
      </c>
      <c r="I634" s="9" t="str" cm="1">
        <f t="array" ref="I634">_xlfn.IFS(H634 &lt;= 2, "[1-2] very close", H634 &lt;= 10, "[3-10] close", H634 &lt;= 20, "[11-20] moderate", H634 &lt;= 30, "[21-30] far")</f>
        <v>[1-2] very close</v>
      </c>
      <c r="J634" s="1">
        <v>1</v>
      </c>
      <c r="K634" s="3" t="s">
        <v>51</v>
      </c>
      <c r="L634" s="1">
        <v>1</v>
      </c>
      <c r="M634" s="1">
        <v>875</v>
      </c>
      <c r="N634" s="1">
        <v>2</v>
      </c>
      <c r="O634" s="3" t="s">
        <v>46</v>
      </c>
      <c r="P634" s="1">
        <v>35</v>
      </c>
      <c r="Q634" s="1">
        <v>3</v>
      </c>
      <c r="R634" s="1">
        <v>1</v>
      </c>
      <c r="S634" s="3" t="s">
        <v>47</v>
      </c>
      <c r="T634" s="1">
        <v>4</v>
      </c>
      <c r="U634" s="3" t="s">
        <v>41</v>
      </c>
      <c r="V634" s="4">
        <v>2515</v>
      </c>
      <c r="W634" s="1">
        <v>9068</v>
      </c>
      <c r="X634" s="1">
        <v>5</v>
      </c>
      <c r="Y634" s="3" t="s">
        <v>42</v>
      </c>
      <c r="Z634" s="3" t="s">
        <v>35</v>
      </c>
      <c r="AA634" s="5">
        <v>0.14000000000000001</v>
      </c>
      <c r="AB634" s="10" t="str" cm="1">
        <f t="array" ref="AB634">_xlfn.IFS(AA634 &lt;= 15%, "Low Hike[11-15%]", AA634 &lt;= 20%, "Moderate Hike[16-20%]", AA634 &lt;= 25%,"High Hike[21-25%]")</f>
        <v>Low Hike[11-15%]</v>
      </c>
      <c r="AC634" s="1">
        <v>3</v>
      </c>
      <c r="AD634" s="1">
        <v>4</v>
      </c>
      <c r="AE634" s="1">
        <v>80</v>
      </c>
      <c r="AF634" s="1">
        <v>0</v>
      </c>
      <c r="AG634" s="1">
        <v>8</v>
      </c>
      <c r="AH634" s="9" t="str" cm="1">
        <f t="array" ref="AH634">_xlfn.IFS(AG634 &lt;= 5, "New[1-5]", AG634 &lt;= 10, "Early Career[6-10]", AG634 &lt;= 20, "Established[11-20]", AG634 &lt;= 30, "Veteran[21-30]", AG634 &lt;= 40, "Late Career[31-40]")</f>
        <v>Early Career[6-10]</v>
      </c>
      <c r="AI634" s="1">
        <v>2</v>
      </c>
      <c r="AJ634" s="1">
        <v>3</v>
      </c>
      <c r="AK634" s="1">
        <v>2</v>
      </c>
      <c r="AL634" s="9" t="str" cm="1">
        <f t="array" ref="AL634">_xlfn.IFS(AK634 &lt;= 5, "New[1-5]", AK634 &lt;= 10, "Early Career[6-10]", AK634 &lt;= 20, "Established[11-20]", AK634 &lt;= 30, "Veteran[21-30]", AK634 &lt;= 40, "Late Career[31-40]")</f>
        <v>New[1-5]</v>
      </c>
      <c r="AM634" s="1">
        <v>1</v>
      </c>
      <c r="AN634" s="9" t="str" cm="1">
        <f t="array" ref="AN634">_xlfn.IFS(AM634 &lt;= 3, "New to Role[1-3]", AM634 &lt;= 7, "Settled[4-7]", AM634 &lt;= 12, "Experienced[[8-12]", AM634 &lt;= 18, "Long Tenured[13-18]")</f>
        <v>New to Role[1-3]</v>
      </c>
      <c r="AO634" s="1">
        <v>2</v>
      </c>
      <c r="AP634" s="9" t="str" cm="1">
        <f t="array" ref="AP634">_xlfn.IFS(AO634 &lt;= 3, "Recently[1-3]", AO634 &lt;= 6, "Due Soon[4-6]", AO634 &lt;= 10, "Overdue[7-10]", AO634 &lt;= 15, "Long Overdue[11-15]")</f>
        <v>Recently[1-3]</v>
      </c>
      <c r="AQ634" s="9" t="str" cm="1">
        <f t="array" ref="AQ634">_xlfn.IFS(AR634 &lt;= 3, "New Relationship[1-3]", AR634 &lt;= 7, "Established Relationship[4-7]", AR634 &lt;= 12, "Long Term Relationship[8-12]", AR634 &lt;= 17, "Very Long Term Relationship[13-17]")</f>
        <v>New Relationship[1-3]</v>
      </c>
      <c r="AR634" s="1">
        <v>2</v>
      </c>
    </row>
    <row r="635" spans="1:44" x14ac:dyDescent="0.25">
      <c r="A635" s="1">
        <v>36</v>
      </c>
      <c r="B635" s="8" t="str" cm="1">
        <f t="array" ref="B635">_xlfn.IFS(A635 &lt;= 25, "[18-25]", A635 &lt;= 35, "[26-35]", A635 &lt;=45, "[36-45]", A635 &lt;= 60, "[46- 60]")</f>
        <v>[36-45]</v>
      </c>
      <c r="C635" s="3" t="s">
        <v>43</v>
      </c>
      <c r="D635">
        <f t="shared" si="9"/>
        <v>0</v>
      </c>
      <c r="E635" t="s">
        <v>36</v>
      </c>
      <c r="F635" s="1">
        <v>1278</v>
      </c>
      <c r="G635" s="3" t="s">
        <v>61</v>
      </c>
      <c r="H635" s="1">
        <v>8</v>
      </c>
      <c r="I635" s="9" t="str" cm="1">
        <f t="array" ref="I635">_xlfn.IFS(H635 &lt;= 2, "[1-2] very close", H635 &lt;= 10, "[3-10] close", H635 &lt;= 20, "[11-20] moderate", H635 &lt;= 30, "[21-30] far")</f>
        <v>[3-10] close</v>
      </c>
      <c r="J635" s="1">
        <v>3</v>
      </c>
      <c r="K635" s="3" t="s">
        <v>38</v>
      </c>
      <c r="L635" s="1">
        <v>1</v>
      </c>
      <c r="M635" s="1">
        <v>878</v>
      </c>
      <c r="N635" s="1">
        <v>1</v>
      </c>
      <c r="O635" s="3" t="s">
        <v>46</v>
      </c>
      <c r="P635" s="1">
        <v>77</v>
      </c>
      <c r="Q635" s="1">
        <v>2</v>
      </c>
      <c r="R635" s="1">
        <v>1</v>
      </c>
      <c r="S635" s="3" t="s">
        <v>61</v>
      </c>
      <c r="T635" s="1">
        <v>1</v>
      </c>
      <c r="U635" s="3" t="s">
        <v>48</v>
      </c>
      <c r="V635" s="4">
        <v>2342</v>
      </c>
      <c r="W635" s="1">
        <v>8635</v>
      </c>
      <c r="X635" s="1">
        <v>0</v>
      </c>
      <c r="Y635" s="3" t="s">
        <v>42</v>
      </c>
      <c r="Z635" s="3" t="s">
        <v>43</v>
      </c>
      <c r="AA635" s="5">
        <v>0.21</v>
      </c>
      <c r="AB635" s="10" t="str" cm="1">
        <f t="array" ref="AB635">_xlfn.IFS(AA635 &lt;= 15%, "Low Hike[11-15%]", AA635 &lt;= 20%, "Moderate Hike[16-20%]", AA635 &lt;= 25%,"High Hike[21-25%]")</f>
        <v>High Hike[21-25%]</v>
      </c>
      <c r="AC635" s="1">
        <v>4</v>
      </c>
      <c r="AD635" s="1">
        <v>3</v>
      </c>
      <c r="AE635" s="1">
        <v>80</v>
      </c>
      <c r="AF635" s="1">
        <v>0</v>
      </c>
      <c r="AG635" s="1">
        <v>6</v>
      </c>
      <c r="AH635" s="9" t="str" cm="1">
        <f t="array" ref="AH635">_xlfn.IFS(AG635 &lt;= 5, "New[1-5]", AG635 &lt;= 10, "Early Career[6-10]", AG635 &lt;= 20, "Established[11-20]", AG635 &lt;= 30, "Veteran[21-30]", AG635 &lt;= 40, "Late Career[31-40]")</f>
        <v>Early Career[6-10]</v>
      </c>
      <c r="AI635" s="1">
        <v>3</v>
      </c>
      <c r="AJ635" s="1">
        <v>3</v>
      </c>
      <c r="AK635" s="1">
        <v>5</v>
      </c>
      <c r="AL635" s="9" t="str" cm="1">
        <f t="array" ref="AL635">_xlfn.IFS(AK635 &lt;= 5, "New[1-5]", AK635 &lt;= 10, "Early Career[6-10]", AK635 &lt;= 20, "Established[11-20]", AK635 &lt;= 30, "Veteran[21-30]", AK635 &lt;= 40, "Late Career[31-40]")</f>
        <v>New[1-5]</v>
      </c>
      <c r="AM635" s="1">
        <v>4</v>
      </c>
      <c r="AN635" s="9" t="str" cm="1">
        <f t="array" ref="AN635">_xlfn.IFS(AM635 &lt;= 3, "New to Role[1-3]", AM635 &lt;= 7, "Settled[4-7]", AM635 &lt;= 12, "Experienced[[8-12]", AM635 &lt;= 18, "Long Tenured[13-18]")</f>
        <v>Settled[4-7]</v>
      </c>
      <c r="AO635" s="1">
        <v>0</v>
      </c>
      <c r="AP635" s="9" t="str" cm="1">
        <f t="array" ref="AP635">_xlfn.IFS(AO635 &lt;= 3, "Recently[1-3]", AO635 &lt;= 6, "Due Soon[4-6]", AO635 &lt;= 10, "Overdue[7-10]", AO635 &lt;= 15, "Long Overdue[11-15]")</f>
        <v>Recently[1-3]</v>
      </c>
      <c r="AQ635" s="9" t="str" cm="1">
        <f t="array" ref="AQ635">_xlfn.IFS(AR635 &lt;= 3, "New Relationship[1-3]", AR635 &lt;= 7, "Established Relationship[4-7]", AR635 &lt;= 12, "Long Term Relationship[8-12]", AR635 &lt;= 17, "Very Long Term Relationship[13-17]")</f>
        <v>New Relationship[1-3]</v>
      </c>
      <c r="AR635" s="1">
        <v>3</v>
      </c>
    </row>
    <row r="636" spans="1:44" x14ac:dyDescent="0.25">
      <c r="A636" s="1">
        <v>25</v>
      </c>
      <c r="B636" s="8" t="str" cm="1">
        <f t="array" ref="B636">_xlfn.IFS(A636 &lt;= 25, "[18-25]", A636 &lt;= 35, "[26-35]", A636 &lt;=45, "[36-45]", A636 &lt;= 60, "[46- 60]")</f>
        <v>[18-25]</v>
      </c>
      <c r="C636" s="3" t="s">
        <v>43</v>
      </c>
      <c r="D636">
        <f t="shared" si="9"/>
        <v>0</v>
      </c>
      <c r="E636" t="s">
        <v>36</v>
      </c>
      <c r="F636" s="1">
        <v>141</v>
      </c>
      <c r="G636" s="3" t="s">
        <v>37</v>
      </c>
      <c r="H636" s="1">
        <v>3</v>
      </c>
      <c r="I636" s="9" t="str" cm="1">
        <f t="array" ref="I636">_xlfn.IFS(H636 &lt;= 2, "[1-2] very close", H636 &lt;= 10, "[3-10] close", H636 &lt;= 20, "[11-20] moderate", H636 &lt;= 30, "[21-30] far")</f>
        <v>[3-10] close</v>
      </c>
      <c r="J636" s="1">
        <v>1</v>
      </c>
      <c r="K636" s="3" t="s">
        <v>49</v>
      </c>
      <c r="L636" s="1">
        <v>1</v>
      </c>
      <c r="M636" s="1">
        <v>879</v>
      </c>
      <c r="N636" s="1">
        <v>3</v>
      </c>
      <c r="O636" s="3" t="s">
        <v>46</v>
      </c>
      <c r="P636" s="1">
        <v>98</v>
      </c>
      <c r="Q636" s="1">
        <v>3</v>
      </c>
      <c r="R636" s="1">
        <v>2</v>
      </c>
      <c r="S636" s="3" t="s">
        <v>40</v>
      </c>
      <c r="T636" s="1">
        <v>1</v>
      </c>
      <c r="U636" s="3" t="s">
        <v>48</v>
      </c>
      <c r="V636" s="4">
        <v>4194</v>
      </c>
      <c r="W636" s="1">
        <v>14363</v>
      </c>
      <c r="X636" s="1">
        <v>1</v>
      </c>
      <c r="Y636" s="3" t="s">
        <v>42</v>
      </c>
      <c r="Z636" s="3" t="s">
        <v>35</v>
      </c>
      <c r="AA636" s="5">
        <v>0.18</v>
      </c>
      <c r="AB636" s="10" t="str" cm="1">
        <f t="array" ref="AB636">_xlfn.IFS(AA636 &lt;= 15%, "Low Hike[11-15%]", AA636 &lt;= 20%, "Moderate Hike[16-20%]", AA636 &lt;= 25%,"High Hike[21-25%]")</f>
        <v>Moderate Hike[16-20%]</v>
      </c>
      <c r="AC636" s="1">
        <v>3</v>
      </c>
      <c r="AD636" s="1">
        <v>4</v>
      </c>
      <c r="AE636" s="1">
        <v>80</v>
      </c>
      <c r="AF636" s="1">
        <v>0</v>
      </c>
      <c r="AG636" s="1">
        <v>5</v>
      </c>
      <c r="AH636" s="9" t="str" cm="1">
        <f t="array" ref="AH636">_xlfn.IFS(AG636 &lt;= 5, "New[1-5]", AG636 &lt;= 10, "Early Career[6-10]", AG636 &lt;= 20, "Established[11-20]", AG636 &lt;= 30, "Veteran[21-30]", AG636 &lt;= 40, "Late Career[31-40]")</f>
        <v>New[1-5]</v>
      </c>
      <c r="AI636" s="1">
        <v>3</v>
      </c>
      <c r="AJ636" s="1">
        <v>3</v>
      </c>
      <c r="AK636" s="1">
        <v>5</v>
      </c>
      <c r="AL636" s="9" t="str" cm="1">
        <f t="array" ref="AL636">_xlfn.IFS(AK636 &lt;= 5, "New[1-5]", AK636 &lt;= 10, "Early Career[6-10]", AK636 &lt;= 20, "Established[11-20]", AK636 &lt;= 30, "Veteran[21-30]", AK636 &lt;= 40, "Late Career[31-40]")</f>
        <v>New[1-5]</v>
      </c>
      <c r="AM636" s="1">
        <v>3</v>
      </c>
      <c r="AN636" s="9" t="str" cm="1">
        <f t="array" ref="AN636">_xlfn.IFS(AM636 &lt;= 3, "New to Role[1-3]", AM636 &lt;= 7, "Settled[4-7]", AM636 &lt;= 12, "Experienced[[8-12]", AM636 &lt;= 18, "Long Tenured[13-18]")</f>
        <v>New to Role[1-3]</v>
      </c>
      <c r="AO636" s="1">
        <v>0</v>
      </c>
      <c r="AP636" s="9" t="str" cm="1">
        <f t="array" ref="AP636">_xlfn.IFS(AO636 &lt;= 3, "Recently[1-3]", AO636 &lt;= 6, "Due Soon[4-6]", AO636 &lt;= 10, "Overdue[7-10]", AO636 &lt;= 15, "Long Overdue[11-15]")</f>
        <v>Recently[1-3]</v>
      </c>
      <c r="AQ636" s="9" t="str" cm="1">
        <f t="array" ref="AQ636">_xlfn.IFS(AR636 &lt;= 3, "New Relationship[1-3]", AR636 &lt;= 7, "Established Relationship[4-7]", AR636 &lt;= 12, "Long Term Relationship[8-12]", AR636 &lt;= 17, "Very Long Term Relationship[13-17]")</f>
        <v>New Relationship[1-3]</v>
      </c>
      <c r="AR636" s="1">
        <v>3</v>
      </c>
    </row>
    <row r="637" spans="1:44" x14ac:dyDescent="0.25">
      <c r="A637" s="1">
        <v>35</v>
      </c>
      <c r="B637" s="8" t="str" cm="1">
        <f t="array" ref="B637">_xlfn.IFS(A637 &lt;= 25, "[18-25]", A637 &lt;= 35, "[26-35]", A637 &lt;=45, "[36-45]", A637 &lt;= 60, "[46- 60]")</f>
        <v>[26-35]</v>
      </c>
      <c r="C637" s="3" t="s">
        <v>43</v>
      </c>
      <c r="D637">
        <f t="shared" si="9"/>
        <v>0</v>
      </c>
      <c r="E637" t="s">
        <v>36</v>
      </c>
      <c r="F637" s="1">
        <v>607</v>
      </c>
      <c r="G637" s="3" t="s">
        <v>45</v>
      </c>
      <c r="H637" s="1">
        <v>9</v>
      </c>
      <c r="I637" s="9" t="str" cm="1">
        <f t="array" ref="I637">_xlfn.IFS(H637 &lt;= 2, "[1-2] very close", H637 &lt;= 10, "[3-10] close", H637 &lt;= 20, "[11-20] moderate", H637 &lt;= 30, "[21-30] far")</f>
        <v>[3-10] close</v>
      </c>
      <c r="J637" s="1">
        <v>3</v>
      </c>
      <c r="K637" s="3" t="s">
        <v>38</v>
      </c>
      <c r="L637" s="1">
        <v>1</v>
      </c>
      <c r="M637" s="1">
        <v>880</v>
      </c>
      <c r="N637" s="1">
        <v>4</v>
      </c>
      <c r="O637" s="3" t="s">
        <v>39</v>
      </c>
      <c r="P637" s="1">
        <v>66</v>
      </c>
      <c r="Q637" s="1">
        <v>2</v>
      </c>
      <c r="R637" s="1">
        <v>3</v>
      </c>
      <c r="S637" s="3" t="s">
        <v>53</v>
      </c>
      <c r="T637" s="1">
        <v>3</v>
      </c>
      <c r="U637" s="3" t="s">
        <v>48</v>
      </c>
      <c r="V637" s="4">
        <v>10685</v>
      </c>
      <c r="W637" s="1">
        <v>23457</v>
      </c>
      <c r="X637" s="1">
        <v>1</v>
      </c>
      <c r="Y637" s="3" t="s">
        <v>42</v>
      </c>
      <c r="Z637" s="3" t="s">
        <v>35</v>
      </c>
      <c r="AA637" s="5">
        <v>0.2</v>
      </c>
      <c r="AB637" s="10" t="str" cm="1">
        <f t="array" ref="AB637">_xlfn.IFS(AA637 &lt;= 15%, "Low Hike[11-15%]", AA637 &lt;= 20%, "Moderate Hike[16-20%]", AA637 &lt;= 25%,"High Hike[21-25%]")</f>
        <v>Moderate Hike[16-20%]</v>
      </c>
      <c r="AC637" s="1">
        <v>4</v>
      </c>
      <c r="AD637" s="1">
        <v>2</v>
      </c>
      <c r="AE637" s="1">
        <v>80</v>
      </c>
      <c r="AF637" s="1">
        <v>1</v>
      </c>
      <c r="AG637" s="1">
        <v>17</v>
      </c>
      <c r="AH637" s="9" t="str" cm="1">
        <f t="array" ref="AH637">_xlfn.IFS(AG637 &lt;= 5, "New[1-5]", AG637 &lt;= 10, "Early Career[6-10]", AG637 &lt;= 20, "Established[11-20]", AG637 &lt;= 30, "Veteran[21-30]", AG637 &lt;= 40, "Late Career[31-40]")</f>
        <v>Established[11-20]</v>
      </c>
      <c r="AI637" s="1">
        <v>2</v>
      </c>
      <c r="AJ637" s="1">
        <v>3</v>
      </c>
      <c r="AK637" s="1">
        <v>17</v>
      </c>
      <c r="AL637" s="9" t="str" cm="1">
        <f t="array" ref="AL637">_xlfn.IFS(AK637 &lt;= 5, "New[1-5]", AK637 &lt;= 10, "Early Career[6-10]", AK637 &lt;= 20, "Established[11-20]", AK637 &lt;= 30, "Veteran[21-30]", AK637 &lt;= 40, "Late Career[31-40]")</f>
        <v>Established[11-20]</v>
      </c>
      <c r="AM637" s="1">
        <v>14</v>
      </c>
      <c r="AN637" s="9" t="str" cm="1">
        <f t="array" ref="AN637">_xlfn.IFS(AM637 &lt;= 3, "New to Role[1-3]", AM637 &lt;= 7, "Settled[4-7]", AM637 &lt;= 12, "Experienced[[8-12]", AM637 &lt;= 18, "Long Tenured[13-18]")</f>
        <v>Long Tenured[13-18]</v>
      </c>
      <c r="AO637" s="1">
        <v>5</v>
      </c>
      <c r="AP637" s="9" t="str" cm="1">
        <f t="array" ref="AP637">_xlfn.IFS(AO637 &lt;= 3, "Recently[1-3]", AO637 &lt;= 6, "Due Soon[4-6]", AO637 &lt;= 10, "Overdue[7-10]", AO637 &lt;= 15, "Long Overdue[11-15]")</f>
        <v>Due Soon[4-6]</v>
      </c>
      <c r="AQ637" s="9" t="str" cm="1">
        <f t="array" ref="AQ637">_xlfn.IFS(AR637 &lt;= 3, "New Relationship[1-3]", AR637 &lt;= 7, "Established Relationship[4-7]", AR637 &lt;= 12, "Long Term Relationship[8-12]", AR637 &lt;= 17, "Very Long Term Relationship[13-17]")</f>
        <v>Very Long Term Relationship[13-17]</v>
      </c>
      <c r="AR637" s="1">
        <v>15</v>
      </c>
    </row>
    <row r="638" spans="1:44" x14ac:dyDescent="0.25">
      <c r="A638" s="1">
        <v>35</v>
      </c>
      <c r="B638" s="8" t="str" cm="1">
        <f t="array" ref="B638">_xlfn.IFS(A638 &lt;= 25, "[18-25]", A638 &lt;= 35, "[26-35]", A638 &lt;=45, "[36-45]", A638 &lt;= 60, "[46- 60]")</f>
        <v>[26-35]</v>
      </c>
      <c r="C638" s="3" t="s">
        <v>35</v>
      </c>
      <c r="D638">
        <f t="shared" si="9"/>
        <v>1</v>
      </c>
      <c r="E638" t="s">
        <v>44</v>
      </c>
      <c r="F638" s="1">
        <v>130</v>
      </c>
      <c r="G638" s="3" t="s">
        <v>45</v>
      </c>
      <c r="H638" s="1">
        <v>25</v>
      </c>
      <c r="I638" s="9" t="str" cm="1">
        <f t="array" ref="I638">_xlfn.IFS(H638 &lt;= 2, "[1-2] very close", H638 &lt;= 10, "[3-10] close", H638 &lt;= 20, "[11-20] moderate", H638 &lt;= 30, "[21-30] far")</f>
        <v>[21-30] far</v>
      </c>
      <c r="J638" s="1">
        <v>4</v>
      </c>
      <c r="K638" s="3" t="s">
        <v>38</v>
      </c>
      <c r="L638" s="1">
        <v>1</v>
      </c>
      <c r="M638" s="1">
        <v>881</v>
      </c>
      <c r="N638" s="1">
        <v>4</v>
      </c>
      <c r="O638" s="3" t="s">
        <v>39</v>
      </c>
      <c r="P638" s="1">
        <v>96</v>
      </c>
      <c r="Q638" s="1">
        <v>3</v>
      </c>
      <c r="R638" s="1">
        <v>1</v>
      </c>
      <c r="S638" s="3" t="s">
        <v>47</v>
      </c>
      <c r="T638" s="1">
        <v>2</v>
      </c>
      <c r="U638" s="3" t="s">
        <v>52</v>
      </c>
      <c r="V638" s="4">
        <v>2022</v>
      </c>
      <c r="W638" s="1">
        <v>16612</v>
      </c>
      <c r="X638" s="1">
        <v>1</v>
      </c>
      <c r="Y638" s="3" t="s">
        <v>42</v>
      </c>
      <c r="Z638" s="3" t="s">
        <v>35</v>
      </c>
      <c r="AA638" s="5">
        <v>0.19</v>
      </c>
      <c r="AB638" s="10" t="str" cm="1">
        <f t="array" ref="AB638">_xlfn.IFS(AA638 &lt;= 15%, "Low Hike[11-15%]", AA638 &lt;= 20%, "Moderate Hike[16-20%]", AA638 &lt;= 25%,"High Hike[21-25%]")</f>
        <v>Moderate Hike[16-20%]</v>
      </c>
      <c r="AC638" s="1">
        <v>3</v>
      </c>
      <c r="AD638" s="1">
        <v>1</v>
      </c>
      <c r="AE638" s="1">
        <v>80</v>
      </c>
      <c r="AF638" s="1">
        <v>1</v>
      </c>
      <c r="AG638" s="1">
        <v>10</v>
      </c>
      <c r="AH638" s="9" t="str" cm="1">
        <f t="array" ref="AH638">_xlfn.IFS(AG638 &lt;= 5, "New[1-5]", AG638 &lt;= 10, "Early Career[6-10]", AG638 &lt;= 20, "Established[11-20]", AG638 &lt;= 30, "Veteran[21-30]", AG638 &lt;= 40, "Late Career[31-40]")</f>
        <v>Early Career[6-10]</v>
      </c>
      <c r="AI638" s="1">
        <v>3</v>
      </c>
      <c r="AJ638" s="1">
        <v>2</v>
      </c>
      <c r="AK638" s="1">
        <v>10</v>
      </c>
      <c r="AL638" s="9" t="str" cm="1">
        <f t="array" ref="AL638">_xlfn.IFS(AK638 &lt;= 5, "New[1-5]", AK638 &lt;= 10, "Early Career[6-10]", AK638 &lt;= 20, "Established[11-20]", AK638 &lt;= 30, "Veteran[21-30]", AK638 &lt;= 40, "Late Career[31-40]")</f>
        <v>Early Career[6-10]</v>
      </c>
      <c r="AM638" s="1">
        <v>2</v>
      </c>
      <c r="AN638" s="9" t="str" cm="1">
        <f t="array" ref="AN638">_xlfn.IFS(AM638 &lt;= 3, "New to Role[1-3]", AM638 &lt;= 7, "Settled[4-7]", AM638 &lt;= 12, "Experienced[[8-12]", AM638 &lt;= 18, "Long Tenured[13-18]")</f>
        <v>New to Role[1-3]</v>
      </c>
      <c r="AO638" s="1">
        <v>7</v>
      </c>
      <c r="AP638" s="9" t="str" cm="1">
        <f t="array" ref="AP638">_xlfn.IFS(AO638 &lt;= 3, "Recently[1-3]", AO638 &lt;= 6, "Due Soon[4-6]", AO638 &lt;= 10, "Overdue[7-10]", AO638 &lt;= 15, "Long Overdue[11-15]")</f>
        <v>Overdue[7-10]</v>
      </c>
      <c r="AQ638" s="9" t="str" cm="1">
        <f t="array" ref="AQ638">_xlfn.IFS(AR638 &lt;= 3, "New Relationship[1-3]", AR638 &lt;= 7, "Established Relationship[4-7]", AR638 &lt;= 12, "Long Term Relationship[8-12]", AR638 &lt;= 17, "Very Long Term Relationship[13-17]")</f>
        <v>Long Term Relationship[8-12]</v>
      </c>
      <c r="AR638" s="1">
        <v>8</v>
      </c>
    </row>
    <row r="639" spans="1:44" x14ac:dyDescent="0.25">
      <c r="A639" s="1">
        <v>32</v>
      </c>
      <c r="B639" s="8" t="str" cm="1">
        <f t="array" ref="B639">_xlfn.IFS(A639 &lt;= 25, "[18-25]", A639 &lt;= 35, "[26-35]", A639 &lt;=45, "[36-45]", A639 &lt;= 60, "[46- 60]")</f>
        <v>[26-35]</v>
      </c>
      <c r="C639" s="3" t="s">
        <v>43</v>
      </c>
      <c r="D639">
        <f t="shared" si="9"/>
        <v>0</v>
      </c>
      <c r="E639" t="s">
        <v>62</v>
      </c>
      <c r="F639" s="1">
        <v>300</v>
      </c>
      <c r="G639" s="3" t="s">
        <v>45</v>
      </c>
      <c r="H639" s="1">
        <v>1</v>
      </c>
      <c r="I639" s="9" t="str" cm="1">
        <f t="array" ref="I639">_xlfn.IFS(H639 &lt;= 2, "[1-2] very close", H639 &lt;= 10, "[3-10] close", H639 &lt;= 20, "[11-20] moderate", H639 &lt;= 30, "[21-30] far")</f>
        <v>[1-2] very close</v>
      </c>
      <c r="J639" s="1">
        <v>3</v>
      </c>
      <c r="K639" s="3" t="s">
        <v>38</v>
      </c>
      <c r="L639" s="1">
        <v>1</v>
      </c>
      <c r="M639" s="1">
        <v>882</v>
      </c>
      <c r="N639" s="1">
        <v>4</v>
      </c>
      <c r="O639" s="3" t="s">
        <v>46</v>
      </c>
      <c r="P639" s="1">
        <v>61</v>
      </c>
      <c r="Q639" s="1">
        <v>3</v>
      </c>
      <c r="R639" s="1">
        <v>1</v>
      </c>
      <c r="S639" s="3" t="s">
        <v>50</v>
      </c>
      <c r="T639" s="1">
        <v>4</v>
      </c>
      <c r="U639" s="3" t="s">
        <v>52</v>
      </c>
      <c r="V639" s="4">
        <v>2314</v>
      </c>
      <c r="W639" s="1">
        <v>9148</v>
      </c>
      <c r="X639" s="1">
        <v>0</v>
      </c>
      <c r="Y639" s="3" t="s">
        <v>42</v>
      </c>
      <c r="Z639" s="3" t="s">
        <v>43</v>
      </c>
      <c r="AA639" s="5">
        <v>0.12</v>
      </c>
      <c r="AB639" s="10" t="str" cm="1">
        <f t="array" ref="AB639">_xlfn.IFS(AA639 &lt;= 15%, "Low Hike[11-15%]", AA639 &lt;= 20%, "Moderate Hike[16-20%]", AA639 &lt;= 25%,"High Hike[21-25%]")</f>
        <v>Low Hike[11-15%]</v>
      </c>
      <c r="AC639" s="1">
        <v>3</v>
      </c>
      <c r="AD639" s="1">
        <v>2</v>
      </c>
      <c r="AE639" s="1">
        <v>80</v>
      </c>
      <c r="AF639" s="1">
        <v>1</v>
      </c>
      <c r="AG639" s="1">
        <v>4</v>
      </c>
      <c r="AH639" s="9" t="str" cm="1">
        <f t="array" ref="AH639">_xlfn.IFS(AG639 &lt;= 5, "New[1-5]", AG639 &lt;= 10, "Early Career[6-10]", AG639 &lt;= 20, "Established[11-20]", AG639 &lt;= 30, "Veteran[21-30]", AG639 &lt;= 40, "Late Career[31-40]")</f>
        <v>New[1-5]</v>
      </c>
      <c r="AI639" s="1">
        <v>2</v>
      </c>
      <c r="AJ639" s="1">
        <v>3</v>
      </c>
      <c r="AK639" s="1">
        <v>3</v>
      </c>
      <c r="AL639" s="9" t="str" cm="1">
        <f t="array" ref="AL639">_xlfn.IFS(AK639 &lt;= 5, "New[1-5]", AK639 &lt;= 10, "Early Career[6-10]", AK639 &lt;= 20, "Established[11-20]", AK639 &lt;= 30, "Veteran[21-30]", AK639 &lt;= 40, "Late Career[31-40]")</f>
        <v>New[1-5]</v>
      </c>
      <c r="AM639" s="1">
        <v>0</v>
      </c>
      <c r="AN639" s="9" t="str" cm="1">
        <f t="array" ref="AN639">_xlfn.IFS(AM639 &lt;= 3, "New to Role[1-3]", AM639 &lt;= 7, "Settled[4-7]", AM639 &lt;= 12, "Experienced[[8-12]", AM639 &lt;= 18, "Long Tenured[13-18]")</f>
        <v>New to Role[1-3]</v>
      </c>
      <c r="AO639" s="1">
        <v>0</v>
      </c>
      <c r="AP639" s="9" t="str" cm="1">
        <f t="array" ref="AP639">_xlfn.IFS(AO639 &lt;= 3, "Recently[1-3]", AO639 &lt;= 6, "Due Soon[4-6]", AO639 &lt;= 10, "Overdue[7-10]", AO639 &lt;= 15, "Long Overdue[11-15]")</f>
        <v>Recently[1-3]</v>
      </c>
      <c r="AQ639" s="9" t="str" cm="1">
        <f t="array" ref="AQ639">_xlfn.IFS(AR639 &lt;= 3, "New Relationship[1-3]", AR639 &lt;= 7, "Established Relationship[4-7]", AR639 &lt;= 12, "Long Term Relationship[8-12]", AR639 &lt;= 17, "Very Long Term Relationship[13-17]")</f>
        <v>New Relationship[1-3]</v>
      </c>
      <c r="AR639" s="1">
        <v>2</v>
      </c>
    </row>
    <row r="640" spans="1:44" x14ac:dyDescent="0.25">
      <c r="A640" s="1">
        <v>25</v>
      </c>
      <c r="B640" s="8" t="str" cm="1">
        <f t="array" ref="B640">_xlfn.IFS(A640 &lt;= 25, "[18-25]", A640 &lt;= 35, "[26-35]", A640 &lt;=45, "[36-45]", A640 &lt;= 60, "[46- 60]")</f>
        <v>[18-25]</v>
      </c>
      <c r="C640" s="3" t="s">
        <v>43</v>
      </c>
      <c r="D640">
        <f t="shared" si="9"/>
        <v>0</v>
      </c>
      <c r="E640" t="s">
        <v>36</v>
      </c>
      <c r="F640" s="1">
        <v>583</v>
      </c>
      <c r="G640" s="3" t="s">
        <v>37</v>
      </c>
      <c r="H640" s="1">
        <v>4</v>
      </c>
      <c r="I640" s="9" t="str" cm="1">
        <f t="array" ref="I640">_xlfn.IFS(H640 &lt;= 2, "[1-2] very close", H640 &lt;= 10, "[3-10] close", H640 &lt;= 20, "[11-20] moderate", H640 &lt;= 30, "[21-30] far")</f>
        <v>[3-10] close</v>
      </c>
      <c r="J640" s="1">
        <v>1</v>
      </c>
      <c r="K640" s="3" t="s">
        <v>59</v>
      </c>
      <c r="L640" s="1">
        <v>1</v>
      </c>
      <c r="M640" s="1">
        <v>885</v>
      </c>
      <c r="N640" s="1">
        <v>3</v>
      </c>
      <c r="O640" s="3" t="s">
        <v>46</v>
      </c>
      <c r="P640" s="1">
        <v>87</v>
      </c>
      <c r="Q640" s="1">
        <v>2</v>
      </c>
      <c r="R640" s="1">
        <v>2</v>
      </c>
      <c r="S640" s="3" t="s">
        <v>40</v>
      </c>
      <c r="T640" s="1">
        <v>1</v>
      </c>
      <c r="U640" s="3" t="s">
        <v>48</v>
      </c>
      <c r="V640" s="4">
        <v>4256</v>
      </c>
      <c r="W640" s="1">
        <v>18154</v>
      </c>
      <c r="X640" s="1">
        <v>1</v>
      </c>
      <c r="Y640" s="3" t="s">
        <v>42</v>
      </c>
      <c r="Z640" s="3" t="s">
        <v>43</v>
      </c>
      <c r="AA640" s="5">
        <v>0.12</v>
      </c>
      <c r="AB640" s="10" t="str" cm="1">
        <f t="array" ref="AB640">_xlfn.IFS(AA640 &lt;= 15%, "Low Hike[11-15%]", AA640 &lt;= 20%, "Moderate Hike[16-20%]", AA640 &lt;= 25%,"High Hike[21-25%]")</f>
        <v>Low Hike[11-15%]</v>
      </c>
      <c r="AC640" s="1">
        <v>3</v>
      </c>
      <c r="AD640" s="1">
        <v>1</v>
      </c>
      <c r="AE640" s="1">
        <v>80</v>
      </c>
      <c r="AF640" s="1">
        <v>0</v>
      </c>
      <c r="AG640" s="1">
        <v>5</v>
      </c>
      <c r="AH640" s="9" t="str" cm="1">
        <f t="array" ref="AH640">_xlfn.IFS(AG640 &lt;= 5, "New[1-5]", AG640 &lt;= 10, "Early Career[6-10]", AG640 &lt;= 20, "Established[11-20]", AG640 &lt;= 30, "Veteran[21-30]", AG640 &lt;= 40, "Late Career[31-40]")</f>
        <v>New[1-5]</v>
      </c>
      <c r="AI640" s="1">
        <v>1</v>
      </c>
      <c r="AJ640" s="1">
        <v>4</v>
      </c>
      <c r="AK640" s="1">
        <v>5</v>
      </c>
      <c r="AL640" s="9" t="str" cm="1">
        <f t="array" ref="AL640">_xlfn.IFS(AK640 &lt;= 5, "New[1-5]", AK640 &lt;= 10, "Early Career[6-10]", AK640 &lt;= 20, "Established[11-20]", AK640 &lt;= 30, "Veteran[21-30]", AK640 &lt;= 40, "Late Career[31-40]")</f>
        <v>New[1-5]</v>
      </c>
      <c r="AM640" s="1">
        <v>2</v>
      </c>
      <c r="AN640" s="9" t="str" cm="1">
        <f t="array" ref="AN640">_xlfn.IFS(AM640 &lt;= 3, "New to Role[1-3]", AM640 &lt;= 7, "Settled[4-7]", AM640 &lt;= 12, "Experienced[[8-12]", AM640 &lt;= 18, "Long Tenured[13-18]")</f>
        <v>New to Role[1-3]</v>
      </c>
      <c r="AO640" s="1">
        <v>0</v>
      </c>
      <c r="AP640" s="9" t="str" cm="1">
        <f t="array" ref="AP640">_xlfn.IFS(AO640 &lt;= 3, "Recently[1-3]", AO640 &lt;= 6, "Due Soon[4-6]", AO640 &lt;= 10, "Overdue[7-10]", AO640 &lt;= 15, "Long Overdue[11-15]")</f>
        <v>Recently[1-3]</v>
      </c>
      <c r="AQ640" s="9" t="str" cm="1">
        <f t="array" ref="AQ640">_xlfn.IFS(AR640 &lt;= 3, "New Relationship[1-3]", AR640 &lt;= 7, "Established Relationship[4-7]", AR640 &lt;= 12, "Long Term Relationship[8-12]", AR640 &lt;= 17, "Very Long Term Relationship[13-17]")</f>
        <v>New Relationship[1-3]</v>
      </c>
      <c r="AR640" s="1">
        <v>3</v>
      </c>
    </row>
    <row r="641" spans="1:44" x14ac:dyDescent="0.25">
      <c r="A641" s="1">
        <v>49</v>
      </c>
      <c r="B641" s="8" t="str" cm="1">
        <f t="array" ref="B641">_xlfn.IFS(A641 &lt;= 25, "[18-25]", A641 &lt;= 35, "[26-35]", A641 &lt;=45, "[36-45]", A641 &lt;= 60, "[46- 60]")</f>
        <v>[46- 60]</v>
      </c>
      <c r="C641" s="3" t="s">
        <v>43</v>
      </c>
      <c r="D641">
        <f t="shared" si="9"/>
        <v>0</v>
      </c>
      <c r="E641" t="s">
        <v>36</v>
      </c>
      <c r="F641" s="1">
        <v>1418</v>
      </c>
      <c r="G641" s="3" t="s">
        <v>45</v>
      </c>
      <c r="H641" s="1">
        <v>1</v>
      </c>
      <c r="I641" s="9" t="str" cm="1">
        <f t="array" ref="I641">_xlfn.IFS(H641 &lt;= 2, "[1-2] very close", H641 &lt;= 10, "[3-10] close", H641 &lt;= 20, "[11-20] moderate", H641 &lt;= 30, "[21-30] far")</f>
        <v>[1-2] very close</v>
      </c>
      <c r="J641" s="1">
        <v>3</v>
      </c>
      <c r="K641" s="3" t="s">
        <v>60</v>
      </c>
      <c r="L641" s="1">
        <v>1</v>
      </c>
      <c r="M641" s="1">
        <v>887</v>
      </c>
      <c r="N641" s="1">
        <v>3</v>
      </c>
      <c r="O641" s="3" t="s">
        <v>39</v>
      </c>
      <c r="P641" s="1">
        <v>36</v>
      </c>
      <c r="Q641" s="1">
        <v>3</v>
      </c>
      <c r="R641" s="1">
        <v>1</v>
      </c>
      <c r="S641" s="3" t="s">
        <v>47</v>
      </c>
      <c r="T641" s="1">
        <v>1</v>
      </c>
      <c r="U641" s="3" t="s">
        <v>48</v>
      </c>
      <c r="V641" s="4">
        <v>3580</v>
      </c>
      <c r="W641" s="1">
        <v>10554</v>
      </c>
      <c r="X641" s="1">
        <v>2</v>
      </c>
      <c r="Y641" s="3" t="s">
        <v>42</v>
      </c>
      <c r="Z641" s="3" t="s">
        <v>43</v>
      </c>
      <c r="AA641" s="5">
        <v>0.16</v>
      </c>
      <c r="AB641" s="10" t="str" cm="1">
        <f t="array" ref="AB641">_xlfn.IFS(AA641 &lt;= 15%, "Low Hike[11-15%]", AA641 &lt;= 20%, "Moderate Hike[16-20%]", AA641 &lt;= 25%,"High Hike[21-25%]")</f>
        <v>Moderate Hike[16-20%]</v>
      </c>
      <c r="AC641" s="1">
        <v>3</v>
      </c>
      <c r="AD641" s="1">
        <v>2</v>
      </c>
      <c r="AE641" s="1">
        <v>80</v>
      </c>
      <c r="AF641" s="1">
        <v>1</v>
      </c>
      <c r="AG641" s="1">
        <v>7</v>
      </c>
      <c r="AH641" s="9" t="str" cm="1">
        <f t="array" ref="AH641">_xlfn.IFS(AG641 &lt;= 5, "New[1-5]", AG641 &lt;= 10, "Early Career[6-10]", AG641 &lt;= 20, "Established[11-20]", AG641 &lt;= 30, "Veteran[21-30]", AG641 &lt;= 40, "Late Career[31-40]")</f>
        <v>Early Career[6-10]</v>
      </c>
      <c r="AI641" s="1">
        <v>2</v>
      </c>
      <c r="AJ641" s="1">
        <v>3</v>
      </c>
      <c r="AK641" s="1">
        <v>4</v>
      </c>
      <c r="AL641" s="9" t="str" cm="1">
        <f t="array" ref="AL641">_xlfn.IFS(AK641 &lt;= 5, "New[1-5]", AK641 &lt;= 10, "Early Career[6-10]", AK641 &lt;= 20, "Established[11-20]", AK641 &lt;= 30, "Veteran[21-30]", AK641 &lt;= 40, "Late Career[31-40]")</f>
        <v>New[1-5]</v>
      </c>
      <c r="AM641" s="1">
        <v>2</v>
      </c>
      <c r="AN641" s="9" t="str" cm="1">
        <f t="array" ref="AN641">_xlfn.IFS(AM641 &lt;= 3, "New to Role[1-3]", AM641 &lt;= 7, "Settled[4-7]", AM641 &lt;= 12, "Experienced[[8-12]", AM641 &lt;= 18, "Long Tenured[13-18]")</f>
        <v>New to Role[1-3]</v>
      </c>
      <c r="AO641" s="1">
        <v>0</v>
      </c>
      <c r="AP641" s="9" t="str" cm="1">
        <f t="array" ref="AP641">_xlfn.IFS(AO641 &lt;= 3, "Recently[1-3]", AO641 &lt;= 6, "Due Soon[4-6]", AO641 &lt;= 10, "Overdue[7-10]", AO641 &lt;= 15, "Long Overdue[11-15]")</f>
        <v>Recently[1-3]</v>
      </c>
      <c r="AQ641" s="9" t="str" cm="1">
        <f t="array" ref="AQ641">_xlfn.IFS(AR641 &lt;= 3, "New Relationship[1-3]", AR641 &lt;= 7, "Established Relationship[4-7]", AR641 &lt;= 12, "Long Term Relationship[8-12]", AR641 &lt;= 17, "Very Long Term Relationship[13-17]")</f>
        <v>New Relationship[1-3]</v>
      </c>
      <c r="AR641" s="1">
        <v>2</v>
      </c>
    </row>
    <row r="642" spans="1:44" x14ac:dyDescent="0.25">
      <c r="A642" s="1">
        <v>24</v>
      </c>
      <c r="B642" s="8" t="str" cm="1">
        <f t="array" ref="B642">_xlfn.IFS(A642 &lt;= 25, "[18-25]", A642 &lt;= 35, "[26-35]", A642 &lt;=45, "[36-45]", A642 &lt;= 60, "[46- 60]")</f>
        <v>[18-25]</v>
      </c>
      <c r="C642" s="3" t="s">
        <v>43</v>
      </c>
      <c r="D642">
        <f t="shared" ref="D642:D705" si="10">IF(C642 = "Yes",1, 0)</f>
        <v>0</v>
      </c>
      <c r="E642" t="s">
        <v>62</v>
      </c>
      <c r="F642" s="1">
        <v>1269</v>
      </c>
      <c r="G642" s="3" t="s">
        <v>45</v>
      </c>
      <c r="H642" s="1">
        <v>4</v>
      </c>
      <c r="I642" s="9" t="str" cm="1">
        <f t="array" ref="I642">_xlfn.IFS(H642 &lt;= 2, "[1-2] very close", H642 &lt;= 10, "[3-10] close", H642 &lt;= 20, "[11-20] moderate", H642 &lt;= 30, "[21-30] far")</f>
        <v>[3-10] close</v>
      </c>
      <c r="J642" s="1">
        <v>1</v>
      </c>
      <c r="K642" s="3" t="s">
        <v>38</v>
      </c>
      <c r="L642" s="1">
        <v>1</v>
      </c>
      <c r="M642" s="1">
        <v>888</v>
      </c>
      <c r="N642" s="1">
        <v>1</v>
      </c>
      <c r="O642" s="3" t="s">
        <v>46</v>
      </c>
      <c r="P642" s="1">
        <v>46</v>
      </c>
      <c r="Q642" s="1">
        <v>2</v>
      </c>
      <c r="R642" s="1">
        <v>1</v>
      </c>
      <c r="S642" s="3" t="s">
        <v>50</v>
      </c>
      <c r="T642" s="1">
        <v>4</v>
      </c>
      <c r="U642" s="3" t="s">
        <v>48</v>
      </c>
      <c r="V642" s="4">
        <v>3162</v>
      </c>
      <c r="W642" s="1">
        <v>10778</v>
      </c>
      <c r="X642" s="1">
        <v>0</v>
      </c>
      <c r="Y642" s="3" t="s">
        <v>42</v>
      </c>
      <c r="Z642" s="3" t="s">
        <v>43</v>
      </c>
      <c r="AA642" s="5">
        <v>0.17</v>
      </c>
      <c r="AB642" s="10" t="str" cm="1">
        <f t="array" ref="AB642">_xlfn.IFS(AA642 &lt;= 15%, "Low Hike[11-15%]", AA642 &lt;= 20%, "Moderate Hike[16-20%]", AA642 &lt;= 25%,"High Hike[21-25%]")</f>
        <v>Moderate Hike[16-20%]</v>
      </c>
      <c r="AC642" s="1">
        <v>3</v>
      </c>
      <c r="AD642" s="1">
        <v>4</v>
      </c>
      <c r="AE642" s="1">
        <v>80</v>
      </c>
      <c r="AF642" s="1">
        <v>0</v>
      </c>
      <c r="AG642" s="1">
        <v>6</v>
      </c>
      <c r="AH642" s="9" t="str" cm="1">
        <f t="array" ref="AH642">_xlfn.IFS(AG642 &lt;= 5, "New[1-5]", AG642 &lt;= 10, "Early Career[6-10]", AG642 &lt;= 20, "Established[11-20]", AG642 &lt;= 30, "Veteran[21-30]", AG642 &lt;= 40, "Late Career[31-40]")</f>
        <v>Early Career[6-10]</v>
      </c>
      <c r="AI642" s="1">
        <v>2</v>
      </c>
      <c r="AJ642" s="1">
        <v>2</v>
      </c>
      <c r="AK642" s="1">
        <v>5</v>
      </c>
      <c r="AL642" s="9" t="str" cm="1">
        <f t="array" ref="AL642">_xlfn.IFS(AK642 &lt;= 5, "New[1-5]", AK642 &lt;= 10, "Early Career[6-10]", AK642 &lt;= 20, "Established[11-20]", AK642 &lt;= 30, "Veteran[21-30]", AK642 &lt;= 40, "Late Career[31-40]")</f>
        <v>New[1-5]</v>
      </c>
      <c r="AM642" s="1">
        <v>2</v>
      </c>
      <c r="AN642" s="9" t="str" cm="1">
        <f t="array" ref="AN642">_xlfn.IFS(AM642 &lt;= 3, "New to Role[1-3]", AM642 &lt;= 7, "Settled[4-7]", AM642 &lt;= 12, "Experienced[[8-12]", AM642 &lt;= 18, "Long Tenured[13-18]")</f>
        <v>New to Role[1-3]</v>
      </c>
      <c r="AO642" s="1">
        <v>3</v>
      </c>
      <c r="AP642" s="9" t="str" cm="1">
        <f t="array" ref="AP642">_xlfn.IFS(AO642 &lt;= 3, "Recently[1-3]", AO642 &lt;= 6, "Due Soon[4-6]", AO642 &lt;= 10, "Overdue[7-10]", AO642 &lt;= 15, "Long Overdue[11-15]")</f>
        <v>Recently[1-3]</v>
      </c>
      <c r="AQ642" s="9" t="str" cm="1">
        <f t="array" ref="AQ642">_xlfn.IFS(AR642 &lt;= 3, "New Relationship[1-3]", AR642 &lt;= 7, "Established Relationship[4-7]", AR642 &lt;= 12, "Long Term Relationship[8-12]", AR642 &lt;= 17, "Very Long Term Relationship[13-17]")</f>
        <v>Established Relationship[4-7]</v>
      </c>
      <c r="AR642" s="1">
        <v>4</v>
      </c>
    </row>
    <row r="643" spans="1:44" x14ac:dyDescent="0.25">
      <c r="A643" s="1">
        <v>32</v>
      </c>
      <c r="B643" s="8" t="str" cm="1">
        <f t="array" ref="B643">_xlfn.IFS(A643 &lt;= 25, "[18-25]", A643 &lt;= 35, "[26-35]", A643 &lt;=45, "[36-45]", A643 &lt;= 60, "[46- 60]")</f>
        <v>[26-35]</v>
      </c>
      <c r="C643" s="3" t="s">
        <v>43</v>
      </c>
      <c r="D643">
        <f t="shared" si="10"/>
        <v>0</v>
      </c>
      <c r="E643" t="s">
        <v>44</v>
      </c>
      <c r="F643" s="1">
        <v>379</v>
      </c>
      <c r="G643" s="3" t="s">
        <v>37</v>
      </c>
      <c r="H643" s="1">
        <v>5</v>
      </c>
      <c r="I643" s="9" t="str" cm="1">
        <f t="array" ref="I643">_xlfn.IFS(H643 &lt;= 2, "[1-2] very close", H643 &lt;= 10, "[3-10] close", H643 &lt;= 20, "[11-20] moderate", H643 &lt;= 30, "[21-30] far")</f>
        <v>[3-10] close</v>
      </c>
      <c r="J643" s="1">
        <v>2</v>
      </c>
      <c r="K643" s="3" t="s">
        <v>38</v>
      </c>
      <c r="L643" s="1">
        <v>1</v>
      </c>
      <c r="M643" s="1">
        <v>889</v>
      </c>
      <c r="N643" s="1">
        <v>2</v>
      </c>
      <c r="O643" s="3" t="s">
        <v>46</v>
      </c>
      <c r="P643" s="1">
        <v>48</v>
      </c>
      <c r="Q643" s="1">
        <v>3</v>
      </c>
      <c r="R643" s="1">
        <v>2</v>
      </c>
      <c r="S643" s="3" t="s">
        <v>40</v>
      </c>
      <c r="T643" s="1">
        <v>2</v>
      </c>
      <c r="U643" s="3" t="s">
        <v>48</v>
      </c>
      <c r="V643" s="4">
        <v>6524</v>
      </c>
      <c r="W643" s="1">
        <v>8891</v>
      </c>
      <c r="X643" s="1">
        <v>1</v>
      </c>
      <c r="Y643" s="3" t="s">
        <v>42</v>
      </c>
      <c r="Z643" s="3" t="s">
        <v>43</v>
      </c>
      <c r="AA643" s="5">
        <v>0.14000000000000001</v>
      </c>
      <c r="AB643" s="10" t="str" cm="1">
        <f t="array" ref="AB643">_xlfn.IFS(AA643 &lt;= 15%, "Low Hike[11-15%]", AA643 &lt;= 20%, "Moderate Hike[16-20%]", AA643 &lt;= 25%,"High Hike[21-25%]")</f>
        <v>Low Hike[11-15%]</v>
      </c>
      <c r="AC643" s="1">
        <v>3</v>
      </c>
      <c r="AD643" s="1">
        <v>4</v>
      </c>
      <c r="AE643" s="1">
        <v>80</v>
      </c>
      <c r="AF643" s="1">
        <v>1</v>
      </c>
      <c r="AG643" s="1">
        <v>10</v>
      </c>
      <c r="AH643" s="9" t="str" cm="1">
        <f t="array" ref="AH643">_xlfn.IFS(AG643 &lt;= 5, "New[1-5]", AG643 &lt;= 10, "Early Career[6-10]", AG643 &lt;= 20, "Established[11-20]", AG643 &lt;= 30, "Veteran[21-30]", AG643 &lt;= 40, "Late Career[31-40]")</f>
        <v>Early Career[6-10]</v>
      </c>
      <c r="AI643" s="1">
        <v>3</v>
      </c>
      <c r="AJ643" s="1">
        <v>3</v>
      </c>
      <c r="AK643" s="1">
        <v>10</v>
      </c>
      <c r="AL643" s="9" t="str" cm="1">
        <f t="array" ref="AL643">_xlfn.IFS(AK643 &lt;= 5, "New[1-5]", AK643 &lt;= 10, "Early Career[6-10]", AK643 &lt;= 20, "Established[11-20]", AK643 &lt;= 30, "Veteran[21-30]", AK643 &lt;= 40, "Late Career[31-40]")</f>
        <v>Early Career[6-10]</v>
      </c>
      <c r="AM643" s="1">
        <v>8</v>
      </c>
      <c r="AN643" s="9" t="str" cm="1">
        <f t="array" ref="AN643">_xlfn.IFS(AM643 &lt;= 3, "New to Role[1-3]", AM643 &lt;= 7, "Settled[4-7]", AM643 &lt;= 12, "Experienced[[8-12]", AM643 &lt;= 18, "Long Tenured[13-18]")</f>
        <v>Experienced[[8-12]</v>
      </c>
      <c r="AO643" s="1">
        <v>5</v>
      </c>
      <c r="AP643" s="9" t="str" cm="1">
        <f t="array" ref="AP643">_xlfn.IFS(AO643 &lt;= 3, "Recently[1-3]", AO643 &lt;= 6, "Due Soon[4-6]", AO643 &lt;= 10, "Overdue[7-10]", AO643 &lt;= 15, "Long Overdue[11-15]")</f>
        <v>Due Soon[4-6]</v>
      </c>
      <c r="AQ643" s="9" t="str" cm="1">
        <f t="array" ref="AQ643">_xlfn.IFS(AR643 &lt;= 3, "New Relationship[1-3]", AR643 &lt;= 7, "Established Relationship[4-7]", AR643 &lt;= 12, "Long Term Relationship[8-12]", AR643 &lt;= 17, "Very Long Term Relationship[13-17]")</f>
        <v>New Relationship[1-3]</v>
      </c>
      <c r="AR643" s="1">
        <v>3</v>
      </c>
    </row>
    <row r="644" spans="1:44" x14ac:dyDescent="0.25">
      <c r="A644" s="1">
        <v>38</v>
      </c>
      <c r="B644" s="8" t="str" cm="1">
        <f t="array" ref="B644">_xlfn.IFS(A644 &lt;= 25, "[18-25]", A644 &lt;= 35, "[26-35]", A644 &lt;=45, "[36-45]", A644 &lt;= 60, "[46- 60]")</f>
        <v>[36-45]</v>
      </c>
      <c r="C644" s="3" t="s">
        <v>43</v>
      </c>
      <c r="D644">
        <f t="shared" si="10"/>
        <v>0</v>
      </c>
      <c r="E644" t="s">
        <v>36</v>
      </c>
      <c r="F644" s="1">
        <v>395</v>
      </c>
      <c r="G644" s="3" t="s">
        <v>37</v>
      </c>
      <c r="H644" s="1">
        <v>9</v>
      </c>
      <c r="I644" s="9" t="str" cm="1">
        <f t="array" ref="I644">_xlfn.IFS(H644 &lt;= 2, "[1-2] very close", H644 &lt;= 10, "[3-10] close", H644 &lt;= 20, "[11-20] moderate", H644 &lt;= 30, "[21-30] far")</f>
        <v>[3-10] close</v>
      </c>
      <c r="J644" s="1">
        <v>3</v>
      </c>
      <c r="K644" s="3" t="s">
        <v>59</v>
      </c>
      <c r="L644" s="1">
        <v>1</v>
      </c>
      <c r="M644" s="1">
        <v>893</v>
      </c>
      <c r="N644" s="1">
        <v>2</v>
      </c>
      <c r="O644" s="3" t="s">
        <v>46</v>
      </c>
      <c r="P644" s="1">
        <v>98</v>
      </c>
      <c r="Q644" s="1">
        <v>2</v>
      </c>
      <c r="R644" s="1">
        <v>1</v>
      </c>
      <c r="S644" s="3" t="s">
        <v>57</v>
      </c>
      <c r="T644" s="1">
        <v>2</v>
      </c>
      <c r="U644" s="3" t="s">
        <v>48</v>
      </c>
      <c r="V644" s="4">
        <v>2899</v>
      </c>
      <c r="W644" s="1">
        <v>12102</v>
      </c>
      <c r="X644" s="1">
        <v>0</v>
      </c>
      <c r="Y644" s="3" t="s">
        <v>42</v>
      </c>
      <c r="Z644" s="3" t="s">
        <v>43</v>
      </c>
      <c r="AA644" s="5">
        <v>0.19</v>
      </c>
      <c r="AB644" s="10" t="str" cm="1">
        <f t="array" ref="AB644">_xlfn.IFS(AA644 &lt;= 15%, "Low Hike[11-15%]", AA644 &lt;= 20%, "Moderate Hike[16-20%]", AA644 &lt;= 25%,"High Hike[21-25%]")</f>
        <v>Moderate Hike[16-20%]</v>
      </c>
      <c r="AC644" s="1">
        <v>3</v>
      </c>
      <c r="AD644" s="1">
        <v>4</v>
      </c>
      <c r="AE644" s="1">
        <v>80</v>
      </c>
      <c r="AF644" s="1">
        <v>1</v>
      </c>
      <c r="AG644" s="1">
        <v>3</v>
      </c>
      <c r="AH644" s="9" t="str" cm="1">
        <f t="array" ref="AH644">_xlfn.IFS(AG644 &lt;= 5, "New[1-5]", AG644 &lt;= 10, "Early Career[6-10]", AG644 &lt;= 20, "Established[11-20]", AG644 &lt;= 30, "Veteran[21-30]", AG644 &lt;= 40, "Late Career[31-40]")</f>
        <v>New[1-5]</v>
      </c>
      <c r="AI644" s="1">
        <v>3</v>
      </c>
      <c r="AJ644" s="1">
        <v>3</v>
      </c>
      <c r="AK644" s="1">
        <v>2</v>
      </c>
      <c r="AL644" s="9" t="str" cm="1">
        <f t="array" ref="AL644">_xlfn.IFS(AK644 &lt;= 5, "New[1-5]", AK644 &lt;= 10, "Early Career[6-10]", AK644 &lt;= 20, "Established[11-20]", AK644 &lt;= 30, "Veteran[21-30]", AK644 &lt;= 40, "Late Career[31-40]")</f>
        <v>New[1-5]</v>
      </c>
      <c r="AM644" s="1">
        <v>2</v>
      </c>
      <c r="AN644" s="9" t="str" cm="1">
        <f t="array" ref="AN644">_xlfn.IFS(AM644 &lt;= 3, "New to Role[1-3]", AM644 &lt;= 7, "Settled[4-7]", AM644 &lt;= 12, "Experienced[[8-12]", AM644 &lt;= 18, "Long Tenured[13-18]")</f>
        <v>New to Role[1-3]</v>
      </c>
      <c r="AO644" s="1">
        <v>1</v>
      </c>
      <c r="AP644" s="9" t="str" cm="1">
        <f t="array" ref="AP644">_xlfn.IFS(AO644 &lt;= 3, "Recently[1-3]", AO644 &lt;= 6, "Due Soon[4-6]", AO644 &lt;= 10, "Overdue[7-10]", AO644 &lt;= 15, "Long Overdue[11-15]")</f>
        <v>Recently[1-3]</v>
      </c>
      <c r="AQ644" s="9" t="str" cm="1">
        <f t="array" ref="AQ644">_xlfn.IFS(AR644 &lt;= 3, "New Relationship[1-3]", AR644 &lt;= 7, "Established Relationship[4-7]", AR644 &lt;= 12, "Long Term Relationship[8-12]", AR644 &lt;= 17, "Very Long Term Relationship[13-17]")</f>
        <v>New Relationship[1-3]</v>
      </c>
      <c r="AR644" s="1">
        <v>2</v>
      </c>
    </row>
    <row r="645" spans="1:44" x14ac:dyDescent="0.25">
      <c r="A645" s="1">
        <v>42</v>
      </c>
      <c r="B645" s="8" t="str" cm="1">
        <f t="array" ref="B645">_xlfn.IFS(A645 &lt;= 25, "[18-25]", A645 &lt;= 35, "[26-35]", A645 &lt;=45, "[36-45]", A645 &lt;= 60, "[46- 60]")</f>
        <v>[36-45]</v>
      </c>
      <c r="C645" s="3" t="s">
        <v>43</v>
      </c>
      <c r="D645">
        <f t="shared" si="10"/>
        <v>0</v>
      </c>
      <c r="E645" t="s">
        <v>36</v>
      </c>
      <c r="F645" s="1">
        <v>1265</v>
      </c>
      <c r="G645" s="3" t="s">
        <v>45</v>
      </c>
      <c r="H645" s="1">
        <v>3</v>
      </c>
      <c r="I645" s="9" t="str" cm="1">
        <f t="array" ref="I645">_xlfn.IFS(H645 &lt;= 2, "[1-2] very close", H645 &lt;= 10, "[3-10] close", H645 &lt;= 20, "[11-20] moderate", H645 &lt;= 30, "[21-30] far")</f>
        <v>[3-10] close</v>
      </c>
      <c r="J645" s="1">
        <v>3</v>
      </c>
      <c r="K645" s="3" t="s">
        <v>38</v>
      </c>
      <c r="L645" s="1">
        <v>1</v>
      </c>
      <c r="M645" s="1">
        <v>894</v>
      </c>
      <c r="N645" s="1">
        <v>3</v>
      </c>
      <c r="O645" s="3" t="s">
        <v>39</v>
      </c>
      <c r="P645" s="1">
        <v>95</v>
      </c>
      <c r="Q645" s="1">
        <v>4</v>
      </c>
      <c r="R645" s="1">
        <v>2</v>
      </c>
      <c r="S645" s="3" t="s">
        <v>50</v>
      </c>
      <c r="T645" s="1">
        <v>4</v>
      </c>
      <c r="U645" s="3" t="s">
        <v>48</v>
      </c>
      <c r="V645" s="4">
        <v>5231</v>
      </c>
      <c r="W645" s="1">
        <v>23726</v>
      </c>
      <c r="X645" s="1">
        <v>2</v>
      </c>
      <c r="Y645" s="3" t="s">
        <v>42</v>
      </c>
      <c r="Z645" s="3" t="s">
        <v>35</v>
      </c>
      <c r="AA645" s="5">
        <v>0.13</v>
      </c>
      <c r="AB645" s="10" t="str" cm="1">
        <f t="array" ref="AB645">_xlfn.IFS(AA645 &lt;= 15%, "Low Hike[11-15%]", AA645 &lt;= 20%, "Moderate Hike[16-20%]", AA645 &lt;= 25%,"High Hike[21-25%]")</f>
        <v>Low Hike[11-15%]</v>
      </c>
      <c r="AC645" s="1">
        <v>3</v>
      </c>
      <c r="AD645" s="1">
        <v>2</v>
      </c>
      <c r="AE645" s="1">
        <v>80</v>
      </c>
      <c r="AF645" s="1">
        <v>1</v>
      </c>
      <c r="AG645" s="1">
        <v>17</v>
      </c>
      <c r="AH645" s="9" t="str" cm="1">
        <f t="array" ref="AH645">_xlfn.IFS(AG645 &lt;= 5, "New[1-5]", AG645 &lt;= 10, "Early Career[6-10]", AG645 &lt;= 20, "Established[11-20]", AG645 &lt;= 30, "Veteran[21-30]", AG645 &lt;= 40, "Late Career[31-40]")</f>
        <v>Established[11-20]</v>
      </c>
      <c r="AI645" s="1">
        <v>1</v>
      </c>
      <c r="AJ645" s="1">
        <v>2</v>
      </c>
      <c r="AK645" s="1">
        <v>5</v>
      </c>
      <c r="AL645" s="9" t="str" cm="1">
        <f t="array" ref="AL645">_xlfn.IFS(AK645 &lt;= 5, "New[1-5]", AK645 &lt;= 10, "Early Career[6-10]", AK645 &lt;= 20, "Established[11-20]", AK645 &lt;= 30, "Veteran[21-30]", AK645 &lt;= 40, "Late Career[31-40]")</f>
        <v>New[1-5]</v>
      </c>
      <c r="AM645" s="1">
        <v>3</v>
      </c>
      <c r="AN645" s="9" t="str" cm="1">
        <f t="array" ref="AN645">_xlfn.IFS(AM645 &lt;= 3, "New to Role[1-3]", AM645 &lt;= 7, "Settled[4-7]", AM645 &lt;= 12, "Experienced[[8-12]", AM645 &lt;= 18, "Long Tenured[13-18]")</f>
        <v>New to Role[1-3]</v>
      </c>
      <c r="AO645" s="1">
        <v>1</v>
      </c>
      <c r="AP645" s="9" t="str" cm="1">
        <f t="array" ref="AP645">_xlfn.IFS(AO645 &lt;= 3, "Recently[1-3]", AO645 &lt;= 6, "Due Soon[4-6]", AO645 &lt;= 10, "Overdue[7-10]", AO645 &lt;= 15, "Long Overdue[11-15]")</f>
        <v>Recently[1-3]</v>
      </c>
      <c r="AQ645" s="9" t="str" cm="1">
        <f t="array" ref="AQ645">_xlfn.IFS(AR645 &lt;= 3, "New Relationship[1-3]", AR645 &lt;= 7, "Established Relationship[4-7]", AR645 &lt;= 12, "Long Term Relationship[8-12]", AR645 &lt;= 17, "Very Long Term Relationship[13-17]")</f>
        <v>New Relationship[1-3]</v>
      </c>
      <c r="AR645" s="1">
        <v>3</v>
      </c>
    </row>
    <row r="646" spans="1:44" x14ac:dyDescent="0.25">
      <c r="A646" s="1">
        <v>31</v>
      </c>
      <c r="B646" s="8" t="str" cm="1">
        <f t="array" ref="B646">_xlfn.IFS(A646 &lt;= 25, "[18-25]", A646 &lt;= 35, "[26-35]", A646 &lt;=45, "[36-45]", A646 &lt;= 60, "[46- 60]")</f>
        <v>[26-35]</v>
      </c>
      <c r="C646" s="3" t="s">
        <v>43</v>
      </c>
      <c r="D646">
        <f t="shared" si="10"/>
        <v>0</v>
      </c>
      <c r="E646" t="s">
        <v>36</v>
      </c>
      <c r="F646" s="1">
        <v>1222</v>
      </c>
      <c r="G646" s="3" t="s">
        <v>45</v>
      </c>
      <c r="H646" s="1">
        <v>11</v>
      </c>
      <c r="I646" s="9" t="str" cm="1">
        <f t="array" ref="I646">_xlfn.IFS(H646 &lt;= 2, "[1-2] very close", H646 &lt;= 10, "[3-10] close", H646 &lt;= 20, "[11-20] moderate", H646 &lt;= 30, "[21-30] far")</f>
        <v>[11-20] moderate</v>
      </c>
      <c r="J646" s="1">
        <v>4</v>
      </c>
      <c r="K646" s="3" t="s">
        <v>38</v>
      </c>
      <c r="L646" s="1">
        <v>1</v>
      </c>
      <c r="M646" s="1">
        <v>895</v>
      </c>
      <c r="N646" s="1">
        <v>4</v>
      </c>
      <c r="O646" s="3" t="s">
        <v>46</v>
      </c>
      <c r="P646" s="1">
        <v>48</v>
      </c>
      <c r="Q646" s="1">
        <v>3</v>
      </c>
      <c r="R646" s="1">
        <v>1</v>
      </c>
      <c r="S646" s="3" t="s">
        <v>47</v>
      </c>
      <c r="T646" s="1">
        <v>4</v>
      </c>
      <c r="U646" s="3" t="s">
        <v>48</v>
      </c>
      <c r="V646" s="4">
        <v>2356</v>
      </c>
      <c r="W646" s="1">
        <v>14871</v>
      </c>
      <c r="X646" s="1">
        <v>3</v>
      </c>
      <c r="Y646" s="3" t="s">
        <v>42</v>
      </c>
      <c r="Z646" s="3" t="s">
        <v>35</v>
      </c>
      <c r="AA646" s="5">
        <v>0.19</v>
      </c>
      <c r="AB646" s="10" t="str" cm="1">
        <f t="array" ref="AB646">_xlfn.IFS(AA646 &lt;= 15%, "Low Hike[11-15%]", AA646 &lt;= 20%, "Moderate Hike[16-20%]", AA646 &lt;= 25%,"High Hike[21-25%]")</f>
        <v>Moderate Hike[16-20%]</v>
      </c>
      <c r="AC646" s="1">
        <v>3</v>
      </c>
      <c r="AD646" s="1">
        <v>2</v>
      </c>
      <c r="AE646" s="1">
        <v>80</v>
      </c>
      <c r="AF646" s="1">
        <v>1</v>
      </c>
      <c r="AG646" s="1">
        <v>8</v>
      </c>
      <c r="AH646" s="9" t="str" cm="1">
        <f t="array" ref="AH646">_xlfn.IFS(AG646 &lt;= 5, "New[1-5]", AG646 &lt;= 10, "Early Career[6-10]", AG646 &lt;= 20, "Established[11-20]", AG646 &lt;= 30, "Veteran[21-30]", AG646 &lt;= 40, "Late Career[31-40]")</f>
        <v>Early Career[6-10]</v>
      </c>
      <c r="AI646" s="1">
        <v>2</v>
      </c>
      <c r="AJ646" s="1">
        <v>3</v>
      </c>
      <c r="AK646" s="1">
        <v>6</v>
      </c>
      <c r="AL646" s="9" t="str" cm="1">
        <f t="array" ref="AL646">_xlfn.IFS(AK646 &lt;= 5, "New[1-5]", AK646 &lt;= 10, "Early Career[6-10]", AK646 &lt;= 20, "Established[11-20]", AK646 &lt;= 30, "Veteran[21-30]", AK646 &lt;= 40, "Late Career[31-40]")</f>
        <v>Early Career[6-10]</v>
      </c>
      <c r="AM646" s="1">
        <v>4</v>
      </c>
      <c r="AN646" s="9" t="str" cm="1">
        <f t="array" ref="AN646">_xlfn.IFS(AM646 &lt;= 3, "New to Role[1-3]", AM646 &lt;= 7, "Settled[4-7]", AM646 &lt;= 12, "Experienced[[8-12]", AM646 &lt;= 18, "Long Tenured[13-18]")</f>
        <v>Settled[4-7]</v>
      </c>
      <c r="AO646" s="1">
        <v>0</v>
      </c>
      <c r="AP646" s="9" t="str" cm="1">
        <f t="array" ref="AP646">_xlfn.IFS(AO646 &lt;= 3, "Recently[1-3]", AO646 &lt;= 6, "Due Soon[4-6]", AO646 &lt;= 10, "Overdue[7-10]", AO646 &lt;= 15, "Long Overdue[11-15]")</f>
        <v>Recently[1-3]</v>
      </c>
      <c r="AQ646" s="9" t="str" cm="1">
        <f t="array" ref="AQ646">_xlfn.IFS(AR646 &lt;= 3, "New Relationship[1-3]", AR646 &lt;= 7, "Established Relationship[4-7]", AR646 &lt;= 12, "Long Term Relationship[8-12]", AR646 &lt;= 17, "Very Long Term Relationship[13-17]")</f>
        <v>New Relationship[1-3]</v>
      </c>
      <c r="AR646" s="1">
        <v>2</v>
      </c>
    </row>
    <row r="647" spans="1:44" x14ac:dyDescent="0.25">
      <c r="A647" s="1">
        <v>29</v>
      </c>
      <c r="B647" s="8" t="str" cm="1">
        <f t="array" ref="B647">_xlfn.IFS(A647 &lt;= 25, "[18-25]", A647 &lt;= 35, "[26-35]", A647 &lt;=45, "[36-45]", A647 &lt;= 60, "[46- 60]")</f>
        <v>[26-35]</v>
      </c>
      <c r="C647" s="3" t="s">
        <v>35</v>
      </c>
      <c r="D647">
        <f t="shared" si="10"/>
        <v>1</v>
      </c>
      <c r="E647" t="s">
        <v>36</v>
      </c>
      <c r="F647" s="1">
        <v>341</v>
      </c>
      <c r="G647" s="3" t="s">
        <v>37</v>
      </c>
      <c r="H647" s="1">
        <v>1</v>
      </c>
      <c r="I647" s="9" t="str" cm="1">
        <f t="array" ref="I647">_xlfn.IFS(H647 &lt;= 2, "[1-2] very close", H647 &lt;= 10, "[3-10] close", H647 &lt;= 20, "[11-20] moderate", H647 &lt;= 30, "[21-30] far")</f>
        <v>[1-2] very close</v>
      </c>
      <c r="J647" s="1">
        <v>3</v>
      </c>
      <c r="K647" s="3" t="s">
        <v>51</v>
      </c>
      <c r="L647" s="1">
        <v>1</v>
      </c>
      <c r="M647" s="1">
        <v>896</v>
      </c>
      <c r="N647" s="1">
        <v>2</v>
      </c>
      <c r="O647" s="3" t="s">
        <v>39</v>
      </c>
      <c r="P647" s="1">
        <v>48</v>
      </c>
      <c r="Q647" s="1">
        <v>2</v>
      </c>
      <c r="R647" s="1">
        <v>1</v>
      </c>
      <c r="S647" s="3" t="s">
        <v>57</v>
      </c>
      <c r="T647" s="1">
        <v>3</v>
      </c>
      <c r="U647" s="3" t="s">
        <v>52</v>
      </c>
      <c r="V647" s="4">
        <v>2800</v>
      </c>
      <c r="W647" s="1">
        <v>23522</v>
      </c>
      <c r="X647" s="1">
        <v>6</v>
      </c>
      <c r="Y647" s="3" t="s">
        <v>42</v>
      </c>
      <c r="Z647" s="3" t="s">
        <v>35</v>
      </c>
      <c r="AA647" s="5">
        <v>0.19</v>
      </c>
      <c r="AB647" s="10" t="str" cm="1">
        <f t="array" ref="AB647">_xlfn.IFS(AA647 &lt;= 15%, "Low Hike[11-15%]", AA647 &lt;= 20%, "Moderate Hike[16-20%]", AA647 &lt;= 25%,"High Hike[21-25%]")</f>
        <v>Moderate Hike[16-20%]</v>
      </c>
      <c r="AC647" s="1">
        <v>3</v>
      </c>
      <c r="AD647" s="1">
        <v>3</v>
      </c>
      <c r="AE647" s="1">
        <v>80</v>
      </c>
      <c r="AF647" s="1">
        <v>3</v>
      </c>
      <c r="AG647" s="1">
        <v>5</v>
      </c>
      <c r="AH647" s="9" t="str" cm="1">
        <f t="array" ref="AH647">_xlfn.IFS(AG647 &lt;= 5, "New[1-5]", AG647 &lt;= 10, "Early Career[6-10]", AG647 &lt;= 20, "Established[11-20]", AG647 &lt;= 30, "Veteran[21-30]", AG647 &lt;= 40, "Late Career[31-40]")</f>
        <v>New[1-5]</v>
      </c>
      <c r="AI647" s="1">
        <v>3</v>
      </c>
      <c r="AJ647" s="1">
        <v>3</v>
      </c>
      <c r="AK647" s="1">
        <v>3</v>
      </c>
      <c r="AL647" s="9" t="str" cm="1">
        <f t="array" ref="AL647">_xlfn.IFS(AK647 &lt;= 5, "New[1-5]", AK647 &lt;= 10, "Early Career[6-10]", AK647 &lt;= 20, "Established[11-20]", AK647 &lt;= 30, "Veteran[21-30]", AK647 &lt;= 40, "Late Career[31-40]")</f>
        <v>New[1-5]</v>
      </c>
      <c r="AM647" s="1">
        <v>2</v>
      </c>
      <c r="AN647" s="9" t="str" cm="1">
        <f t="array" ref="AN647">_xlfn.IFS(AM647 &lt;= 3, "New to Role[1-3]", AM647 &lt;= 7, "Settled[4-7]", AM647 &lt;= 12, "Experienced[[8-12]", AM647 &lt;= 18, "Long Tenured[13-18]")</f>
        <v>New to Role[1-3]</v>
      </c>
      <c r="AO647" s="1">
        <v>0</v>
      </c>
      <c r="AP647" s="9" t="str" cm="1">
        <f t="array" ref="AP647">_xlfn.IFS(AO647 &lt;= 3, "Recently[1-3]", AO647 &lt;= 6, "Due Soon[4-6]", AO647 &lt;= 10, "Overdue[7-10]", AO647 &lt;= 15, "Long Overdue[11-15]")</f>
        <v>Recently[1-3]</v>
      </c>
      <c r="AQ647" s="9" t="str" cm="1">
        <f t="array" ref="AQ647">_xlfn.IFS(AR647 &lt;= 3, "New Relationship[1-3]", AR647 &lt;= 7, "Established Relationship[4-7]", AR647 &lt;= 12, "Long Term Relationship[8-12]", AR647 &lt;= 17, "Very Long Term Relationship[13-17]")</f>
        <v>New Relationship[1-3]</v>
      </c>
      <c r="AR647" s="1">
        <v>2</v>
      </c>
    </row>
    <row r="648" spans="1:44" x14ac:dyDescent="0.25">
      <c r="A648" s="1">
        <v>53</v>
      </c>
      <c r="B648" s="8" t="str" cm="1">
        <f t="array" ref="B648">_xlfn.IFS(A648 &lt;= 25, "[18-25]", A648 &lt;= 35, "[26-35]", A648 &lt;=45, "[36-45]", A648 &lt;= 60, "[46- 60]")</f>
        <v>[46- 60]</v>
      </c>
      <c r="C648" s="3" t="s">
        <v>43</v>
      </c>
      <c r="D648">
        <f t="shared" si="10"/>
        <v>0</v>
      </c>
      <c r="E648" t="s">
        <v>36</v>
      </c>
      <c r="F648" s="1">
        <v>868</v>
      </c>
      <c r="G648" s="3" t="s">
        <v>37</v>
      </c>
      <c r="H648" s="1">
        <v>8</v>
      </c>
      <c r="I648" s="9" t="str" cm="1">
        <f t="array" ref="I648">_xlfn.IFS(H648 &lt;= 2, "[1-2] very close", H648 &lt;= 10, "[3-10] close", H648 &lt;= 20, "[11-20] moderate", H648 &lt;= 30, "[21-30] far")</f>
        <v>[3-10] close</v>
      </c>
      <c r="J648" s="1">
        <v>3</v>
      </c>
      <c r="K648" s="3" t="s">
        <v>59</v>
      </c>
      <c r="L648" s="1">
        <v>1</v>
      </c>
      <c r="M648" s="1">
        <v>897</v>
      </c>
      <c r="N648" s="1">
        <v>1</v>
      </c>
      <c r="O648" s="3" t="s">
        <v>46</v>
      </c>
      <c r="P648" s="1">
        <v>73</v>
      </c>
      <c r="Q648" s="1">
        <v>3</v>
      </c>
      <c r="R648" s="1">
        <v>4</v>
      </c>
      <c r="S648" s="3" t="s">
        <v>40</v>
      </c>
      <c r="T648" s="1">
        <v>4</v>
      </c>
      <c r="U648" s="3" t="s">
        <v>48</v>
      </c>
      <c r="V648" s="4">
        <v>11836</v>
      </c>
      <c r="W648" s="1">
        <v>22789</v>
      </c>
      <c r="X648" s="1">
        <v>5</v>
      </c>
      <c r="Y648" s="3" t="s">
        <v>42</v>
      </c>
      <c r="Z648" s="3" t="s">
        <v>43</v>
      </c>
      <c r="AA648" s="5">
        <v>0.14000000000000001</v>
      </c>
      <c r="AB648" s="10" t="str" cm="1">
        <f t="array" ref="AB648">_xlfn.IFS(AA648 &lt;= 15%, "Low Hike[11-15%]", AA648 &lt;= 20%, "Moderate Hike[16-20%]", AA648 &lt;= 25%,"High Hike[21-25%]")</f>
        <v>Low Hike[11-15%]</v>
      </c>
      <c r="AC648" s="1">
        <v>3</v>
      </c>
      <c r="AD648" s="1">
        <v>3</v>
      </c>
      <c r="AE648" s="1">
        <v>80</v>
      </c>
      <c r="AF648" s="1">
        <v>1</v>
      </c>
      <c r="AG648" s="1">
        <v>28</v>
      </c>
      <c r="AH648" s="9" t="str" cm="1">
        <f t="array" ref="AH648">_xlfn.IFS(AG648 &lt;= 5, "New[1-5]", AG648 &lt;= 10, "Early Career[6-10]", AG648 &lt;= 20, "Established[11-20]", AG648 &lt;= 30, "Veteran[21-30]", AG648 &lt;= 40, "Late Career[31-40]")</f>
        <v>Veteran[21-30]</v>
      </c>
      <c r="AI648" s="1">
        <v>3</v>
      </c>
      <c r="AJ648" s="1">
        <v>3</v>
      </c>
      <c r="AK648" s="1">
        <v>2</v>
      </c>
      <c r="AL648" s="9" t="str" cm="1">
        <f t="array" ref="AL648">_xlfn.IFS(AK648 &lt;= 5, "New[1-5]", AK648 &lt;= 10, "Early Career[6-10]", AK648 &lt;= 20, "Established[11-20]", AK648 &lt;= 30, "Veteran[21-30]", AK648 &lt;= 40, "Late Career[31-40]")</f>
        <v>New[1-5]</v>
      </c>
      <c r="AM648" s="1">
        <v>0</v>
      </c>
      <c r="AN648" s="9" t="str" cm="1">
        <f t="array" ref="AN648">_xlfn.IFS(AM648 &lt;= 3, "New to Role[1-3]", AM648 &lt;= 7, "Settled[4-7]", AM648 &lt;= 12, "Experienced[[8-12]", AM648 &lt;= 18, "Long Tenured[13-18]")</f>
        <v>New to Role[1-3]</v>
      </c>
      <c r="AO648" s="1">
        <v>2</v>
      </c>
      <c r="AP648" s="9" t="str" cm="1">
        <f t="array" ref="AP648">_xlfn.IFS(AO648 &lt;= 3, "Recently[1-3]", AO648 &lt;= 6, "Due Soon[4-6]", AO648 &lt;= 10, "Overdue[7-10]", AO648 &lt;= 15, "Long Overdue[11-15]")</f>
        <v>Recently[1-3]</v>
      </c>
      <c r="AQ648" s="9" t="str" cm="1">
        <f t="array" ref="AQ648">_xlfn.IFS(AR648 &lt;= 3, "New Relationship[1-3]", AR648 &lt;= 7, "Established Relationship[4-7]", AR648 &lt;= 12, "Long Term Relationship[8-12]", AR648 &lt;= 17, "Very Long Term Relationship[13-17]")</f>
        <v>New Relationship[1-3]</v>
      </c>
      <c r="AR648" s="1">
        <v>2</v>
      </c>
    </row>
    <row r="649" spans="1:44" x14ac:dyDescent="0.25">
      <c r="A649" s="1">
        <v>35</v>
      </c>
      <c r="B649" s="8" t="str" cm="1">
        <f t="array" ref="B649">_xlfn.IFS(A649 &lt;= 25, "[18-25]", A649 &lt;= 35, "[26-35]", A649 &lt;=45, "[36-45]", A649 &lt;= 60, "[46- 60]")</f>
        <v>[26-35]</v>
      </c>
      <c r="C649" s="3" t="s">
        <v>43</v>
      </c>
      <c r="D649">
        <f t="shared" si="10"/>
        <v>0</v>
      </c>
      <c r="E649" t="s">
        <v>36</v>
      </c>
      <c r="F649" s="1">
        <v>672</v>
      </c>
      <c r="G649" s="3" t="s">
        <v>45</v>
      </c>
      <c r="H649" s="1">
        <v>25</v>
      </c>
      <c r="I649" s="9" t="str" cm="1">
        <f t="array" ref="I649">_xlfn.IFS(H649 &lt;= 2, "[1-2] very close", H649 &lt;= 10, "[3-10] close", H649 &lt;= 20, "[11-20] moderate", H649 &lt;= 30, "[21-30] far")</f>
        <v>[21-30] far</v>
      </c>
      <c r="J649" s="1">
        <v>3</v>
      </c>
      <c r="K649" s="3" t="s">
        <v>60</v>
      </c>
      <c r="L649" s="1">
        <v>1</v>
      </c>
      <c r="M649" s="1">
        <v>899</v>
      </c>
      <c r="N649" s="1">
        <v>4</v>
      </c>
      <c r="O649" s="3" t="s">
        <v>46</v>
      </c>
      <c r="P649" s="1">
        <v>78</v>
      </c>
      <c r="Q649" s="1">
        <v>2</v>
      </c>
      <c r="R649" s="1">
        <v>3</v>
      </c>
      <c r="S649" s="3" t="s">
        <v>53</v>
      </c>
      <c r="T649" s="1">
        <v>2</v>
      </c>
      <c r="U649" s="3" t="s">
        <v>48</v>
      </c>
      <c r="V649" s="4">
        <v>10903</v>
      </c>
      <c r="W649" s="1">
        <v>9129</v>
      </c>
      <c r="X649" s="1">
        <v>3</v>
      </c>
      <c r="Y649" s="3" t="s">
        <v>42</v>
      </c>
      <c r="Z649" s="3" t="s">
        <v>43</v>
      </c>
      <c r="AA649" s="5">
        <v>0.16</v>
      </c>
      <c r="AB649" s="10" t="str" cm="1">
        <f t="array" ref="AB649">_xlfn.IFS(AA649 &lt;= 15%, "Low Hike[11-15%]", AA649 &lt;= 20%, "Moderate Hike[16-20%]", AA649 &lt;= 25%,"High Hike[21-25%]")</f>
        <v>Moderate Hike[16-20%]</v>
      </c>
      <c r="AC649" s="1">
        <v>3</v>
      </c>
      <c r="AD649" s="1">
        <v>1</v>
      </c>
      <c r="AE649" s="1">
        <v>80</v>
      </c>
      <c r="AF649" s="1">
        <v>0</v>
      </c>
      <c r="AG649" s="1">
        <v>16</v>
      </c>
      <c r="AH649" s="9" t="str" cm="1">
        <f t="array" ref="AH649">_xlfn.IFS(AG649 &lt;= 5, "New[1-5]", AG649 &lt;= 10, "Early Career[6-10]", AG649 &lt;= 20, "Established[11-20]", AG649 &lt;= 30, "Veteran[21-30]", AG649 &lt;= 40, "Late Career[31-40]")</f>
        <v>Established[11-20]</v>
      </c>
      <c r="AI649" s="1">
        <v>2</v>
      </c>
      <c r="AJ649" s="1">
        <v>3</v>
      </c>
      <c r="AK649" s="1">
        <v>13</v>
      </c>
      <c r="AL649" s="9" t="str" cm="1">
        <f t="array" ref="AL649">_xlfn.IFS(AK649 &lt;= 5, "New[1-5]", AK649 &lt;= 10, "Early Career[6-10]", AK649 &lt;= 20, "Established[11-20]", AK649 &lt;= 30, "Veteran[21-30]", AK649 &lt;= 40, "Late Career[31-40]")</f>
        <v>Established[11-20]</v>
      </c>
      <c r="AM649" s="1">
        <v>10</v>
      </c>
      <c r="AN649" s="9" t="str" cm="1">
        <f t="array" ref="AN649">_xlfn.IFS(AM649 &lt;= 3, "New to Role[1-3]", AM649 &lt;= 7, "Settled[4-7]", AM649 &lt;= 12, "Experienced[[8-12]", AM649 &lt;= 18, "Long Tenured[13-18]")</f>
        <v>Experienced[[8-12]</v>
      </c>
      <c r="AO649" s="1">
        <v>4</v>
      </c>
      <c r="AP649" s="9" t="str" cm="1">
        <f t="array" ref="AP649">_xlfn.IFS(AO649 &lt;= 3, "Recently[1-3]", AO649 &lt;= 6, "Due Soon[4-6]", AO649 &lt;= 10, "Overdue[7-10]", AO649 &lt;= 15, "Long Overdue[11-15]")</f>
        <v>Due Soon[4-6]</v>
      </c>
      <c r="AQ649" s="9" t="str" cm="1">
        <f t="array" ref="AQ649">_xlfn.IFS(AR649 &lt;= 3, "New Relationship[1-3]", AR649 &lt;= 7, "Established Relationship[4-7]", AR649 &lt;= 12, "Long Term Relationship[8-12]", AR649 &lt;= 17, "Very Long Term Relationship[13-17]")</f>
        <v>Long Term Relationship[8-12]</v>
      </c>
      <c r="AR649" s="1">
        <v>8</v>
      </c>
    </row>
    <row r="650" spans="1:44" x14ac:dyDescent="0.25">
      <c r="A650" s="1">
        <v>37</v>
      </c>
      <c r="B650" s="8" t="str" cm="1">
        <f t="array" ref="B650">_xlfn.IFS(A650 &lt;= 25, "[18-25]", A650 &lt;= 35, "[26-35]", A650 &lt;=45, "[36-45]", A650 &lt;= 60, "[46- 60]")</f>
        <v>[36-45]</v>
      </c>
      <c r="C650" s="3" t="s">
        <v>43</v>
      </c>
      <c r="D650">
        <f t="shared" si="10"/>
        <v>0</v>
      </c>
      <c r="E650" t="s">
        <v>44</v>
      </c>
      <c r="F650" s="1">
        <v>1231</v>
      </c>
      <c r="G650" s="3" t="s">
        <v>37</v>
      </c>
      <c r="H650" s="1">
        <v>21</v>
      </c>
      <c r="I650" s="9" t="str" cm="1">
        <f t="array" ref="I650">_xlfn.IFS(H650 &lt;= 2, "[1-2] very close", H650 &lt;= 10, "[3-10] close", H650 &lt;= 20, "[11-20] moderate", H650 &lt;= 30, "[21-30] far")</f>
        <v>[21-30] far</v>
      </c>
      <c r="J650" s="1">
        <v>2</v>
      </c>
      <c r="K650" s="3" t="s">
        <v>51</v>
      </c>
      <c r="L650" s="1">
        <v>1</v>
      </c>
      <c r="M650" s="1">
        <v>900</v>
      </c>
      <c r="N650" s="1">
        <v>3</v>
      </c>
      <c r="O650" s="3" t="s">
        <v>39</v>
      </c>
      <c r="P650" s="1">
        <v>54</v>
      </c>
      <c r="Q650" s="1">
        <v>3</v>
      </c>
      <c r="R650" s="1">
        <v>1</v>
      </c>
      <c r="S650" s="3" t="s">
        <v>57</v>
      </c>
      <c r="T650" s="1">
        <v>4</v>
      </c>
      <c r="U650" s="3" t="s">
        <v>48</v>
      </c>
      <c r="V650" s="4">
        <v>2973</v>
      </c>
      <c r="W650" s="1">
        <v>21222</v>
      </c>
      <c r="X650" s="1">
        <v>5</v>
      </c>
      <c r="Y650" s="3" t="s">
        <v>42</v>
      </c>
      <c r="Z650" s="3" t="s">
        <v>43</v>
      </c>
      <c r="AA650" s="5">
        <v>0.15</v>
      </c>
      <c r="AB650" s="10" t="str" cm="1">
        <f t="array" ref="AB650">_xlfn.IFS(AA650 &lt;= 15%, "Low Hike[11-15%]", AA650 &lt;= 20%, "Moderate Hike[16-20%]", AA650 &lt;= 25%,"High Hike[21-25%]")</f>
        <v>Low Hike[11-15%]</v>
      </c>
      <c r="AC650" s="1">
        <v>3</v>
      </c>
      <c r="AD650" s="1">
        <v>2</v>
      </c>
      <c r="AE650" s="1">
        <v>80</v>
      </c>
      <c r="AF650" s="1">
        <v>1</v>
      </c>
      <c r="AG650" s="1">
        <v>10</v>
      </c>
      <c r="AH650" s="9" t="str" cm="1">
        <f t="array" ref="AH650">_xlfn.IFS(AG650 &lt;= 5, "New[1-5]", AG650 &lt;= 10, "Early Career[6-10]", AG650 &lt;= 20, "Established[11-20]", AG650 &lt;= 30, "Veteran[21-30]", AG650 &lt;= 40, "Late Career[31-40]")</f>
        <v>Early Career[6-10]</v>
      </c>
      <c r="AI650" s="1">
        <v>3</v>
      </c>
      <c r="AJ650" s="1">
        <v>3</v>
      </c>
      <c r="AK650" s="1">
        <v>5</v>
      </c>
      <c r="AL650" s="9" t="str" cm="1">
        <f t="array" ref="AL650">_xlfn.IFS(AK650 &lt;= 5, "New[1-5]", AK650 &lt;= 10, "Early Career[6-10]", AK650 &lt;= 20, "Established[11-20]", AK650 &lt;= 30, "Veteran[21-30]", AK650 &lt;= 40, "Late Career[31-40]")</f>
        <v>New[1-5]</v>
      </c>
      <c r="AM650" s="1">
        <v>4</v>
      </c>
      <c r="AN650" s="9" t="str" cm="1">
        <f t="array" ref="AN650">_xlfn.IFS(AM650 &lt;= 3, "New to Role[1-3]", AM650 &lt;= 7, "Settled[4-7]", AM650 &lt;= 12, "Experienced[[8-12]", AM650 &lt;= 18, "Long Tenured[13-18]")</f>
        <v>Settled[4-7]</v>
      </c>
      <c r="AO650" s="1">
        <v>0</v>
      </c>
      <c r="AP650" s="9" t="str" cm="1">
        <f t="array" ref="AP650">_xlfn.IFS(AO650 &lt;= 3, "Recently[1-3]", AO650 &lt;= 6, "Due Soon[4-6]", AO650 &lt;= 10, "Overdue[7-10]", AO650 &lt;= 15, "Long Overdue[11-15]")</f>
        <v>Recently[1-3]</v>
      </c>
      <c r="AQ650" s="9" t="str" cm="1">
        <f t="array" ref="AQ650">_xlfn.IFS(AR650 &lt;= 3, "New Relationship[1-3]", AR650 &lt;= 7, "Established Relationship[4-7]", AR650 &lt;= 12, "Long Term Relationship[8-12]", AR650 &lt;= 17, "Very Long Term Relationship[13-17]")</f>
        <v>New Relationship[1-3]</v>
      </c>
      <c r="AR650" s="1">
        <v>0</v>
      </c>
    </row>
    <row r="651" spans="1:44" x14ac:dyDescent="0.25">
      <c r="A651" s="1">
        <v>53</v>
      </c>
      <c r="B651" s="8" t="str" cm="1">
        <f t="array" ref="B651">_xlfn.IFS(A651 &lt;= 25, "[18-25]", A651 &lt;= 35, "[26-35]", A651 &lt;=45, "[36-45]", A651 &lt;= 60, "[46- 60]")</f>
        <v>[46- 60]</v>
      </c>
      <c r="C651" s="3" t="s">
        <v>43</v>
      </c>
      <c r="D651">
        <f t="shared" si="10"/>
        <v>0</v>
      </c>
      <c r="E651" t="s">
        <v>36</v>
      </c>
      <c r="F651" s="1">
        <v>102</v>
      </c>
      <c r="G651" s="3" t="s">
        <v>45</v>
      </c>
      <c r="H651" s="1">
        <v>23</v>
      </c>
      <c r="I651" s="9" t="str" cm="1">
        <f t="array" ref="I651">_xlfn.IFS(H651 &lt;= 2, "[1-2] very close", H651 &lt;= 10, "[3-10] close", H651 &lt;= 20, "[11-20] moderate", H651 &lt;= 30, "[21-30] far")</f>
        <v>[21-30] far</v>
      </c>
      <c r="J651" s="1">
        <v>4</v>
      </c>
      <c r="K651" s="3" t="s">
        <v>38</v>
      </c>
      <c r="L651" s="1">
        <v>1</v>
      </c>
      <c r="M651" s="1">
        <v>901</v>
      </c>
      <c r="N651" s="1">
        <v>4</v>
      </c>
      <c r="O651" s="3" t="s">
        <v>39</v>
      </c>
      <c r="P651" s="1">
        <v>72</v>
      </c>
      <c r="Q651" s="1">
        <v>3</v>
      </c>
      <c r="R651" s="1">
        <v>4</v>
      </c>
      <c r="S651" s="3" t="s">
        <v>58</v>
      </c>
      <c r="T651" s="1">
        <v>4</v>
      </c>
      <c r="U651" s="3" t="s">
        <v>41</v>
      </c>
      <c r="V651" s="4">
        <v>14275</v>
      </c>
      <c r="W651" s="1">
        <v>20206</v>
      </c>
      <c r="X651" s="1">
        <v>6</v>
      </c>
      <c r="Y651" s="3" t="s">
        <v>42</v>
      </c>
      <c r="Z651" s="3" t="s">
        <v>43</v>
      </c>
      <c r="AA651" s="5">
        <v>0.18</v>
      </c>
      <c r="AB651" s="10" t="str" cm="1">
        <f t="array" ref="AB651">_xlfn.IFS(AA651 &lt;= 15%, "Low Hike[11-15%]", AA651 &lt;= 20%, "Moderate Hike[16-20%]", AA651 &lt;= 25%,"High Hike[21-25%]")</f>
        <v>Moderate Hike[16-20%]</v>
      </c>
      <c r="AC651" s="1">
        <v>3</v>
      </c>
      <c r="AD651" s="1">
        <v>3</v>
      </c>
      <c r="AE651" s="1">
        <v>80</v>
      </c>
      <c r="AF651" s="1">
        <v>0</v>
      </c>
      <c r="AG651" s="1">
        <v>33</v>
      </c>
      <c r="AH651" s="9" t="str" cm="1">
        <f t="array" ref="AH651">_xlfn.IFS(AG651 &lt;= 5, "New[1-5]", AG651 &lt;= 10, "Early Career[6-10]", AG651 &lt;= 20, "Established[11-20]", AG651 &lt;= 30, "Veteran[21-30]", AG651 &lt;= 40, "Late Career[31-40]")</f>
        <v>Late Career[31-40]</v>
      </c>
      <c r="AI651" s="1">
        <v>0</v>
      </c>
      <c r="AJ651" s="1">
        <v>3</v>
      </c>
      <c r="AK651" s="1">
        <v>12</v>
      </c>
      <c r="AL651" s="9" t="str" cm="1">
        <f t="array" ref="AL651">_xlfn.IFS(AK651 &lt;= 5, "New[1-5]", AK651 &lt;= 10, "Early Career[6-10]", AK651 &lt;= 20, "Established[11-20]", AK651 &lt;= 30, "Veteran[21-30]", AK651 &lt;= 40, "Late Career[31-40]")</f>
        <v>Established[11-20]</v>
      </c>
      <c r="AM651" s="1">
        <v>9</v>
      </c>
      <c r="AN651" s="9" t="str" cm="1">
        <f t="array" ref="AN651">_xlfn.IFS(AM651 &lt;= 3, "New to Role[1-3]", AM651 &lt;= 7, "Settled[4-7]", AM651 &lt;= 12, "Experienced[[8-12]", AM651 &lt;= 18, "Long Tenured[13-18]")</f>
        <v>Experienced[[8-12]</v>
      </c>
      <c r="AO651" s="1">
        <v>3</v>
      </c>
      <c r="AP651" s="9" t="str" cm="1">
        <f t="array" ref="AP651">_xlfn.IFS(AO651 &lt;= 3, "Recently[1-3]", AO651 &lt;= 6, "Due Soon[4-6]", AO651 &lt;= 10, "Overdue[7-10]", AO651 &lt;= 15, "Long Overdue[11-15]")</f>
        <v>Recently[1-3]</v>
      </c>
      <c r="AQ651" s="9" t="str" cm="1">
        <f t="array" ref="AQ651">_xlfn.IFS(AR651 &lt;= 3, "New Relationship[1-3]", AR651 &lt;= 7, "Established Relationship[4-7]", AR651 &lt;= 12, "Long Term Relationship[8-12]", AR651 &lt;= 17, "Very Long Term Relationship[13-17]")</f>
        <v>Long Term Relationship[8-12]</v>
      </c>
      <c r="AR651" s="1">
        <v>8</v>
      </c>
    </row>
    <row r="652" spans="1:44" x14ac:dyDescent="0.25">
      <c r="A652" s="1">
        <v>43</v>
      </c>
      <c r="B652" s="8" t="str" cm="1">
        <f t="array" ref="B652">_xlfn.IFS(A652 &lt;= 25, "[18-25]", A652 &lt;= 35, "[26-35]", A652 &lt;=45, "[36-45]", A652 &lt;= 60, "[46- 60]")</f>
        <v>[36-45]</v>
      </c>
      <c r="C652" s="3" t="s">
        <v>43</v>
      </c>
      <c r="D652">
        <f t="shared" si="10"/>
        <v>0</v>
      </c>
      <c r="E652" t="s">
        <v>44</v>
      </c>
      <c r="F652" s="1">
        <v>422</v>
      </c>
      <c r="G652" s="3" t="s">
        <v>45</v>
      </c>
      <c r="H652" s="1">
        <v>1</v>
      </c>
      <c r="I652" s="9" t="str" cm="1">
        <f t="array" ref="I652">_xlfn.IFS(H652 &lt;= 2, "[1-2] very close", H652 &lt;= 10, "[3-10] close", H652 &lt;= 20, "[11-20] moderate", H652 &lt;= 30, "[21-30] far")</f>
        <v>[1-2] very close</v>
      </c>
      <c r="J652" s="1">
        <v>3</v>
      </c>
      <c r="K652" s="3" t="s">
        <v>38</v>
      </c>
      <c r="L652" s="1">
        <v>1</v>
      </c>
      <c r="M652" s="1">
        <v>902</v>
      </c>
      <c r="N652" s="1">
        <v>4</v>
      </c>
      <c r="O652" s="3" t="s">
        <v>39</v>
      </c>
      <c r="P652" s="1">
        <v>33</v>
      </c>
      <c r="Q652" s="1">
        <v>3</v>
      </c>
      <c r="R652" s="1">
        <v>2</v>
      </c>
      <c r="S652" s="3" t="s">
        <v>54</v>
      </c>
      <c r="T652" s="1">
        <v>4</v>
      </c>
      <c r="U652" s="3" t="s">
        <v>48</v>
      </c>
      <c r="V652" s="4">
        <v>5562</v>
      </c>
      <c r="W652" s="1">
        <v>21782</v>
      </c>
      <c r="X652" s="1">
        <v>4</v>
      </c>
      <c r="Y652" s="3" t="s">
        <v>42</v>
      </c>
      <c r="Z652" s="3" t="s">
        <v>43</v>
      </c>
      <c r="AA652" s="5">
        <v>0.13</v>
      </c>
      <c r="AB652" s="10" t="str" cm="1">
        <f t="array" ref="AB652">_xlfn.IFS(AA652 &lt;= 15%, "Low Hike[11-15%]", AA652 &lt;= 20%, "Moderate Hike[16-20%]", AA652 &lt;= 25%,"High Hike[21-25%]")</f>
        <v>Low Hike[11-15%]</v>
      </c>
      <c r="AC652" s="1">
        <v>3</v>
      </c>
      <c r="AD652" s="1">
        <v>2</v>
      </c>
      <c r="AE652" s="1">
        <v>80</v>
      </c>
      <c r="AF652" s="1">
        <v>1</v>
      </c>
      <c r="AG652" s="1">
        <v>12</v>
      </c>
      <c r="AH652" s="9" t="str" cm="1">
        <f t="array" ref="AH652">_xlfn.IFS(AG652 &lt;= 5, "New[1-5]", AG652 &lt;= 10, "Early Career[6-10]", AG652 &lt;= 20, "Established[11-20]", AG652 &lt;= 30, "Veteran[21-30]", AG652 &lt;= 40, "Late Career[31-40]")</f>
        <v>Established[11-20]</v>
      </c>
      <c r="AI652" s="1">
        <v>2</v>
      </c>
      <c r="AJ652" s="1">
        <v>2</v>
      </c>
      <c r="AK652" s="1">
        <v>5</v>
      </c>
      <c r="AL652" s="9" t="str" cm="1">
        <f t="array" ref="AL652">_xlfn.IFS(AK652 &lt;= 5, "New[1-5]", AK652 &lt;= 10, "Early Career[6-10]", AK652 &lt;= 20, "Established[11-20]", AK652 &lt;= 30, "Veteran[21-30]", AK652 &lt;= 40, "Late Career[31-40]")</f>
        <v>New[1-5]</v>
      </c>
      <c r="AM652" s="1">
        <v>2</v>
      </c>
      <c r="AN652" s="9" t="str" cm="1">
        <f t="array" ref="AN652">_xlfn.IFS(AM652 &lt;= 3, "New to Role[1-3]", AM652 &lt;= 7, "Settled[4-7]", AM652 &lt;= 12, "Experienced[[8-12]", AM652 &lt;= 18, "Long Tenured[13-18]")</f>
        <v>New to Role[1-3]</v>
      </c>
      <c r="AO652" s="1">
        <v>2</v>
      </c>
      <c r="AP652" s="9" t="str" cm="1">
        <f t="array" ref="AP652">_xlfn.IFS(AO652 &lt;= 3, "Recently[1-3]", AO652 &lt;= 6, "Due Soon[4-6]", AO652 &lt;= 10, "Overdue[7-10]", AO652 &lt;= 15, "Long Overdue[11-15]")</f>
        <v>Recently[1-3]</v>
      </c>
      <c r="AQ652" s="9" t="str" cm="1">
        <f t="array" ref="AQ652">_xlfn.IFS(AR652 &lt;= 3, "New Relationship[1-3]", AR652 &lt;= 7, "Established Relationship[4-7]", AR652 &lt;= 12, "Long Term Relationship[8-12]", AR652 &lt;= 17, "Very Long Term Relationship[13-17]")</f>
        <v>New Relationship[1-3]</v>
      </c>
      <c r="AR652" s="1">
        <v>2</v>
      </c>
    </row>
    <row r="653" spans="1:44" x14ac:dyDescent="0.25">
      <c r="A653" s="1">
        <v>47</v>
      </c>
      <c r="B653" s="8" t="str" cm="1">
        <f t="array" ref="B653">_xlfn.IFS(A653 &lt;= 25, "[18-25]", A653 &lt;= 35, "[26-35]", A653 &lt;=45, "[36-45]", A653 &lt;= 60, "[46- 60]")</f>
        <v>[46- 60]</v>
      </c>
      <c r="C653" s="3" t="s">
        <v>43</v>
      </c>
      <c r="D653">
        <f t="shared" si="10"/>
        <v>0</v>
      </c>
      <c r="E653" t="s">
        <v>36</v>
      </c>
      <c r="F653" s="1">
        <v>249</v>
      </c>
      <c r="G653" s="3" t="s">
        <v>37</v>
      </c>
      <c r="H653" s="1">
        <v>2</v>
      </c>
      <c r="I653" s="9" t="str" cm="1">
        <f t="array" ref="I653">_xlfn.IFS(H653 &lt;= 2, "[1-2] very close", H653 &lt;= 10, "[3-10] close", H653 &lt;= 20, "[11-20] moderate", H653 &lt;= 30, "[21-30] far")</f>
        <v>[1-2] very close</v>
      </c>
      <c r="J653" s="1">
        <v>2</v>
      </c>
      <c r="K653" s="3" t="s">
        <v>59</v>
      </c>
      <c r="L653" s="1">
        <v>1</v>
      </c>
      <c r="M653" s="1">
        <v>903</v>
      </c>
      <c r="N653" s="1">
        <v>3</v>
      </c>
      <c r="O653" s="3" t="s">
        <v>39</v>
      </c>
      <c r="P653" s="1">
        <v>35</v>
      </c>
      <c r="Q653" s="1">
        <v>3</v>
      </c>
      <c r="R653" s="1">
        <v>2</v>
      </c>
      <c r="S653" s="3" t="s">
        <v>40</v>
      </c>
      <c r="T653" s="1">
        <v>4</v>
      </c>
      <c r="U653" s="3" t="s">
        <v>48</v>
      </c>
      <c r="V653" s="4">
        <v>4537</v>
      </c>
      <c r="W653" s="1">
        <v>17783</v>
      </c>
      <c r="X653" s="1">
        <v>0</v>
      </c>
      <c r="Y653" s="3" t="s">
        <v>42</v>
      </c>
      <c r="Z653" s="3" t="s">
        <v>35</v>
      </c>
      <c r="AA653" s="5">
        <v>0.22</v>
      </c>
      <c r="AB653" s="10" t="str" cm="1">
        <f t="array" ref="AB653">_xlfn.IFS(AA653 &lt;= 15%, "Low Hike[11-15%]", AA653 &lt;= 20%, "Moderate Hike[16-20%]", AA653 &lt;= 25%,"High Hike[21-25%]")</f>
        <v>High Hike[21-25%]</v>
      </c>
      <c r="AC653" s="1">
        <v>4</v>
      </c>
      <c r="AD653" s="1">
        <v>1</v>
      </c>
      <c r="AE653" s="1">
        <v>80</v>
      </c>
      <c r="AF653" s="1">
        <v>1</v>
      </c>
      <c r="AG653" s="1">
        <v>8</v>
      </c>
      <c r="AH653" s="9" t="str" cm="1">
        <f t="array" ref="AH653">_xlfn.IFS(AG653 &lt;= 5, "New[1-5]", AG653 &lt;= 10, "Early Career[6-10]", AG653 &lt;= 20, "Established[11-20]", AG653 &lt;= 30, "Veteran[21-30]", AG653 &lt;= 40, "Late Career[31-40]")</f>
        <v>Early Career[6-10]</v>
      </c>
      <c r="AI653" s="1">
        <v>2</v>
      </c>
      <c r="AJ653" s="1">
        <v>3</v>
      </c>
      <c r="AK653" s="1">
        <v>7</v>
      </c>
      <c r="AL653" s="9" t="str" cm="1">
        <f t="array" ref="AL653">_xlfn.IFS(AK653 &lt;= 5, "New[1-5]", AK653 &lt;= 10, "Early Career[6-10]", AK653 &lt;= 20, "Established[11-20]", AK653 &lt;= 30, "Veteran[21-30]", AK653 &lt;= 40, "Late Career[31-40]")</f>
        <v>Early Career[6-10]</v>
      </c>
      <c r="AM653" s="1">
        <v>6</v>
      </c>
      <c r="AN653" s="9" t="str" cm="1">
        <f t="array" ref="AN653">_xlfn.IFS(AM653 &lt;= 3, "New to Role[1-3]", AM653 &lt;= 7, "Settled[4-7]", AM653 &lt;= 12, "Experienced[[8-12]", AM653 &lt;= 18, "Long Tenured[13-18]")</f>
        <v>Settled[4-7]</v>
      </c>
      <c r="AO653" s="1">
        <v>7</v>
      </c>
      <c r="AP653" s="9" t="str" cm="1">
        <f t="array" ref="AP653">_xlfn.IFS(AO653 &lt;= 3, "Recently[1-3]", AO653 &lt;= 6, "Due Soon[4-6]", AO653 &lt;= 10, "Overdue[7-10]", AO653 &lt;= 15, "Long Overdue[11-15]")</f>
        <v>Overdue[7-10]</v>
      </c>
      <c r="AQ653" s="9" t="str" cm="1">
        <f t="array" ref="AQ653">_xlfn.IFS(AR653 &lt;= 3, "New Relationship[1-3]", AR653 &lt;= 7, "Established Relationship[4-7]", AR653 &lt;= 12, "Long Term Relationship[8-12]", AR653 &lt;= 17, "Very Long Term Relationship[13-17]")</f>
        <v>Established Relationship[4-7]</v>
      </c>
      <c r="AR653" s="1">
        <v>7</v>
      </c>
    </row>
    <row r="654" spans="1:44" x14ac:dyDescent="0.25">
      <c r="A654" s="1">
        <v>37</v>
      </c>
      <c r="B654" s="8" t="str" cm="1">
        <f t="array" ref="B654">_xlfn.IFS(A654 &lt;= 25, "[18-25]", A654 &lt;= 35, "[26-35]", A654 &lt;=45, "[36-45]", A654 &lt;= 60, "[46- 60]")</f>
        <v>[36-45]</v>
      </c>
      <c r="C654" s="3" t="s">
        <v>43</v>
      </c>
      <c r="D654">
        <f t="shared" si="10"/>
        <v>0</v>
      </c>
      <c r="E654" t="s">
        <v>62</v>
      </c>
      <c r="F654" s="1">
        <v>1252</v>
      </c>
      <c r="G654" s="3" t="s">
        <v>37</v>
      </c>
      <c r="H654" s="1">
        <v>19</v>
      </c>
      <c r="I654" s="9" t="str" cm="1">
        <f t="array" ref="I654">_xlfn.IFS(H654 &lt;= 2, "[1-2] very close", H654 &lt;= 10, "[3-10] close", H654 &lt;= 20, "[11-20] moderate", H654 &lt;= 30, "[21-30] far")</f>
        <v>[11-20] moderate</v>
      </c>
      <c r="J654" s="1">
        <v>2</v>
      </c>
      <c r="K654" s="3" t="s">
        <v>51</v>
      </c>
      <c r="L654" s="1">
        <v>1</v>
      </c>
      <c r="M654" s="1">
        <v>904</v>
      </c>
      <c r="N654" s="1">
        <v>1</v>
      </c>
      <c r="O654" s="3" t="s">
        <v>46</v>
      </c>
      <c r="P654" s="1">
        <v>32</v>
      </c>
      <c r="Q654" s="1">
        <v>3</v>
      </c>
      <c r="R654" s="1">
        <v>3</v>
      </c>
      <c r="S654" s="3" t="s">
        <v>40</v>
      </c>
      <c r="T654" s="1">
        <v>2</v>
      </c>
      <c r="U654" s="3" t="s">
        <v>41</v>
      </c>
      <c r="V654" s="4">
        <v>7642</v>
      </c>
      <c r="W654" s="1">
        <v>4814</v>
      </c>
      <c r="X654" s="1">
        <v>1</v>
      </c>
      <c r="Y654" s="3" t="s">
        <v>42</v>
      </c>
      <c r="Z654" s="3" t="s">
        <v>35</v>
      </c>
      <c r="AA654" s="5">
        <v>0.13</v>
      </c>
      <c r="AB654" s="10" t="str" cm="1">
        <f t="array" ref="AB654">_xlfn.IFS(AA654 &lt;= 15%, "Low Hike[11-15%]", AA654 &lt;= 20%, "Moderate Hike[16-20%]", AA654 &lt;= 25%,"High Hike[21-25%]")</f>
        <v>Low Hike[11-15%]</v>
      </c>
      <c r="AC654" s="1">
        <v>3</v>
      </c>
      <c r="AD654" s="1">
        <v>4</v>
      </c>
      <c r="AE654" s="1">
        <v>80</v>
      </c>
      <c r="AF654" s="1">
        <v>0</v>
      </c>
      <c r="AG654" s="1">
        <v>10</v>
      </c>
      <c r="AH654" s="9" t="str" cm="1">
        <f t="array" ref="AH654">_xlfn.IFS(AG654 &lt;= 5, "New[1-5]", AG654 &lt;= 10, "Early Career[6-10]", AG654 &lt;= 20, "Established[11-20]", AG654 &lt;= 30, "Veteran[21-30]", AG654 &lt;= 40, "Late Career[31-40]")</f>
        <v>Early Career[6-10]</v>
      </c>
      <c r="AI654" s="1">
        <v>2</v>
      </c>
      <c r="AJ654" s="1">
        <v>3</v>
      </c>
      <c r="AK654" s="1">
        <v>10</v>
      </c>
      <c r="AL654" s="9" t="str" cm="1">
        <f t="array" ref="AL654">_xlfn.IFS(AK654 &lt;= 5, "New[1-5]", AK654 &lt;= 10, "Early Career[6-10]", AK654 &lt;= 20, "Established[11-20]", AK654 &lt;= 30, "Veteran[21-30]", AK654 &lt;= 40, "Late Career[31-40]")</f>
        <v>Early Career[6-10]</v>
      </c>
      <c r="AM654" s="1">
        <v>0</v>
      </c>
      <c r="AN654" s="9" t="str" cm="1">
        <f t="array" ref="AN654">_xlfn.IFS(AM654 &lt;= 3, "New to Role[1-3]", AM654 &lt;= 7, "Settled[4-7]", AM654 &lt;= 12, "Experienced[[8-12]", AM654 &lt;= 18, "Long Tenured[13-18]")</f>
        <v>New to Role[1-3]</v>
      </c>
      <c r="AO654" s="1">
        <v>0</v>
      </c>
      <c r="AP654" s="9" t="str" cm="1">
        <f t="array" ref="AP654">_xlfn.IFS(AO654 &lt;= 3, "Recently[1-3]", AO654 &lt;= 6, "Due Soon[4-6]", AO654 &lt;= 10, "Overdue[7-10]", AO654 &lt;= 15, "Long Overdue[11-15]")</f>
        <v>Recently[1-3]</v>
      </c>
      <c r="AQ654" s="9" t="str" cm="1">
        <f t="array" ref="AQ654">_xlfn.IFS(AR654 &lt;= 3, "New Relationship[1-3]", AR654 &lt;= 7, "Established Relationship[4-7]", AR654 &lt;= 12, "Long Term Relationship[8-12]", AR654 &lt;= 17, "Very Long Term Relationship[13-17]")</f>
        <v>Long Term Relationship[8-12]</v>
      </c>
      <c r="AR654" s="1">
        <v>9</v>
      </c>
    </row>
    <row r="655" spans="1:44" x14ac:dyDescent="0.25">
      <c r="A655" s="1">
        <v>50</v>
      </c>
      <c r="B655" s="8" t="str" cm="1">
        <f t="array" ref="B655">_xlfn.IFS(A655 &lt;= 25, "[18-25]", A655 &lt;= 35, "[26-35]", A655 &lt;=45, "[36-45]", A655 &lt;= 60, "[46- 60]")</f>
        <v>[46- 60]</v>
      </c>
      <c r="C655" s="3" t="s">
        <v>43</v>
      </c>
      <c r="D655">
        <f t="shared" si="10"/>
        <v>0</v>
      </c>
      <c r="E655" t="s">
        <v>62</v>
      </c>
      <c r="F655" s="1">
        <v>881</v>
      </c>
      <c r="G655" s="3" t="s">
        <v>45</v>
      </c>
      <c r="H655" s="1">
        <v>2</v>
      </c>
      <c r="I655" s="9" t="str" cm="1">
        <f t="array" ref="I655">_xlfn.IFS(H655 &lt;= 2, "[1-2] very close", H655 &lt;= 10, "[3-10] close", H655 &lt;= 20, "[11-20] moderate", H655 &lt;= 30, "[21-30] far")</f>
        <v>[1-2] very close</v>
      </c>
      <c r="J655" s="1">
        <v>4</v>
      </c>
      <c r="K655" s="3" t="s">
        <v>38</v>
      </c>
      <c r="L655" s="1">
        <v>1</v>
      </c>
      <c r="M655" s="1">
        <v>905</v>
      </c>
      <c r="N655" s="1">
        <v>1</v>
      </c>
      <c r="O655" s="3" t="s">
        <v>46</v>
      </c>
      <c r="P655" s="1">
        <v>98</v>
      </c>
      <c r="Q655" s="1">
        <v>3</v>
      </c>
      <c r="R655" s="1">
        <v>4</v>
      </c>
      <c r="S655" s="3" t="s">
        <v>56</v>
      </c>
      <c r="T655" s="1">
        <v>1</v>
      </c>
      <c r="U655" s="3" t="s">
        <v>52</v>
      </c>
      <c r="V655" s="4">
        <v>17924</v>
      </c>
      <c r="W655" s="1">
        <v>4544</v>
      </c>
      <c r="X655" s="1">
        <v>1</v>
      </c>
      <c r="Y655" s="3" t="s">
        <v>42</v>
      </c>
      <c r="Z655" s="3" t="s">
        <v>43</v>
      </c>
      <c r="AA655" s="5">
        <v>0.11</v>
      </c>
      <c r="AB655" s="10" t="str" cm="1">
        <f t="array" ref="AB655">_xlfn.IFS(AA655 &lt;= 15%, "Low Hike[11-15%]", AA655 &lt;= 20%, "Moderate Hike[16-20%]", AA655 &lt;= 25%,"High Hike[21-25%]")</f>
        <v>Low Hike[11-15%]</v>
      </c>
      <c r="AC655" s="1">
        <v>3</v>
      </c>
      <c r="AD655" s="1">
        <v>4</v>
      </c>
      <c r="AE655" s="1">
        <v>80</v>
      </c>
      <c r="AF655" s="1">
        <v>1</v>
      </c>
      <c r="AG655" s="1">
        <v>31</v>
      </c>
      <c r="AH655" s="9" t="str" cm="1">
        <f t="array" ref="AH655">_xlfn.IFS(AG655 &lt;= 5, "New[1-5]", AG655 &lt;= 10, "Early Career[6-10]", AG655 &lt;= 20, "Established[11-20]", AG655 &lt;= 30, "Veteran[21-30]", AG655 &lt;= 40, "Late Career[31-40]")</f>
        <v>Late Career[31-40]</v>
      </c>
      <c r="AI655" s="1">
        <v>3</v>
      </c>
      <c r="AJ655" s="1">
        <v>3</v>
      </c>
      <c r="AK655" s="1">
        <v>31</v>
      </c>
      <c r="AL655" s="9" t="str" cm="1">
        <f t="array" ref="AL655">_xlfn.IFS(AK655 &lt;= 5, "New[1-5]", AK655 &lt;= 10, "Early Career[6-10]", AK655 &lt;= 20, "Established[11-20]", AK655 &lt;= 30, "Veteran[21-30]", AK655 &lt;= 40, "Late Career[31-40]")</f>
        <v>Late Career[31-40]</v>
      </c>
      <c r="AM655" s="1">
        <v>6</v>
      </c>
      <c r="AN655" s="9" t="str" cm="1">
        <f t="array" ref="AN655">_xlfn.IFS(AM655 &lt;= 3, "New to Role[1-3]", AM655 &lt;= 7, "Settled[4-7]", AM655 &lt;= 12, "Experienced[[8-12]", AM655 &lt;= 18, "Long Tenured[13-18]")</f>
        <v>Settled[4-7]</v>
      </c>
      <c r="AO655" s="1">
        <v>14</v>
      </c>
      <c r="AP655" s="9" t="str" cm="1">
        <f t="array" ref="AP655">_xlfn.IFS(AO655 &lt;= 3, "Recently[1-3]", AO655 &lt;= 6, "Due Soon[4-6]", AO655 &lt;= 10, "Overdue[7-10]", AO655 &lt;= 15, "Long Overdue[11-15]")</f>
        <v>Long Overdue[11-15]</v>
      </c>
      <c r="AQ655" s="9" t="str" cm="1">
        <f t="array" ref="AQ655">_xlfn.IFS(AR655 &lt;= 3, "New Relationship[1-3]", AR655 &lt;= 7, "Established Relationship[4-7]", AR655 &lt;= 12, "Long Term Relationship[8-12]", AR655 &lt;= 17, "Very Long Term Relationship[13-17]")</f>
        <v>Established Relationship[4-7]</v>
      </c>
      <c r="AR655" s="1">
        <v>7</v>
      </c>
    </row>
    <row r="656" spans="1:44" x14ac:dyDescent="0.25">
      <c r="A656" s="1">
        <v>39</v>
      </c>
      <c r="B656" s="8" t="str" cm="1">
        <f t="array" ref="B656">_xlfn.IFS(A656 &lt;= 25, "[18-25]", A656 &lt;= 35, "[26-35]", A656 &lt;=45, "[36-45]", A656 &lt;= 60, "[46- 60]")</f>
        <v>[36-45]</v>
      </c>
      <c r="C656" s="3" t="s">
        <v>43</v>
      </c>
      <c r="D656">
        <f t="shared" si="10"/>
        <v>0</v>
      </c>
      <c r="E656" t="s">
        <v>36</v>
      </c>
      <c r="F656" s="1">
        <v>1383</v>
      </c>
      <c r="G656" s="3" t="s">
        <v>61</v>
      </c>
      <c r="H656" s="1">
        <v>2</v>
      </c>
      <c r="I656" s="9" t="str" cm="1">
        <f t="array" ref="I656">_xlfn.IFS(H656 &lt;= 2, "[1-2] very close", H656 &lt;= 10, "[3-10] close", H656 &lt;= 20, "[11-20] moderate", H656 &lt;= 30, "[21-30] far")</f>
        <v>[1-2] very close</v>
      </c>
      <c r="J656" s="1">
        <v>3</v>
      </c>
      <c r="K656" s="3" t="s">
        <v>38</v>
      </c>
      <c r="L656" s="1">
        <v>1</v>
      </c>
      <c r="M656" s="1">
        <v>909</v>
      </c>
      <c r="N656" s="1">
        <v>4</v>
      </c>
      <c r="O656" s="3" t="s">
        <v>39</v>
      </c>
      <c r="P656" s="1">
        <v>42</v>
      </c>
      <c r="Q656" s="1">
        <v>2</v>
      </c>
      <c r="R656" s="1">
        <v>2</v>
      </c>
      <c r="S656" s="3" t="s">
        <v>61</v>
      </c>
      <c r="T656" s="1">
        <v>4</v>
      </c>
      <c r="U656" s="3" t="s">
        <v>48</v>
      </c>
      <c r="V656" s="4">
        <v>5204</v>
      </c>
      <c r="W656" s="1">
        <v>7790</v>
      </c>
      <c r="X656" s="1">
        <v>8</v>
      </c>
      <c r="Y656" s="3" t="s">
        <v>42</v>
      </c>
      <c r="Z656" s="3" t="s">
        <v>43</v>
      </c>
      <c r="AA656" s="5">
        <v>0.11</v>
      </c>
      <c r="AB656" s="10" t="str" cm="1">
        <f t="array" ref="AB656">_xlfn.IFS(AA656 &lt;= 15%, "Low Hike[11-15%]", AA656 &lt;= 20%, "Moderate Hike[16-20%]", AA656 &lt;= 25%,"High Hike[21-25%]")</f>
        <v>Low Hike[11-15%]</v>
      </c>
      <c r="AC656" s="1">
        <v>3</v>
      </c>
      <c r="AD656" s="1">
        <v>3</v>
      </c>
      <c r="AE656" s="1">
        <v>80</v>
      </c>
      <c r="AF656" s="1">
        <v>2</v>
      </c>
      <c r="AG656" s="1">
        <v>13</v>
      </c>
      <c r="AH656" s="9" t="str" cm="1">
        <f t="array" ref="AH656">_xlfn.IFS(AG656 &lt;= 5, "New[1-5]", AG656 &lt;= 10, "Early Career[6-10]", AG656 &lt;= 20, "Established[11-20]", AG656 &lt;= 30, "Veteran[21-30]", AG656 &lt;= 40, "Late Career[31-40]")</f>
        <v>Established[11-20]</v>
      </c>
      <c r="AI656" s="1">
        <v>2</v>
      </c>
      <c r="AJ656" s="1">
        <v>3</v>
      </c>
      <c r="AK656" s="1">
        <v>5</v>
      </c>
      <c r="AL656" s="9" t="str" cm="1">
        <f t="array" ref="AL656">_xlfn.IFS(AK656 &lt;= 5, "New[1-5]", AK656 &lt;= 10, "Early Career[6-10]", AK656 &lt;= 20, "Established[11-20]", AK656 &lt;= 30, "Veteran[21-30]", AK656 &lt;= 40, "Late Career[31-40]")</f>
        <v>New[1-5]</v>
      </c>
      <c r="AM656" s="1">
        <v>4</v>
      </c>
      <c r="AN656" s="9" t="str" cm="1">
        <f t="array" ref="AN656">_xlfn.IFS(AM656 &lt;= 3, "New to Role[1-3]", AM656 &lt;= 7, "Settled[4-7]", AM656 &lt;= 12, "Experienced[[8-12]", AM656 &lt;= 18, "Long Tenured[13-18]")</f>
        <v>Settled[4-7]</v>
      </c>
      <c r="AO656" s="1">
        <v>0</v>
      </c>
      <c r="AP656" s="9" t="str" cm="1">
        <f t="array" ref="AP656">_xlfn.IFS(AO656 &lt;= 3, "Recently[1-3]", AO656 &lt;= 6, "Due Soon[4-6]", AO656 &lt;= 10, "Overdue[7-10]", AO656 &lt;= 15, "Long Overdue[11-15]")</f>
        <v>Recently[1-3]</v>
      </c>
      <c r="AQ656" s="9" t="str" cm="1">
        <f t="array" ref="AQ656">_xlfn.IFS(AR656 &lt;= 3, "New Relationship[1-3]", AR656 &lt;= 7, "Established Relationship[4-7]", AR656 &lt;= 12, "Long Term Relationship[8-12]", AR656 &lt;= 17, "Very Long Term Relationship[13-17]")</f>
        <v>Established Relationship[4-7]</v>
      </c>
      <c r="AR656" s="1">
        <v>4</v>
      </c>
    </row>
    <row r="657" spans="1:44" x14ac:dyDescent="0.25">
      <c r="A657" s="1">
        <v>33</v>
      </c>
      <c r="B657" s="8" t="str" cm="1">
        <f t="array" ref="B657">_xlfn.IFS(A657 &lt;= 25, "[18-25]", A657 &lt;= 35, "[26-35]", A657 &lt;=45, "[36-45]", A657 &lt;= 60, "[46- 60]")</f>
        <v>[26-35]</v>
      </c>
      <c r="C657" s="3" t="s">
        <v>43</v>
      </c>
      <c r="D657">
        <f t="shared" si="10"/>
        <v>0</v>
      </c>
      <c r="E657" t="s">
        <v>36</v>
      </c>
      <c r="F657" s="1">
        <v>1075</v>
      </c>
      <c r="G657" s="3" t="s">
        <v>61</v>
      </c>
      <c r="H657" s="1">
        <v>3</v>
      </c>
      <c r="I657" s="9" t="str" cm="1">
        <f t="array" ref="I657">_xlfn.IFS(H657 &lt;= 2, "[1-2] very close", H657 &lt;= 10, "[3-10] close", H657 &lt;= 20, "[11-20] moderate", H657 &lt;= 30, "[21-30] far")</f>
        <v>[3-10] close</v>
      </c>
      <c r="J657" s="1">
        <v>2</v>
      </c>
      <c r="K657" s="3" t="s">
        <v>61</v>
      </c>
      <c r="L657" s="1">
        <v>1</v>
      </c>
      <c r="M657" s="1">
        <v>910</v>
      </c>
      <c r="N657" s="1">
        <v>4</v>
      </c>
      <c r="O657" s="3" t="s">
        <v>46</v>
      </c>
      <c r="P657" s="1">
        <v>57</v>
      </c>
      <c r="Q657" s="1">
        <v>3</v>
      </c>
      <c r="R657" s="1">
        <v>1</v>
      </c>
      <c r="S657" s="3" t="s">
        <v>61</v>
      </c>
      <c r="T657" s="1">
        <v>2</v>
      </c>
      <c r="U657" s="3" t="s">
        <v>52</v>
      </c>
      <c r="V657" s="4">
        <v>2277</v>
      </c>
      <c r="W657" s="1">
        <v>22650</v>
      </c>
      <c r="X657" s="1">
        <v>3</v>
      </c>
      <c r="Y657" s="3" t="s">
        <v>42</v>
      </c>
      <c r="Z657" s="3" t="s">
        <v>35</v>
      </c>
      <c r="AA657" s="5">
        <v>0.11</v>
      </c>
      <c r="AB657" s="10" t="str" cm="1">
        <f t="array" ref="AB657">_xlfn.IFS(AA657 &lt;= 15%, "Low Hike[11-15%]", AA657 &lt;= 20%, "Moderate Hike[16-20%]", AA657 &lt;= 25%,"High Hike[21-25%]")</f>
        <v>Low Hike[11-15%]</v>
      </c>
      <c r="AC657" s="1">
        <v>3</v>
      </c>
      <c r="AD657" s="1">
        <v>3</v>
      </c>
      <c r="AE657" s="1">
        <v>80</v>
      </c>
      <c r="AF657" s="1">
        <v>1</v>
      </c>
      <c r="AG657" s="1">
        <v>7</v>
      </c>
      <c r="AH657" s="9" t="str" cm="1">
        <f t="array" ref="AH657">_xlfn.IFS(AG657 &lt;= 5, "New[1-5]", AG657 &lt;= 10, "Early Career[6-10]", AG657 &lt;= 20, "Established[11-20]", AG657 &lt;= 30, "Veteran[21-30]", AG657 &lt;= 40, "Late Career[31-40]")</f>
        <v>Early Career[6-10]</v>
      </c>
      <c r="AI657" s="1">
        <v>4</v>
      </c>
      <c r="AJ657" s="1">
        <v>4</v>
      </c>
      <c r="AK657" s="1">
        <v>4</v>
      </c>
      <c r="AL657" s="9" t="str" cm="1">
        <f t="array" ref="AL657">_xlfn.IFS(AK657 &lt;= 5, "New[1-5]", AK657 &lt;= 10, "Early Career[6-10]", AK657 &lt;= 20, "Established[11-20]", AK657 &lt;= 30, "Veteran[21-30]", AK657 &lt;= 40, "Late Career[31-40]")</f>
        <v>New[1-5]</v>
      </c>
      <c r="AM657" s="1">
        <v>3</v>
      </c>
      <c r="AN657" s="9" t="str" cm="1">
        <f t="array" ref="AN657">_xlfn.IFS(AM657 &lt;= 3, "New to Role[1-3]", AM657 &lt;= 7, "Settled[4-7]", AM657 &lt;= 12, "Experienced[[8-12]", AM657 &lt;= 18, "Long Tenured[13-18]")</f>
        <v>New to Role[1-3]</v>
      </c>
      <c r="AO657" s="1">
        <v>0</v>
      </c>
      <c r="AP657" s="9" t="str" cm="1">
        <f t="array" ref="AP657">_xlfn.IFS(AO657 &lt;= 3, "Recently[1-3]", AO657 &lt;= 6, "Due Soon[4-6]", AO657 &lt;= 10, "Overdue[7-10]", AO657 &lt;= 15, "Long Overdue[11-15]")</f>
        <v>Recently[1-3]</v>
      </c>
      <c r="AQ657" s="9" t="str" cm="1">
        <f t="array" ref="AQ657">_xlfn.IFS(AR657 &lt;= 3, "New Relationship[1-3]", AR657 &lt;= 7, "Established Relationship[4-7]", AR657 &lt;= 12, "Long Term Relationship[8-12]", AR657 &lt;= 17, "Very Long Term Relationship[13-17]")</f>
        <v>New Relationship[1-3]</v>
      </c>
      <c r="AR657" s="1">
        <v>3</v>
      </c>
    </row>
    <row r="658" spans="1:44" x14ac:dyDescent="0.25">
      <c r="A658" s="1">
        <v>32</v>
      </c>
      <c r="B658" s="8" t="str" cm="1">
        <f t="array" ref="B658">_xlfn.IFS(A658 &lt;= 25, "[18-25]", A658 &lt;= 35, "[26-35]", A658 &lt;=45, "[36-45]", A658 &lt;= 60, "[46- 60]")</f>
        <v>[26-35]</v>
      </c>
      <c r="C658" s="3" t="s">
        <v>35</v>
      </c>
      <c r="D658">
        <f t="shared" si="10"/>
        <v>1</v>
      </c>
      <c r="E658" t="s">
        <v>36</v>
      </c>
      <c r="F658" s="1">
        <v>374</v>
      </c>
      <c r="G658" s="3" t="s">
        <v>45</v>
      </c>
      <c r="H658" s="1">
        <v>25</v>
      </c>
      <c r="I658" s="9" t="str" cm="1">
        <f t="array" ref="I658">_xlfn.IFS(H658 &lt;= 2, "[1-2] very close", H658 &lt;= 10, "[3-10] close", H658 &lt;= 20, "[11-20] moderate", H658 &lt;= 30, "[21-30] far")</f>
        <v>[21-30] far</v>
      </c>
      <c r="J658" s="1">
        <v>4</v>
      </c>
      <c r="K658" s="3" t="s">
        <v>38</v>
      </c>
      <c r="L658" s="1">
        <v>1</v>
      </c>
      <c r="M658" s="1">
        <v>911</v>
      </c>
      <c r="N658" s="1">
        <v>1</v>
      </c>
      <c r="O658" s="3" t="s">
        <v>46</v>
      </c>
      <c r="P658" s="1">
        <v>87</v>
      </c>
      <c r="Q658" s="1">
        <v>3</v>
      </c>
      <c r="R658" s="1">
        <v>1</v>
      </c>
      <c r="S658" s="3" t="s">
        <v>50</v>
      </c>
      <c r="T658" s="1">
        <v>4</v>
      </c>
      <c r="U658" s="3" t="s">
        <v>41</v>
      </c>
      <c r="V658" s="4">
        <v>2795</v>
      </c>
      <c r="W658" s="1">
        <v>18016</v>
      </c>
      <c r="X658" s="1">
        <v>1</v>
      </c>
      <c r="Y658" s="3" t="s">
        <v>42</v>
      </c>
      <c r="Z658" s="3" t="s">
        <v>35</v>
      </c>
      <c r="AA658" s="5">
        <v>0.24</v>
      </c>
      <c r="AB658" s="10" t="str" cm="1">
        <f t="array" ref="AB658">_xlfn.IFS(AA658 &lt;= 15%, "Low Hike[11-15%]", AA658 &lt;= 20%, "Moderate Hike[16-20%]", AA658 &lt;= 25%,"High Hike[21-25%]")</f>
        <v>High Hike[21-25%]</v>
      </c>
      <c r="AC658" s="1">
        <v>4</v>
      </c>
      <c r="AD658" s="1">
        <v>3</v>
      </c>
      <c r="AE658" s="1">
        <v>80</v>
      </c>
      <c r="AF658" s="1">
        <v>0</v>
      </c>
      <c r="AG658" s="1">
        <v>1</v>
      </c>
      <c r="AH658" s="9" t="str" cm="1">
        <f t="array" ref="AH658">_xlfn.IFS(AG658 &lt;= 5, "New[1-5]", AG658 &lt;= 10, "Early Career[6-10]", AG658 &lt;= 20, "Established[11-20]", AG658 &lt;= 30, "Veteran[21-30]", AG658 &lt;= 40, "Late Career[31-40]")</f>
        <v>New[1-5]</v>
      </c>
      <c r="AI658" s="1">
        <v>2</v>
      </c>
      <c r="AJ658" s="1">
        <v>1</v>
      </c>
      <c r="AK658" s="1">
        <v>1</v>
      </c>
      <c r="AL658" s="9" t="str" cm="1">
        <f t="array" ref="AL658">_xlfn.IFS(AK658 &lt;= 5, "New[1-5]", AK658 &lt;= 10, "Early Career[6-10]", AK658 &lt;= 20, "Established[11-20]", AK658 &lt;= 30, "Veteran[21-30]", AK658 &lt;= 40, "Late Career[31-40]")</f>
        <v>New[1-5]</v>
      </c>
      <c r="AM658" s="1">
        <v>0</v>
      </c>
      <c r="AN658" s="9" t="str" cm="1">
        <f t="array" ref="AN658">_xlfn.IFS(AM658 &lt;= 3, "New to Role[1-3]", AM658 &lt;= 7, "Settled[4-7]", AM658 &lt;= 12, "Experienced[[8-12]", AM658 &lt;= 18, "Long Tenured[13-18]")</f>
        <v>New to Role[1-3]</v>
      </c>
      <c r="AO658" s="1">
        <v>0</v>
      </c>
      <c r="AP658" s="9" t="str" cm="1">
        <f t="array" ref="AP658">_xlfn.IFS(AO658 &lt;= 3, "Recently[1-3]", AO658 &lt;= 6, "Due Soon[4-6]", AO658 &lt;= 10, "Overdue[7-10]", AO658 &lt;= 15, "Long Overdue[11-15]")</f>
        <v>Recently[1-3]</v>
      </c>
      <c r="AQ658" s="9" t="str" cm="1">
        <f t="array" ref="AQ658">_xlfn.IFS(AR658 &lt;= 3, "New Relationship[1-3]", AR658 &lt;= 7, "Established Relationship[4-7]", AR658 &lt;= 12, "Long Term Relationship[8-12]", AR658 &lt;= 17, "Very Long Term Relationship[13-17]")</f>
        <v>New Relationship[1-3]</v>
      </c>
      <c r="AR658" s="1">
        <v>1</v>
      </c>
    </row>
    <row r="659" spans="1:44" x14ac:dyDescent="0.25">
      <c r="A659" s="1">
        <v>29</v>
      </c>
      <c r="B659" s="8" t="str" cm="1">
        <f t="array" ref="B659">_xlfn.IFS(A659 &lt;= 25, "[18-25]", A659 &lt;= 35, "[26-35]", A659 &lt;=45, "[36-45]", A659 &lt;= 60, "[46- 60]")</f>
        <v>[26-35]</v>
      </c>
      <c r="C659" s="3" t="s">
        <v>43</v>
      </c>
      <c r="D659">
        <f t="shared" si="10"/>
        <v>0</v>
      </c>
      <c r="E659" t="s">
        <v>36</v>
      </c>
      <c r="F659" s="1">
        <v>1086</v>
      </c>
      <c r="G659" s="3" t="s">
        <v>45</v>
      </c>
      <c r="H659" s="1">
        <v>7</v>
      </c>
      <c r="I659" s="9" t="str" cm="1">
        <f t="array" ref="I659">_xlfn.IFS(H659 &lt;= 2, "[1-2] very close", H659 &lt;= 10, "[3-10] close", H659 &lt;= 20, "[11-20] moderate", H659 &lt;= 30, "[21-30] far")</f>
        <v>[3-10] close</v>
      </c>
      <c r="J659" s="1">
        <v>1</v>
      </c>
      <c r="K659" s="3" t="s">
        <v>51</v>
      </c>
      <c r="L659" s="1">
        <v>1</v>
      </c>
      <c r="M659" s="1">
        <v>912</v>
      </c>
      <c r="N659" s="1">
        <v>1</v>
      </c>
      <c r="O659" s="3" t="s">
        <v>39</v>
      </c>
      <c r="P659" s="1">
        <v>62</v>
      </c>
      <c r="Q659" s="1">
        <v>2</v>
      </c>
      <c r="R659" s="1">
        <v>1</v>
      </c>
      <c r="S659" s="3" t="s">
        <v>50</v>
      </c>
      <c r="T659" s="1">
        <v>4</v>
      </c>
      <c r="U659" s="3" t="s">
        <v>52</v>
      </c>
      <c r="V659" s="4">
        <v>2532</v>
      </c>
      <c r="W659" s="1">
        <v>6054</v>
      </c>
      <c r="X659" s="1">
        <v>6</v>
      </c>
      <c r="Y659" s="3" t="s">
        <v>42</v>
      </c>
      <c r="Z659" s="3" t="s">
        <v>43</v>
      </c>
      <c r="AA659" s="5">
        <v>0.14000000000000001</v>
      </c>
      <c r="AB659" s="10" t="str" cm="1">
        <f t="array" ref="AB659">_xlfn.IFS(AA659 &lt;= 15%, "Low Hike[11-15%]", AA659 &lt;= 20%, "Moderate Hike[16-20%]", AA659 &lt;= 25%,"High Hike[21-25%]")</f>
        <v>Low Hike[11-15%]</v>
      </c>
      <c r="AC659" s="1">
        <v>3</v>
      </c>
      <c r="AD659" s="1">
        <v>3</v>
      </c>
      <c r="AE659" s="1">
        <v>80</v>
      </c>
      <c r="AF659" s="1">
        <v>3</v>
      </c>
      <c r="AG659" s="1">
        <v>8</v>
      </c>
      <c r="AH659" s="9" t="str" cm="1">
        <f t="array" ref="AH659">_xlfn.IFS(AG659 &lt;= 5, "New[1-5]", AG659 &lt;= 10, "Early Career[6-10]", AG659 &lt;= 20, "Established[11-20]", AG659 &lt;= 30, "Veteran[21-30]", AG659 &lt;= 40, "Late Career[31-40]")</f>
        <v>Early Career[6-10]</v>
      </c>
      <c r="AI659" s="1">
        <v>5</v>
      </c>
      <c r="AJ659" s="1">
        <v>3</v>
      </c>
      <c r="AK659" s="1">
        <v>4</v>
      </c>
      <c r="AL659" s="9" t="str" cm="1">
        <f t="array" ref="AL659">_xlfn.IFS(AK659 &lt;= 5, "New[1-5]", AK659 &lt;= 10, "Early Career[6-10]", AK659 &lt;= 20, "Established[11-20]", AK659 &lt;= 30, "Veteran[21-30]", AK659 &lt;= 40, "Late Career[31-40]")</f>
        <v>New[1-5]</v>
      </c>
      <c r="AM659" s="1">
        <v>3</v>
      </c>
      <c r="AN659" s="9" t="str" cm="1">
        <f t="array" ref="AN659">_xlfn.IFS(AM659 &lt;= 3, "New to Role[1-3]", AM659 &lt;= 7, "Settled[4-7]", AM659 &lt;= 12, "Experienced[[8-12]", AM659 &lt;= 18, "Long Tenured[13-18]")</f>
        <v>New to Role[1-3]</v>
      </c>
      <c r="AO659" s="1">
        <v>0</v>
      </c>
      <c r="AP659" s="9" t="str" cm="1">
        <f t="array" ref="AP659">_xlfn.IFS(AO659 &lt;= 3, "Recently[1-3]", AO659 &lt;= 6, "Due Soon[4-6]", AO659 &lt;= 10, "Overdue[7-10]", AO659 &lt;= 15, "Long Overdue[11-15]")</f>
        <v>Recently[1-3]</v>
      </c>
      <c r="AQ659" s="9" t="str" cm="1">
        <f t="array" ref="AQ659">_xlfn.IFS(AR659 &lt;= 3, "New Relationship[1-3]", AR659 &lt;= 7, "Established Relationship[4-7]", AR659 &lt;= 12, "Long Term Relationship[8-12]", AR659 &lt;= 17, "Very Long Term Relationship[13-17]")</f>
        <v>New Relationship[1-3]</v>
      </c>
      <c r="AR659" s="1">
        <v>3</v>
      </c>
    </row>
    <row r="660" spans="1:44" x14ac:dyDescent="0.25">
      <c r="A660" s="1">
        <v>44</v>
      </c>
      <c r="B660" s="8" t="str" cm="1">
        <f t="array" ref="B660">_xlfn.IFS(A660 &lt;= 25, "[18-25]", A660 &lt;= 35, "[26-35]", A660 &lt;=45, "[36-45]", A660 &lt;= 60, "[46- 60]")</f>
        <v>[36-45]</v>
      </c>
      <c r="C660" s="3" t="s">
        <v>43</v>
      </c>
      <c r="D660">
        <f t="shared" si="10"/>
        <v>0</v>
      </c>
      <c r="E660" t="s">
        <v>36</v>
      </c>
      <c r="F660" s="1">
        <v>661</v>
      </c>
      <c r="G660" s="3" t="s">
        <v>45</v>
      </c>
      <c r="H660" s="1">
        <v>9</v>
      </c>
      <c r="I660" s="9" t="str" cm="1">
        <f t="array" ref="I660">_xlfn.IFS(H660 &lt;= 2, "[1-2] very close", H660 &lt;= 10, "[3-10] close", H660 &lt;= 20, "[11-20] moderate", H660 &lt;= 30, "[21-30] far")</f>
        <v>[3-10] close</v>
      </c>
      <c r="J660" s="1">
        <v>2</v>
      </c>
      <c r="K660" s="3" t="s">
        <v>38</v>
      </c>
      <c r="L660" s="1">
        <v>1</v>
      </c>
      <c r="M660" s="1">
        <v>913</v>
      </c>
      <c r="N660" s="1">
        <v>2</v>
      </c>
      <c r="O660" s="3" t="s">
        <v>46</v>
      </c>
      <c r="P660" s="1">
        <v>61</v>
      </c>
      <c r="Q660" s="1">
        <v>3</v>
      </c>
      <c r="R660" s="1">
        <v>1</v>
      </c>
      <c r="S660" s="3" t="s">
        <v>47</v>
      </c>
      <c r="T660" s="1">
        <v>1</v>
      </c>
      <c r="U660" s="3" t="s">
        <v>48</v>
      </c>
      <c r="V660" s="4">
        <v>2559</v>
      </c>
      <c r="W660" s="1">
        <v>7508</v>
      </c>
      <c r="X660" s="1">
        <v>1</v>
      </c>
      <c r="Y660" s="3" t="s">
        <v>42</v>
      </c>
      <c r="Z660" s="3" t="s">
        <v>35</v>
      </c>
      <c r="AA660" s="5">
        <v>0.13</v>
      </c>
      <c r="AB660" s="10" t="str" cm="1">
        <f t="array" ref="AB660">_xlfn.IFS(AA660 &lt;= 15%, "Low Hike[11-15%]", AA660 &lt;= 20%, "Moderate Hike[16-20%]", AA660 &lt;= 25%,"High Hike[21-25%]")</f>
        <v>Low Hike[11-15%]</v>
      </c>
      <c r="AC660" s="1">
        <v>3</v>
      </c>
      <c r="AD660" s="1">
        <v>4</v>
      </c>
      <c r="AE660" s="1">
        <v>80</v>
      </c>
      <c r="AF660" s="1">
        <v>0</v>
      </c>
      <c r="AG660" s="1">
        <v>8</v>
      </c>
      <c r="AH660" s="9" t="str" cm="1">
        <f t="array" ref="AH660">_xlfn.IFS(AG660 &lt;= 5, "New[1-5]", AG660 &lt;= 10, "Early Career[6-10]", AG660 &lt;= 20, "Established[11-20]", AG660 &lt;= 30, "Veteran[21-30]", AG660 &lt;= 40, "Late Career[31-40]")</f>
        <v>Early Career[6-10]</v>
      </c>
      <c r="AI660" s="1">
        <v>0</v>
      </c>
      <c r="AJ660" s="1">
        <v>3</v>
      </c>
      <c r="AK660" s="1">
        <v>8</v>
      </c>
      <c r="AL660" s="9" t="str" cm="1">
        <f t="array" ref="AL660">_xlfn.IFS(AK660 &lt;= 5, "New[1-5]", AK660 &lt;= 10, "Early Career[6-10]", AK660 &lt;= 20, "Established[11-20]", AK660 &lt;= 30, "Veteran[21-30]", AK660 &lt;= 40, "Late Career[31-40]")</f>
        <v>Early Career[6-10]</v>
      </c>
      <c r="AM660" s="1">
        <v>7</v>
      </c>
      <c r="AN660" s="9" t="str" cm="1">
        <f t="array" ref="AN660">_xlfn.IFS(AM660 &lt;= 3, "New to Role[1-3]", AM660 &lt;= 7, "Settled[4-7]", AM660 &lt;= 12, "Experienced[[8-12]", AM660 &lt;= 18, "Long Tenured[13-18]")</f>
        <v>Settled[4-7]</v>
      </c>
      <c r="AO660" s="1">
        <v>7</v>
      </c>
      <c r="AP660" s="9" t="str" cm="1">
        <f t="array" ref="AP660">_xlfn.IFS(AO660 &lt;= 3, "Recently[1-3]", AO660 &lt;= 6, "Due Soon[4-6]", AO660 &lt;= 10, "Overdue[7-10]", AO660 &lt;= 15, "Long Overdue[11-15]")</f>
        <v>Overdue[7-10]</v>
      </c>
      <c r="AQ660" s="9" t="str" cm="1">
        <f t="array" ref="AQ660">_xlfn.IFS(AR660 &lt;= 3, "New Relationship[1-3]", AR660 &lt;= 7, "Established Relationship[4-7]", AR660 &lt;= 12, "Long Term Relationship[8-12]", AR660 &lt;= 17, "Very Long Term Relationship[13-17]")</f>
        <v>New Relationship[1-3]</v>
      </c>
      <c r="AR660" s="1">
        <v>1</v>
      </c>
    </row>
    <row r="661" spans="1:44" x14ac:dyDescent="0.25">
      <c r="A661" s="1">
        <v>28</v>
      </c>
      <c r="B661" s="8" t="str" cm="1">
        <f t="array" ref="B661">_xlfn.IFS(A661 &lt;= 25, "[18-25]", A661 &lt;= 35, "[26-35]", A661 &lt;=45, "[36-45]", A661 &lt;= 60, "[46- 60]")</f>
        <v>[26-35]</v>
      </c>
      <c r="C661" s="3" t="s">
        <v>43</v>
      </c>
      <c r="D661">
        <f t="shared" si="10"/>
        <v>0</v>
      </c>
      <c r="E661" t="s">
        <v>36</v>
      </c>
      <c r="F661" s="1">
        <v>821</v>
      </c>
      <c r="G661" s="3" t="s">
        <v>37</v>
      </c>
      <c r="H661" s="1">
        <v>5</v>
      </c>
      <c r="I661" s="9" t="str" cm="1">
        <f t="array" ref="I661">_xlfn.IFS(H661 &lt;= 2, "[1-2] very close", H661 &lt;= 10, "[3-10] close", H661 &lt;= 20, "[11-20] moderate", H661 &lt;= 30, "[21-30] far")</f>
        <v>[3-10] close</v>
      </c>
      <c r="J661" s="1">
        <v>4</v>
      </c>
      <c r="K661" s="3" t="s">
        <v>51</v>
      </c>
      <c r="L661" s="1">
        <v>1</v>
      </c>
      <c r="M661" s="1">
        <v>916</v>
      </c>
      <c r="N661" s="1">
        <v>1</v>
      </c>
      <c r="O661" s="3" t="s">
        <v>46</v>
      </c>
      <c r="P661" s="1">
        <v>98</v>
      </c>
      <c r="Q661" s="1">
        <v>3</v>
      </c>
      <c r="R661" s="1">
        <v>2</v>
      </c>
      <c r="S661" s="3" t="s">
        <v>40</v>
      </c>
      <c r="T661" s="1">
        <v>4</v>
      </c>
      <c r="U661" s="3" t="s">
        <v>41</v>
      </c>
      <c r="V661" s="4">
        <v>4908</v>
      </c>
      <c r="W661" s="1">
        <v>24252</v>
      </c>
      <c r="X661" s="1">
        <v>1</v>
      </c>
      <c r="Y661" s="3" t="s">
        <v>42</v>
      </c>
      <c r="Z661" s="3" t="s">
        <v>43</v>
      </c>
      <c r="AA661" s="5">
        <v>0.14000000000000001</v>
      </c>
      <c r="AB661" s="10" t="str" cm="1">
        <f t="array" ref="AB661">_xlfn.IFS(AA661 &lt;= 15%, "Low Hike[11-15%]", AA661 &lt;= 20%, "Moderate Hike[16-20%]", AA661 &lt;= 25%,"High Hike[21-25%]")</f>
        <v>Low Hike[11-15%]</v>
      </c>
      <c r="AC661" s="1">
        <v>3</v>
      </c>
      <c r="AD661" s="1">
        <v>2</v>
      </c>
      <c r="AE661" s="1">
        <v>80</v>
      </c>
      <c r="AF661" s="1">
        <v>0</v>
      </c>
      <c r="AG661" s="1">
        <v>4</v>
      </c>
      <c r="AH661" s="9" t="str" cm="1">
        <f t="array" ref="AH661">_xlfn.IFS(AG661 &lt;= 5, "New[1-5]", AG661 &lt;= 10, "Early Career[6-10]", AG661 &lt;= 20, "Established[11-20]", AG661 &lt;= 30, "Veteran[21-30]", AG661 &lt;= 40, "Late Career[31-40]")</f>
        <v>New[1-5]</v>
      </c>
      <c r="AI661" s="1">
        <v>3</v>
      </c>
      <c r="AJ661" s="1">
        <v>3</v>
      </c>
      <c r="AK661" s="1">
        <v>4</v>
      </c>
      <c r="AL661" s="9" t="str" cm="1">
        <f t="array" ref="AL661">_xlfn.IFS(AK661 &lt;= 5, "New[1-5]", AK661 &lt;= 10, "Early Career[6-10]", AK661 &lt;= 20, "Established[11-20]", AK661 &lt;= 30, "Veteran[21-30]", AK661 &lt;= 40, "Late Career[31-40]")</f>
        <v>New[1-5]</v>
      </c>
      <c r="AM661" s="1">
        <v>2</v>
      </c>
      <c r="AN661" s="9" t="str" cm="1">
        <f t="array" ref="AN661">_xlfn.IFS(AM661 &lt;= 3, "New to Role[1-3]", AM661 &lt;= 7, "Settled[4-7]", AM661 &lt;= 12, "Experienced[[8-12]", AM661 &lt;= 18, "Long Tenured[13-18]")</f>
        <v>New to Role[1-3]</v>
      </c>
      <c r="AO661" s="1">
        <v>0</v>
      </c>
      <c r="AP661" s="9" t="str" cm="1">
        <f t="array" ref="AP661">_xlfn.IFS(AO661 &lt;= 3, "Recently[1-3]", AO661 &lt;= 6, "Due Soon[4-6]", AO661 &lt;= 10, "Overdue[7-10]", AO661 &lt;= 15, "Long Overdue[11-15]")</f>
        <v>Recently[1-3]</v>
      </c>
      <c r="AQ661" s="9" t="str" cm="1">
        <f t="array" ref="AQ661">_xlfn.IFS(AR661 &lt;= 3, "New Relationship[1-3]", AR661 &lt;= 7, "Established Relationship[4-7]", AR661 &lt;= 12, "Long Term Relationship[8-12]", AR661 &lt;= 17, "Very Long Term Relationship[13-17]")</f>
        <v>New Relationship[1-3]</v>
      </c>
      <c r="AR661" s="1">
        <v>2</v>
      </c>
    </row>
    <row r="662" spans="1:44" x14ac:dyDescent="0.25">
      <c r="A662" s="1">
        <v>58</v>
      </c>
      <c r="B662" s="8" t="str" cm="1">
        <f t="array" ref="B662">_xlfn.IFS(A662 &lt;= 25, "[18-25]", A662 &lt;= 35, "[26-35]", A662 &lt;=45, "[36-45]", A662 &lt;= 60, "[46- 60]")</f>
        <v>[46- 60]</v>
      </c>
      <c r="C662" s="3" t="s">
        <v>35</v>
      </c>
      <c r="D662">
        <f t="shared" si="10"/>
        <v>1</v>
      </c>
      <c r="E662" t="s">
        <v>44</v>
      </c>
      <c r="F662" s="1">
        <v>781</v>
      </c>
      <c r="G662" s="3" t="s">
        <v>45</v>
      </c>
      <c r="H662" s="1">
        <v>2</v>
      </c>
      <c r="I662" s="9" t="str" cm="1">
        <f t="array" ref="I662">_xlfn.IFS(H662 &lt;= 2, "[1-2] very close", H662 &lt;= 10, "[3-10] close", H662 &lt;= 20, "[11-20] moderate", H662 &lt;= 30, "[21-30] far")</f>
        <v>[1-2] very close</v>
      </c>
      <c r="J662" s="1">
        <v>1</v>
      </c>
      <c r="K662" s="3" t="s">
        <v>38</v>
      </c>
      <c r="L662" s="1">
        <v>1</v>
      </c>
      <c r="M662" s="1">
        <v>918</v>
      </c>
      <c r="N662" s="1">
        <v>4</v>
      </c>
      <c r="O662" s="3" t="s">
        <v>46</v>
      </c>
      <c r="P662" s="1">
        <v>57</v>
      </c>
      <c r="Q662" s="1">
        <v>2</v>
      </c>
      <c r="R662" s="1">
        <v>1</v>
      </c>
      <c r="S662" s="3" t="s">
        <v>50</v>
      </c>
      <c r="T662" s="1">
        <v>4</v>
      </c>
      <c r="U662" s="3" t="s">
        <v>52</v>
      </c>
      <c r="V662" s="4">
        <v>2380</v>
      </c>
      <c r="W662" s="1">
        <v>13384</v>
      </c>
      <c r="X662" s="1">
        <v>9</v>
      </c>
      <c r="Y662" s="3" t="s">
        <v>42</v>
      </c>
      <c r="Z662" s="3" t="s">
        <v>35</v>
      </c>
      <c r="AA662" s="5">
        <v>0.14000000000000001</v>
      </c>
      <c r="AB662" s="10" t="str" cm="1">
        <f t="array" ref="AB662">_xlfn.IFS(AA662 &lt;= 15%, "Low Hike[11-15%]", AA662 &lt;= 20%, "Moderate Hike[16-20%]", AA662 &lt;= 25%,"High Hike[21-25%]")</f>
        <v>Low Hike[11-15%]</v>
      </c>
      <c r="AC662" s="1">
        <v>3</v>
      </c>
      <c r="AD662" s="1">
        <v>4</v>
      </c>
      <c r="AE662" s="1">
        <v>80</v>
      </c>
      <c r="AF662" s="1">
        <v>1</v>
      </c>
      <c r="AG662" s="1">
        <v>3</v>
      </c>
      <c r="AH662" s="9" t="str" cm="1">
        <f t="array" ref="AH662">_xlfn.IFS(AG662 &lt;= 5, "New[1-5]", AG662 &lt;= 10, "Early Career[6-10]", AG662 &lt;= 20, "Established[11-20]", AG662 &lt;= 30, "Veteran[21-30]", AG662 &lt;= 40, "Late Career[31-40]")</f>
        <v>New[1-5]</v>
      </c>
      <c r="AI662" s="1">
        <v>3</v>
      </c>
      <c r="AJ662" s="1">
        <v>2</v>
      </c>
      <c r="AK662" s="1">
        <v>1</v>
      </c>
      <c r="AL662" s="9" t="str" cm="1">
        <f t="array" ref="AL662">_xlfn.IFS(AK662 &lt;= 5, "New[1-5]", AK662 &lt;= 10, "Early Career[6-10]", AK662 &lt;= 20, "Established[11-20]", AK662 &lt;= 30, "Veteran[21-30]", AK662 &lt;= 40, "Late Career[31-40]")</f>
        <v>New[1-5]</v>
      </c>
      <c r="AM662" s="1">
        <v>0</v>
      </c>
      <c r="AN662" s="9" t="str" cm="1">
        <f t="array" ref="AN662">_xlfn.IFS(AM662 &lt;= 3, "New to Role[1-3]", AM662 &lt;= 7, "Settled[4-7]", AM662 &lt;= 12, "Experienced[[8-12]", AM662 &lt;= 18, "Long Tenured[13-18]")</f>
        <v>New to Role[1-3]</v>
      </c>
      <c r="AO662" s="1">
        <v>0</v>
      </c>
      <c r="AP662" s="9" t="str" cm="1">
        <f t="array" ref="AP662">_xlfn.IFS(AO662 &lt;= 3, "Recently[1-3]", AO662 &lt;= 6, "Due Soon[4-6]", AO662 &lt;= 10, "Overdue[7-10]", AO662 &lt;= 15, "Long Overdue[11-15]")</f>
        <v>Recently[1-3]</v>
      </c>
      <c r="AQ662" s="9" t="str" cm="1">
        <f t="array" ref="AQ662">_xlfn.IFS(AR662 &lt;= 3, "New Relationship[1-3]", AR662 &lt;= 7, "Established Relationship[4-7]", AR662 &lt;= 12, "Long Term Relationship[8-12]", AR662 &lt;= 17, "Very Long Term Relationship[13-17]")</f>
        <v>New Relationship[1-3]</v>
      </c>
      <c r="AR662" s="1">
        <v>0</v>
      </c>
    </row>
    <row r="663" spans="1:44" x14ac:dyDescent="0.25">
      <c r="A663" s="1">
        <v>43</v>
      </c>
      <c r="B663" s="8" t="str" cm="1">
        <f t="array" ref="B663">_xlfn.IFS(A663 &lt;= 25, "[18-25]", A663 &lt;= 35, "[26-35]", A663 &lt;=45, "[36-45]", A663 &lt;= 60, "[46- 60]")</f>
        <v>[36-45]</v>
      </c>
      <c r="C663" s="3" t="s">
        <v>43</v>
      </c>
      <c r="D663">
        <f t="shared" si="10"/>
        <v>0</v>
      </c>
      <c r="E663" t="s">
        <v>36</v>
      </c>
      <c r="F663" s="1">
        <v>177</v>
      </c>
      <c r="G663" s="3" t="s">
        <v>45</v>
      </c>
      <c r="H663" s="1">
        <v>8</v>
      </c>
      <c r="I663" s="9" t="str" cm="1">
        <f t="array" ref="I663">_xlfn.IFS(H663 &lt;= 2, "[1-2] very close", H663 &lt;= 10, "[3-10] close", H663 &lt;= 20, "[11-20] moderate", H663 &lt;= 30, "[21-30] far")</f>
        <v>[3-10] close</v>
      </c>
      <c r="J663" s="1">
        <v>3</v>
      </c>
      <c r="K663" s="3" t="s">
        <v>38</v>
      </c>
      <c r="L663" s="1">
        <v>1</v>
      </c>
      <c r="M663" s="1">
        <v>920</v>
      </c>
      <c r="N663" s="1">
        <v>1</v>
      </c>
      <c r="O663" s="3" t="s">
        <v>39</v>
      </c>
      <c r="P663" s="1">
        <v>55</v>
      </c>
      <c r="Q663" s="1">
        <v>3</v>
      </c>
      <c r="R663" s="1">
        <v>2</v>
      </c>
      <c r="S663" s="3" t="s">
        <v>53</v>
      </c>
      <c r="T663" s="1">
        <v>2</v>
      </c>
      <c r="U663" s="3" t="s">
        <v>52</v>
      </c>
      <c r="V663" s="4">
        <v>4765</v>
      </c>
      <c r="W663" s="1">
        <v>23814</v>
      </c>
      <c r="X663" s="1">
        <v>4</v>
      </c>
      <c r="Y663" s="3" t="s">
        <v>42</v>
      </c>
      <c r="Z663" s="3" t="s">
        <v>43</v>
      </c>
      <c r="AA663" s="5">
        <v>0.21</v>
      </c>
      <c r="AB663" s="10" t="str" cm="1">
        <f t="array" ref="AB663">_xlfn.IFS(AA663 &lt;= 15%, "Low Hike[11-15%]", AA663 &lt;= 20%, "Moderate Hike[16-20%]", AA663 &lt;= 25%,"High Hike[21-25%]")</f>
        <v>High Hike[21-25%]</v>
      </c>
      <c r="AC663" s="1">
        <v>4</v>
      </c>
      <c r="AD663" s="1">
        <v>3</v>
      </c>
      <c r="AE663" s="1">
        <v>80</v>
      </c>
      <c r="AF663" s="1">
        <v>1</v>
      </c>
      <c r="AG663" s="1">
        <v>4</v>
      </c>
      <c r="AH663" s="9" t="str" cm="1">
        <f t="array" ref="AH663">_xlfn.IFS(AG663 &lt;= 5, "New[1-5]", AG663 &lt;= 10, "Early Career[6-10]", AG663 &lt;= 20, "Established[11-20]", AG663 &lt;= 30, "Veteran[21-30]", AG663 &lt;= 40, "Late Career[31-40]")</f>
        <v>New[1-5]</v>
      </c>
      <c r="AI663" s="1">
        <v>2</v>
      </c>
      <c r="AJ663" s="1">
        <v>4</v>
      </c>
      <c r="AK663" s="1">
        <v>1</v>
      </c>
      <c r="AL663" s="9" t="str" cm="1">
        <f t="array" ref="AL663">_xlfn.IFS(AK663 &lt;= 5, "New[1-5]", AK663 &lt;= 10, "Early Career[6-10]", AK663 &lt;= 20, "Established[11-20]", AK663 &lt;= 30, "Veteran[21-30]", AK663 &lt;= 40, "Late Career[31-40]")</f>
        <v>New[1-5]</v>
      </c>
      <c r="AM663" s="1">
        <v>0</v>
      </c>
      <c r="AN663" s="9" t="str" cm="1">
        <f t="array" ref="AN663">_xlfn.IFS(AM663 &lt;= 3, "New to Role[1-3]", AM663 &lt;= 7, "Settled[4-7]", AM663 &lt;= 12, "Experienced[[8-12]", AM663 &lt;= 18, "Long Tenured[13-18]")</f>
        <v>New to Role[1-3]</v>
      </c>
      <c r="AO663" s="1">
        <v>0</v>
      </c>
      <c r="AP663" s="9" t="str" cm="1">
        <f t="array" ref="AP663">_xlfn.IFS(AO663 &lt;= 3, "Recently[1-3]", AO663 &lt;= 6, "Due Soon[4-6]", AO663 &lt;= 10, "Overdue[7-10]", AO663 &lt;= 15, "Long Overdue[11-15]")</f>
        <v>Recently[1-3]</v>
      </c>
      <c r="AQ663" s="9" t="str" cm="1">
        <f t="array" ref="AQ663">_xlfn.IFS(AR663 &lt;= 3, "New Relationship[1-3]", AR663 &lt;= 7, "Established Relationship[4-7]", AR663 &lt;= 12, "Long Term Relationship[8-12]", AR663 &lt;= 17, "Very Long Term Relationship[13-17]")</f>
        <v>New Relationship[1-3]</v>
      </c>
      <c r="AR663" s="1">
        <v>0</v>
      </c>
    </row>
    <row r="664" spans="1:44" x14ac:dyDescent="0.25">
      <c r="A664" s="1">
        <v>20</v>
      </c>
      <c r="B664" s="8" t="str" cm="1">
        <f t="array" ref="B664">_xlfn.IFS(A664 &lt;= 25, "[18-25]", A664 &lt;= 35, "[26-35]", A664 &lt;=45, "[36-45]", A664 &lt;= 60, "[46- 60]")</f>
        <v>[18-25]</v>
      </c>
      <c r="C664" s="3" t="s">
        <v>35</v>
      </c>
      <c r="D664">
        <f t="shared" si="10"/>
        <v>1</v>
      </c>
      <c r="E664" t="s">
        <v>36</v>
      </c>
      <c r="F664" s="1">
        <v>500</v>
      </c>
      <c r="G664" s="3" t="s">
        <v>37</v>
      </c>
      <c r="H664" s="1">
        <v>2</v>
      </c>
      <c r="I664" s="9" t="str" cm="1">
        <f t="array" ref="I664">_xlfn.IFS(H664 &lt;= 2, "[1-2] very close", H664 &lt;= 10, "[3-10] close", H664 &lt;= 20, "[11-20] moderate", H664 &lt;= 30, "[21-30] far")</f>
        <v>[1-2] very close</v>
      </c>
      <c r="J664" s="1">
        <v>3</v>
      </c>
      <c r="K664" s="3" t="s">
        <v>51</v>
      </c>
      <c r="L664" s="1">
        <v>1</v>
      </c>
      <c r="M664" s="1">
        <v>922</v>
      </c>
      <c r="N664" s="1">
        <v>3</v>
      </c>
      <c r="O664" s="3" t="s">
        <v>39</v>
      </c>
      <c r="P664" s="1">
        <v>49</v>
      </c>
      <c r="Q664" s="1">
        <v>2</v>
      </c>
      <c r="R664" s="1">
        <v>1</v>
      </c>
      <c r="S664" s="3" t="s">
        <v>57</v>
      </c>
      <c r="T664" s="1">
        <v>3</v>
      </c>
      <c r="U664" s="3" t="s">
        <v>41</v>
      </c>
      <c r="V664" s="4">
        <v>2044</v>
      </c>
      <c r="W664" s="1">
        <v>22052</v>
      </c>
      <c r="X664" s="1">
        <v>1</v>
      </c>
      <c r="Y664" s="3" t="s">
        <v>42</v>
      </c>
      <c r="Z664" s="3" t="s">
        <v>43</v>
      </c>
      <c r="AA664" s="5">
        <v>0.13</v>
      </c>
      <c r="AB664" s="10" t="str" cm="1">
        <f t="array" ref="AB664">_xlfn.IFS(AA664 &lt;= 15%, "Low Hike[11-15%]", AA664 &lt;= 20%, "Moderate Hike[16-20%]", AA664 &lt;= 25%,"High Hike[21-25%]")</f>
        <v>Low Hike[11-15%]</v>
      </c>
      <c r="AC664" s="1">
        <v>3</v>
      </c>
      <c r="AD664" s="1">
        <v>4</v>
      </c>
      <c r="AE664" s="1">
        <v>80</v>
      </c>
      <c r="AF664" s="1">
        <v>0</v>
      </c>
      <c r="AG664" s="1">
        <v>2</v>
      </c>
      <c r="AH664" s="9" t="str" cm="1">
        <f t="array" ref="AH664">_xlfn.IFS(AG664 &lt;= 5, "New[1-5]", AG664 &lt;= 10, "Early Career[6-10]", AG664 &lt;= 20, "Established[11-20]", AG664 &lt;= 30, "Veteran[21-30]", AG664 &lt;= 40, "Late Career[31-40]")</f>
        <v>New[1-5]</v>
      </c>
      <c r="AI664" s="1">
        <v>3</v>
      </c>
      <c r="AJ664" s="1">
        <v>2</v>
      </c>
      <c r="AK664" s="1">
        <v>2</v>
      </c>
      <c r="AL664" s="9" t="str" cm="1">
        <f t="array" ref="AL664">_xlfn.IFS(AK664 &lt;= 5, "New[1-5]", AK664 &lt;= 10, "Early Career[6-10]", AK664 &lt;= 20, "Established[11-20]", AK664 &lt;= 30, "Veteran[21-30]", AK664 &lt;= 40, "Late Career[31-40]")</f>
        <v>New[1-5]</v>
      </c>
      <c r="AM664" s="1">
        <v>2</v>
      </c>
      <c r="AN664" s="9" t="str" cm="1">
        <f t="array" ref="AN664">_xlfn.IFS(AM664 &lt;= 3, "New to Role[1-3]", AM664 &lt;= 7, "Settled[4-7]", AM664 &lt;= 12, "Experienced[[8-12]", AM664 &lt;= 18, "Long Tenured[13-18]")</f>
        <v>New to Role[1-3]</v>
      </c>
      <c r="AO664" s="1">
        <v>0</v>
      </c>
      <c r="AP664" s="9" t="str" cm="1">
        <f t="array" ref="AP664">_xlfn.IFS(AO664 &lt;= 3, "Recently[1-3]", AO664 &lt;= 6, "Due Soon[4-6]", AO664 &lt;= 10, "Overdue[7-10]", AO664 &lt;= 15, "Long Overdue[11-15]")</f>
        <v>Recently[1-3]</v>
      </c>
      <c r="AQ664" s="9" t="str" cm="1">
        <f t="array" ref="AQ664">_xlfn.IFS(AR664 &lt;= 3, "New Relationship[1-3]", AR664 &lt;= 7, "Established Relationship[4-7]", AR664 &lt;= 12, "Long Term Relationship[8-12]", AR664 &lt;= 17, "Very Long Term Relationship[13-17]")</f>
        <v>New Relationship[1-3]</v>
      </c>
      <c r="AR664" s="1">
        <v>2</v>
      </c>
    </row>
    <row r="665" spans="1:44" x14ac:dyDescent="0.25">
      <c r="A665" s="1">
        <v>21</v>
      </c>
      <c r="B665" s="8" t="str" cm="1">
        <f t="array" ref="B665">_xlfn.IFS(A665 &lt;= 25, "[18-25]", A665 &lt;= 35, "[26-35]", A665 &lt;=45, "[36-45]", A665 &lt;= 60, "[46- 60]")</f>
        <v>[18-25]</v>
      </c>
      <c r="C665" s="3" t="s">
        <v>35</v>
      </c>
      <c r="D665">
        <f t="shared" si="10"/>
        <v>1</v>
      </c>
      <c r="E665" t="s">
        <v>36</v>
      </c>
      <c r="F665" s="1">
        <v>1427</v>
      </c>
      <c r="G665" s="3" t="s">
        <v>45</v>
      </c>
      <c r="H665" s="1">
        <v>18</v>
      </c>
      <c r="I665" s="9" t="str" cm="1">
        <f t="array" ref="I665">_xlfn.IFS(H665 &lt;= 2, "[1-2] very close", H665 &lt;= 10, "[3-10] close", H665 &lt;= 20, "[11-20] moderate", H665 &lt;= 30, "[21-30] far")</f>
        <v>[11-20] moderate</v>
      </c>
      <c r="J665" s="1">
        <v>1</v>
      </c>
      <c r="K665" s="3" t="s">
        <v>49</v>
      </c>
      <c r="L665" s="1">
        <v>1</v>
      </c>
      <c r="M665" s="1">
        <v>923</v>
      </c>
      <c r="N665" s="1">
        <v>4</v>
      </c>
      <c r="O665" s="3" t="s">
        <v>39</v>
      </c>
      <c r="P665" s="1">
        <v>65</v>
      </c>
      <c r="Q665" s="1">
        <v>3</v>
      </c>
      <c r="R665" s="1">
        <v>1</v>
      </c>
      <c r="S665" s="3" t="s">
        <v>47</v>
      </c>
      <c r="T665" s="1">
        <v>4</v>
      </c>
      <c r="U665" s="3" t="s">
        <v>41</v>
      </c>
      <c r="V665" s="4">
        <v>2693</v>
      </c>
      <c r="W665" s="1">
        <v>8870</v>
      </c>
      <c r="X665" s="1">
        <v>1</v>
      </c>
      <c r="Y665" s="3" t="s">
        <v>42</v>
      </c>
      <c r="Z665" s="3" t="s">
        <v>43</v>
      </c>
      <c r="AA665" s="5">
        <v>0.19</v>
      </c>
      <c r="AB665" s="10" t="str" cm="1">
        <f t="array" ref="AB665">_xlfn.IFS(AA665 &lt;= 15%, "Low Hike[11-15%]", AA665 &lt;= 20%, "Moderate Hike[16-20%]", AA665 &lt;= 25%,"High Hike[21-25%]")</f>
        <v>Moderate Hike[16-20%]</v>
      </c>
      <c r="AC665" s="1">
        <v>3</v>
      </c>
      <c r="AD665" s="1">
        <v>1</v>
      </c>
      <c r="AE665" s="1">
        <v>80</v>
      </c>
      <c r="AF665" s="1">
        <v>0</v>
      </c>
      <c r="AG665" s="1">
        <v>1</v>
      </c>
      <c r="AH665" s="9" t="str" cm="1">
        <f t="array" ref="AH665">_xlfn.IFS(AG665 &lt;= 5, "New[1-5]", AG665 &lt;= 10, "Early Career[6-10]", AG665 &lt;= 20, "Established[11-20]", AG665 &lt;= 30, "Veteran[21-30]", AG665 &lt;= 40, "Late Career[31-40]")</f>
        <v>New[1-5]</v>
      </c>
      <c r="AI665" s="1">
        <v>3</v>
      </c>
      <c r="AJ665" s="1">
        <v>2</v>
      </c>
      <c r="AK665" s="1">
        <v>1</v>
      </c>
      <c r="AL665" s="9" t="str" cm="1">
        <f t="array" ref="AL665">_xlfn.IFS(AK665 &lt;= 5, "New[1-5]", AK665 &lt;= 10, "Early Career[6-10]", AK665 &lt;= 20, "Established[11-20]", AK665 &lt;= 30, "Veteran[21-30]", AK665 &lt;= 40, "Late Career[31-40]")</f>
        <v>New[1-5]</v>
      </c>
      <c r="AM665" s="1">
        <v>0</v>
      </c>
      <c r="AN665" s="9" t="str" cm="1">
        <f t="array" ref="AN665">_xlfn.IFS(AM665 &lt;= 3, "New to Role[1-3]", AM665 &lt;= 7, "Settled[4-7]", AM665 &lt;= 12, "Experienced[[8-12]", AM665 &lt;= 18, "Long Tenured[13-18]")</f>
        <v>New to Role[1-3]</v>
      </c>
      <c r="AO665" s="1">
        <v>0</v>
      </c>
      <c r="AP665" s="9" t="str" cm="1">
        <f t="array" ref="AP665">_xlfn.IFS(AO665 &lt;= 3, "Recently[1-3]", AO665 &lt;= 6, "Due Soon[4-6]", AO665 &lt;= 10, "Overdue[7-10]", AO665 &lt;= 15, "Long Overdue[11-15]")</f>
        <v>Recently[1-3]</v>
      </c>
      <c r="AQ665" s="9" t="str" cm="1">
        <f t="array" ref="AQ665">_xlfn.IFS(AR665 &lt;= 3, "New Relationship[1-3]", AR665 &lt;= 7, "Established Relationship[4-7]", AR665 &lt;= 12, "Long Term Relationship[8-12]", AR665 &lt;= 17, "Very Long Term Relationship[13-17]")</f>
        <v>New Relationship[1-3]</v>
      </c>
      <c r="AR665" s="1">
        <v>0</v>
      </c>
    </row>
    <row r="666" spans="1:44" x14ac:dyDescent="0.25">
      <c r="A666" s="1">
        <v>36</v>
      </c>
      <c r="B666" s="8" t="str" cm="1">
        <f t="array" ref="B666">_xlfn.IFS(A666 &lt;= 25, "[18-25]", A666 &lt;= 35, "[26-35]", A666 &lt;=45, "[36-45]", A666 &lt;= 60, "[46- 60]")</f>
        <v>[36-45]</v>
      </c>
      <c r="C666" s="3" t="s">
        <v>43</v>
      </c>
      <c r="D666">
        <f t="shared" si="10"/>
        <v>0</v>
      </c>
      <c r="E666" t="s">
        <v>36</v>
      </c>
      <c r="F666" s="1">
        <v>1425</v>
      </c>
      <c r="G666" s="3" t="s">
        <v>45</v>
      </c>
      <c r="H666" s="1">
        <v>14</v>
      </c>
      <c r="I666" s="9" t="str" cm="1">
        <f t="array" ref="I666">_xlfn.IFS(H666 &lt;= 2, "[1-2] very close", H666 &lt;= 10, "[3-10] close", H666 &lt;= 20, "[11-20] moderate", H666 &lt;= 30, "[21-30] far")</f>
        <v>[11-20] moderate</v>
      </c>
      <c r="J666" s="1">
        <v>1</v>
      </c>
      <c r="K666" s="3" t="s">
        <v>38</v>
      </c>
      <c r="L666" s="1">
        <v>1</v>
      </c>
      <c r="M666" s="1">
        <v>924</v>
      </c>
      <c r="N666" s="1">
        <v>3</v>
      </c>
      <c r="O666" s="3" t="s">
        <v>46</v>
      </c>
      <c r="P666" s="1">
        <v>68</v>
      </c>
      <c r="Q666" s="1">
        <v>3</v>
      </c>
      <c r="R666" s="1">
        <v>2</v>
      </c>
      <c r="S666" s="3" t="s">
        <v>54</v>
      </c>
      <c r="T666" s="1">
        <v>4</v>
      </c>
      <c r="U666" s="3" t="s">
        <v>48</v>
      </c>
      <c r="V666" s="4">
        <v>6586</v>
      </c>
      <c r="W666" s="1">
        <v>4821</v>
      </c>
      <c r="X666" s="1">
        <v>0</v>
      </c>
      <c r="Y666" s="3" t="s">
        <v>42</v>
      </c>
      <c r="Z666" s="3" t="s">
        <v>35</v>
      </c>
      <c r="AA666" s="5">
        <v>0.17</v>
      </c>
      <c r="AB666" s="10" t="str" cm="1">
        <f t="array" ref="AB666">_xlfn.IFS(AA666 &lt;= 15%, "Low Hike[11-15%]", AA666 &lt;= 20%, "Moderate Hike[16-20%]", AA666 &lt;= 25%,"High Hike[21-25%]")</f>
        <v>Moderate Hike[16-20%]</v>
      </c>
      <c r="AC666" s="1">
        <v>3</v>
      </c>
      <c r="AD666" s="1">
        <v>1</v>
      </c>
      <c r="AE666" s="1">
        <v>80</v>
      </c>
      <c r="AF666" s="1">
        <v>1</v>
      </c>
      <c r="AG666" s="1">
        <v>17</v>
      </c>
      <c r="AH666" s="9" t="str" cm="1">
        <f t="array" ref="AH666">_xlfn.IFS(AG666 &lt;= 5, "New[1-5]", AG666 &lt;= 10, "Early Career[6-10]", AG666 &lt;= 20, "Established[11-20]", AG666 &lt;= 30, "Veteran[21-30]", AG666 &lt;= 40, "Late Career[31-40]")</f>
        <v>Established[11-20]</v>
      </c>
      <c r="AI666" s="1">
        <v>2</v>
      </c>
      <c r="AJ666" s="1">
        <v>2</v>
      </c>
      <c r="AK666" s="1">
        <v>16</v>
      </c>
      <c r="AL666" s="9" t="str" cm="1">
        <f t="array" ref="AL666">_xlfn.IFS(AK666 &lt;= 5, "New[1-5]", AK666 &lt;= 10, "Early Career[6-10]", AK666 &lt;= 20, "Established[11-20]", AK666 &lt;= 30, "Veteran[21-30]", AK666 &lt;= 40, "Late Career[31-40]")</f>
        <v>Established[11-20]</v>
      </c>
      <c r="AM666" s="1">
        <v>8</v>
      </c>
      <c r="AN666" s="9" t="str" cm="1">
        <f t="array" ref="AN666">_xlfn.IFS(AM666 &lt;= 3, "New to Role[1-3]", AM666 &lt;= 7, "Settled[4-7]", AM666 &lt;= 12, "Experienced[[8-12]", AM666 &lt;= 18, "Long Tenured[13-18]")</f>
        <v>Experienced[[8-12]</v>
      </c>
      <c r="AO666" s="1">
        <v>4</v>
      </c>
      <c r="AP666" s="9" t="str" cm="1">
        <f t="array" ref="AP666">_xlfn.IFS(AO666 &lt;= 3, "Recently[1-3]", AO666 &lt;= 6, "Due Soon[4-6]", AO666 &lt;= 10, "Overdue[7-10]", AO666 &lt;= 15, "Long Overdue[11-15]")</f>
        <v>Due Soon[4-6]</v>
      </c>
      <c r="AQ666" s="9" t="str" cm="1">
        <f t="array" ref="AQ666">_xlfn.IFS(AR666 &lt;= 3, "New Relationship[1-3]", AR666 &lt;= 7, "Established Relationship[4-7]", AR666 &lt;= 12, "Long Term Relationship[8-12]", AR666 &lt;= 17, "Very Long Term Relationship[13-17]")</f>
        <v>Long Term Relationship[8-12]</v>
      </c>
      <c r="AR666" s="1">
        <v>11</v>
      </c>
    </row>
    <row r="667" spans="1:44" x14ac:dyDescent="0.25">
      <c r="A667" s="1">
        <v>47</v>
      </c>
      <c r="B667" s="8" t="str" cm="1">
        <f t="array" ref="B667">_xlfn.IFS(A667 &lt;= 25, "[18-25]", A667 &lt;= 35, "[26-35]", A667 &lt;=45, "[36-45]", A667 &lt;= 60, "[46- 60]")</f>
        <v>[46- 60]</v>
      </c>
      <c r="C667" s="3" t="s">
        <v>43</v>
      </c>
      <c r="D667">
        <f t="shared" si="10"/>
        <v>0</v>
      </c>
      <c r="E667" t="s">
        <v>36</v>
      </c>
      <c r="F667" s="1">
        <v>1454</v>
      </c>
      <c r="G667" s="3" t="s">
        <v>37</v>
      </c>
      <c r="H667" s="1">
        <v>2</v>
      </c>
      <c r="I667" s="9" t="str" cm="1">
        <f t="array" ref="I667">_xlfn.IFS(H667 &lt;= 2, "[1-2] very close", H667 &lt;= 10, "[3-10] close", H667 &lt;= 20, "[11-20] moderate", H667 &lt;= 30, "[21-30] far")</f>
        <v>[1-2] very close</v>
      </c>
      <c r="J667" s="1">
        <v>4</v>
      </c>
      <c r="K667" s="3" t="s">
        <v>38</v>
      </c>
      <c r="L667" s="1">
        <v>1</v>
      </c>
      <c r="M667" s="1">
        <v>925</v>
      </c>
      <c r="N667" s="1">
        <v>4</v>
      </c>
      <c r="O667" s="3" t="s">
        <v>39</v>
      </c>
      <c r="P667" s="1">
        <v>65</v>
      </c>
      <c r="Q667" s="1">
        <v>2</v>
      </c>
      <c r="R667" s="1">
        <v>1</v>
      </c>
      <c r="S667" s="3" t="s">
        <v>57</v>
      </c>
      <c r="T667" s="1">
        <v>4</v>
      </c>
      <c r="U667" s="3" t="s">
        <v>41</v>
      </c>
      <c r="V667" s="4">
        <v>3294</v>
      </c>
      <c r="W667" s="1">
        <v>13137</v>
      </c>
      <c r="X667" s="1">
        <v>1</v>
      </c>
      <c r="Y667" s="3" t="s">
        <v>42</v>
      </c>
      <c r="Z667" s="3" t="s">
        <v>35</v>
      </c>
      <c r="AA667" s="5">
        <v>0.18</v>
      </c>
      <c r="AB667" s="10" t="str" cm="1">
        <f t="array" ref="AB667">_xlfn.IFS(AA667 &lt;= 15%, "Low Hike[11-15%]", AA667 &lt;= 20%, "Moderate Hike[16-20%]", AA667 &lt;= 25%,"High Hike[21-25%]")</f>
        <v>Moderate Hike[16-20%]</v>
      </c>
      <c r="AC667" s="1">
        <v>3</v>
      </c>
      <c r="AD667" s="1">
        <v>1</v>
      </c>
      <c r="AE667" s="1">
        <v>80</v>
      </c>
      <c r="AF667" s="1">
        <v>0</v>
      </c>
      <c r="AG667" s="1">
        <v>3</v>
      </c>
      <c r="AH667" s="9" t="str" cm="1">
        <f t="array" ref="AH667">_xlfn.IFS(AG667 &lt;= 5, "New[1-5]", AG667 &lt;= 10, "Early Career[6-10]", AG667 &lt;= 20, "Established[11-20]", AG667 &lt;= 30, "Veteran[21-30]", AG667 &lt;= 40, "Late Career[31-40]")</f>
        <v>New[1-5]</v>
      </c>
      <c r="AI667" s="1">
        <v>3</v>
      </c>
      <c r="AJ667" s="1">
        <v>2</v>
      </c>
      <c r="AK667" s="1">
        <v>3</v>
      </c>
      <c r="AL667" s="9" t="str" cm="1">
        <f t="array" ref="AL667">_xlfn.IFS(AK667 &lt;= 5, "New[1-5]", AK667 &lt;= 10, "Early Career[6-10]", AK667 &lt;= 20, "Established[11-20]", AK667 &lt;= 30, "Veteran[21-30]", AK667 &lt;= 40, "Late Career[31-40]")</f>
        <v>New[1-5]</v>
      </c>
      <c r="AM667" s="1">
        <v>2</v>
      </c>
      <c r="AN667" s="9" t="str" cm="1">
        <f t="array" ref="AN667">_xlfn.IFS(AM667 &lt;= 3, "New to Role[1-3]", AM667 &lt;= 7, "Settled[4-7]", AM667 &lt;= 12, "Experienced[[8-12]", AM667 &lt;= 18, "Long Tenured[13-18]")</f>
        <v>New to Role[1-3]</v>
      </c>
      <c r="AO667" s="1">
        <v>1</v>
      </c>
      <c r="AP667" s="9" t="str" cm="1">
        <f t="array" ref="AP667">_xlfn.IFS(AO667 &lt;= 3, "Recently[1-3]", AO667 &lt;= 6, "Due Soon[4-6]", AO667 &lt;= 10, "Overdue[7-10]", AO667 &lt;= 15, "Long Overdue[11-15]")</f>
        <v>Recently[1-3]</v>
      </c>
      <c r="AQ667" s="9" t="str" cm="1">
        <f t="array" ref="AQ667">_xlfn.IFS(AR667 &lt;= 3, "New Relationship[1-3]", AR667 &lt;= 7, "Established Relationship[4-7]", AR667 &lt;= 12, "Long Term Relationship[8-12]", AR667 &lt;= 17, "Very Long Term Relationship[13-17]")</f>
        <v>New Relationship[1-3]</v>
      </c>
      <c r="AR667" s="1">
        <v>2</v>
      </c>
    </row>
    <row r="668" spans="1:44" x14ac:dyDescent="0.25">
      <c r="A668" s="1">
        <v>22</v>
      </c>
      <c r="B668" s="8" t="str" cm="1">
        <f t="array" ref="B668">_xlfn.IFS(A668 &lt;= 25, "[18-25]", A668 &lt;= 35, "[26-35]", A668 &lt;=45, "[36-45]", A668 &lt;= 60, "[46- 60]")</f>
        <v>[18-25]</v>
      </c>
      <c r="C668" s="3" t="s">
        <v>35</v>
      </c>
      <c r="D668">
        <f t="shared" si="10"/>
        <v>1</v>
      </c>
      <c r="E668" t="s">
        <v>36</v>
      </c>
      <c r="F668" s="1">
        <v>617</v>
      </c>
      <c r="G668" s="3" t="s">
        <v>45</v>
      </c>
      <c r="H668" s="1">
        <v>3</v>
      </c>
      <c r="I668" s="9" t="str" cm="1">
        <f t="array" ref="I668">_xlfn.IFS(H668 &lt;= 2, "[1-2] very close", H668 &lt;= 10, "[3-10] close", H668 &lt;= 20, "[11-20] moderate", H668 &lt;= 30, "[21-30] far")</f>
        <v>[3-10] close</v>
      </c>
      <c r="J668" s="1">
        <v>1</v>
      </c>
      <c r="K668" s="3" t="s">
        <v>38</v>
      </c>
      <c r="L668" s="1">
        <v>1</v>
      </c>
      <c r="M668" s="1">
        <v>926</v>
      </c>
      <c r="N668" s="1">
        <v>2</v>
      </c>
      <c r="O668" s="3" t="s">
        <v>39</v>
      </c>
      <c r="P668" s="1">
        <v>34</v>
      </c>
      <c r="Q668" s="1">
        <v>3</v>
      </c>
      <c r="R668" s="1">
        <v>2</v>
      </c>
      <c r="S668" s="3" t="s">
        <v>53</v>
      </c>
      <c r="T668" s="1">
        <v>3</v>
      </c>
      <c r="U668" s="3" t="s">
        <v>48</v>
      </c>
      <c r="V668" s="4">
        <v>4171</v>
      </c>
      <c r="W668" s="1">
        <v>10022</v>
      </c>
      <c r="X668" s="1">
        <v>0</v>
      </c>
      <c r="Y668" s="3" t="s">
        <v>42</v>
      </c>
      <c r="Z668" s="3" t="s">
        <v>35</v>
      </c>
      <c r="AA668" s="5">
        <v>0.19</v>
      </c>
      <c r="AB668" s="10" t="str" cm="1">
        <f t="array" ref="AB668">_xlfn.IFS(AA668 &lt;= 15%, "Low Hike[11-15%]", AA668 &lt;= 20%, "Moderate Hike[16-20%]", AA668 &lt;= 25%,"High Hike[21-25%]")</f>
        <v>Moderate Hike[16-20%]</v>
      </c>
      <c r="AC668" s="1">
        <v>3</v>
      </c>
      <c r="AD668" s="1">
        <v>1</v>
      </c>
      <c r="AE668" s="1">
        <v>80</v>
      </c>
      <c r="AF668" s="1">
        <v>1</v>
      </c>
      <c r="AG668" s="1">
        <v>4</v>
      </c>
      <c r="AH668" s="9" t="str" cm="1">
        <f t="array" ref="AH668">_xlfn.IFS(AG668 &lt;= 5, "New[1-5]", AG668 &lt;= 10, "Early Career[6-10]", AG668 &lt;= 20, "Established[11-20]", AG668 &lt;= 30, "Veteran[21-30]", AG668 &lt;= 40, "Late Career[31-40]")</f>
        <v>New[1-5]</v>
      </c>
      <c r="AI668" s="1">
        <v>3</v>
      </c>
      <c r="AJ668" s="1">
        <v>4</v>
      </c>
      <c r="AK668" s="1">
        <v>3</v>
      </c>
      <c r="AL668" s="9" t="str" cm="1">
        <f t="array" ref="AL668">_xlfn.IFS(AK668 &lt;= 5, "New[1-5]", AK668 &lt;= 10, "Early Career[6-10]", AK668 &lt;= 20, "Established[11-20]", AK668 &lt;= 30, "Veteran[21-30]", AK668 &lt;= 40, "Late Career[31-40]")</f>
        <v>New[1-5]</v>
      </c>
      <c r="AM668" s="1">
        <v>2</v>
      </c>
      <c r="AN668" s="9" t="str" cm="1">
        <f t="array" ref="AN668">_xlfn.IFS(AM668 &lt;= 3, "New to Role[1-3]", AM668 &lt;= 7, "Settled[4-7]", AM668 &lt;= 12, "Experienced[[8-12]", AM668 &lt;= 18, "Long Tenured[13-18]")</f>
        <v>New to Role[1-3]</v>
      </c>
      <c r="AO668" s="1">
        <v>0</v>
      </c>
      <c r="AP668" s="9" t="str" cm="1">
        <f t="array" ref="AP668">_xlfn.IFS(AO668 &lt;= 3, "Recently[1-3]", AO668 &lt;= 6, "Due Soon[4-6]", AO668 &lt;= 10, "Overdue[7-10]", AO668 &lt;= 15, "Long Overdue[11-15]")</f>
        <v>Recently[1-3]</v>
      </c>
      <c r="AQ668" s="9" t="str" cm="1">
        <f t="array" ref="AQ668">_xlfn.IFS(AR668 &lt;= 3, "New Relationship[1-3]", AR668 &lt;= 7, "Established Relationship[4-7]", AR668 &lt;= 12, "Long Term Relationship[8-12]", AR668 &lt;= 17, "Very Long Term Relationship[13-17]")</f>
        <v>New Relationship[1-3]</v>
      </c>
      <c r="AR668" s="1">
        <v>2</v>
      </c>
    </row>
    <row r="669" spans="1:44" x14ac:dyDescent="0.25">
      <c r="A669" s="1">
        <v>41</v>
      </c>
      <c r="B669" s="8" t="str" cm="1">
        <f t="array" ref="B669">_xlfn.IFS(A669 &lt;= 25, "[18-25]", A669 &lt;= 35, "[26-35]", A669 &lt;=45, "[36-45]", A669 &lt;= 60, "[46- 60]")</f>
        <v>[36-45]</v>
      </c>
      <c r="C669" s="3" t="s">
        <v>35</v>
      </c>
      <c r="D669">
        <f t="shared" si="10"/>
        <v>1</v>
      </c>
      <c r="E669" t="s">
        <v>36</v>
      </c>
      <c r="F669" s="1">
        <v>1085</v>
      </c>
      <c r="G669" s="3" t="s">
        <v>45</v>
      </c>
      <c r="H669" s="1">
        <v>2</v>
      </c>
      <c r="I669" s="9" t="str" cm="1">
        <f t="array" ref="I669">_xlfn.IFS(H669 &lt;= 2, "[1-2] very close", H669 &lt;= 10, "[3-10] close", H669 &lt;= 20, "[11-20] moderate", H669 &lt;= 30, "[21-30] far")</f>
        <v>[1-2] very close</v>
      </c>
      <c r="J669" s="1">
        <v>4</v>
      </c>
      <c r="K669" s="3" t="s">
        <v>38</v>
      </c>
      <c r="L669" s="1">
        <v>1</v>
      </c>
      <c r="M669" s="1">
        <v>927</v>
      </c>
      <c r="N669" s="1">
        <v>2</v>
      </c>
      <c r="O669" s="3" t="s">
        <v>39</v>
      </c>
      <c r="P669" s="1">
        <v>57</v>
      </c>
      <c r="Q669" s="1">
        <v>1</v>
      </c>
      <c r="R669" s="1">
        <v>1</v>
      </c>
      <c r="S669" s="3" t="s">
        <v>50</v>
      </c>
      <c r="T669" s="1">
        <v>4</v>
      </c>
      <c r="U669" s="3" t="s">
        <v>52</v>
      </c>
      <c r="V669" s="4">
        <v>2778</v>
      </c>
      <c r="W669" s="1">
        <v>17725</v>
      </c>
      <c r="X669" s="1">
        <v>4</v>
      </c>
      <c r="Y669" s="3" t="s">
        <v>42</v>
      </c>
      <c r="Z669" s="3" t="s">
        <v>35</v>
      </c>
      <c r="AA669" s="5">
        <v>0.13</v>
      </c>
      <c r="AB669" s="10" t="str" cm="1">
        <f t="array" ref="AB669">_xlfn.IFS(AA669 &lt;= 15%, "Low Hike[11-15%]", AA669 &lt;= 20%, "Moderate Hike[16-20%]", AA669 &lt;= 25%,"High Hike[21-25%]")</f>
        <v>Low Hike[11-15%]</v>
      </c>
      <c r="AC669" s="1">
        <v>3</v>
      </c>
      <c r="AD669" s="1">
        <v>3</v>
      </c>
      <c r="AE669" s="1">
        <v>80</v>
      </c>
      <c r="AF669" s="1">
        <v>1</v>
      </c>
      <c r="AG669" s="1">
        <v>10</v>
      </c>
      <c r="AH669" s="9" t="str" cm="1">
        <f t="array" ref="AH669">_xlfn.IFS(AG669 &lt;= 5, "New[1-5]", AG669 &lt;= 10, "Early Career[6-10]", AG669 &lt;= 20, "Established[11-20]", AG669 &lt;= 30, "Veteran[21-30]", AG669 &lt;= 40, "Late Career[31-40]")</f>
        <v>Early Career[6-10]</v>
      </c>
      <c r="AI669" s="1">
        <v>1</v>
      </c>
      <c r="AJ669" s="1">
        <v>2</v>
      </c>
      <c r="AK669" s="1">
        <v>7</v>
      </c>
      <c r="AL669" s="9" t="str" cm="1">
        <f t="array" ref="AL669">_xlfn.IFS(AK669 &lt;= 5, "New[1-5]", AK669 &lt;= 10, "Early Career[6-10]", AK669 &lt;= 20, "Established[11-20]", AK669 &lt;= 30, "Veteran[21-30]", AK669 &lt;= 40, "Late Career[31-40]")</f>
        <v>Early Career[6-10]</v>
      </c>
      <c r="AM669" s="1">
        <v>7</v>
      </c>
      <c r="AN669" s="9" t="str" cm="1">
        <f t="array" ref="AN669">_xlfn.IFS(AM669 &lt;= 3, "New to Role[1-3]", AM669 &lt;= 7, "Settled[4-7]", AM669 &lt;= 12, "Experienced[[8-12]", AM669 &lt;= 18, "Long Tenured[13-18]")</f>
        <v>Settled[4-7]</v>
      </c>
      <c r="AO669" s="1">
        <v>1</v>
      </c>
      <c r="AP669" s="9" t="str" cm="1">
        <f t="array" ref="AP669">_xlfn.IFS(AO669 &lt;= 3, "Recently[1-3]", AO669 &lt;= 6, "Due Soon[4-6]", AO669 &lt;= 10, "Overdue[7-10]", AO669 &lt;= 15, "Long Overdue[11-15]")</f>
        <v>Recently[1-3]</v>
      </c>
      <c r="AQ669" s="9" t="str" cm="1">
        <f t="array" ref="AQ669">_xlfn.IFS(AR669 &lt;= 3, "New Relationship[1-3]", AR669 &lt;= 7, "Established Relationship[4-7]", AR669 &lt;= 12, "Long Term Relationship[8-12]", AR669 &lt;= 17, "Very Long Term Relationship[13-17]")</f>
        <v>New Relationship[1-3]</v>
      </c>
      <c r="AR669" s="1">
        <v>0</v>
      </c>
    </row>
    <row r="670" spans="1:44" x14ac:dyDescent="0.25">
      <c r="A670" s="1">
        <v>28</v>
      </c>
      <c r="B670" s="8" t="str" cm="1">
        <f t="array" ref="B670">_xlfn.IFS(A670 &lt;= 25, "[18-25]", A670 &lt;= 35, "[26-35]", A670 &lt;=45, "[36-45]", A670 &lt;= 60, "[46- 60]")</f>
        <v>[26-35]</v>
      </c>
      <c r="C670" s="3" t="s">
        <v>43</v>
      </c>
      <c r="D670">
        <f t="shared" si="10"/>
        <v>0</v>
      </c>
      <c r="E670" t="s">
        <v>36</v>
      </c>
      <c r="F670" s="1">
        <v>995</v>
      </c>
      <c r="G670" s="3" t="s">
        <v>45</v>
      </c>
      <c r="H670" s="1">
        <v>9</v>
      </c>
      <c r="I670" s="9" t="str" cm="1">
        <f t="array" ref="I670">_xlfn.IFS(H670 &lt;= 2, "[1-2] very close", H670 &lt;= 10, "[3-10] close", H670 &lt;= 20, "[11-20] moderate", H670 &lt;= 30, "[21-30] far")</f>
        <v>[3-10] close</v>
      </c>
      <c r="J670" s="1">
        <v>3</v>
      </c>
      <c r="K670" s="3" t="s">
        <v>51</v>
      </c>
      <c r="L670" s="1">
        <v>1</v>
      </c>
      <c r="M670" s="1">
        <v>930</v>
      </c>
      <c r="N670" s="1">
        <v>3</v>
      </c>
      <c r="O670" s="3" t="s">
        <v>39</v>
      </c>
      <c r="P670" s="1">
        <v>77</v>
      </c>
      <c r="Q670" s="1">
        <v>3</v>
      </c>
      <c r="R670" s="1">
        <v>1</v>
      </c>
      <c r="S670" s="3" t="s">
        <v>47</v>
      </c>
      <c r="T670" s="1">
        <v>3</v>
      </c>
      <c r="U670" s="3" t="s">
        <v>52</v>
      </c>
      <c r="V670" s="4">
        <v>2377</v>
      </c>
      <c r="W670" s="1">
        <v>9834</v>
      </c>
      <c r="X670" s="1">
        <v>5</v>
      </c>
      <c r="Y670" s="3" t="s">
        <v>42</v>
      </c>
      <c r="Z670" s="3" t="s">
        <v>43</v>
      </c>
      <c r="AA670" s="5">
        <v>0.18</v>
      </c>
      <c r="AB670" s="10" t="str" cm="1">
        <f t="array" ref="AB670">_xlfn.IFS(AA670 &lt;= 15%, "Low Hike[11-15%]", AA670 &lt;= 20%, "Moderate Hike[16-20%]", AA670 &lt;= 25%,"High Hike[21-25%]")</f>
        <v>Moderate Hike[16-20%]</v>
      </c>
      <c r="AC670" s="1">
        <v>3</v>
      </c>
      <c r="AD670" s="1">
        <v>2</v>
      </c>
      <c r="AE670" s="1">
        <v>80</v>
      </c>
      <c r="AF670" s="1">
        <v>1</v>
      </c>
      <c r="AG670" s="1">
        <v>6</v>
      </c>
      <c r="AH670" s="9" t="str" cm="1">
        <f t="array" ref="AH670">_xlfn.IFS(AG670 &lt;= 5, "New[1-5]", AG670 &lt;= 10, "Early Career[6-10]", AG670 &lt;= 20, "Established[11-20]", AG670 &lt;= 30, "Veteran[21-30]", AG670 &lt;= 40, "Late Career[31-40]")</f>
        <v>Early Career[6-10]</v>
      </c>
      <c r="AI670" s="1">
        <v>2</v>
      </c>
      <c r="AJ670" s="1">
        <v>3</v>
      </c>
      <c r="AK670" s="1">
        <v>2</v>
      </c>
      <c r="AL670" s="9" t="str" cm="1">
        <f t="array" ref="AL670">_xlfn.IFS(AK670 &lt;= 5, "New[1-5]", AK670 &lt;= 10, "Early Career[6-10]", AK670 &lt;= 20, "Established[11-20]", AK670 &lt;= 30, "Veteran[21-30]", AK670 &lt;= 40, "Late Career[31-40]")</f>
        <v>New[1-5]</v>
      </c>
      <c r="AM670" s="1">
        <v>2</v>
      </c>
      <c r="AN670" s="9" t="str" cm="1">
        <f t="array" ref="AN670">_xlfn.IFS(AM670 &lt;= 3, "New to Role[1-3]", AM670 &lt;= 7, "Settled[4-7]", AM670 &lt;= 12, "Experienced[[8-12]", AM670 &lt;= 18, "Long Tenured[13-18]")</f>
        <v>New to Role[1-3]</v>
      </c>
      <c r="AO670" s="1">
        <v>2</v>
      </c>
      <c r="AP670" s="9" t="str" cm="1">
        <f t="array" ref="AP670">_xlfn.IFS(AO670 &lt;= 3, "Recently[1-3]", AO670 &lt;= 6, "Due Soon[4-6]", AO670 &lt;= 10, "Overdue[7-10]", AO670 &lt;= 15, "Long Overdue[11-15]")</f>
        <v>Recently[1-3]</v>
      </c>
      <c r="AQ670" s="9" t="str" cm="1">
        <f t="array" ref="AQ670">_xlfn.IFS(AR670 &lt;= 3, "New Relationship[1-3]", AR670 &lt;= 7, "Established Relationship[4-7]", AR670 &lt;= 12, "Long Term Relationship[8-12]", AR670 &lt;= 17, "Very Long Term Relationship[13-17]")</f>
        <v>New Relationship[1-3]</v>
      </c>
      <c r="AR670" s="1">
        <v>2</v>
      </c>
    </row>
    <row r="671" spans="1:44" x14ac:dyDescent="0.25">
      <c r="A671" s="1">
        <v>39</v>
      </c>
      <c r="B671" s="8" t="str" cm="1">
        <f t="array" ref="B671">_xlfn.IFS(A671 &lt;= 25, "[18-25]", A671 &lt;= 35, "[26-35]", A671 &lt;=45, "[36-45]", A671 &lt;= 60, "[46- 60]")</f>
        <v>[36-45]</v>
      </c>
      <c r="C671" s="3" t="s">
        <v>35</v>
      </c>
      <c r="D671">
        <f t="shared" si="10"/>
        <v>1</v>
      </c>
      <c r="E671" t="s">
        <v>36</v>
      </c>
      <c r="F671" s="1">
        <v>1122</v>
      </c>
      <c r="G671" s="3" t="s">
        <v>45</v>
      </c>
      <c r="H671" s="1">
        <v>6</v>
      </c>
      <c r="I671" s="9" t="str" cm="1">
        <f t="array" ref="I671">_xlfn.IFS(H671 &lt;= 2, "[1-2] very close", H671 &lt;= 10, "[3-10] close", H671 &lt;= 20, "[11-20] moderate", H671 &lt;= 30, "[21-30] far")</f>
        <v>[3-10] close</v>
      </c>
      <c r="J671" s="1">
        <v>3</v>
      </c>
      <c r="K671" s="3" t="s">
        <v>51</v>
      </c>
      <c r="L671" s="1">
        <v>1</v>
      </c>
      <c r="M671" s="1">
        <v>932</v>
      </c>
      <c r="N671" s="1">
        <v>4</v>
      </c>
      <c r="O671" s="3" t="s">
        <v>46</v>
      </c>
      <c r="P671" s="1">
        <v>70</v>
      </c>
      <c r="Q671" s="1">
        <v>3</v>
      </c>
      <c r="R671" s="1">
        <v>1</v>
      </c>
      <c r="S671" s="3" t="s">
        <v>50</v>
      </c>
      <c r="T671" s="1">
        <v>1</v>
      </c>
      <c r="U671" s="3" t="s">
        <v>48</v>
      </c>
      <c r="V671" s="4">
        <v>2404</v>
      </c>
      <c r="W671" s="1">
        <v>4303</v>
      </c>
      <c r="X671" s="1">
        <v>7</v>
      </c>
      <c r="Y671" s="3" t="s">
        <v>42</v>
      </c>
      <c r="Z671" s="3" t="s">
        <v>35</v>
      </c>
      <c r="AA671" s="5">
        <v>0.21</v>
      </c>
      <c r="AB671" s="10" t="str" cm="1">
        <f t="array" ref="AB671">_xlfn.IFS(AA671 &lt;= 15%, "Low Hike[11-15%]", AA671 &lt;= 20%, "Moderate Hike[16-20%]", AA671 &lt;= 25%,"High Hike[21-25%]")</f>
        <v>High Hike[21-25%]</v>
      </c>
      <c r="AC671" s="1">
        <v>4</v>
      </c>
      <c r="AD671" s="1">
        <v>4</v>
      </c>
      <c r="AE671" s="1">
        <v>80</v>
      </c>
      <c r="AF671" s="1">
        <v>0</v>
      </c>
      <c r="AG671" s="1">
        <v>8</v>
      </c>
      <c r="AH671" s="9" t="str" cm="1">
        <f t="array" ref="AH671">_xlfn.IFS(AG671 &lt;= 5, "New[1-5]", AG671 &lt;= 10, "Early Career[6-10]", AG671 &lt;= 20, "Established[11-20]", AG671 &lt;= 30, "Veteran[21-30]", AG671 &lt;= 40, "Late Career[31-40]")</f>
        <v>Early Career[6-10]</v>
      </c>
      <c r="AI671" s="1">
        <v>2</v>
      </c>
      <c r="AJ671" s="1">
        <v>1</v>
      </c>
      <c r="AK671" s="1">
        <v>2</v>
      </c>
      <c r="AL671" s="9" t="str" cm="1">
        <f t="array" ref="AL671">_xlfn.IFS(AK671 &lt;= 5, "New[1-5]", AK671 &lt;= 10, "Early Career[6-10]", AK671 &lt;= 20, "Established[11-20]", AK671 &lt;= 30, "Veteran[21-30]", AK671 &lt;= 40, "Late Career[31-40]")</f>
        <v>New[1-5]</v>
      </c>
      <c r="AM671" s="1">
        <v>2</v>
      </c>
      <c r="AN671" s="9" t="str" cm="1">
        <f t="array" ref="AN671">_xlfn.IFS(AM671 &lt;= 3, "New to Role[1-3]", AM671 &lt;= 7, "Settled[4-7]", AM671 &lt;= 12, "Experienced[[8-12]", AM671 &lt;= 18, "Long Tenured[13-18]")</f>
        <v>New to Role[1-3]</v>
      </c>
      <c r="AO671" s="1">
        <v>2</v>
      </c>
      <c r="AP671" s="9" t="str" cm="1">
        <f t="array" ref="AP671">_xlfn.IFS(AO671 &lt;= 3, "Recently[1-3]", AO671 &lt;= 6, "Due Soon[4-6]", AO671 &lt;= 10, "Overdue[7-10]", AO671 &lt;= 15, "Long Overdue[11-15]")</f>
        <v>Recently[1-3]</v>
      </c>
      <c r="AQ671" s="9" t="str" cm="1">
        <f t="array" ref="AQ671">_xlfn.IFS(AR671 &lt;= 3, "New Relationship[1-3]", AR671 &lt;= 7, "Established Relationship[4-7]", AR671 &lt;= 12, "Long Term Relationship[8-12]", AR671 &lt;= 17, "Very Long Term Relationship[13-17]")</f>
        <v>New Relationship[1-3]</v>
      </c>
      <c r="AR671" s="1">
        <v>2</v>
      </c>
    </row>
    <row r="672" spans="1:44" x14ac:dyDescent="0.25">
      <c r="A672" s="1">
        <v>27</v>
      </c>
      <c r="B672" s="8" t="str" cm="1">
        <f t="array" ref="B672">_xlfn.IFS(A672 &lt;= 25, "[18-25]", A672 &lt;= 35, "[26-35]", A672 &lt;=45, "[36-45]", A672 &lt;= 60, "[46- 60]")</f>
        <v>[26-35]</v>
      </c>
      <c r="C672" s="3" t="s">
        <v>43</v>
      </c>
      <c r="D672">
        <f t="shared" si="10"/>
        <v>0</v>
      </c>
      <c r="E672" t="s">
        <v>36</v>
      </c>
      <c r="F672" s="1">
        <v>618</v>
      </c>
      <c r="G672" s="3" t="s">
        <v>45</v>
      </c>
      <c r="H672" s="1">
        <v>4</v>
      </c>
      <c r="I672" s="9" t="str" cm="1">
        <f t="array" ref="I672">_xlfn.IFS(H672 &lt;= 2, "[1-2] very close", H672 &lt;= 10, "[3-10] close", H672 &lt;= 20, "[11-20] moderate", H672 &lt;= 30, "[21-30] far")</f>
        <v>[3-10] close</v>
      </c>
      <c r="J672" s="1">
        <v>3</v>
      </c>
      <c r="K672" s="3" t="s">
        <v>38</v>
      </c>
      <c r="L672" s="1">
        <v>1</v>
      </c>
      <c r="M672" s="1">
        <v>933</v>
      </c>
      <c r="N672" s="1">
        <v>2</v>
      </c>
      <c r="O672" s="3" t="s">
        <v>39</v>
      </c>
      <c r="P672" s="1">
        <v>76</v>
      </c>
      <c r="Q672" s="1">
        <v>3</v>
      </c>
      <c r="R672" s="1">
        <v>1</v>
      </c>
      <c r="S672" s="3" t="s">
        <v>47</v>
      </c>
      <c r="T672" s="1">
        <v>3</v>
      </c>
      <c r="U672" s="3" t="s">
        <v>41</v>
      </c>
      <c r="V672" s="4">
        <v>2318</v>
      </c>
      <c r="W672" s="1">
        <v>17808</v>
      </c>
      <c r="X672" s="1">
        <v>1</v>
      </c>
      <c r="Y672" s="3" t="s">
        <v>42</v>
      </c>
      <c r="Z672" s="3" t="s">
        <v>43</v>
      </c>
      <c r="AA672" s="5">
        <v>0.19</v>
      </c>
      <c r="AB672" s="10" t="str" cm="1">
        <f t="array" ref="AB672">_xlfn.IFS(AA672 &lt;= 15%, "Low Hike[11-15%]", AA672 &lt;= 20%, "Moderate Hike[16-20%]", AA672 &lt;= 25%,"High Hike[21-25%]")</f>
        <v>Moderate Hike[16-20%]</v>
      </c>
      <c r="AC672" s="1">
        <v>3</v>
      </c>
      <c r="AD672" s="1">
        <v>3</v>
      </c>
      <c r="AE672" s="1">
        <v>80</v>
      </c>
      <c r="AF672" s="1">
        <v>0</v>
      </c>
      <c r="AG672" s="1">
        <v>1</v>
      </c>
      <c r="AH672" s="9" t="str" cm="1">
        <f t="array" ref="AH672">_xlfn.IFS(AG672 &lt;= 5, "New[1-5]", AG672 &lt;= 10, "Early Career[6-10]", AG672 &lt;= 20, "Established[11-20]", AG672 &lt;= 30, "Veteran[21-30]", AG672 &lt;= 40, "Late Career[31-40]")</f>
        <v>New[1-5]</v>
      </c>
      <c r="AI672" s="1">
        <v>2</v>
      </c>
      <c r="AJ672" s="1">
        <v>3</v>
      </c>
      <c r="AK672" s="1">
        <v>1</v>
      </c>
      <c r="AL672" s="9" t="str" cm="1">
        <f t="array" ref="AL672">_xlfn.IFS(AK672 &lt;= 5, "New[1-5]", AK672 &lt;= 10, "Early Career[6-10]", AK672 &lt;= 20, "Established[11-20]", AK672 &lt;= 30, "Veteran[21-30]", AK672 &lt;= 40, "Late Career[31-40]")</f>
        <v>New[1-5]</v>
      </c>
      <c r="AM672" s="1">
        <v>1</v>
      </c>
      <c r="AN672" s="9" t="str" cm="1">
        <f t="array" ref="AN672">_xlfn.IFS(AM672 &lt;= 3, "New to Role[1-3]", AM672 &lt;= 7, "Settled[4-7]", AM672 &lt;= 12, "Experienced[[8-12]", AM672 &lt;= 18, "Long Tenured[13-18]")</f>
        <v>New to Role[1-3]</v>
      </c>
      <c r="AO672" s="1">
        <v>0</v>
      </c>
      <c r="AP672" s="9" t="str" cm="1">
        <f t="array" ref="AP672">_xlfn.IFS(AO672 &lt;= 3, "Recently[1-3]", AO672 &lt;= 6, "Due Soon[4-6]", AO672 &lt;= 10, "Overdue[7-10]", AO672 &lt;= 15, "Long Overdue[11-15]")</f>
        <v>Recently[1-3]</v>
      </c>
      <c r="AQ672" s="9" t="str" cm="1">
        <f t="array" ref="AQ672">_xlfn.IFS(AR672 &lt;= 3, "New Relationship[1-3]", AR672 &lt;= 7, "Established Relationship[4-7]", AR672 &lt;= 12, "Long Term Relationship[8-12]", AR672 &lt;= 17, "Very Long Term Relationship[13-17]")</f>
        <v>New Relationship[1-3]</v>
      </c>
      <c r="AR672" s="1">
        <v>0</v>
      </c>
    </row>
    <row r="673" spans="1:44" x14ac:dyDescent="0.25">
      <c r="A673" s="1">
        <v>34</v>
      </c>
      <c r="B673" s="8" t="str" cm="1">
        <f t="array" ref="B673">_xlfn.IFS(A673 &lt;= 25, "[18-25]", A673 &lt;= 35, "[26-35]", A673 &lt;=45, "[36-45]", A673 &lt;= 60, "[46- 60]")</f>
        <v>[26-35]</v>
      </c>
      <c r="C673" s="3" t="s">
        <v>43</v>
      </c>
      <c r="D673">
        <f t="shared" si="10"/>
        <v>0</v>
      </c>
      <c r="E673" t="s">
        <v>36</v>
      </c>
      <c r="F673" s="1">
        <v>546</v>
      </c>
      <c r="G673" s="3" t="s">
        <v>45</v>
      </c>
      <c r="H673" s="1">
        <v>10</v>
      </c>
      <c r="I673" s="9" t="str" cm="1">
        <f t="array" ref="I673">_xlfn.IFS(H673 &lt;= 2, "[1-2] very close", H673 &lt;= 10, "[3-10] close", H673 &lt;= 20, "[11-20] moderate", H673 &lt;= 30, "[21-30] far")</f>
        <v>[3-10] close</v>
      </c>
      <c r="J673" s="1">
        <v>3</v>
      </c>
      <c r="K673" s="3" t="s">
        <v>38</v>
      </c>
      <c r="L673" s="1">
        <v>1</v>
      </c>
      <c r="M673" s="1">
        <v>934</v>
      </c>
      <c r="N673" s="1">
        <v>2</v>
      </c>
      <c r="O673" s="3" t="s">
        <v>46</v>
      </c>
      <c r="P673" s="1">
        <v>83</v>
      </c>
      <c r="Q673" s="1">
        <v>3</v>
      </c>
      <c r="R673" s="1">
        <v>1</v>
      </c>
      <c r="S673" s="3" t="s">
        <v>50</v>
      </c>
      <c r="T673" s="1">
        <v>2</v>
      </c>
      <c r="U673" s="3" t="s">
        <v>52</v>
      </c>
      <c r="V673" s="4">
        <v>2008</v>
      </c>
      <c r="W673" s="1">
        <v>6896</v>
      </c>
      <c r="X673" s="1">
        <v>1</v>
      </c>
      <c r="Y673" s="3" t="s">
        <v>42</v>
      </c>
      <c r="Z673" s="3" t="s">
        <v>43</v>
      </c>
      <c r="AA673" s="5">
        <v>0.14000000000000001</v>
      </c>
      <c r="AB673" s="10" t="str" cm="1">
        <f t="array" ref="AB673">_xlfn.IFS(AA673 &lt;= 15%, "Low Hike[11-15%]", AA673 &lt;= 20%, "Moderate Hike[16-20%]", AA673 &lt;= 25%,"High Hike[21-25%]")</f>
        <v>Low Hike[11-15%]</v>
      </c>
      <c r="AC673" s="1">
        <v>3</v>
      </c>
      <c r="AD673" s="1">
        <v>2</v>
      </c>
      <c r="AE673" s="1">
        <v>80</v>
      </c>
      <c r="AF673" s="1">
        <v>2</v>
      </c>
      <c r="AG673" s="1">
        <v>1</v>
      </c>
      <c r="AH673" s="9" t="str" cm="1">
        <f t="array" ref="AH673">_xlfn.IFS(AG673 &lt;= 5, "New[1-5]", AG673 &lt;= 10, "Early Career[6-10]", AG673 &lt;= 20, "Established[11-20]", AG673 &lt;= 30, "Veteran[21-30]", AG673 &lt;= 40, "Late Career[31-40]")</f>
        <v>New[1-5]</v>
      </c>
      <c r="AI673" s="1">
        <v>3</v>
      </c>
      <c r="AJ673" s="1">
        <v>3</v>
      </c>
      <c r="AK673" s="1">
        <v>1</v>
      </c>
      <c r="AL673" s="9" t="str" cm="1">
        <f t="array" ref="AL673">_xlfn.IFS(AK673 &lt;= 5, "New[1-5]", AK673 &lt;= 10, "Early Career[6-10]", AK673 &lt;= 20, "Established[11-20]", AK673 &lt;= 30, "Veteran[21-30]", AK673 &lt;= 40, "Late Career[31-40]")</f>
        <v>New[1-5]</v>
      </c>
      <c r="AM673" s="1">
        <v>0</v>
      </c>
      <c r="AN673" s="9" t="str" cm="1">
        <f t="array" ref="AN673">_xlfn.IFS(AM673 &lt;= 3, "New to Role[1-3]", AM673 &lt;= 7, "Settled[4-7]", AM673 &lt;= 12, "Experienced[[8-12]", AM673 &lt;= 18, "Long Tenured[13-18]")</f>
        <v>New to Role[1-3]</v>
      </c>
      <c r="AO673" s="1">
        <v>1</v>
      </c>
      <c r="AP673" s="9" t="str" cm="1">
        <f t="array" ref="AP673">_xlfn.IFS(AO673 &lt;= 3, "Recently[1-3]", AO673 &lt;= 6, "Due Soon[4-6]", AO673 &lt;= 10, "Overdue[7-10]", AO673 &lt;= 15, "Long Overdue[11-15]")</f>
        <v>Recently[1-3]</v>
      </c>
      <c r="AQ673" s="9" t="str" cm="1">
        <f t="array" ref="AQ673">_xlfn.IFS(AR673 &lt;= 3, "New Relationship[1-3]", AR673 &lt;= 7, "Established Relationship[4-7]", AR673 &lt;= 12, "Long Term Relationship[8-12]", AR673 &lt;= 17, "Very Long Term Relationship[13-17]")</f>
        <v>New Relationship[1-3]</v>
      </c>
      <c r="AR673" s="1">
        <v>0</v>
      </c>
    </row>
    <row r="674" spans="1:44" x14ac:dyDescent="0.25">
      <c r="A674" s="1">
        <v>42</v>
      </c>
      <c r="B674" s="8" t="str" cm="1">
        <f t="array" ref="B674">_xlfn.IFS(A674 &lt;= 25, "[18-25]", A674 &lt;= 35, "[26-35]", A674 &lt;=45, "[36-45]", A674 &lt;= 60, "[46- 60]")</f>
        <v>[36-45]</v>
      </c>
      <c r="C674" s="3" t="s">
        <v>43</v>
      </c>
      <c r="D674">
        <f t="shared" si="10"/>
        <v>0</v>
      </c>
      <c r="E674" t="s">
        <v>36</v>
      </c>
      <c r="F674" s="1">
        <v>462</v>
      </c>
      <c r="G674" s="3" t="s">
        <v>37</v>
      </c>
      <c r="H674" s="1">
        <v>14</v>
      </c>
      <c r="I674" s="9" t="str" cm="1">
        <f t="array" ref="I674">_xlfn.IFS(H674 &lt;= 2, "[1-2] very close", H674 &lt;= 10, "[3-10] close", H674 &lt;= 20, "[11-20] moderate", H674 &lt;= 30, "[21-30] far")</f>
        <v>[11-20] moderate</v>
      </c>
      <c r="J674" s="1">
        <v>2</v>
      </c>
      <c r="K674" s="3" t="s">
        <v>51</v>
      </c>
      <c r="L674" s="1">
        <v>1</v>
      </c>
      <c r="M674" s="1">
        <v>936</v>
      </c>
      <c r="N674" s="1">
        <v>3</v>
      </c>
      <c r="O674" s="3" t="s">
        <v>39</v>
      </c>
      <c r="P674" s="1">
        <v>68</v>
      </c>
      <c r="Q674" s="1">
        <v>2</v>
      </c>
      <c r="R674" s="1">
        <v>2</v>
      </c>
      <c r="S674" s="3" t="s">
        <v>40</v>
      </c>
      <c r="T674" s="1">
        <v>3</v>
      </c>
      <c r="U674" s="3" t="s">
        <v>41</v>
      </c>
      <c r="V674" s="4">
        <v>6244</v>
      </c>
      <c r="W674" s="1">
        <v>7824</v>
      </c>
      <c r="X674" s="1">
        <v>7</v>
      </c>
      <c r="Y674" s="3" t="s">
        <v>42</v>
      </c>
      <c r="Z674" s="3" t="s">
        <v>43</v>
      </c>
      <c r="AA674" s="5">
        <v>0.17</v>
      </c>
      <c r="AB674" s="10" t="str" cm="1">
        <f t="array" ref="AB674">_xlfn.IFS(AA674 &lt;= 15%, "Low Hike[11-15%]", AA674 &lt;= 20%, "Moderate Hike[16-20%]", AA674 &lt;= 25%,"High Hike[21-25%]")</f>
        <v>Moderate Hike[16-20%]</v>
      </c>
      <c r="AC674" s="1">
        <v>3</v>
      </c>
      <c r="AD674" s="1">
        <v>1</v>
      </c>
      <c r="AE674" s="1">
        <v>80</v>
      </c>
      <c r="AF674" s="1">
        <v>0</v>
      </c>
      <c r="AG674" s="1">
        <v>10</v>
      </c>
      <c r="AH674" s="9" t="str" cm="1">
        <f t="array" ref="AH674">_xlfn.IFS(AG674 &lt;= 5, "New[1-5]", AG674 &lt;= 10, "Early Career[6-10]", AG674 &lt;= 20, "Established[11-20]", AG674 &lt;= 30, "Veteran[21-30]", AG674 &lt;= 40, "Late Career[31-40]")</f>
        <v>Early Career[6-10]</v>
      </c>
      <c r="AI674" s="1">
        <v>6</v>
      </c>
      <c r="AJ674" s="1">
        <v>3</v>
      </c>
      <c r="AK674" s="1">
        <v>5</v>
      </c>
      <c r="AL674" s="9" t="str" cm="1">
        <f t="array" ref="AL674">_xlfn.IFS(AK674 &lt;= 5, "New[1-5]", AK674 &lt;= 10, "Early Career[6-10]", AK674 &lt;= 20, "Established[11-20]", AK674 &lt;= 30, "Veteran[21-30]", AK674 &lt;= 40, "Late Career[31-40]")</f>
        <v>New[1-5]</v>
      </c>
      <c r="AM674" s="1">
        <v>4</v>
      </c>
      <c r="AN674" s="9" t="str" cm="1">
        <f t="array" ref="AN674">_xlfn.IFS(AM674 &lt;= 3, "New to Role[1-3]", AM674 &lt;= 7, "Settled[4-7]", AM674 &lt;= 12, "Experienced[[8-12]", AM674 &lt;= 18, "Long Tenured[13-18]")</f>
        <v>Settled[4-7]</v>
      </c>
      <c r="AO674" s="1">
        <v>0</v>
      </c>
      <c r="AP674" s="9" t="str" cm="1">
        <f t="array" ref="AP674">_xlfn.IFS(AO674 &lt;= 3, "Recently[1-3]", AO674 &lt;= 6, "Due Soon[4-6]", AO674 &lt;= 10, "Overdue[7-10]", AO674 &lt;= 15, "Long Overdue[11-15]")</f>
        <v>Recently[1-3]</v>
      </c>
      <c r="AQ674" s="9" t="str" cm="1">
        <f t="array" ref="AQ674">_xlfn.IFS(AR674 &lt;= 3, "New Relationship[1-3]", AR674 &lt;= 7, "Established Relationship[4-7]", AR674 &lt;= 12, "Long Term Relationship[8-12]", AR674 &lt;= 17, "Very Long Term Relationship[13-17]")</f>
        <v>New Relationship[1-3]</v>
      </c>
      <c r="AR674" s="1">
        <v>3</v>
      </c>
    </row>
    <row r="675" spans="1:44" x14ac:dyDescent="0.25">
      <c r="A675" s="1">
        <v>33</v>
      </c>
      <c r="B675" s="8" t="str" cm="1">
        <f t="array" ref="B675">_xlfn.IFS(A675 &lt;= 25, "[18-25]", A675 &lt;= 35, "[26-35]", A675 &lt;=45, "[36-45]", A675 &lt;= 60, "[46- 60]")</f>
        <v>[26-35]</v>
      </c>
      <c r="C675" s="3" t="s">
        <v>43</v>
      </c>
      <c r="D675">
        <f t="shared" si="10"/>
        <v>0</v>
      </c>
      <c r="E675" t="s">
        <v>36</v>
      </c>
      <c r="F675" s="1">
        <v>1198</v>
      </c>
      <c r="G675" s="3" t="s">
        <v>45</v>
      </c>
      <c r="H675" s="1">
        <v>1</v>
      </c>
      <c r="I675" s="9" t="str" cm="1">
        <f t="array" ref="I675">_xlfn.IFS(H675 &lt;= 2, "[1-2] very close", H675 &lt;= 10, "[3-10] close", H675 &lt;= 20, "[11-20] moderate", H675 &lt;= 30, "[21-30] far")</f>
        <v>[1-2] very close</v>
      </c>
      <c r="J675" s="1">
        <v>4</v>
      </c>
      <c r="K675" s="3" t="s">
        <v>49</v>
      </c>
      <c r="L675" s="1">
        <v>1</v>
      </c>
      <c r="M675" s="1">
        <v>939</v>
      </c>
      <c r="N675" s="1">
        <v>3</v>
      </c>
      <c r="O675" s="3" t="s">
        <v>46</v>
      </c>
      <c r="P675" s="1">
        <v>100</v>
      </c>
      <c r="Q675" s="1">
        <v>2</v>
      </c>
      <c r="R675" s="1">
        <v>1</v>
      </c>
      <c r="S675" s="3" t="s">
        <v>47</v>
      </c>
      <c r="T675" s="1">
        <v>1</v>
      </c>
      <c r="U675" s="3" t="s">
        <v>41</v>
      </c>
      <c r="V675" s="4">
        <v>2799</v>
      </c>
      <c r="W675" s="1">
        <v>3339</v>
      </c>
      <c r="X675" s="1">
        <v>3</v>
      </c>
      <c r="Y675" s="3" t="s">
        <v>42</v>
      </c>
      <c r="Z675" s="3" t="s">
        <v>35</v>
      </c>
      <c r="AA675" s="5">
        <v>0.11</v>
      </c>
      <c r="AB675" s="10" t="str" cm="1">
        <f t="array" ref="AB675">_xlfn.IFS(AA675 &lt;= 15%, "Low Hike[11-15%]", AA675 &lt;= 20%, "Moderate Hike[16-20%]", AA675 &lt;= 25%,"High Hike[21-25%]")</f>
        <v>Low Hike[11-15%]</v>
      </c>
      <c r="AC675" s="1">
        <v>3</v>
      </c>
      <c r="AD675" s="1">
        <v>2</v>
      </c>
      <c r="AE675" s="1">
        <v>80</v>
      </c>
      <c r="AF675" s="1">
        <v>0</v>
      </c>
      <c r="AG675" s="1">
        <v>6</v>
      </c>
      <c r="AH675" s="9" t="str" cm="1">
        <f t="array" ref="AH675">_xlfn.IFS(AG675 &lt;= 5, "New[1-5]", AG675 &lt;= 10, "Early Career[6-10]", AG675 &lt;= 20, "Established[11-20]", AG675 &lt;= 30, "Veteran[21-30]", AG675 &lt;= 40, "Late Career[31-40]")</f>
        <v>Early Career[6-10]</v>
      </c>
      <c r="AI675" s="1">
        <v>1</v>
      </c>
      <c r="AJ675" s="1">
        <v>3</v>
      </c>
      <c r="AK675" s="1">
        <v>3</v>
      </c>
      <c r="AL675" s="9" t="str" cm="1">
        <f t="array" ref="AL675">_xlfn.IFS(AK675 &lt;= 5, "New[1-5]", AK675 &lt;= 10, "Early Career[6-10]", AK675 &lt;= 20, "Established[11-20]", AK675 &lt;= 30, "Veteran[21-30]", AK675 &lt;= 40, "Late Career[31-40]")</f>
        <v>New[1-5]</v>
      </c>
      <c r="AM675" s="1">
        <v>2</v>
      </c>
      <c r="AN675" s="9" t="str" cm="1">
        <f t="array" ref="AN675">_xlfn.IFS(AM675 &lt;= 3, "New to Role[1-3]", AM675 &lt;= 7, "Settled[4-7]", AM675 &lt;= 12, "Experienced[[8-12]", AM675 &lt;= 18, "Long Tenured[13-18]")</f>
        <v>New to Role[1-3]</v>
      </c>
      <c r="AO675" s="1">
        <v>0</v>
      </c>
      <c r="AP675" s="9" t="str" cm="1">
        <f t="array" ref="AP675">_xlfn.IFS(AO675 &lt;= 3, "Recently[1-3]", AO675 &lt;= 6, "Due Soon[4-6]", AO675 &lt;= 10, "Overdue[7-10]", AO675 &lt;= 15, "Long Overdue[11-15]")</f>
        <v>Recently[1-3]</v>
      </c>
      <c r="AQ675" s="9" t="str" cm="1">
        <f t="array" ref="AQ675">_xlfn.IFS(AR675 &lt;= 3, "New Relationship[1-3]", AR675 &lt;= 7, "Established Relationship[4-7]", AR675 &lt;= 12, "Long Term Relationship[8-12]", AR675 &lt;= 17, "Very Long Term Relationship[13-17]")</f>
        <v>New Relationship[1-3]</v>
      </c>
      <c r="AR675" s="1">
        <v>2</v>
      </c>
    </row>
    <row r="676" spans="1:44" x14ac:dyDescent="0.25">
      <c r="A676" s="1">
        <v>58</v>
      </c>
      <c r="B676" s="8" t="str" cm="1">
        <f t="array" ref="B676">_xlfn.IFS(A676 &lt;= 25, "[18-25]", A676 &lt;= 35, "[26-35]", A676 &lt;=45, "[36-45]", A676 &lt;= 60, "[46- 60]")</f>
        <v>[46- 60]</v>
      </c>
      <c r="C676" s="3" t="s">
        <v>43</v>
      </c>
      <c r="D676">
        <f t="shared" si="10"/>
        <v>0</v>
      </c>
      <c r="E676" t="s">
        <v>36</v>
      </c>
      <c r="F676" s="1">
        <v>1272</v>
      </c>
      <c r="G676" s="3" t="s">
        <v>45</v>
      </c>
      <c r="H676" s="1">
        <v>5</v>
      </c>
      <c r="I676" s="9" t="str" cm="1">
        <f t="array" ref="I676">_xlfn.IFS(H676 &lt;= 2, "[1-2] very close", H676 &lt;= 10, "[3-10] close", H676 &lt;= 20, "[11-20] moderate", H676 &lt;= 30, "[21-30] far")</f>
        <v>[3-10] close</v>
      </c>
      <c r="J676" s="1">
        <v>3</v>
      </c>
      <c r="K676" s="3" t="s">
        <v>60</v>
      </c>
      <c r="L676" s="1">
        <v>1</v>
      </c>
      <c r="M676" s="1">
        <v>940</v>
      </c>
      <c r="N676" s="1">
        <v>3</v>
      </c>
      <c r="O676" s="3" t="s">
        <v>39</v>
      </c>
      <c r="P676" s="1">
        <v>37</v>
      </c>
      <c r="Q676" s="1">
        <v>2</v>
      </c>
      <c r="R676" s="1">
        <v>3</v>
      </c>
      <c r="S676" s="3" t="s">
        <v>54</v>
      </c>
      <c r="T676" s="1">
        <v>2</v>
      </c>
      <c r="U676" s="3" t="s">
        <v>52</v>
      </c>
      <c r="V676" s="4">
        <v>10552</v>
      </c>
      <c r="W676" s="1">
        <v>9255</v>
      </c>
      <c r="X676" s="1">
        <v>2</v>
      </c>
      <c r="Y676" s="3" t="s">
        <v>42</v>
      </c>
      <c r="Z676" s="3" t="s">
        <v>35</v>
      </c>
      <c r="AA676" s="5">
        <v>0.13</v>
      </c>
      <c r="AB676" s="10" t="str" cm="1">
        <f t="array" ref="AB676">_xlfn.IFS(AA676 &lt;= 15%, "Low Hike[11-15%]", AA676 &lt;= 20%, "Moderate Hike[16-20%]", AA676 &lt;= 25%,"High Hike[21-25%]")</f>
        <v>Low Hike[11-15%]</v>
      </c>
      <c r="AC676" s="1">
        <v>3</v>
      </c>
      <c r="AD676" s="1">
        <v>4</v>
      </c>
      <c r="AE676" s="1">
        <v>80</v>
      </c>
      <c r="AF676" s="1">
        <v>1</v>
      </c>
      <c r="AG676" s="1">
        <v>24</v>
      </c>
      <c r="AH676" s="9" t="str" cm="1">
        <f t="array" ref="AH676">_xlfn.IFS(AG676 &lt;= 5, "New[1-5]", AG676 &lt;= 10, "Early Career[6-10]", AG676 &lt;= 20, "Established[11-20]", AG676 &lt;= 30, "Veteran[21-30]", AG676 &lt;= 40, "Late Career[31-40]")</f>
        <v>Veteran[21-30]</v>
      </c>
      <c r="AI676" s="1">
        <v>3</v>
      </c>
      <c r="AJ676" s="1">
        <v>3</v>
      </c>
      <c r="AK676" s="1">
        <v>6</v>
      </c>
      <c r="AL676" s="9" t="str" cm="1">
        <f t="array" ref="AL676">_xlfn.IFS(AK676 &lt;= 5, "New[1-5]", AK676 &lt;= 10, "Early Career[6-10]", AK676 &lt;= 20, "Established[11-20]", AK676 &lt;= 30, "Veteran[21-30]", AK676 &lt;= 40, "Late Career[31-40]")</f>
        <v>Early Career[6-10]</v>
      </c>
      <c r="AM676" s="1">
        <v>0</v>
      </c>
      <c r="AN676" s="9" t="str" cm="1">
        <f t="array" ref="AN676">_xlfn.IFS(AM676 &lt;= 3, "New to Role[1-3]", AM676 &lt;= 7, "Settled[4-7]", AM676 &lt;= 12, "Experienced[[8-12]", AM676 &lt;= 18, "Long Tenured[13-18]")</f>
        <v>New to Role[1-3]</v>
      </c>
      <c r="AO676" s="1">
        <v>0</v>
      </c>
      <c r="AP676" s="9" t="str" cm="1">
        <f t="array" ref="AP676">_xlfn.IFS(AO676 &lt;= 3, "Recently[1-3]", AO676 &lt;= 6, "Due Soon[4-6]", AO676 &lt;= 10, "Overdue[7-10]", AO676 &lt;= 15, "Long Overdue[11-15]")</f>
        <v>Recently[1-3]</v>
      </c>
      <c r="AQ676" s="9" t="str" cm="1">
        <f t="array" ref="AQ676">_xlfn.IFS(AR676 &lt;= 3, "New Relationship[1-3]", AR676 &lt;= 7, "Established Relationship[4-7]", AR676 &lt;= 12, "Long Term Relationship[8-12]", AR676 &lt;= 17, "Very Long Term Relationship[13-17]")</f>
        <v>Established Relationship[4-7]</v>
      </c>
      <c r="AR676" s="1">
        <v>4</v>
      </c>
    </row>
    <row r="677" spans="1:44" x14ac:dyDescent="0.25">
      <c r="A677" s="1">
        <v>31</v>
      </c>
      <c r="B677" s="8" t="str" cm="1">
        <f t="array" ref="B677">_xlfn.IFS(A677 &lt;= 25, "[18-25]", A677 &lt;= 35, "[26-35]", A677 &lt;=45, "[36-45]", A677 &lt;= 60, "[46- 60]")</f>
        <v>[26-35]</v>
      </c>
      <c r="C677" s="3" t="s">
        <v>43</v>
      </c>
      <c r="D677">
        <f t="shared" si="10"/>
        <v>0</v>
      </c>
      <c r="E677" t="s">
        <v>36</v>
      </c>
      <c r="F677" s="1">
        <v>154</v>
      </c>
      <c r="G677" s="3" t="s">
        <v>37</v>
      </c>
      <c r="H677" s="1">
        <v>7</v>
      </c>
      <c r="I677" s="9" t="str" cm="1">
        <f t="array" ref="I677">_xlfn.IFS(H677 &lt;= 2, "[1-2] very close", H677 &lt;= 10, "[3-10] close", H677 &lt;= 20, "[11-20] moderate", H677 &lt;= 30, "[21-30] far")</f>
        <v>[3-10] close</v>
      </c>
      <c r="J677" s="1">
        <v>4</v>
      </c>
      <c r="K677" s="3" t="s">
        <v>38</v>
      </c>
      <c r="L677" s="1">
        <v>1</v>
      </c>
      <c r="M677" s="1">
        <v>941</v>
      </c>
      <c r="N677" s="1">
        <v>2</v>
      </c>
      <c r="O677" s="3" t="s">
        <v>46</v>
      </c>
      <c r="P677" s="1">
        <v>41</v>
      </c>
      <c r="Q677" s="1">
        <v>2</v>
      </c>
      <c r="R677" s="1">
        <v>1</v>
      </c>
      <c r="S677" s="3" t="s">
        <v>57</v>
      </c>
      <c r="T677" s="1">
        <v>3</v>
      </c>
      <c r="U677" s="3" t="s">
        <v>48</v>
      </c>
      <c r="V677" s="4">
        <v>2329</v>
      </c>
      <c r="W677" s="1">
        <v>11737</v>
      </c>
      <c r="X677" s="1">
        <v>3</v>
      </c>
      <c r="Y677" s="3" t="s">
        <v>42</v>
      </c>
      <c r="Z677" s="3" t="s">
        <v>43</v>
      </c>
      <c r="AA677" s="5">
        <v>0.15</v>
      </c>
      <c r="AB677" s="10" t="str" cm="1">
        <f t="array" ref="AB677">_xlfn.IFS(AA677 &lt;= 15%, "Low Hike[11-15%]", AA677 &lt;= 20%, "Moderate Hike[16-20%]", AA677 &lt;= 25%,"High Hike[21-25%]")</f>
        <v>Low Hike[11-15%]</v>
      </c>
      <c r="AC677" s="1">
        <v>3</v>
      </c>
      <c r="AD677" s="1">
        <v>2</v>
      </c>
      <c r="AE677" s="1">
        <v>80</v>
      </c>
      <c r="AF677" s="1">
        <v>0</v>
      </c>
      <c r="AG677" s="1">
        <v>13</v>
      </c>
      <c r="AH677" s="9" t="str" cm="1">
        <f t="array" ref="AH677">_xlfn.IFS(AG677 &lt;= 5, "New[1-5]", AG677 &lt;= 10, "Early Career[6-10]", AG677 &lt;= 20, "Established[11-20]", AG677 &lt;= 30, "Veteran[21-30]", AG677 &lt;= 40, "Late Career[31-40]")</f>
        <v>Established[11-20]</v>
      </c>
      <c r="AI677" s="1">
        <v>2</v>
      </c>
      <c r="AJ677" s="1">
        <v>4</v>
      </c>
      <c r="AK677" s="1">
        <v>7</v>
      </c>
      <c r="AL677" s="9" t="str" cm="1">
        <f t="array" ref="AL677">_xlfn.IFS(AK677 &lt;= 5, "New[1-5]", AK677 &lt;= 10, "Early Career[6-10]", AK677 &lt;= 20, "Established[11-20]", AK677 &lt;= 30, "Veteran[21-30]", AK677 &lt;= 40, "Late Career[31-40]")</f>
        <v>Early Career[6-10]</v>
      </c>
      <c r="AM677" s="1">
        <v>7</v>
      </c>
      <c r="AN677" s="9" t="str" cm="1">
        <f t="array" ref="AN677">_xlfn.IFS(AM677 &lt;= 3, "New to Role[1-3]", AM677 &lt;= 7, "Settled[4-7]", AM677 &lt;= 12, "Experienced[[8-12]", AM677 &lt;= 18, "Long Tenured[13-18]")</f>
        <v>Settled[4-7]</v>
      </c>
      <c r="AO677" s="1">
        <v>5</v>
      </c>
      <c r="AP677" s="9" t="str" cm="1">
        <f t="array" ref="AP677">_xlfn.IFS(AO677 &lt;= 3, "Recently[1-3]", AO677 &lt;= 6, "Due Soon[4-6]", AO677 &lt;= 10, "Overdue[7-10]", AO677 &lt;= 15, "Long Overdue[11-15]")</f>
        <v>Due Soon[4-6]</v>
      </c>
      <c r="AQ677" s="9" t="str" cm="1">
        <f t="array" ref="AQ677">_xlfn.IFS(AR677 &lt;= 3, "New Relationship[1-3]", AR677 &lt;= 7, "Established Relationship[4-7]", AR677 &lt;= 12, "Long Term Relationship[8-12]", AR677 &lt;= 17, "Very Long Term Relationship[13-17]")</f>
        <v>New Relationship[1-3]</v>
      </c>
      <c r="AR677" s="1">
        <v>2</v>
      </c>
    </row>
    <row r="678" spans="1:44" x14ac:dyDescent="0.25">
      <c r="A678" s="1">
        <v>35</v>
      </c>
      <c r="B678" s="8" t="str" cm="1">
        <f t="array" ref="B678">_xlfn.IFS(A678 &lt;= 25, "[18-25]", A678 &lt;= 35, "[26-35]", A678 &lt;=45, "[36-45]", A678 &lt;= 60, "[46- 60]")</f>
        <v>[26-35]</v>
      </c>
      <c r="C678" s="3" t="s">
        <v>43</v>
      </c>
      <c r="D678">
        <f t="shared" si="10"/>
        <v>0</v>
      </c>
      <c r="E678" t="s">
        <v>36</v>
      </c>
      <c r="F678" s="1">
        <v>1137</v>
      </c>
      <c r="G678" s="3" t="s">
        <v>45</v>
      </c>
      <c r="H678" s="1">
        <v>21</v>
      </c>
      <c r="I678" s="9" t="str" cm="1">
        <f t="array" ref="I678">_xlfn.IFS(H678 &lt;= 2, "[1-2] very close", H678 &lt;= 10, "[3-10] close", H678 &lt;= 20, "[11-20] moderate", H678 &lt;= 30, "[21-30] far")</f>
        <v>[21-30] far</v>
      </c>
      <c r="J678" s="1">
        <v>1</v>
      </c>
      <c r="K678" s="3" t="s">
        <v>38</v>
      </c>
      <c r="L678" s="1">
        <v>1</v>
      </c>
      <c r="M678" s="1">
        <v>942</v>
      </c>
      <c r="N678" s="1">
        <v>4</v>
      </c>
      <c r="O678" s="3" t="s">
        <v>39</v>
      </c>
      <c r="P678" s="1">
        <v>51</v>
      </c>
      <c r="Q678" s="1">
        <v>3</v>
      </c>
      <c r="R678" s="1">
        <v>2</v>
      </c>
      <c r="S678" s="3" t="s">
        <v>54</v>
      </c>
      <c r="T678" s="1">
        <v>4</v>
      </c>
      <c r="U678" s="3" t="s">
        <v>48</v>
      </c>
      <c r="V678" s="4">
        <v>4014</v>
      </c>
      <c r="W678" s="1">
        <v>19170</v>
      </c>
      <c r="X678" s="1">
        <v>1</v>
      </c>
      <c r="Y678" s="3" t="s">
        <v>42</v>
      </c>
      <c r="Z678" s="3" t="s">
        <v>35</v>
      </c>
      <c r="AA678" s="5">
        <v>0.25</v>
      </c>
      <c r="AB678" s="10" t="str" cm="1">
        <f t="array" ref="AB678">_xlfn.IFS(AA678 &lt;= 15%, "Low Hike[11-15%]", AA678 &lt;= 20%, "Moderate Hike[16-20%]", AA678 &lt;= 25%,"High Hike[21-25%]")</f>
        <v>High Hike[21-25%]</v>
      </c>
      <c r="AC678" s="1">
        <v>4</v>
      </c>
      <c r="AD678" s="1">
        <v>4</v>
      </c>
      <c r="AE678" s="1">
        <v>80</v>
      </c>
      <c r="AF678" s="1">
        <v>1</v>
      </c>
      <c r="AG678" s="1">
        <v>10</v>
      </c>
      <c r="AH678" s="9" t="str" cm="1">
        <f t="array" ref="AH678">_xlfn.IFS(AG678 &lt;= 5, "New[1-5]", AG678 &lt;= 10, "Early Career[6-10]", AG678 &lt;= 20, "Established[11-20]", AG678 &lt;= 30, "Veteran[21-30]", AG678 &lt;= 40, "Late Career[31-40]")</f>
        <v>Early Career[6-10]</v>
      </c>
      <c r="AI678" s="1">
        <v>2</v>
      </c>
      <c r="AJ678" s="1">
        <v>1</v>
      </c>
      <c r="AK678" s="1">
        <v>10</v>
      </c>
      <c r="AL678" s="9" t="str" cm="1">
        <f t="array" ref="AL678">_xlfn.IFS(AK678 &lt;= 5, "New[1-5]", AK678 &lt;= 10, "Early Career[6-10]", AK678 &lt;= 20, "Established[11-20]", AK678 &lt;= 30, "Veteran[21-30]", AK678 &lt;= 40, "Late Career[31-40]")</f>
        <v>Early Career[6-10]</v>
      </c>
      <c r="AM678" s="1">
        <v>6</v>
      </c>
      <c r="AN678" s="9" t="str" cm="1">
        <f t="array" ref="AN678">_xlfn.IFS(AM678 &lt;= 3, "New to Role[1-3]", AM678 &lt;= 7, "Settled[4-7]", AM678 &lt;= 12, "Experienced[[8-12]", AM678 &lt;= 18, "Long Tenured[13-18]")</f>
        <v>Settled[4-7]</v>
      </c>
      <c r="AO678" s="1">
        <v>0</v>
      </c>
      <c r="AP678" s="9" t="str" cm="1">
        <f t="array" ref="AP678">_xlfn.IFS(AO678 &lt;= 3, "Recently[1-3]", AO678 &lt;= 6, "Due Soon[4-6]", AO678 &lt;= 10, "Overdue[7-10]", AO678 &lt;= 15, "Long Overdue[11-15]")</f>
        <v>Recently[1-3]</v>
      </c>
      <c r="AQ678" s="9" t="str" cm="1">
        <f t="array" ref="AQ678">_xlfn.IFS(AR678 &lt;= 3, "New Relationship[1-3]", AR678 &lt;= 7, "Established Relationship[4-7]", AR678 &lt;= 12, "Long Term Relationship[8-12]", AR678 &lt;= 17, "Very Long Term Relationship[13-17]")</f>
        <v>Established Relationship[4-7]</v>
      </c>
      <c r="AR678" s="1">
        <v>7</v>
      </c>
    </row>
    <row r="679" spans="1:44" x14ac:dyDescent="0.25">
      <c r="A679" s="1">
        <v>49</v>
      </c>
      <c r="B679" s="8" t="str" cm="1">
        <f t="array" ref="B679">_xlfn.IFS(A679 &lt;= 25, "[18-25]", A679 &lt;= 35, "[26-35]", A679 &lt;=45, "[36-45]", A679 &lt;= 60, "[46- 60]")</f>
        <v>[46- 60]</v>
      </c>
      <c r="C679" s="3" t="s">
        <v>43</v>
      </c>
      <c r="D679">
        <f t="shared" si="10"/>
        <v>0</v>
      </c>
      <c r="E679" t="s">
        <v>36</v>
      </c>
      <c r="F679" s="1">
        <v>527</v>
      </c>
      <c r="G679" s="3" t="s">
        <v>45</v>
      </c>
      <c r="H679" s="1">
        <v>8</v>
      </c>
      <c r="I679" s="9" t="str" cm="1">
        <f t="array" ref="I679">_xlfn.IFS(H679 &lt;= 2, "[1-2] very close", H679 &lt;= 10, "[3-10] close", H679 &lt;= 20, "[11-20] moderate", H679 &lt;= 30, "[21-30] far")</f>
        <v>[3-10] close</v>
      </c>
      <c r="J679" s="1">
        <v>2</v>
      </c>
      <c r="K679" s="3" t="s">
        <v>49</v>
      </c>
      <c r="L679" s="1">
        <v>1</v>
      </c>
      <c r="M679" s="1">
        <v>944</v>
      </c>
      <c r="N679" s="1">
        <v>1</v>
      </c>
      <c r="O679" s="3" t="s">
        <v>39</v>
      </c>
      <c r="P679" s="1">
        <v>51</v>
      </c>
      <c r="Q679" s="1">
        <v>3</v>
      </c>
      <c r="R679" s="1">
        <v>3</v>
      </c>
      <c r="S679" s="3" t="s">
        <v>50</v>
      </c>
      <c r="T679" s="1">
        <v>2</v>
      </c>
      <c r="U679" s="3" t="s">
        <v>48</v>
      </c>
      <c r="V679" s="4">
        <v>7403</v>
      </c>
      <c r="W679" s="1">
        <v>22477</v>
      </c>
      <c r="X679" s="1">
        <v>4</v>
      </c>
      <c r="Y679" s="3" t="s">
        <v>42</v>
      </c>
      <c r="Z679" s="3" t="s">
        <v>43</v>
      </c>
      <c r="AA679" s="5">
        <v>0.11</v>
      </c>
      <c r="AB679" s="10" t="str" cm="1">
        <f t="array" ref="AB679">_xlfn.IFS(AA679 &lt;= 15%, "Low Hike[11-15%]", AA679 &lt;= 20%, "Moderate Hike[16-20%]", AA679 &lt;= 25%,"High Hike[21-25%]")</f>
        <v>Low Hike[11-15%]</v>
      </c>
      <c r="AC679" s="1">
        <v>3</v>
      </c>
      <c r="AD679" s="1">
        <v>3</v>
      </c>
      <c r="AE679" s="1">
        <v>80</v>
      </c>
      <c r="AF679" s="1">
        <v>1</v>
      </c>
      <c r="AG679" s="1">
        <v>29</v>
      </c>
      <c r="AH679" s="9" t="str" cm="1">
        <f t="array" ref="AH679">_xlfn.IFS(AG679 &lt;= 5, "New[1-5]", AG679 &lt;= 10, "Early Career[6-10]", AG679 &lt;= 20, "Established[11-20]", AG679 &lt;= 30, "Veteran[21-30]", AG679 &lt;= 40, "Late Career[31-40]")</f>
        <v>Veteran[21-30]</v>
      </c>
      <c r="AI679" s="1">
        <v>3</v>
      </c>
      <c r="AJ679" s="1">
        <v>2</v>
      </c>
      <c r="AK679" s="1">
        <v>26</v>
      </c>
      <c r="AL679" s="9" t="str" cm="1">
        <f t="array" ref="AL679">_xlfn.IFS(AK679 &lt;= 5, "New[1-5]", AK679 &lt;= 10, "Early Career[6-10]", AK679 &lt;= 20, "Established[11-20]", AK679 &lt;= 30, "Veteran[21-30]", AK679 &lt;= 40, "Late Career[31-40]")</f>
        <v>Veteran[21-30]</v>
      </c>
      <c r="AM679" s="1">
        <v>9</v>
      </c>
      <c r="AN679" s="9" t="str" cm="1">
        <f t="array" ref="AN679">_xlfn.IFS(AM679 &lt;= 3, "New to Role[1-3]", AM679 &lt;= 7, "Settled[4-7]", AM679 &lt;= 12, "Experienced[[8-12]", AM679 &lt;= 18, "Long Tenured[13-18]")</f>
        <v>Experienced[[8-12]</v>
      </c>
      <c r="AO679" s="1">
        <v>1</v>
      </c>
      <c r="AP679" s="9" t="str" cm="1">
        <f t="array" ref="AP679">_xlfn.IFS(AO679 &lt;= 3, "Recently[1-3]", AO679 &lt;= 6, "Due Soon[4-6]", AO679 &lt;= 10, "Overdue[7-10]", AO679 &lt;= 15, "Long Overdue[11-15]")</f>
        <v>Recently[1-3]</v>
      </c>
      <c r="AQ679" s="9" t="str" cm="1">
        <f t="array" ref="AQ679">_xlfn.IFS(AR679 &lt;= 3, "New Relationship[1-3]", AR679 &lt;= 7, "Established Relationship[4-7]", AR679 &lt;= 12, "Long Term Relationship[8-12]", AR679 &lt;= 17, "Very Long Term Relationship[13-17]")</f>
        <v>Established Relationship[4-7]</v>
      </c>
      <c r="AR679" s="1">
        <v>7</v>
      </c>
    </row>
    <row r="680" spans="1:44" x14ac:dyDescent="0.25">
      <c r="A680" s="1">
        <v>48</v>
      </c>
      <c r="B680" s="8" t="str" cm="1">
        <f t="array" ref="B680">_xlfn.IFS(A680 &lt;= 25, "[18-25]", A680 &lt;= 35, "[26-35]", A680 &lt;=45, "[36-45]", A680 &lt;= 60, "[46- 60]")</f>
        <v>[46- 60]</v>
      </c>
      <c r="C680" s="3" t="s">
        <v>43</v>
      </c>
      <c r="D680">
        <f t="shared" si="10"/>
        <v>0</v>
      </c>
      <c r="E680" t="s">
        <v>36</v>
      </c>
      <c r="F680" s="1">
        <v>1469</v>
      </c>
      <c r="G680" s="3" t="s">
        <v>45</v>
      </c>
      <c r="H680" s="1">
        <v>20</v>
      </c>
      <c r="I680" s="9" t="str" cm="1">
        <f t="array" ref="I680">_xlfn.IFS(H680 &lt;= 2, "[1-2] very close", H680 &lt;= 10, "[3-10] close", H680 &lt;= 20, "[11-20] moderate", H680 &lt;= 30, "[21-30] far")</f>
        <v>[11-20] moderate</v>
      </c>
      <c r="J680" s="1">
        <v>4</v>
      </c>
      <c r="K680" s="3" t="s">
        <v>51</v>
      </c>
      <c r="L680" s="1">
        <v>1</v>
      </c>
      <c r="M680" s="1">
        <v>945</v>
      </c>
      <c r="N680" s="1">
        <v>4</v>
      </c>
      <c r="O680" s="3" t="s">
        <v>46</v>
      </c>
      <c r="P680" s="1">
        <v>51</v>
      </c>
      <c r="Q680" s="1">
        <v>3</v>
      </c>
      <c r="R680" s="1">
        <v>1</v>
      </c>
      <c r="S680" s="3" t="s">
        <v>47</v>
      </c>
      <c r="T680" s="1">
        <v>3</v>
      </c>
      <c r="U680" s="3" t="s">
        <v>48</v>
      </c>
      <c r="V680" s="4">
        <v>2259</v>
      </c>
      <c r="W680" s="1">
        <v>5543</v>
      </c>
      <c r="X680" s="1">
        <v>4</v>
      </c>
      <c r="Y680" s="3" t="s">
        <v>42</v>
      </c>
      <c r="Z680" s="3" t="s">
        <v>43</v>
      </c>
      <c r="AA680" s="5">
        <v>0.17</v>
      </c>
      <c r="AB680" s="10" t="str" cm="1">
        <f t="array" ref="AB680">_xlfn.IFS(AA680 &lt;= 15%, "Low Hike[11-15%]", AA680 &lt;= 20%, "Moderate Hike[16-20%]", AA680 &lt;= 25%,"High Hike[21-25%]")</f>
        <v>Moderate Hike[16-20%]</v>
      </c>
      <c r="AC680" s="1">
        <v>3</v>
      </c>
      <c r="AD680" s="1">
        <v>1</v>
      </c>
      <c r="AE680" s="1">
        <v>80</v>
      </c>
      <c r="AF680" s="1">
        <v>2</v>
      </c>
      <c r="AG680" s="1">
        <v>13</v>
      </c>
      <c r="AH680" s="9" t="str" cm="1">
        <f t="array" ref="AH680">_xlfn.IFS(AG680 &lt;= 5, "New[1-5]", AG680 &lt;= 10, "Early Career[6-10]", AG680 &lt;= 20, "Established[11-20]", AG680 &lt;= 30, "Veteran[21-30]", AG680 &lt;= 40, "Late Career[31-40]")</f>
        <v>Established[11-20]</v>
      </c>
      <c r="AI680" s="1">
        <v>2</v>
      </c>
      <c r="AJ680" s="1">
        <v>2</v>
      </c>
      <c r="AK680" s="1">
        <v>0</v>
      </c>
      <c r="AL680" s="9" t="str" cm="1">
        <f t="array" ref="AL680">_xlfn.IFS(AK680 &lt;= 5, "New[1-5]", AK680 &lt;= 10, "Early Career[6-10]", AK680 &lt;= 20, "Established[11-20]", AK680 &lt;= 30, "Veteran[21-30]", AK680 &lt;= 40, "Late Career[31-40]")</f>
        <v>New[1-5]</v>
      </c>
      <c r="AM680" s="1">
        <v>0</v>
      </c>
      <c r="AN680" s="9" t="str" cm="1">
        <f t="array" ref="AN680">_xlfn.IFS(AM680 &lt;= 3, "New to Role[1-3]", AM680 &lt;= 7, "Settled[4-7]", AM680 &lt;= 12, "Experienced[[8-12]", AM680 &lt;= 18, "Long Tenured[13-18]")</f>
        <v>New to Role[1-3]</v>
      </c>
      <c r="AO680" s="1">
        <v>0</v>
      </c>
      <c r="AP680" s="9" t="str" cm="1">
        <f t="array" ref="AP680">_xlfn.IFS(AO680 &lt;= 3, "Recently[1-3]", AO680 &lt;= 6, "Due Soon[4-6]", AO680 &lt;= 10, "Overdue[7-10]", AO680 &lt;= 15, "Long Overdue[11-15]")</f>
        <v>Recently[1-3]</v>
      </c>
      <c r="AQ680" s="9" t="str" cm="1">
        <f t="array" ref="AQ680">_xlfn.IFS(AR680 &lt;= 3, "New Relationship[1-3]", AR680 &lt;= 7, "Established Relationship[4-7]", AR680 &lt;= 12, "Long Term Relationship[8-12]", AR680 &lt;= 17, "Very Long Term Relationship[13-17]")</f>
        <v>New Relationship[1-3]</v>
      </c>
      <c r="AR680" s="1">
        <v>0</v>
      </c>
    </row>
    <row r="681" spans="1:44" x14ac:dyDescent="0.25">
      <c r="A681" s="1">
        <v>31</v>
      </c>
      <c r="B681" s="8" t="str" cm="1">
        <f t="array" ref="B681">_xlfn.IFS(A681 &lt;= 25, "[18-25]", A681 &lt;= 35, "[26-35]", A681 &lt;=45, "[36-45]", A681 &lt;= 60, "[46- 60]")</f>
        <v>[26-35]</v>
      </c>
      <c r="C681" s="3" t="s">
        <v>43</v>
      </c>
      <c r="D681">
        <f t="shared" si="10"/>
        <v>0</v>
      </c>
      <c r="E681" t="s">
        <v>62</v>
      </c>
      <c r="F681" s="1">
        <v>1188</v>
      </c>
      <c r="G681" s="3" t="s">
        <v>37</v>
      </c>
      <c r="H681" s="1">
        <v>20</v>
      </c>
      <c r="I681" s="9" t="str" cm="1">
        <f t="array" ref="I681">_xlfn.IFS(H681 &lt;= 2, "[1-2] very close", H681 &lt;= 10, "[3-10] close", H681 &lt;= 20, "[11-20] moderate", H681 &lt;= 30, "[21-30] far")</f>
        <v>[11-20] moderate</v>
      </c>
      <c r="J681" s="1">
        <v>2</v>
      </c>
      <c r="K681" s="3" t="s">
        <v>59</v>
      </c>
      <c r="L681" s="1">
        <v>1</v>
      </c>
      <c r="M681" s="1">
        <v>947</v>
      </c>
      <c r="N681" s="1">
        <v>4</v>
      </c>
      <c r="O681" s="3" t="s">
        <v>39</v>
      </c>
      <c r="P681" s="1">
        <v>45</v>
      </c>
      <c r="Q681" s="1">
        <v>3</v>
      </c>
      <c r="R681" s="1">
        <v>2</v>
      </c>
      <c r="S681" s="3" t="s">
        <v>40</v>
      </c>
      <c r="T681" s="1">
        <v>3</v>
      </c>
      <c r="U681" s="3" t="s">
        <v>48</v>
      </c>
      <c r="V681" s="4">
        <v>6932</v>
      </c>
      <c r="W681" s="1">
        <v>24406</v>
      </c>
      <c r="X681" s="1">
        <v>1</v>
      </c>
      <c r="Y681" s="3" t="s">
        <v>42</v>
      </c>
      <c r="Z681" s="3" t="s">
        <v>43</v>
      </c>
      <c r="AA681" s="5">
        <v>0.13</v>
      </c>
      <c r="AB681" s="10" t="str" cm="1">
        <f t="array" ref="AB681">_xlfn.IFS(AA681 &lt;= 15%, "Low Hike[11-15%]", AA681 &lt;= 20%, "Moderate Hike[16-20%]", AA681 &lt;= 25%,"High Hike[21-25%]")</f>
        <v>Low Hike[11-15%]</v>
      </c>
      <c r="AC681" s="1">
        <v>3</v>
      </c>
      <c r="AD681" s="1">
        <v>4</v>
      </c>
      <c r="AE681" s="1">
        <v>80</v>
      </c>
      <c r="AF681" s="1">
        <v>1</v>
      </c>
      <c r="AG681" s="1">
        <v>9</v>
      </c>
      <c r="AH681" s="9" t="str" cm="1">
        <f t="array" ref="AH681">_xlfn.IFS(AG681 &lt;= 5, "New[1-5]", AG681 &lt;= 10, "Early Career[6-10]", AG681 &lt;= 20, "Established[11-20]", AG681 &lt;= 30, "Veteran[21-30]", AG681 &lt;= 40, "Late Career[31-40]")</f>
        <v>Early Career[6-10]</v>
      </c>
      <c r="AI681" s="1">
        <v>2</v>
      </c>
      <c r="AJ681" s="1">
        <v>2</v>
      </c>
      <c r="AK681" s="1">
        <v>9</v>
      </c>
      <c r="AL681" s="9" t="str" cm="1">
        <f t="array" ref="AL681">_xlfn.IFS(AK681 &lt;= 5, "New[1-5]", AK681 &lt;= 10, "Early Career[6-10]", AK681 &lt;= 20, "Established[11-20]", AK681 &lt;= 30, "Veteran[21-30]", AK681 &lt;= 40, "Late Career[31-40]")</f>
        <v>Early Career[6-10]</v>
      </c>
      <c r="AM681" s="1">
        <v>8</v>
      </c>
      <c r="AN681" s="9" t="str" cm="1">
        <f t="array" ref="AN681">_xlfn.IFS(AM681 &lt;= 3, "New to Role[1-3]", AM681 &lt;= 7, "Settled[4-7]", AM681 &lt;= 12, "Experienced[[8-12]", AM681 &lt;= 18, "Long Tenured[13-18]")</f>
        <v>Experienced[[8-12]</v>
      </c>
      <c r="AO681" s="1">
        <v>0</v>
      </c>
      <c r="AP681" s="9" t="str" cm="1">
        <f t="array" ref="AP681">_xlfn.IFS(AO681 &lt;= 3, "Recently[1-3]", AO681 &lt;= 6, "Due Soon[4-6]", AO681 &lt;= 10, "Overdue[7-10]", AO681 &lt;= 15, "Long Overdue[11-15]")</f>
        <v>Recently[1-3]</v>
      </c>
      <c r="AQ681" s="9" t="str" cm="1">
        <f t="array" ref="AQ681">_xlfn.IFS(AR681 &lt;= 3, "New Relationship[1-3]", AR681 &lt;= 7, "Established Relationship[4-7]", AR681 &lt;= 12, "Long Term Relationship[8-12]", AR681 &lt;= 17, "Very Long Term Relationship[13-17]")</f>
        <v>New Relationship[1-3]</v>
      </c>
      <c r="AR681" s="1">
        <v>0</v>
      </c>
    </row>
    <row r="682" spans="1:44" x14ac:dyDescent="0.25">
      <c r="A682" s="1">
        <v>36</v>
      </c>
      <c r="B682" s="8" t="str" cm="1">
        <f t="array" ref="B682">_xlfn.IFS(A682 &lt;= 25, "[18-25]", A682 &lt;= 35, "[26-35]", A682 &lt;=45, "[36-45]", A682 &lt;= 60, "[46- 60]")</f>
        <v>[36-45]</v>
      </c>
      <c r="C682" s="3" t="s">
        <v>43</v>
      </c>
      <c r="D682">
        <f t="shared" si="10"/>
        <v>0</v>
      </c>
      <c r="E682" t="s">
        <v>36</v>
      </c>
      <c r="F682" s="1">
        <v>188</v>
      </c>
      <c r="G682" s="3" t="s">
        <v>45</v>
      </c>
      <c r="H682" s="1">
        <v>7</v>
      </c>
      <c r="I682" s="9" t="str" cm="1">
        <f t="array" ref="I682">_xlfn.IFS(H682 &lt;= 2, "[1-2] very close", H682 &lt;= 10, "[3-10] close", H682 &lt;= 20, "[11-20] moderate", H682 &lt;= 30, "[21-30] far")</f>
        <v>[3-10] close</v>
      </c>
      <c r="J682" s="1">
        <v>4</v>
      </c>
      <c r="K682" s="3" t="s">
        <v>49</v>
      </c>
      <c r="L682" s="1">
        <v>1</v>
      </c>
      <c r="M682" s="1">
        <v>949</v>
      </c>
      <c r="N682" s="1">
        <v>2</v>
      </c>
      <c r="O682" s="3" t="s">
        <v>46</v>
      </c>
      <c r="P682" s="1">
        <v>65</v>
      </c>
      <c r="Q682" s="1">
        <v>3</v>
      </c>
      <c r="R682" s="1">
        <v>1</v>
      </c>
      <c r="S682" s="3" t="s">
        <v>47</v>
      </c>
      <c r="T682" s="1">
        <v>4</v>
      </c>
      <c r="U682" s="3" t="s">
        <v>41</v>
      </c>
      <c r="V682" s="4">
        <v>4678</v>
      </c>
      <c r="W682" s="1">
        <v>23293</v>
      </c>
      <c r="X682" s="1">
        <v>2</v>
      </c>
      <c r="Y682" s="3" t="s">
        <v>42</v>
      </c>
      <c r="Z682" s="3" t="s">
        <v>43</v>
      </c>
      <c r="AA682" s="5">
        <v>0.18</v>
      </c>
      <c r="AB682" s="10" t="str" cm="1">
        <f t="array" ref="AB682">_xlfn.IFS(AA682 &lt;= 15%, "Low Hike[11-15%]", AA682 &lt;= 20%, "Moderate Hike[16-20%]", AA682 &lt;= 25%,"High Hike[21-25%]")</f>
        <v>Moderate Hike[16-20%]</v>
      </c>
      <c r="AC682" s="1">
        <v>3</v>
      </c>
      <c r="AD682" s="1">
        <v>3</v>
      </c>
      <c r="AE682" s="1">
        <v>80</v>
      </c>
      <c r="AF682" s="1">
        <v>0</v>
      </c>
      <c r="AG682" s="1">
        <v>8</v>
      </c>
      <c r="AH682" s="9" t="str" cm="1">
        <f t="array" ref="AH682">_xlfn.IFS(AG682 &lt;= 5, "New[1-5]", AG682 &lt;= 10, "Early Career[6-10]", AG682 &lt;= 20, "Established[11-20]", AG682 &lt;= 30, "Veteran[21-30]", AG682 &lt;= 40, "Late Career[31-40]")</f>
        <v>Early Career[6-10]</v>
      </c>
      <c r="AI682" s="1">
        <v>6</v>
      </c>
      <c r="AJ682" s="1">
        <v>3</v>
      </c>
      <c r="AK682" s="1">
        <v>6</v>
      </c>
      <c r="AL682" s="9" t="str" cm="1">
        <f t="array" ref="AL682">_xlfn.IFS(AK682 &lt;= 5, "New[1-5]", AK682 &lt;= 10, "Early Career[6-10]", AK682 &lt;= 20, "Established[11-20]", AK682 &lt;= 30, "Veteran[21-30]", AK682 &lt;= 40, "Late Career[31-40]")</f>
        <v>Early Career[6-10]</v>
      </c>
      <c r="AM682" s="1">
        <v>2</v>
      </c>
      <c r="AN682" s="9" t="str" cm="1">
        <f t="array" ref="AN682">_xlfn.IFS(AM682 &lt;= 3, "New to Role[1-3]", AM682 &lt;= 7, "Settled[4-7]", AM682 &lt;= 12, "Experienced[[8-12]", AM682 &lt;= 18, "Long Tenured[13-18]")</f>
        <v>New to Role[1-3]</v>
      </c>
      <c r="AO682" s="1">
        <v>0</v>
      </c>
      <c r="AP682" s="9" t="str" cm="1">
        <f t="array" ref="AP682">_xlfn.IFS(AO682 &lt;= 3, "Recently[1-3]", AO682 &lt;= 6, "Due Soon[4-6]", AO682 &lt;= 10, "Overdue[7-10]", AO682 &lt;= 15, "Long Overdue[11-15]")</f>
        <v>Recently[1-3]</v>
      </c>
      <c r="AQ682" s="9" t="str" cm="1">
        <f t="array" ref="AQ682">_xlfn.IFS(AR682 &lt;= 3, "New Relationship[1-3]", AR682 &lt;= 7, "Established Relationship[4-7]", AR682 &lt;= 12, "Long Term Relationship[8-12]", AR682 &lt;= 17, "Very Long Term Relationship[13-17]")</f>
        <v>New Relationship[1-3]</v>
      </c>
      <c r="AR682" s="1">
        <v>1</v>
      </c>
    </row>
    <row r="683" spans="1:44" x14ac:dyDescent="0.25">
      <c r="A683" s="1">
        <v>38</v>
      </c>
      <c r="B683" s="8" t="str" cm="1">
        <f t="array" ref="B683">_xlfn.IFS(A683 &lt;= 25, "[18-25]", A683 &lt;= 35, "[26-35]", A683 &lt;=45, "[36-45]", A683 &lt;= 60, "[46- 60]")</f>
        <v>[36-45]</v>
      </c>
      <c r="C683" s="3" t="s">
        <v>43</v>
      </c>
      <c r="D683">
        <f t="shared" si="10"/>
        <v>0</v>
      </c>
      <c r="E683" t="s">
        <v>36</v>
      </c>
      <c r="F683" s="1">
        <v>1333</v>
      </c>
      <c r="G683" s="3" t="s">
        <v>45</v>
      </c>
      <c r="H683" s="1">
        <v>1</v>
      </c>
      <c r="I683" s="9" t="str" cm="1">
        <f t="array" ref="I683">_xlfn.IFS(H683 &lt;= 2, "[1-2] very close", H683 &lt;= 10, "[3-10] close", H683 &lt;= 20, "[11-20] moderate", H683 &lt;= 30, "[21-30] far")</f>
        <v>[1-2] very close</v>
      </c>
      <c r="J683" s="1">
        <v>3</v>
      </c>
      <c r="K683" s="3" t="s">
        <v>60</v>
      </c>
      <c r="L683" s="1">
        <v>1</v>
      </c>
      <c r="M683" s="1">
        <v>950</v>
      </c>
      <c r="N683" s="1">
        <v>4</v>
      </c>
      <c r="O683" s="3" t="s">
        <v>39</v>
      </c>
      <c r="P683" s="1">
        <v>80</v>
      </c>
      <c r="Q683" s="1">
        <v>3</v>
      </c>
      <c r="R683" s="1">
        <v>3</v>
      </c>
      <c r="S683" s="3" t="s">
        <v>58</v>
      </c>
      <c r="T683" s="1">
        <v>1</v>
      </c>
      <c r="U683" s="3" t="s">
        <v>48</v>
      </c>
      <c r="V683" s="4">
        <v>13582</v>
      </c>
      <c r="W683" s="1">
        <v>16292</v>
      </c>
      <c r="X683" s="1">
        <v>1</v>
      </c>
      <c r="Y683" s="3" t="s">
        <v>42</v>
      </c>
      <c r="Z683" s="3" t="s">
        <v>43</v>
      </c>
      <c r="AA683" s="5">
        <v>0.13</v>
      </c>
      <c r="AB683" s="10" t="str" cm="1">
        <f t="array" ref="AB683">_xlfn.IFS(AA683 &lt;= 15%, "Low Hike[11-15%]", AA683 &lt;= 20%, "Moderate Hike[16-20%]", AA683 &lt;= 25%,"High Hike[21-25%]")</f>
        <v>Low Hike[11-15%]</v>
      </c>
      <c r="AC683" s="1">
        <v>3</v>
      </c>
      <c r="AD683" s="1">
        <v>2</v>
      </c>
      <c r="AE683" s="1">
        <v>80</v>
      </c>
      <c r="AF683" s="1">
        <v>1</v>
      </c>
      <c r="AG683" s="1">
        <v>15</v>
      </c>
      <c r="AH683" s="9" t="str" cm="1">
        <f t="array" ref="AH683">_xlfn.IFS(AG683 &lt;= 5, "New[1-5]", AG683 &lt;= 10, "Early Career[6-10]", AG683 &lt;= 20, "Established[11-20]", AG683 &lt;= 30, "Veteran[21-30]", AG683 &lt;= 40, "Late Career[31-40]")</f>
        <v>Established[11-20]</v>
      </c>
      <c r="AI683" s="1">
        <v>3</v>
      </c>
      <c r="AJ683" s="1">
        <v>3</v>
      </c>
      <c r="AK683" s="1">
        <v>15</v>
      </c>
      <c r="AL683" s="9" t="str" cm="1">
        <f t="array" ref="AL683">_xlfn.IFS(AK683 &lt;= 5, "New[1-5]", AK683 &lt;= 10, "Early Career[6-10]", AK683 &lt;= 20, "Established[11-20]", AK683 &lt;= 30, "Veteran[21-30]", AK683 &lt;= 40, "Late Career[31-40]")</f>
        <v>Established[11-20]</v>
      </c>
      <c r="AM683" s="1">
        <v>12</v>
      </c>
      <c r="AN683" s="9" t="str" cm="1">
        <f t="array" ref="AN683">_xlfn.IFS(AM683 &lt;= 3, "New to Role[1-3]", AM683 &lt;= 7, "Settled[4-7]", AM683 &lt;= 12, "Experienced[[8-12]", AM683 &lt;= 18, "Long Tenured[13-18]")</f>
        <v>Experienced[[8-12]</v>
      </c>
      <c r="AO683" s="1">
        <v>5</v>
      </c>
      <c r="AP683" s="9" t="str" cm="1">
        <f t="array" ref="AP683">_xlfn.IFS(AO683 &lt;= 3, "Recently[1-3]", AO683 &lt;= 6, "Due Soon[4-6]", AO683 &lt;= 10, "Overdue[7-10]", AO683 &lt;= 15, "Long Overdue[11-15]")</f>
        <v>Due Soon[4-6]</v>
      </c>
      <c r="AQ683" s="9" t="str" cm="1">
        <f t="array" ref="AQ683">_xlfn.IFS(AR683 &lt;= 3, "New Relationship[1-3]", AR683 &lt;= 7, "Established Relationship[4-7]", AR683 &lt;= 12, "Long Term Relationship[8-12]", AR683 &lt;= 17, "Very Long Term Relationship[13-17]")</f>
        <v>Long Term Relationship[8-12]</v>
      </c>
      <c r="AR683" s="1">
        <v>11</v>
      </c>
    </row>
    <row r="684" spans="1:44" x14ac:dyDescent="0.25">
      <c r="A684" s="1">
        <v>32</v>
      </c>
      <c r="B684" s="8" t="str" cm="1">
        <f t="array" ref="B684">_xlfn.IFS(A684 &lt;= 25, "[18-25]", A684 &lt;= 35, "[26-35]", A684 &lt;=45, "[36-45]", A684 &lt;= 60, "[46- 60]")</f>
        <v>[26-35]</v>
      </c>
      <c r="C684" s="3" t="s">
        <v>43</v>
      </c>
      <c r="D684">
        <f t="shared" si="10"/>
        <v>0</v>
      </c>
      <c r="E684" t="s">
        <v>62</v>
      </c>
      <c r="F684" s="1">
        <v>1184</v>
      </c>
      <c r="G684" s="3" t="s">
        <v>45</v>
      </c>
      <c r="H684" s="1">
        <v>1</v>
      </c>
      <c r="I684" s="9" t="str" cm="1">
        <f t="array" ref="I684">_xlfn.IFS(H684 &lt;= 2, "[1-2] very close", H684 &lt;= 10, "[3-10] close", H684 &lt;= 20, "[11-20] moderate", H684 &lt;= 30, "[21-30] far")</f>
        <v>[1-2] very close</v>
      </c>
      <c r="J684" s="1">
        <v>3</v>
      </c>
      <c r="K684" s="3" t="s">
        <v>38</v>
      </c>
      <c r="L684" s="1">
        <v>1</v>
      </c>
      <c r="M684" s="1">
        <v>951</v>
      </c>
      <c r="N684" s="1">
        <v>3</v>
      </c>
      <c r="O684" s="3" t="s">
        <v>39</v>
      </c>
      <c r="P684" s="1">
        <v>70</v>
      </c>
      <c r="Q684" s="1">
        <v>2</v>
      </c>
      <c r="R684" s="1">
        <v>1</v>
      </c>
      <c r="S684" s="3" t="s">
        <v>50</v>
      </c>
      <c r="T684" s="1">
        <v>2</v>
      </c>
      <c r="U684" s="3" t="s">
        <v>48</v>
      </c>
      <c r="V684" s="4">
        <v>2332</v>
      </c>
      <c r="W684" s="1">
        <v>3974</v>
      </c>
      <c r="X684" s="1">
        <v>6</v>
      </c>
      <c r="Y684" s="3" t="s">
        <v>42</v>
      </c>
      <c r="Z684" s="3" t="s">
        <v>43</v>
      </c>
      <c r="AA684" s="5">
        <v>0.2</v>
      </c>
      <c r="AB684" s="10" t="str" cm="1">
        <f t="array" ref="AB684">_xlfn.IFS(AA684 &lt;= 15%, "Low Hike[11-15%]", AA684 &lt;= 20%, "Moderate Hike[16-20%]", AA684 &lt;= 25%,"High Hike[21-25%]")</f>
        <v>Moderate Hike[16-20%]</v>
      </c>
      <c r="AC684" s="1">
        <v>4</v>
      </c>
      <c r="AD684" s="1">
        <v>3</v>
      </c>
      <c r="AE684" s="1">
        <v>80</v>
      </c>
      <c r="AF684" s="1">
        <v>0</v>
      </c>
      <c r="AG684" s="1">
        <v>5</v>
      </c>
      <c r="AH684" s="9" t="str" cm="1">
        <f t="array" ref="AH684">_xlfn.IFS(AG684 &lt;= 5, "New[1-5]", AG684 &lt;= 10, "Early Career[6-10]", AG684 &lt;= 20, "Established[11-20]", AG684 &lt;= 30, "Veteran[21-30]", AG684 &lt;= 40, "Late Career[31-40]")</f>
        <v>New[1-5]</v>
      </c>
      <c r="AI684" s="1">
        <v>3</v>
      </c>
      <c r="AJ684" s="1">
        <v>3</v>
      </c>
      <c r="AK684" s="1">
        <v>3</v>
      </c>
      <c r="AL684" s="9" t="str" cm="1">
        <f t="array" ref="AL684">_xlfn.IFS(AK684 &lt;= 5, "New[1-5]", AK684 &lt;= 10, "Early Career[6-10]", AK684 &lt;= 20, "Established[11-20]", AK684 &lt;= 30, "Veteran[21-30]", AK684 &lt;= 40, "Late Career[31-40]")</f>
        <v>New[1-5]</v>
      </c>
      <c r="AM684" s="1">
        <v>0</v>
      </c>
      <c r="AN684" s="9" t="str" cm="1">
        <f t="array" ref="AN684">_xlfn.IFS(AM684 &lt;= 3, "New to Role[1-3]", AM684 &lt;= 7, "Settled[4-7]", AM684 &lt;= 12, "Experienced[[8-12]", AM684 &lt;= 18, "Long Tenured[13-18]")</f>
        <v>New to Role[1-3]</v>
      </c>
      <c r="AO684" s="1">
        <v>0</v>
      </c>
      <c r="AP684" s="9" t="str" cm="1">
        <f t="array" ref="AP684">_xlfn.IFS(AO684 &lt;= 3, "Recently[1-3]", AO684 &lt;= 6, "Due Soon[4-6]", AO684 &lt;= 10, "Overdue[7-10]", AO684 &lt;= 15, "Long Overdue[11-15]")</f>
        <v>Recently[1-3]</v>
      </c>
      <c r="AQ684" s="9" t="str" cm="1">
        <f t="array" ref="AQ684">_xlfn.IFS(AR684 &lt;= 3, "New Relationship[1-3]", AR684 &lt;= 7, "Established Relationship[4-7]", AR684 &lt;= 12, "Long Term Relationship[8-12]", AR684 &lt;= 17, "Very Long Term Relationship[13-17]")</f>
        <v>New Relationship[1-3]</v>
      </c>
      <c r="AR684" s="1">
        <v>2</v>
      </c>
    </row>
    <row r="685" spans="1:44" x14ac:dyDescent="0.25">
      <c r="A685" s="1">
        <v>25</v>
      </c>
      <c r="B685" s="8" t="str" cm="1">
        <f t="array" ref="B685">_xlfn.IFS(A685 &lt;= 25, "[18-25]", A685 &lt;= 35, "[26-35]", A685 &lt;=45, "[36-45]", A685 &lt;= 60, "[46- 60]")</f>
        <v>[18-25]</v>
      </c>
      <c r="C685" s="3" t="s">
        <v>35</v>
      </c>
      <c r="D685">
        <f t="shared" si="10"/>
        <v>1</v>
      </c>
      <c r="E685" t="s">
        <v>36</v>
      </c>
      <c r="F685" s="1">
        <v>867</v>
      </c>
      <c r="G685" s="3" t="s">
        <v>37</v>
      </c>
      <c r="H685" s="1">
        <v>19</v>
      </c>
      <c r="I685" s="9" t="str" cm="1">
        <f t="array" ref="I685">_xlfn.IFS(H685 &lt;= 2, "[1-2] very close", H685 &lt;= 10, "[3-10] close", H685 &lt;= 20, "[11-20] moderate", H685 &lt;= 30, "[21-30] far")</f>
        <v>[11-20] moderate</v>
      </c>
      <c r="J685" s="1">
        <v>2</v>
      </c>
      <c r="K685" s="3" t="s">
        <v>59</v>
      </c>
      <c r="L685" s="1">
        <v>1</v>
      </c>
      <c r="M685" s="1">
        <v>952</v>
      </c>
      <c r="N685" s="1">
        <v>3</v>
      </c>
      <c r="O685" s="3" t="s">
        <v>46</v>
      </c>
      <c r="P685" s="1">
        <v>36</v>
      </c>
      <c r="Q685" s="1">
        <v>2</v>
      </c>
      <c r="R685" s="1">
        <v>1</v>
      </c>
      <c r="S685" s="3" t="s">
        <v>57</v>
      </c>
      <c r="T685" s="1">
        <v>2</v>
      </c>
      <c r="U685" s="3" t="s">
        <v>48</v>
      </c>
      <c r="V685" s="4">
        <v>2413</v>
      </c>
      <c r="W685" s="1">
        <v>18798</v>
      </c>
      <c r="X685" s="1">
        <v>1</v>
      </c>
      <c r="Y685" s="3" t="s">
        <v>42</v>
      </c>
      <c r="Z685" s="3" t="s">
        <v>35</v>
      </c>
      <c r="AA685" s="5">
        <v>0.18</v>
      </c>
      <c r="AB685" s="10" t="str" cm="1">
        <f t="array" ref="AB685">_xlfn.IFS(AA685 &lt;= 15%, "Low Hike[11-15%]", AA685 &lt;= 20%, "Moderate Hike[16-20%]", AA685 &lt;= 25%,"High Hike[21-25%]")</f>
        <v>Moderate Hike[16-20%]</v>
      </c>
      <c r="AC685" s="1">
        <v>3</v>
      </c>
      <c r="AD685" s="1">
        <v>3</v>
      </c>
      <c r="AE685" s="1">
        <v>80</v>
      </c>
      <c r="AF685" s="1">
        <v>3</v>
      </c>
      <c r="AG685" s="1">
        <v>1</v>
      </c>
      <c r="AH685" s="9" t="str" cm="1">
        <f t="array" ref="AH685">_xlfn.IFS(AG685 &lt;= 5, "New[1-5]", AG685 &lt;= 10, "Early Career[6-10]", AG685 &lt;= 20, "Established[11-20]", AG685 &lt;= 30, "Veteran[21-30]", AG685 &lt;= 40, "Late Career[31-40]")</f>
        <v>New[1-5]</v>
      </c>
      <c r="AI685" s="1">
        <v>2</v>
      </c>
      <c r="AJ685" s="1">
        <v>3</v>
      </c>
      <c r="AK685" s="1">
        <v>1</v>
      </c>
      <c r="AL685" s="9" t="str" cm="1">
        <f t="array" ref="AL685">_xlfn.IFS(AK685 &lt;= 5, "New[1-5]", AK685 &lt;= 10, "Early Career[6-10]", AK685 &lt;= 20, "Established[11-20]", AK685 &lt;= 30, "Veteran[21-30]", AK685 &lt;= 40, "Late Career[31-40]")</f>
        <v>New[1-5]</v>
      </c>
      <c r="AM685" s="1">
        <v>0</v>
      </c>
      <c r="AN685" s="9" t="str" cm="1">
        <f t="array" ref="AN685">_xlfn.IFS(AM685 &lt;= 3, "New to Role[1-3]", AM685 &lt;= 7, "Settled[4-7]", AM685 &lt;= 12, "Experienced[[8-12]", AM685 &lt;= 18, "Long Tenured[13-18]")</f>
        <v>New to Role[1-3]</v>
      </c>
      <c r="AO685" s="1">
        <v>0</v>
      </c>
      <c r="AP685" s="9" t="str" cm="1">
        <f t="array" ref="AP685">_xlfn.IFS(AO685 &lt;= 3, "Recently[1-3]", AO685 &lt;= 6, "Due Soon[4-6]", AO685 &lt;= 10, "Overdue[7-10]", AO685 &lt;= 15, "Long Overdue[11-15]")</f>
        <v>Recently[1-3]</v>
      </c>
      <c r="AQ685" s="9" t="str" cm="1">
        <f t="array" ref="AQ685">_xlfn.IFS(AR685 &lt;= 3, "New Relationship[1-3]", AR685 &lt;= 7, "Established Relationship[4-7]", AR685 &lt;= 12, "Long Term Relationship[8-12]", AR685 &lt;= 17, "Very Long Term Relationship[13-17]")</f>
        <v>New Relationship[1-3]</v>
      </c>
      <c r="AR685" s="1">
        <v>0</v>
      </c>
    </row>
    <row r="686" spans="1:44" x14ac:dyDescent="0.25">
      <c r="A686" s="1">
        <v>40</v>
      </c>
      <c r="B686" s="8" t="str" cm="1">
        <f t="array" ref="B686">_xlfn.IFS(A686 &lt;= 25, "[18-25]", A686 &lt;= 35, "[26-35]", A686 &lt;=45, "[36-45]", A686 &lt;= 60, "[46- 60]")</f>
        <v>[36-45]</v>
      </c>
      <c r="C686" s="3" t="s">
        <v>43</v>
      </c>
      <c r="D686">
        <f t="shared" si="10"/>
        <v>0</v>
      </c>
      <c r="E686" t="s">
        <v>36</v>
      </c>
      <c r="F686" s="1">
        <v>658</v>
      </c>
      <c r="G686" s="3" t="s">
        <v>37</v>
      </c>
      <c r="H686" s="1">
        <v>10</v>
      </c>
      <c r="I686" s="9" t="str" cm="1">
        <f t="array" ref="I686">_xlfn.IFS(H686 &lt;= 2, "[1-2] very close", H686 &lt;= 10, "[3-10] close", H686 &lt;= 20, "[11-20] moderate", H686 &lt;= 30, "[21-30] far")</f>
        <v>[3-10] close</v>
      </c>
      <c r="J686" s="1">
        <v>4</v>
      </c>
      <c r="K686" s="3" t="s">
        <v>59</v>
      </c>
      <c r="L686" s="1">
        <v>1</v>
      </c>
      <c r="M686" s="1">
        <v>954</v>
      </c>
      <c r="N686" s="1">
        <v>1</v>
      </c>
      <c r="O686" s="3" t="s">
        <v>46</v>
      </c>
      <c r="P686" s="1">
        <v>67</v>
      </c>
      <c r="Q686" s="1">
        <v>2</v>
      </c>
      <c r="R686" s="1">
        <v>3</v>
      </c>
      <c r="S686" s="3" t="s">
        <v>40</v>
      </c>
      <c r="T686" s="1">
        <v>2</v>
      </c>
      <c r="U686" s="3" t="s">
        <v>52</v>
      </c>
      <c r="V686" s="4">
        <v>9705</v>
      </c>
      <c r="W686" s="1">
        <v>20652</v>
      </c>
      <c r="X686" s="1">
        <v>2</v>
      </c>
      <c r="Y686" s="3" t="s">
        <v>42</v>
      </c>
      <c r="Z686" s="3" t="s">
        <v>43</v>
      </c>
      <c r="AA686" s="5">
        <v>0.12</v>
      </c>
      <c r="AB686" s="10" t="str" cm="1">
        <f t="array" ref="AB686">_xlfn.IFS(AA686 &lt;= 15%, "Low Hike[11-15%]", AA686 &lt;= 20%, "Moderate Hike[16-20%]", AA686 &lt;= 25%,"High Hike[21-25%]")</f>
        <v>Low Hike[11-15%]</v>
      </c>
      <c r="AC686" s="1">
        <v>3</v>
      </c>
      <c r="AD686" s="1">
        <v>2</v>
      </c>
      <c r="AE686" s="1">
        <v>80</v>
      </c>
      <c r="AF686" s="1">
        <v>1</v>
      </c>
      <c r="AG686" s="1">
        <v>11</v>
      </c>
      <c r="AH686" s="9" t="str" cm="1">
        <f t="array" ref="AH686">_xlfn.IFS(AG686 &lt;= 5, "New[1-5]", AG686 &lt;= 10, "Early Career[6-10]", AG686 &lt;= 20, "Established[11-20]", AG686 &lt;= 30, "Veteran[21-30]", AG686 &lt;= 40, "Late Career[31-40]")</f>
        <v>Established[11-20]</v>
      </c>
      <c r="AI686" s="1">
        <v>2</v>
      </c>
      <c r="AJ686" s="1">
        <v>2</v>
      </c>
      <c r="AK686" s="1">
        <v>1</v>
      </c>
      <c r="AL686" s="9" t="str" cm="1">
        <f t="array" ref="AL686">_xlfn.IFS(AK686 &lt;= 5, "New[1-5]", AK686 &lt;= 10, "Early Career[6-10]", AK686 &lt;= 20, "Established[11-20]", AK686 &lt;= 30, "Veteran[21-30]", AK686 &lt;= 40, "Late Career[31-40]")</f>
        <v>New[1-5]</v>
      </c>
      <c r="AM686" s="1">
        <v>0</v>
      </c>
      <c r="AN686" s="9" t="str" cm="1">
        <f t="array" ref="AN686">_xlfn.IFS(AM686 &lt;= 3, "New to Role[1-3]", AM686 &lt;= 7, "Settled[4-7]", AM686 &lt;= 12, "Experienced[[8-12]", AM686 &lt;= 18, "Long Tenured[13-18]")</f>
        <v>New to Role[1-3]</v>
      </c>
      <c r="AO686" s="1">
        <v>0</v>
      </c>
      <c r="AP686" s="9" t="str" cm="1">
        <f t="array" ref="AP686">_xlfn.IFS(AO686 &lt;= 3, "Recently[1-3]", AO686 &lt;= 6, "Due Soon[4-6]", AO686 &lt;= 10, "Overdue[7-10]", AO686 &lt;= 15, "Long Overdue[11-15]")</f>
        <v>Recently[1-3]</v>
      </c>
      <c r="AQ686" s="9" t="str" cm="1">
        <f t="array" ref="AQ686">_xlfn.IFS(AR686 &lt;= 3, "New Relationship[1-3]", AR686 &lt;= 7, "Established Relationship[4-7]", AR686 &lt;= 12, "Long Term Relationship[8-12]", AR686 &lt;= 17, "Very Long Term Relationship[13-17]")</f>
        <v>New Relationship[1-3]</v>
      </c>
      <c r="AR686" s="1">
        <v>0</v>
      </c>
    </row>
    <row r="687" spans="1:44" x14ac:dyDescent="0.25">
      <c r="A687" s="1">
        <v>26</v>
      </c>
      <c r="B687" s="8" t="str" cm="1">
        <f t="array" ref="B687">_xlfn.IFS(A687 &lt;= 25, "[18-25]", A687 &lt;= 35, "[26-35]", A687 &lt;=45, "[36-45]", A687 &lt;= 60, "[46- 60]")</f>
        <v>[26-35]</v>
      </c>
      <c r="C687" s="3" t="s">
        <v>43</v>
      </c>
      <c r="D687">
        <f t="shared" si="10"/>
        <v>0</v>
      </c>
      <c r="E687" t="s">
        <v>44</v>
      </c>
      <c r="F687" s="1">
        <v>1283</v>
      </c>
      <c r="G687" s="3" t="s">
        <v>37</v>
      </c>
      <c r="H687" s="1">
        <v>1</v>
      </c>
      <c r="I687" s="9" t="str" cm="1">
        <f t="array" ref="I687">_xlfn.IFS(H687 &lt;= 2, "[1-2] very close", H687 &lt;= 10, "[3-10] close", H687 &lt;= 20, "[11-20] moderate", H687 &lt;= 30, "[21-30] far")</f>
        <v>[1-2] very close</v>
      </c>
      <c r="J687" s="1">
        <v>3</v>
      </c>
      <c r="K687" s="3" t="s">
        <v>51</v>
      </c>
      <c r="L687" s="1">
        <v>1</v>
      </c>
      <c r="M687" s="1">
        <v>956</v>
      </c>
      <c r="N687" s="1">
        <v>3</v>
      </c>
      <c r="O687" s="3" t="s">
        <v>46</v>
      </c>
      <c r="P687" s="1">
        <v>52</v>
      </c>
      <c r="Q687" s="1">
        <v>2</v>
      </c>
      <c r="R687" s="1">
        <v>2</v>
      </c>
      <c r="S687" s="3" t="s">
        <v>40</v>
      </c>
      <c r="T687" s="1">
        <v>1</v>
      </c>
      <c r="U687" s="3" t="s">
        <v>41</v>
      </c>
      <c r="V687" s="4">
        <v>4294</v>
      </c>
      <c r="W687" s="1">
        <v>11148</v>
      </c>
      <c r="X687" s="1">
        <v>1</v>
      </c>
      <c r="Y687" s="3" t="s">
        <v>42</v>
      </c>
      <c r="Z687" s="3" t="s">
        <v>43</v>
      </c>
      <c r="AA687" s="5">
        <v>0.12</v>
      </c>
      <c r="AB687" s="10" t="str" cm="1">
        <f t="array" ref="AB687">_xlfn.IFS(AA687 &lt;= 15%, "Low Hike[11-15%]", AA687 &lt;= 20%, "Moderate Hike[16-20%]", AA687 &lt;= 25%,"High Hike[21-25%]")</f>
        <v>Low Hike[11-15%]</v>
      </c>
      <c r="AC687" s="1">
        <v>3</v>
      </c>
      <c r="AD687" s="1">
        <v>2</v>
      </c>
      <c r="AE687" s="1">
        <v>80</v>
      </c>
      <c r="AF687" s="1">
        <v>0</v>
      </c>
      <c r="AG687" s="1">
        <v>7</v>
      </c>
      <c r="AH687" s="9" t="str" cm="1">
        <f t="array" ref="AH687">_xlfn.IFS(AG687 &lt;= 5, "New[1-5]", AG687 &lt;= 10, "Early Career[6-10]", AG687 &lt;= 20, "Established[11-20]", AG687 &lt;= 30, "Veteran[21-30]", AG687 &lt;= 40, "Late Career[31-40]")</f>
        <v>Early Career[6-10]</v>
      </c>
      <c r="AI687" s="1">
        <v>2</v>
      </c>
      <c r="AJ687" s="1">
        <v>3</v>
      </c>
      <c r="AK687" s="1">
        <v>7</v>
      </c>
      <c r="AL687" s="9" t="str" cm="1">
        <f t="array" ref="AL687">_xlfn.IFS(AK687 &lt;= 5, "New[1-5]", AK687 &lt;= 10, "Early Career[6-10]", AK687 &lt;= 20, "Established[11-20]", AK687 &lt;= 30, "Veteran[21-30]", AK687 &lt;= 40, "Late Career[31-40]")</f>
        <v>Early Career[6-10]</v>
      </c>
      <c r="AM687" s="1">
        <v>7</v>
      </c>
      <c r="AN687" s="9" t="str" cm="1">
        <f t="array" ref="AN687">_xlfn.IFS(AM687 &lt;= 3, "New to Role[1-3]", AM687 &lt;= 7, "Settled[4-7]", AM687 &lt;= 12, "Experienced[[8-12]", AM687 &lt;= 18, "Long Tenured[13-18]")</f>
        <v>Settled[4-7]</v>
      </c>
      <c r="AO687" s="1">
        <v>0</v>
      </c>
      <c r="AP687" s="9" t="str" cm="1">
        <f t="array" ref="AP687">_xlfn.IFS(AO687 &lt;= 3, "Recently[1-3]", AO687 &lt;= 6, "Due Soon[4-6]", AO687 &lt;= 10, "Overdue[7-10]", AO687 &lt;= 15, "Long Overdue[11-15]")</f>
        <v>Recently[1-3]</v>
      </c>
      <c r="AQ687" s="9" t="str" cm="1">
        <f t="array" ref="AQ687">_xlfn.IFS(AR687 &lt;= 3, "New Relationship[1-3]", AR687 &lt;= 7, "Established Relationship[4-7]", AR687 &lt;= 12, "Long Term Relationship[8-12]", AR687 &lt;= 17, "Very Long Term Relationship[13-17]")</f>
        <v>Established Relationship[4-7]</v>
      </c>
      <c r="AR687" s="1">
        <v>7</v>
      </c>
    </row>
    <row r="688" spans="1:44" x14ac:dyDescent="0.25">
      <c r="A688" s="1">
        <v>41</v>
      </c>
      <c r="B688" s="8" t="str" cm="1">
        <f t="array" ref="B688">_xlfn.IFS(A688 &lt;= 25, "[18-25]", A688 &lt;= 35, "[26-35]", A688 &lt;=45, "[36-45]", A688 &lt;= 60, "[46- 60]")</f>
        <v>[36-45]</v>
      </c>
      <c r="C688" s="3" t="s">
        <v>43</v>
      </c>
      <c r="D688">
        <f t="shared" si="10"/>
        <v>0</v>
      </c>
      <c r="E688" t="s">
        <v>36</v>
      </c>
      <c r="F688" s="1">
        <v>263</v>
      </c>
      <c r="G688" s="3" t="s">
        <v>45</v>
      </c>
      <c r="H688" s="1">
        <v>6</v>
      </c>
      <c r="I688" s="9" t="str" cm="1">
        <f t="array" ref="I688">_xlfn.IFS(H688 &lt;= 2, "[1-2] very close", H688 &lt;= 10, "[3-10] close", H688 &lt;= 20, "[11-20] moderate", H688 &lt;= 30, "[21-30] far")</f>
        <v>[3-10] close</v>
      </c>
      <c r="J688" s="1">
        <v>3</v>
      </c>
      <c r="K688" s="3" t="s">
        <v>51</v>
      </c>
      <c r="L688" s="1">
        <v>1</v>
      </c>
      <c r="M688" s="1">
        <v>957</v>
      </c>
      <c r="N688" s="1">
        <v>4</v>
      </c>
      <c r="O688" s="3" t="s">
        <v>46</v>
      </c>
      <c r="P688" s="1">
        <v>59</v>
      </c>
      <c r="Q688" s="1">
        <v>3</v>
      </c>
      <c r="R688" s="1">
        <v>1</v>
      </c>
      <c r="S688" s="3" t="s">
        <v>50</v>
      </c>
      <c r="T688" s="1">
        <v>1</v>
      </c>
      <c r="U688" s="3" t="s">
        <v>41</v>
      </c>
      <c r="V688" s="4">
        <v>4721</v>
      </c>
      <c r="W688" s="1">
        <v>3119</v>
      </c>
      <c r="X688" s="1">
        <v>2</v>
      </c>
      <c r="Y688" s="3" t="s">
        <v>42</v>
      </c>
      <c r="Z688" s="3" t="s">
        <v>35</v>
      </c>
      <c r="AA688" s="5">
        <v>0.13</v>
      </c>
      <c r="AB688" s="10" t="str" cm="1">
        <f t="array" ref="AB688">_xlfn.IFS(AA688 &lt;= 15%, "Low Hike[11-15%]", AA688 &lt;= 20%, "Moderate Hike[16-20%]", AA688 &lt;= 25%,"High Hike[21-25%]")</f>
        <v>Low Hike[11-15%]</v>
      </c>
      <c r="AC688" s="1">
        <v>3</v>
      </c>
      <c r="AD688" s="1">
        <v>3</v>
      </c>
      <c r="AE688" s="1">
        <v>80</v>
      </c>
      <c r="AF688" s="1">
        <v>0</v>
      </c>
      <c r="AG688" s="1">
        <v>20</v>
      </c>
      <c r="AH688" s="9" t="str" cm="1">
        <f t="array" ref="AH688">_xlfn.IFS(AG688 &lt;= 5, "New[1-5]", AG688 &lt;= 10, "Early Career[6-10]", AG688 &lt;= 20, "Established[11-20]", AG688 &lt;= 30, "Veteran[21-30]", AG688 &lt;= 40, "Late Career[31-40]")</f>
        <v>Established[11-20]</v>
      </c>
      <c r="AI688" s="1">
        <v>3</v>
      </c>
      <c r="AJ688" s="1">
        <v>3</v>
      </c>
      <c r="AK688" s="1">
        <v>18</v>
      </c>
      <c r="AL688" s="9" t="str" cm="1">
        <f t="array" ref="AL688">_xlfn.IFS(AK688 &lt;= 5, "New[1-5]", AK688 &lt;= 10, "Early Career[6-10]", AK688 &lt;= 20, "Established[11-20]", AK688 &lt;= 30, "Veteran[21-30]", AK688 &lt;= 40, "Late Career[31-40]")</f>
        <v>Established[11-20]</v>
      </c>
      <c r="AM688" s="1">
        <v>13</v>
      </c>
      <c r="AN688" s="9" t="str" cm="1">
        <f t="array" ref="AN688">_xlfn.IFS(AM688 &lt;= 3, "New to Role[1-3]", AM688 &lt;= 7, "Settled[4-7]", AM688 &lt;= 12, "Experienced[[8-12]", AM688 &lt;= 18, "Long Tenured[13-18]")</f>
        <v>Long Tenured[13-18]</v>
      </c>
      <c r="AO688" s="1">
        <v>2</v>
      </c>
      <c r="AP688" s="9" t="str" cm="1">
        <f t="array" ref="AP688">_xlfn.IFS(AO688 &lt;= 3, "Recently[1-3]", AO688 &lt;= 6, "Due Soon[4-6]", AO688 &lt;= 10, "Overdue[7-10]", AO688 &lt;= 15, "Long Overdue[11-15]")</f>
        <v>Recently[1-3]</v>
      </c>
      <c r="AQ688" s="9" t="str" cm="1">
        <f t="array" ref="AQ688">_xlfn.IFS(AR688 &lt;= 3, "New Relationship[1-3]", AR688 &lt;= 7, "Established Relationship[4-7]", AR688 &lt;= 12, "Long Term Relationship[8-12]", AR688 &lt;= 17, "Very Long Term Relationship[13-17]")</f>
        <v>Very Long Term Relationship[13-17]</v>
      </c>
      <c r="AR688" s="1">
        <v>17</v>
      </c>
    </row>
    <row r="689" spans="1:44" x14ac:dyDescent="0.25">
      <c r="A689" s="1">
        <v>36</v>
      </c>
      <c r="B689" s="8" t="str" cm="1">
        <f t="array" ref="B689">_xlfn.IFS(A689 &lt;= 25, "[18-25]", A689 &lt;= 35, "[26-35]", A689 &lt;=45, "[36-45]", A689 &lt;= 60, "[46- 60]")</f>
        <v>[36-45]</v>
      </c>
      <c r="C689" s="3" t="s">
        <v>43</v>
      </c>
      <c r="D689">
        <f t="shared" si="10"/>
        <v>0</v>
      </c>
      <c r="E689" t="s">
        <v>36</v>
      </c>
      <c r="F689" s="1">
        <v>938</v>
      </c>
      <c r="G689" s="3" t="s">
        <v>45</v>
      </c>
      <c r="H689" s="1">
        <v>2</v>
      </c>
      <c r="I689" s="9" t="str" cm="1">
        <f t="array" ref="I689">_xlfn.IFS(H689 &lt;= 2, "[1-2] very close", H689 &lt;= 10, "[3-10] close", H689 &lt;= 20, "[11-20] moderate", H689 &lt;= 30, "[21-30] far")</f>
        <v>[1-2] very close</v>
      </c>
      <c r="J689" s="1">
        <v>4</v>
      </c>
      <c r="K689" s="3" t="s">
        <v>51</v>
      </c>
      <c r="L689" s="1">
        <v>1</v>
      </c>
      <c r="M689" s="1">
        <v>958</v>
      </c>
      <c r="N689" s="1">
        <v>3</v>
      </c>
      <c r="O689" s="3" t="s">
        <v>46</v>
      </c>
      <c r="P689" s="1">
        <v>79</v>
      </c>
      <c r="Q689" s="1">
        <v>3</v>
      </c>
      <c r="R689" s="1">
        <v>1</v>
      </c>
      <c r="S689" s="3" t="s">
        <v>50</v>
      </c>
      <c r="T689" s="1">
        <v>3</v>
      </c>
      <c r="U689" s="3" t="s">
        <v>41</v>
      </c>
      <c r="V689" s="4">
        <v>2519</v>
      </c>
      <c r="W689" s="1">
        <v>12287</v>
      </c>
      <c r="X689" s="1">
        <v>4</v>
      </c>
      <c r="Y689" s="3" t="s">
        <v>42</v>
      </c>
      <c r="Z689" s="3" t="s">
        <v>43</v>
      </c>
      <c r="AA689" s="5">
        <v>0.21</v>
      </c>
      <c r="AB689" s="10" t="str" cm="1">
        <f t="array" ref="AB689">_xlfn.IFS(AA689 &lt;= 15%, "Low Hike[11-15%]", AA689 &lt;= 20%, "Moderate Hike[16-20%]", AA689 &lt;= 25%,"High Hike[21-25%]")</f>
        <v>High Hike[21-25%]</v>
      </c>
      <c r="AC689" s="1">
        <v>4</v>
      </c>
      <c r="AD689" s="1">
        <v>3</v>
      </c>
      <c r="AE689" s="1">
        <v>80</v>
      </c>
      <c r="AF689" s="1">
        <v>0</v>
      </c>
      <c r="AG689" s="1">
        <v>16</v>
      </c>
      <c r="AH689" s="9" t="str" cm="1">
        <f t="array" ref="AH689">_xlfn.IFS(AG689 &lt;= 5, "New[1-5]", AG689 &lt;= 10, "Early Career[6-10]", AG689 &lt;= 20, "Established[11-20]", AG689 &lt;= 30, "Veteran[21-30]", AG689 &lt;= 40, "Late Career[31-40]")</f>
        <v>Established[11-20]</v>
      </c>
      <c r="AI689" s="1">
        <v>6</v>
      </c>
      <c r="AJ689" s="1">
        <v>3</v>
      </c>
      <c r="AK689" s="1">
        <v>11</v>
      </c>
      <c r="AL689" s="9" t="str" cm="1">
        <f t="array" ref="AL689">_xlfn.IFS(AK689 &lt;= 5, "New[1-5]", AK689 &lt;= 10, "Early Career[6-10]", AK689 &lt;= 20, "Established[11-20]", AK689 &lt;= 30, "Veteran[21-30]", AK689 &lt;= 40, "Late Career[31-40]")</f>
        <v>Established[11-20]</v>
      </c>
      <c r="AM689" s="1">
        <v>8</v>
      </c>
      <c r="AN689" s="9" t="str" cm="1">
        <f t="array" ref="AN689">_xlfn.IFS(AM689 &lt;= 3, "New to Role[1-3]", AM689 &lt;= 7, "Settled[4-7]", AM689 &lt;= 12, "Experienced[[8-12]", AM689 &lt;= 18, "Long Tenured[13-18]")</f>
        <v>Experienced[[8-12]</v>
      </c>
      <c r="AO689" s="1">
        <v>3</v>
      </c>
      <c r="AP689" s="9" t="str" cm="1">
        <f t="array" ref="AP689">_xlfn.IFS(AO689 &lt;= 3, "Recently[1-3]", AO689 &lt;= 6, "Due Soon[4-6]", AO689 &lt;= 10, "Overdue[7-10]", AO689 &lt;= 15, "Long Overdue[11-15]")</f>
        <v>Recently[1-3]</v>
      </c>
      <c r="AQ689" s="9" t="str" cm="1">
        <f t="array" ref="AQ689">_xlfn.IFS(AR689 &lt;= 3, "New Relationship[1-3]", AR689 &lt;= 7, "Established Relationship[4-7]", AR689 &lt;= 12, "Long Term Relationship[8-12]", AR689 &lt;= 17, "Very Long Term Relationship[13-17]")</f>
        <v>Long Term Relationship[8-12]</v>
      </c>
      <c r="AR689" s="1">
        <v>9</v>
      </c>
    </row>
    <row r="690" spans="1:44" x14ac:dyDescent="0.25">
      <c r="A690" s="1">
        <v>19</v>
      </c>
      <c r="B690" s="8" t="str" cm="1">
        <f t="array" ref="B690">_xlfn.IFS(A690 &lt;= 25, "[18-25]", A690 &lt;= 35, "[26-35]", A690 &lt;=45, "[36-45]", A690 &lt;= 60, "[46- 60]")</f>
        <v>[18-25]</v>
      </c>
      <c r="C690" s="3" t="s">
        <v>35</v>
      </c>
      <c r="D690">
        <f t="shared" si="10"/>
        <v>1</v>
      </c>
      <c r="E690" t="s">
        <v>36</v>
      </c>
      <c r="F690" s="1">
        <v>419</v>
      </c>
      <c r="G690" s="3" t="s">
        <v>37</v>
      </c>
      <c r="H690" s="1">
        <v>21</v>
      </c>
      <c r="I690" s="9" t="str" cm="1">
        <f t="array" ref="I690">_xlfn.IFS(H690 &lt;= 2, "[1-2] very close", H690 &lt;= 10, "[3-10] close", H690 &lt;= 20, "[11-20] moderate", H690 &lt;= 30, "[21-30] far")</f>
        <v>[21-30] far</v>
      </c>
      <c r="J690" s="1">
        <v>3</v>
      </c>
      <c r="K690" s="3" t="s">
        <v>49</v>
      </c>
      <c r="L690" s="1">
        <v>1</v>
      </c>
      <c r="M690" s="1">
        <v>959</v>
      </c>
      <c r="N690" s="1">
        <v>4</v>
      </c>
      <c r="O690" s="3" t="s">
        <v>46</v>
      </c>
      <c r="P690" s="1">
        <v>37</v>
      </c>
      <c r="Q690" s="1">
        <v>2</v>
      </c>
      <c r="R690" s="1">
        <v>1</v>
      </c>
      <c r="S690" s="3" t="s">
        <v>57</v>
      </c>
      <c r="T690" s="1">
        <v>2</v>
      </c>
      <c r="U690" s="3" t="s">
        <v>41</v>
      </c>
      <c r="V690" s="4">
        <v>2121</v>
      </c>
      <c r="W690" s="1">
        <v>9947</v>
      </c>
      <c r="X690" s="1">
        <v>1</v>
      </c>
      <c r="Y690" s="3" t="s">
        <v>42</v>
      </c>
      <c r="Z690" s="3" t="s">
        <v>35</v>
      </c>
      <c r="AA690" s="5">
        <v>0.13</v>
      </c>
      <c r="AB690" s="10" t="str" cm="1">
        <f t="array" ref="AB690">_xlfn.IFS(AA690 &lt;= 15%, "Low Hike[11-15%]", AA690 &lt;= 20%, "Moderate Hike[16-20%]", AA690 &lt;= 25%,"High Hike[21-25%]")</f>
        <v>Low Hike[11-15%]</v>
      </c>
      <c r="AC690" s="1">
        <v>3</v>
      </c>
      <c r="AD690" s="1">
        <v>2</v>
      </c>
      <c r="AE690" s="1">
        <v>80</v>
      </c>
      <c r="AF690" s="1">
        <v>0</v>
      </c>
      <c r="AG690" s="1">
        <v>1</v>
      </c>
      <c r="AH690" s="9" t="str" cm="1">
        <f t="array" ref="AH690">_xlfn.IFS(AG690 &lt;= 5, "New[1-5]", AG690 &lt;= 10, "Early Career[6-10]", AG690 &lt;= 20, "Established[11-20]", AG690 &lt;= 30, "Veteran[21-30]", AG690 &lt;= 40, "Late Career[31-40]")</f>
        <v>New[1-5]</v>
      </c>
      <c r="AI690" s="1">
        <v>3</v>
      </c>
      <c r="AJ690" s="1">
        <v>4</v>
      </c>
      <c r="AK690" s="1">
        <v>1</v>
      </c>
      <c r="AL690" s="9" t="str" cm="1">
        <f t="array" ref="AL690">_xlfn.IFS(AK690 &lt;= 5, "New[1-5]", AK690 &lt;= 10, "Early Career[6-10]", AK690 &lt;= 20, "Established[11-20]", AK690 &lt;= 30, "Veteran[21-30]", AK690 &lt;= 40, "Late Career[31-40]")</f>
        <v>New[1-5]</v>
      </c>
      <c r="AM690" s="1">
        <v>0</v>
      </c>
      <c r="AN690" s="9" t="str" cm="1">
        <f t="array" ref="AN690">_xlfn.IFS(AM690 &lt;= 3, "New to Role[1-3]", AM690 &lt;= 7, "Settled[4-7]", AM690 &lt;= 12, "Experienced[[8-12]", AM690 &lt;= 18, "Long Tenured[13-18]")</f>
        <v>New to Role[1-3]</v>
      </c>
      <c r="AO690" s="1">
        <v>0</v>
      </c>
      <c r="AP690" s="9" t="str" cm="1">
        <f t="array" ref="AP690">_xlfn.IFS(AO690 &lt;= 3, "Recently[1-3]", AO690 &lt;= 6, "Due Soon[4-6]", AO690 &lt;= 10, "Overdue[7-10]", AO690 &lt;= 15, "Long Overdue[11-15]")</f>
        <v>Recently[1-3]</v>
      </c>
      <c r="AQ690" s="9" t="str" cm="1">
        <f t="array" ref="AQ690">_xlfn.IFS(AR690 &lt;= 3, "New Relationship[1-3]", AR690 &lt;= 7, "Established Relationship[4-7]", AR690 &lt;= 12, "Long Term Relationship[8-12]", AR690 &lt;= 17, "Very Long Term Relationship[13-17]")</f>
        <v>New Relationship[1-3]</v>
      </c>
      <c r="AR690" s="1">
        <v>0</v>
      </c>
    </row>
    <row r="691" spans="1:44" x14ac:dyDescent="0.25">
      <c r="A691" s="1">
        <v>20</v>
      </c>
      <c r="B691" s="8" t="str" cm="1">
        <f t="array" ref="B691">_xlfn.IFS(A691 &lt;= 25, "[18-25]", A691 &lt;= 35, "[26-35]", A691 &lt;=45, "[36-45]", A691 &lt;= 60, "[46- 60]")</f>
        <v>[18-25]</v>
      </c>
      <c r="C691" s="3" t="s">
        <v>35</v>
      </c>
      <c r="D691">
        <f t="shared" si="10"/>
        <v>1</v>
      </c>
      <c r="E691" t="s">
        <v>36</v>
      </c>
      <c r="F691" s="1">
        <v>129</v>
      </c>
      <c r="G691" s="3" t="s">
        <v>45</v>
      </c>
      <c r="H691" s="1">
        <v>4</v>
      </c>
      <c r="I691" s="9" t="str" cm="1">
        <f t="array" ref="I691">_xlfn.IFS(H691 &lt;= 2, "[1-2] very close", H691 &lt;= 10, "[3-10] close", H691 &lt;= 20, "[11-20] moderate", H691 &lt;= 30, "[21-30] far")</f>
        <v>[3-10] close</v>
      </c>
      <c r="J691" s="1">
        <v>3</v>
      </c>
      <c r="K691" s="3" t="s">
        <v>60</v>
      </c>
      <c r="L691" s="1">
        <v>1</v>
      </c>
      <c r="M691" s="1">
        <v>960</v>
      </c>
      <c r="N691" s="1">
        <v>1</v>
      </c>
      <c r="O691" s="3" t="s">
        <v>46</v>
      </c>
      <c r="P691" s="1">
        <v>84</v>
      </c>
      <c r="Q691" s="1">
        <v>3</v>
      </c>
      <c r="R691" s="1">
        <v>1</v>
      </c>
      <c r="S691" s="3" t="s">
        <v>50</v>
      </c>
      <c r="T691" s="1">
        <v>1</v>
      </c>
      <c r="U691" s="3" t="s">
        <v>41</v>
      </c>
      <c r="V691" s="4">
        <v>2973</v>
      </c>
      <c r="W691" s="1">
        <v>13008</v>
      </c>
      <c r="X691" s="1">
        <v>1</v>
      </c>
      <c r="Y691" s="3" t="s">
        <v>42</v>
      </c>
      <c r="Z691" s="3" t="s">
        <v>43</v>
      </c>
      <c r="AA691" s="5">
        <v>0.19</v>
      </c>
      <c r="AB691" s="10" t="str" cm="1">
        <f t="array" ref="AB691">_xlfn.IFS(AA691 &lt;= 15%, "Low Hike[11-15%]", AA691 &lt;= 20%, "Moderate Hike[16-20%]", AA691 &lt;= 25%,"High Hike[21-25%]")</f>
        <v>Moderate Hike[16-20%]</v>
      </c>
      <c r="AC691" s="1">
        <v>3</v>
      </c>
      <c r="AD691" s="1">
        <v>2</v>
      </c>
      <c r="AE691" s="1">
        <v>80</v>
      </c>
      <c r="AF691" s="1">
        <v>0</v>
      </c>
      <c r="AG691" s="1">
        <v>1</v>
      </c>
      <c r="AH691" s="9" t="str" cm="1">
        <f t="array" ref="AH691">_xlfn.IFS(AG691 &lt;= 5, "New[1-5]", AG691 &lt;= 10, "Early Career[6-10]", AG691 &lt;= 20, "Established[11-20]", AG691 &lt;= 30, "Veteran[21-30]", AG691 &lt;= 40, "Late Career[31-40]")</f>
        <v>New[1-5]</v>
      </c>
      <c r="AI691" s="1">
        <v>2</v>
      </c>
      <c r="AJ691" s="1">
        <v>3</v>
      </c>
      <c r="AK691" s="1">
        <v>1</v>
      </c>
      <c r="AL691" s="9" t="str" cm="1">
        <f t="array" ref="AL691">_xlfn.IFS(AK691 &lt;= 5, "New[1-5]", AK691 &lt;= 10, "Early Career[6-10]", AK691 &lt;= 20, "Established[11-20]", AK691 &lt;= 30, "Veteran[21-30]", AK691 &lt;= 40, "Late Career[31-40]")</f>
        <v>New[1-5]</v>
      </c>
      <c r="AM691" s="1">
        <v>0</v>
      </c>
      <c r="AN691" s="9" t="str" cm="1">
        <f t="array" ref="AN691">_xlfn.IFS(AM691 &lt;= 3, "New to Role[1-3]", AM691 &lt;= 7, "Settled[4-7]", AM691 &lt;= 12, "Experienced[[8-12]", AM691 &lt;= 18, "Long Tenured[13-18]")</f>
        <v>New to Role[1-3]</v>
      </c>
      <c r="AO691" s="1">
        <v>0</v>
      </c>
      <c r="AP691" s="9" t="str" cm="1">
        <f t="array" ref="AP691">_xlfn.IFS(AO691 &lt;= 3, "Recently[1-3]", AO691 &lt;= 6, "Due Soon[4-6]", AO691 &lt;= 10, "Overdue[7-10]", AO691 &lt;= 15, "Long Overdue[11-15]")</f>
        <v>Recently[1-3]</v>
      </c>
      <c r="AQ691" s="9" t="str" cm="1">
        <f t="array" ref="AQ691">_xlfn.IFS(AR691 &lt;= 3, "New Relationship[1-3]", AR691 &lt;= 7, "Established Relationship[4-7]", AR691 &lt;= 12, "Long Term Relationship[8-12]", AR691 &lt;= 17, "Very Long Term Relationship[13-17]")</f>
        <v>New Relationship[1-3]</v>
      </c>
      <c r="AR691" s="1">
        <v>0</v>
      </c>
    </row>
    <row r="692" spans="1:44" x14ac:dyDescent="0.25">
      <c r="A692" s="1">
        <v>31</v>
      </c>
      <c r="B692" s="8" t="str" cm="1">
        <f t="array" ref="B692">_xlfn.IFS(A692 &lt;= 25, "[18-25]", A692 &lt;= 35, "[26-35]", A692 &lt;=45, "[36-45]", A692 &lt;= 60, "[46- 60]")</f>
        <v>[26-35]</v>
      </c>
      <c r="C692" s="3" t="s">
        <v>43</v>
      </c>
      <c r="D692">
        <f t="shared" si="10"/>
        <v>0</v>
      </c>
      <c r="E692" t="s">
        <v>36</v>
      </c>
      <c r="F692" s="1">
        <v>616</v>
      </c>
      <c r="G692" s="3" t="s">
        <v>45</v>
      </c>
      <c r="H692" s="1">
        <v>12</v>
      </c>
      <c r="I692" s="9" t="str" cm="1">
        <f t="array" ref="I692">_xlfn.IFS(H692 &lt;= 2, "[1-2] very close", H692 &lt;= 10, "[3-10] close", H692 &lt;= 20, "[11-20] moderate", H692 &lt;= 30, "[21-30] far")</f>
        <v>[11-20] moderate</v>
      </c>
      <c r="J692" s="1">
        <v>3</v>
      </c>
      <c r="K692" s="3" t="s">
        <v>51</v>
      </c>
      <c r="L692" s="1">
        <v>1</v>
      </c>
      <c r="M692" s="1">
        <v>961</v>
      </c>
      <c r="N692" s="1">
        <v>4</v>
      </c>
      <c r="O692" s="3" t="s">
        <v>39</v>
      </c>
      <c r="P692" s="1">
        <v>41</v>
      </c>
      <c r="Q692" s="1">
        <v>3</v>
      </c>
      <c r="R692" s="1">
        <v>2</v>
      </c>
      <c r="S692" s="3" t="s">
        <v>54</v>
      </c>
      <c r="T692" s="1">
        <v>4</v>
      </c>
      <c r="U692" s="3" t="s">
        <v>48</v>
      </c>
      <c r="V692" s="4">
        <v>5855</v>
      </c>
      <c r="W692" s="1">
        <v>17369</v>
      </c>
      <c r="X692" s="1">
        <v>0</v>
      </c>
      <c r="Y692" s="3" t="s">
        <v>42</v>
      </c>
      <c r="Z692" s="3" t="s">
        <v>35</v>
      </c>
      <c r="AA692" s="5">
        <v>0.11</v>
      </c>
      <c r="AB692" s="10" t="str" cm="1">
        <f t="array" ref="AB692">_xlfn.IFS(AA692 &lt;= 15%, "Low Hike[11-15%]", AA692 &lt;= 20%, "Moderate Hike[16-20%]", AA692 &lt;= 25%,"High Hike[21-25%]")</f>
        <v>Low Hike[11-15%]</v>
      </c>
      <c r="AC692" s="1">
        <v>3</v>
      </c>
      <c r="AD692" s="1">
        <v>3</v>
      </c>
      <c r="AE692" s="1">
        <v>80</v>
      </c>
      <c r="AF692" s="1">
        <v>2</v>
      </c>
      <c r="AG692" s="1">
        <v>10</v>
      </c>
      <c r="AH692" s="9" t="str" cm="1">
        <f t="array" ref="AH692">_xlfn.IFS(AG692 &lt;= 5, "New[1-5]", AG692 &lt;= 10, "Early Career[6-10]", AG692 &lt;= 20, "Established[11-20]", AG692 &lt;= 30, "Veteran[21-30]", AG692 &lt;= 40, "Late Career[31-40]")</f>
        <v>Early Career[6-10]</v>
      </c>
      <c r="AI692" s="1">
        <v>2</v>
      </c>
      <c r="AJ692" s="1">
        <v>1</v>
      </c>
      <c r="AK692" s="1">
        <v>9</v>
      </c>
      <c r="AL692" s="9" t="str" cm="1">
        <f t="array" ref="AL692">_xlfn.IFS(AK692 &lt;= 5, "New[1-5]", AK692 &lt;= 10, "Early Career[6-10]", AK692 &lt;= 20, "Established[11-20]", AK692 &lt;= 30, "Veteran[21-30]", AK692 &lt;= 40, "Late Career[31-40]")</f>
        <v>Early Career[6-10]</v>
      </c>
      <c r="AM692" s="1">
        <v>7</v>
      </c>
      <c r="AN692" s="9" t="str" cm="1">
        <f t="array" ref="AN692">_xlfn.IFS(AM692 &lt;= 3, "New to Role[1-3]", AM692 &lt;= 7, "Settled[4-7]", AM692 &lt;= 12, "Experienced[[8-12]", AM692 &lt;= 18, "Long Tenured[13-18]")</f>
        <v>Settled[4-7]</v>
      </c>
      <c r="AO692" s="1">
        <v>8</v>
      </c>
      <c r="AP692" s="9" t="str" cm="1">
        <f t="array" ref="AP692">_xlfn.IFS(AO692 &lt;= 3, "Recently[1-3]", AO692 &lt;= 6, "Due Soon[4-6]", AO692 &lt;= 10, "Overdue[7-10]", AO692 &lt;= 15, "Long Overdue[11-15]")</f>
        <v>Overdue[7-10]</v>
      </c>
      <c r="AQ692" s="9" t="str" cm="1">
        <f t="array" ref="AQ692">_xlfn.IFS(AR692 &lt;= 3, "New Relationship[1-3]", AR692 &lt;= 7, "Established Relationship[4-7]", AR692 &lt;= 12, "Long Term Relationship[8-12]", AR692 &lt;= 17, "Very Long Term Relationship[13-17]")</f>
        <v>Established Relationship[4-7]</v>
      </c>
      <c r="AR692" s="1">
        <v>5</v>
      </c>
    </row>
    <row r="693" spans="1:44" x14ac:dyDescent="0.25">
      <c r="A693" s="1">
        <v>40</v>
      </c>
      <c r="B693" s="8" t="str" cm="1">
        <f t="array" ref="B693">_xlfn.IFS(A693 &lt;= 25, "[18-25]", A693 &lt;= 35, "[26-35]", A693 &lt;=45, "[36-45]", A693 &lt;= 60, "[46- 60]")</f>
        <v>[36-45]</v>
      </c>
      <c r="C693" s="3" t="s">
        <v>43</v>
      </c>
      <c r="D693">
        <f t="shared" si="10"/>
        <v>0</v>
      </c>
      <c r="E693" t="s">
        <v>44</v>
      </c>
      <c r="F693" s="1">
        <v>1469</v>
      </c>
      <c r="G693" s="3" t="s">
        <v>45</v>
      </c>
      <c r="H693" s="1">
        <v>9</v>
      </c>
      <c r="I693" s="9" t="str" cm="1">
        <f t="array" ref="I693">_xlfn.IFS(H693 &lt;= 2, "[1-2] very close", H693 &lt;= 10, "[3-10] close", H693 &lt;= 20, "[11-20] moderate", H693 &lt;= 30, "[21-30] far")</f>
        <v>[3-10] close</v>
      </c>
      <c r="J693" s="1">
        <v>4</v>
      </c>
      <c r="K693" s="3" t="s">
        <v>51</v>
      </c>
      <c r="L693" s="1">
        <v>1</v>
      </c>
      <c r="M693" s="1">
        <v>964</v>
      </c>
      <c r="N693" s="1">
        <v>4</v>
      </c>
      <c r="O693" s="3" t="s">
        <v>46</v>
      </c>
      <c r="P693" s="1">
        <v>35</v>
      </c>
      <c r="Q693" s="1">
        <v>3</v>
      </c>
      <c r="R693" s="1">
        <v>1</v>
      </c>
      <c r="S693" s="3" t="s">
        <v>47</v>
      </c>
      <c r="T693" s="1">
        <v>2</v>
      </c>
      <c r="U693" s="3" t="s">
        <v>52</v>
      </c>
      <c r="V693" s="4">
        <v>3617</v>
      </c>
      <c r="W693" s="1">
        <v>25063</v>
      </c>
      <c r="X693" s="1">
        <v>8</v>
      </c>
      <c r="Y693" s="3" t="s">
        <v>42</v>
      </c>
      <c r="Z693" s="3" t="s">
        <v>35</v>
      </c>
      <c r="AA693" s="5">
        <v>0.14000000000000001</v>
      </c>
      <c r="AB693" s="10" t="str" cm="1">
        <f t="array" ref="AB693">_xlfn.IFS(AA693 &lt;= 15%, "Low Hike[11-15%]", AA693 &lt;= 20%, "Moderate Hike[16-20%]", AA693 &lt;= 25%,"High Hike[21-25%]")</f>
        <v>Low Hike[11-15%]</v>
      </c>
      <c r="AC693" s="1">
        <v>3</v>
      </c>
      <c r="AD693" s="1">
        <v>4</v>
      </c>
      <c r="AE693" s="1">
        <v>80</v>
      </c>
      <c r="AF693" s="1">
        <v>1</v>
      </c>
      <c r="AG693" s="1">
        <v>3</v>
      </c>
      <c r="AH693" s="9" t="str" cm="1">
        <f t="array" ref="AH693">_xlfn.IFS(AG693 &lt;= 5, "New[1-5]", AG693 &lt;= 10, "Early Career[6-10]", AG693 &lt;= 20, "Established[11-20]", AG693 &lt;= 30, "Veteran[21-30]", AG693 &lt;= 40, "Late Career[31-40]")</f>
        <v>New[1-5]</v>
      </c>
      <c r="AI693" s="1">
        <v>2</v>
      </c>
      <c r="AJ693" s="1">
        <v>3</v>
      </c>
      <c r="AK693" s="1">
        <v>1</v>
      </c>
      <c r="AL693" s="9" t="str" cm="1">
        <f t="array" ref="AL693">_xlfn.IFS(AK693 &lt;= 5, "New[1-5]", AK693 &lt;= 10, "Early Career[6-10]", AK693 &lt;= 20, "Established[11-20]", AK693 &lt;= 30, "Veteran[21-30]", AK693 &lt;= 40, "Late Career[31-40]")</f>
        <v>New[1-5]</v>
      </c>
      <c r="AM693" s="1">
        <v>1</v>
      </c>
      <c r="AN693" s="9" t="str" cm="1">
        <f t="array" ref="AN693">_xlfn.IFS(AM693 &lt;= 3, "New to Role[1-3]", AM693 &lt;= 7, "Settled[4-7]", AM693 &lt;= 12, "Experienced[[8-12]", AM693 &lt;= 18, "Long Tenured[13-18]")</f>
        <v>New to Role[1-3]</v>
      </c>
      <c r="AO693" s="1">
        <v>0</v>
      </c>
      <c r="AP693" s="9" t="str" cm="1">
        <f t="array" ref="AP693">_xlfn.IFS(AO693 &lt;= 3, "Recently[1-3]", AO693 &lt;= 6, "Due Soon[4-6]", AO693 &lt;= 10, "Overdue[7-10]", AO693 &lt;= 15, "Long Overdue[11-15]")</f>
        <v>Recently[1-3]</v>
      </c>
      <c r="AQ693" s="9" t="str" cm="1">
        <f t="array" ref="AQ693">_xlfn.IFS(AR693 &lt;= 3, "New Relationship[1-3]", AR693 &lt;= 7, "Established Relationship[4-7]", AR693 &lt;= 12, "Long Term Relationship[8-12]", AR693 &lt;= 17, "Very Long Term Relationship[13-17]")</f>
        <v>New Relationship[1-3]</v>
      </c>
      <c r="AR693" s="1">
        <v>0</v>
      </c>
    </row>
    <row r="694" spans="1:44" x14ac:dyDescent="0.25">
      <c r="A694" s="1">
        <v>32</v>
      </c>
      <c r="B694" s="8" t="str" cm="1">
        <f t="array" ref="B694">_xlfn.IFS(A694 &lt;= 25, "[18-25]", A694 &lt;= 35, "[26-35]", A694 &lt;=45, "[36-45]", A694 &lt;= 60, "[46- 60]")</f>
        <v>[26-35]</v>
      </c>
      <c r="C694" s="3" t="s">
        <v>43</v>
      </c>
      <c r="D694">
        <f t="shared" si="10"/>
        <v>0</v>
      </c>
      <c r="E694" t="s">
        <v>36</v>
      </c>
      <c r="F694" s="1">
        <v>498</v>
      </c>
      <c r="G694" s="3" t="s">
        <v>45</v>
      </c>
      <c r="H694" s="1">
        <v>3</v>
      </c>
      <c r="I694" s="9" t="str" cm="1">
        <f t="array" ref="I694">_xlfn.IFS(H694 &lt;= 2, "[1-2] very close", H694 &lt;= 10, "[3-10] close", H694 &lt;= 20, "[11-20] moderate", H694 &lt;= 30, "[21-30] far")</f>
        <v>[3-10] close</v>
      </c>
      <c r="J694" s="1">
        <v>4</v>
      </c>
      <c r="K694" s="3" t="s">
        <v>51</v>
      </c>
      <c r="L694" s="1">
        <v>1</v>
      </c>
      <c r="M694" s="1">
        <v>966</v>
      </c>
      <c r="N694" s="1">
        <v>3</v>
      </c>
      <c r="O694" s="3" t="s">
        <v>39</v>
      </c>
      <c r="P694" s="1">
        <v>93</v>
      </c>
      <c r="Q694" s="1">
        <v>3</v>
      </c>
      <c r="R694" s="1">
        <v>2</v>
      </c>
      <c r="S694" s="3" t="s">
        <v>53</v>
      </c>
      <c r="T694" s="1">
        <v>1</v>
      </c>
      <c r="U694" s="3" t="s">
        <v>48</v>
      </c>
      <c r="V694" s="4">
        <v>6725</v>
      </c>
      <c r="W694" s="1">
        <v>13554</v>
      </c>
      <c r="X694" s="1">
        <v>1</v>
      </c>
      <c r="Y694" s="3" t="s">
        <v>42</v>
      </c>
      <c r="Z694" s="3" t="s">
        <v>43</v>
      </c>
      <c r="AA694" s="5">
        <v>0.12</v>
      </c>
      <c r="AB694" s="10" t="str" cm="1">
        <f t="array" ref="AB694">_xlfn.IFS(AA694 &lt;= 15%, "Low Hike[11-15%]", AA694 &lt;= 20%, "Moderate Hike[16-20%]", AA694 &lt;= 25%,"High Hike[21-25%]")</f>
        <v>Low Hike[11-15%]</v>
      </c>
      <c r="AC694" s="1">
        <v>3</v>
      </c>
      <c r="AD694" s="1">
        <v>3</v>
      </c>
      <c r="AE694" s="1">
        <v>80</v>
      </c>
      <c r="AF694" s="1">
        <v>1</v>
      </c>
      <c r="AG694" s="1">
        <v>8</v>
      </c>
      <c r="AH694" s="9" t="str" cm="1">
        <f t="array" ref="AH694">_xlfn.IFS(AG694 &lt;= 5, "New[1-5]", AG694 &lt;= 10, "Early Career[6-10]", AG694 &lt;= 20, "Established[11-20]", AG694 &lt;= 30, "Veteran[21-30]", AG694 &lt;= 40, "Late Career[31-40]")</f>
        <v>Early Career[6-10]</v>
      </c>
      <c r="AI694" s="1">
        <v>2</v>
      </c>
      <c r="AJ694" s="1">
        <v>4</v>
      </c>
      <c r="AK694" s="1">
        <v>8</v>
      </c>
      <c r="AL694" s="9" t="str" cm="1">
        <f t="array" ref="AL694">_xlfn.IFS(AK694 &lt;= 5, "New[1-5]", AK694 &lt;= 10, "Early Career[6-10]", AK694 &lt;= 20, "Established[11-20]", AK694 &lt;= 30, "Veteran[21-30]", AK694 &lt;= 40, "Late Career[31-40]")</f>
        <v>Early Career[6-10]</v>
      </c>
      <c r="AM694" s="1">
        <v>7</v>
      </c>
      <c r="AN694" s="9" t="str" cm="1">
        <f t="array" ref="AN694">_xlfn.IFS(AM694 &lt;= 3, "New to Role[1-3]", AM694 &lt;= 7, "Settled[4-7]", AM694 &lt;= 12, "Experienced[[8-12]", AM694 &lt;= 18, "Long Tenured[13-18]")</f>
        <v>Settled[4-7]</v>
      </c>
      <c r="AO694" s="1">
        <v>6</v>
      </c>
      <c r="AP694" s="9" t="str" cm="1">
        <f t="array" ref="AP694">_xlfn.IFS(AO694 &lt;= 3, "Recently[1-3]", AO694 &lt;= 6, "Due Soon[4-6]", AO694 &lt;= 10, "Overdue[7-10]", AO694 &lt;= 15, "Long Overdue[11-15]")</f>
        <v>Due Soon[4-6]</v>
      </c>
      <c r="AQ694" s="9" t="str" cm="1">
        <f t="array" ref="AQ694">_xlfn.IFS(AR694 &lt;= 3, "New Relationship[1-3]", AR694 &lt;= 7, "Established Relationship[4-7]", AR694 &lt;= 12, "Long Term Relationship[8-12]", AR694 &lt;= 17, "Very Long Term Relationship[13-17]")</f>
        <v>New Relationship[1-3]</v>
      </c>
      <c r="AR694" s="1">
        <v>3</v>
      </c>
    </row>
    <row r="695" spans="1:44" x14ac:dyDescent="0.25">
      <c r="A695" s="1">
        <v>36</v>
      </c>
      <c r="B695" s="8" t="str" cm="1">
        <f t="array" ref="B695">_xlfn.IFS(A695 &lt;= 25, "[18-25]", A695 &lt;= 35, "[26-35]", A695 &lt;=45, "[36-45]", A695 &lt;= 60, "[46- 60]")</f>
        <v>[36-45]</v>
      </c>
      <c r="C695" s="3" t="s">
        <v>35</v>
      </c>
      <c r="D695">
        <f t="shared" si="10"/>
        <v>1</v>
      </c>
      <c r="E695" t="s">
        <v>36</v>
      </c>
      <c r="F695" s="1">
        <v>530</v>
      </c>
      <c r="G695" s="3" t="s">
        <v>37</v>
      </c>
      <c r="H695" s="1">
        <v>3</v>
      </c>
      <c r="I695" s="9" t="str" cm="1">
        <f t="array" ref="I695">_xlfn.IFS(H695 &lt;= 2, "[1-2] very close", H695 &lt;= 10, "[3-10] close", H695 &lt;= 20, "[11-20] moderate", H695 &lt;= 30, "[21-30] far")</f>
        <v>[3-10] close</v>
      </c>
      <c r="J695" s="1">
        <v>1</v>
      </c>
      <c r="K695" s="3" t="s">
        <v>38</v>
      </c>
      <c r="L695" s="1">
        <v>1</v>
      </c>
      <c r="M695" s="1">
        <v>967</v>
      </c>
      <c r="N695" s="1">
        <v>3</v>
      </c>
      <c r="O695" s="3" t="s">
        <v>46</v>
      </c>
      <c r="P695" s="1">
        <v>51</v>
      </c>
      <c r="Q695" s="1">
        <v>2</v>
      </c>
      <c r="R695" s="1">
        <v>3</v>
      </c>
      <c r="S695" s="3" t="s">
        <v>40</v>
      </c>
      <c r="T695" s="1">
        <v>4</v>
      </c>
      <c r="U695" s="3" t="s">
        <v>48</v>
      </c>
      <c r="V695" s="4">
        <v>10325</v>
      </c>
      <c r="W695" s="1">
        <v>5518</v>
      </c>
      <c r="X695" s="1">
        <v>1</v>
      </c>
      <c r="Y695" s="3" t="s">
        <v>42</v>
      </c>
      <c r="Z695" s="3" t="s">
        <v>35</v>
      </c>
      <c r="AA695" s="5">
        <v>0.11</v>
      </c>
      <c r="AB695" s="10" t="str" cm="1">
        <f t="array" ref="AB695">_xlfn.IFS(AA695 &lt;= 15%, "Low Hike[11-15%]", AA695 &lt;= 20%, "Moderate Hike[16-20%]", AA695 &lt;= 25%,"High Hike[21-25%]")</f>
        <v>Low Hike[11-15%]</v>
      </c>
      <c r="AC695" s="1">
        <v>3</v>
      </c>
      <c r="AD695" s="1">
        <v>1</v>
      </c>
      <c r="AE695" s="1">
        <v>80</v>
      </c>
      <c r="AF695" s="1">
        <v>1</v>
      </c>
      <c r="AG695" s="1">
        <v>16</v>
      </c>
      <c r="AH695" s="9" t="str" cm="1">
        <f t="array" ref="AH695">_xlfn.IFS(AG695 &lt;= 5, "New[1-5]", AG695 &lt;= 10, "Early Career[6-10]", AG695 &lt;= 20, "Established[11-20]", AG695 &lt;= 30, "Veteran[21-30]", AG695 &lt;= 40, "Late Career[31-40]")</f>
        <v>Established[11-20]</v>
      </c>
      <c r="AI695" s="1">
        <v>6</v>
      </c>
      <c r="AJ695" s="1">
        <v>3</v>
      </c>
      <c r="AK695" s="1">
        <v>16</v>
      </c>
      <c r="AL695" s="9" t="str" cm="1">
        <f t="array" ref="AL695">_xlfn.IFS(AK695 &lt;= 5, "New[1-5]", AK695 &lt;= 10, "Early Career[6-10]", AK695 &lt;= 20, "Established[11-20]", AK695 &lt;= 30, "Veteran[21-30]", AK695 &lt;= 40, "Late Career[31-40]")</f>
        <v>Established[11-20]</v>
      </c>
      <c r="AM695" s="1">
        <v>7</v>
      </c>
      <c r="AN695" s="9" t="str" cm="1">
        <f t="array" ref="AN695">_xlfn.IFS(AM695 &lt;= 3, "New to Role[1-3]", AM695 &lt;= 7, "Settled[4-7]", AM695 &lt;= 12, "Experienced[[8-12]", AM695 &lt;= 18, "Long Tenured[13-18]")</f>
        <v>Settled[4-7]</v>
      </c>
      <c r="AO695" s="1">
        <v>3</v>
      </c>
      <c r="AP695" s="9" t="str" cm="1">
        <f t="array" ref="AP695">_xlfn.IFS(AO695 &lt;= 3, "Recently[1-3]", AO695 &lt;= 6, "Due Soon[4-6]", AO695 &lt;= 10, "Overdue[7-10]", AO695 &lt;= 15, "Long Overdue[11-15]")</f>
        <v>Recently[1-3]</v>
      </c>
      <c r="AQ695" s="9" t="str" cm="1">
        <f t="array" ref="AQ695">_xlfn.IFS(AR695 &lt;= 3, "New Relationship[1-3]", AR695 &lt;= 7, "Established Relationship[4-7]", AR695 &lt;= 12, "Long Term Relationship[8-12]", AR695 &lt;= 17, "Very Long Term Relationship[13-17]")</f>
        <v>Established Relationship[4-7]</v>
      </c>
      <c r="AR695" s="1">
        <v>7</v>
      </c>
    </row>
    <row r="696" spans="1:44" x14ac:dyDescent="0.25">
      <c r="A696" s="1">
        <v>33</v>
      </c>
      <c r="B696" s="8" t="str" cm="1">
        <f t="array" ref="B696">_xlfn.IFS(A696 &lt;= 25, "[18-25]", A696 &lt;= 35, "[26-35]", A696 &lt;=45, "[36-45]", A696 &lt;= 60, "[46- 60]")</f>
        <v>[26-35]</v>
      </c>
      <c r="C696" s="3" t="s">
        <v>43</v>
      </c>
      <c r="D696">
        <f t="shared" si="10"/>
        <v>0</v>
      </c>
      <c r="E696" t="s">
        <v>36</v>
      </c>
      <c r="F696" s="1">
        <v>1069</v>
      </c>
      <c r="G696" s="3" t="s">
        <v>45</v>
      </c>
      <c r="H696" s="1">
        <v>1</v>
      </c>
      <c r="I696" s="9" t="str" cm="1">
        <f t="array" ref="I696">_xlfn.IFS(H696 &lt;= 2, "[1-2] very close", H696 &lt;= 10, "[3-10] close", H696 &lt;= 20, "[11-20] moderate", H696 &lt;= 30, "[21-30] far")</f>
        <v>[1-2] very close</v>
      </c>
      <c r="J696" s="1">
        <v>3</v>
      </c>
      <c r="K696" s="3" t="s">
        <v>38</v>
      </c>
      <c r="L696" s="1">
        <v>1</v>
      </c>
      <c r="M696" s="1">
        <v>969</v>
      </c>
      <c r="N696" s="1">
        <v>2</v>
      </c>
      <c r="O696" s="3" t="s">
        <v>39</v>
      </c>
      <c r="P696" s="1">
        <v>42</v>
      </c>
      <c r="Q696" s="1">
        <v>2</v>
      </c>
      <c r="R696" s="1">
        <v>2</v>
      </c>
      <c r="S696" s="3" t="s">
        <v>54</v>
      </c>
      <c r="T696" s="1">
        <v>4</v>
      </c>
      <c r="U696" s="3" t="s">
        <v>41</v>
      </c>
      <c r="V696" s="4">
        <v>6949</v>
      </c>
      <c r="W696" s="1">
        <v>12291</v>
      </c>
      <c r="X696" s="1">
        <v>0</v>
      </c>
      <c r="Y696" s="3" t="s">
        <v>42</v>
      </c>
      <c r="Z696" s="3" t="s">
        <v>43</v>
      </c>
      <c r="AA696" s="5">
        <v>0.14000000000000001</v>
      </c>
      <c r="AB696" s="10" t="str" cm="1">
        <f t="array" ref="AB696">_xlfn.IFS(AA696 &lt;= 15%, "Low Hike[11-15%]", AA696 &lt;= 20%, "Moderate Hike[16-20%]", AA696 &lt;= 25%,"High Hike[21-25%]")</f>
        <v>Low Hike[11-15%]</v>
      </c>
      <c r="AC696" s="1">
        <v>3</v>
      </c>
      <c r="AD696" s="1">
        <v>1</v>
      </c>
      <c r="AE696" s="1">
        <v>80</v>
      </c>
      <c r="AF696" s="1">
        <v>0</v>
      </c>
      <c r="AG696" s="1">
        <v>6</v>
      </c>
      <c r="AH696" s="9" t="str" cm="1">
        <f t="array" ref="AH696">_xlfn.IFS(AG696 &lt;= 5, "New[1-5]", AG696 &lt;= 10, "Early Career[6-10]", AG696 &lt;= 20, "Established[11-20]", AG696 &lt;= 30, "Veteran[21-30]", AG696 &lt;= 40, "Late Career[31-40]")</f>
        <v>Early Career[6-10]</v>
      </c>
      <c r="AI696" s="1">
        <v>3</v>
      </c>
      <c r="AJ696" s="1">
        <v>3</v>
      </c>
      <c r="AK696" s="1">
        <v>5</v>
      </c>
      <c r="AL696" s="9" t="str" cm="1">
        <f t="array" ref="AL696">_xlfn.IFS(AK696 &lt;= 5, "New[1-5]", AK696 &lt;= 10, "Early Career[6-10]", AK696 &lt;= 20, "Established[11-20]", AK696 &lt;= 30, "Veteran[21-30]", AK696 &lt;= 40, "Late Career[31-40]")</f>
        <v>New[1-5]</v>
      </c>
      <c r="AM696" s="1">
        <v>0</v>
      </c>
      <c r="AN696" s="9" t="str" cm="1">
        <f t="array" ref="AN696">_xlfn.IFS(AM696 &lt;= 3, "New to Role[1-3]", AM696 &lt;= 7, "Settled[4-7]", AM696 &lt;= 12, "Experienced[[8-12]", AM696 &lt;= 18, "Long Tenured[13-18]")</f>
        <v>New to Role[1-3]</v>
      </c>
      <c r="AO696" s="1">
        <v>1</v>
      </c>
      <c r="AP696" s="9" t="str" cm="1">
        <f t="array" ref="AP696">_xlfn.IFS(AO696 &lt;= 3, "Recently[1-3]", AO696 &lt;= 6, "Due Soon[4-6]", AO696 &lt;= 10, "Overdue[7-10]", AO696 &lt;= 15, "Long Overdue[11-15]")</f>
        <v>Recently[1-3]</v>
      </c>
      <c r="AQ696" s="9" t="str" cm="1">
        <f t="array" ref="AQ696">_xlfn.IFS(AR696 &lt;= 3, "New Relationship[1-3]", AR696 &lt;= 7, "Established Relationship[4-7]", AR696 &lt;= 12, "Long Term Relationship[8-12]", AR696 &lt;= 17, "Very Long Term Relationship[13-17]")</f>
        <v>Established Relationship[4-7]</v>
      </c>
      <c r="AR696" s="1">
        <v>4</v>
      </c>
    </row>
    <row r="697" spans="1:44" x14ac:dyDescent="0.25">
      <c r="A697" s="1">
        <v>37</v>
      </c>
      <c r="B697" s="8" t="str" cm="1">
        <f t="array" ref="B697">_xlfn.IFS(A697 &lt;= 25, "[18-25]", A697 &lt;= 35, "[26-35]", A697 &lt;=45, "[36-45]", A697 &lt;= 60, "[46- 60]")</f>
        <v>[36-45]</v>
      </c>
      <c r="C697" s="3" t="s">
        <v>35</v>
      </c>
      <c r="D697">
        <f t="shared" si="10"/>
        <v>1</v>
      </c>
      <c r="E697" t="s">
        <v>36</v>
      </c>
      <c r="F697" s="1">
        <v>625</v>
      </c>
      <c r="G697" s="3" t="s">
        <v>37</v>
      </c>
      <c r="H697" s="1">
        <v>1</v>
      </c>
      <c r="I697" s="9" t="str" cm="1">
        <f t="array" ref="I697">_xlfn.IFS(H697 &lt;= 2, "[1-2] very close", H697 &lt;= 10, "[3-10] close", H697 &lt;= 20, "[11-20] moderate", H697 &lt;= 30, "[21-30] far")</f>
        <v>[1-2] very close</v>
      </c>
      <c r="J697" s="1">
        <v>4</v>
      </c>
      <c r="K697" s="3" t="s">
        <v>38</v>
      </c>
      <c r="L697" s="1">
        <v>1</v>
      </c>
      <c r="M697" s="1">
        <v>970</v>
      </c>
      <c r="N697" s="1">
        <v>1</v>
      </c>
      <c r="O697" s="3" t="s">
        <v>46</v>
      </c>
      <c r="P697" s="1">
        <v>46</v>
      </c>
      <c r="Q697" s="1">
        <v>2</v>
      </c>
      <c r="R697" s="1">
        <v>3</v>
      </c>
      <c r="S697" s="3" t="s">
        <v>40</v>
      </c>
      <c r="T697" s="1">
        <v>3</v>
      </c>
      <c r="U697" s="3" t="s">
        <v>48</v>
      </c>
      <c r="V697" s="4">
        <v>10609</v>
      </c>
      <c r="W697" s="1">
        <v>14922</v>
      </c>
      <c r="X697" s="1">
        <v>5</v>
      </c>
      <c r="Y697" s="3" t="s">
        <v>42</v>
      </c>
      <c r="Z697" s="3" t="s">
        <v>43</v>
      </c>
      <c r="AA697" s="5">
        <v>0.11</v>
      </c>
      <c r="AB697" s="10" t="str" cm="1">
        <f t="array" ref="AB697">_xlfn.IFS(AA697 &lt;= 15%, "Low Hike[11-15%]", AA697 &lt;= 20%, "Moderate Hike[16-20%]", AA697 &lt;= 25%,"High Hike[21-25%]")</f>
        <v>Low Hike[11-15%]</v>
      </c>
      <c r="AC697" s="1">
        <v>3</v>
      </c>
      <c r="AD697" s="1">
        <v>3</v>
      </c>
      <c r="AE697" s="1">
        <v>80</v>
      </c>
      <c r="AF697" s="1">
        <v>0</v>
      </c>
      <c r="AG697" s="1">
        <v>17</v>
      </c>
      <c r="AH697" s="9" t="str" cm="1">
        <f t="array" ref="AH697">_xlfn.IFS(AG697 &lt;= 5, "New[1-5]", AG697 &lt;= 10, "Early Career[6-10]", AG697 &lt;= 20, "Established[11-20]", AG697 &lt;= 30, "Veteran[21-30]", AG697 &lt;= 40, "Late Career[31-40]")</f>
        <v>Established[11-20]</v>
      </c>
      <c r="AI697" s="1">
        <v>2</v>
      </c>
      <c r="AJ697" s="1">
        <v>1</v>
      </c>
      <c r="AK697" s="1">
        <v>14</v>
      </c>
      <c r="AL697" s="9" t="str" cm="1">
        <f t="array" ref="AL697">_xlfn.IFS(AK697 &lt;= 5, "New[1-5]", AK697 &lt;= 10, "Early Career[6-10]", AK697 &lt;= 20, "Established[11-20]", AK697 &lt;= 30, "Veteran[21-30]", AK697 &lt;= 40, "Late Career[31-40]")</f>
        <v>Established[11-20]</v>
      </c>
      <c r="AM697" s="1">
        <v>1</v>
      </c>
      <c r="AN697" s="9" t="str" cm="1">
        <f t="array" ref="AN697">_xlfn.IFS(AM697 &lt;= 3, "New to Role[1-3]", AM697 &lt;= 7, "Settled[4-7]", AM697 &lt;= 12, "Experienced[[8-12]", AM697 &lt;= 18, "Long Tenured[13-18]")</f>
        <v>New to Role[1-3]</v>
      </c>
      <c r="AO697" s="1">
        <v>11</v>
      </c>
      <c r="AP697" s="9" t="str" cm="1">
        <f t="array" ref="AP697">_xlfn.IFS(AO697 &lt;= 3, "Recently[1-3]", AO697 &lt;= 6, "Due Soon[4-6]", AO697 &lt;= 10, "Overdue[7-10]", AO697 &lt;= 15, "Long Overdue[11-15]")</f>
        <v>Long Overdue[11-15]</v>
      </c>
      <c r="AQ697" s="9" t="str" cm="1">
        <f t="array" ref="AQ697">_xlfn.IFS(AR697 &lt;= 3, "New Relationship[1-3]", AR697 &lt;= 7, "Established Relationship[4-7]", AR697 &lt;= 12, "Long Term Relationship[8-12]", AR697 &lt;= 17, "Very Long Term Relationship[13-17]")</f>
        <v>Established Relationship[4-7]</v>
      </c>
      <c r="AR697" s="1">
        <v>7</v>
      </c>
    </row>
    <row r="698" spans="1:44" x14ac:dyDescent="0.25">
      <c r="A698" s="1">
        <v>45</v>
      </c>
      <c r="B698" s="8" t="str" cm="1">
        <f t="array" ref="B698">_xlfn.IFS(A698 &lt;= 25, "[18-25]", A698 &lt;= 35, "[26-35]", A698 &lt;=45, "[36-45]", A698 &lt;= 60, "[46- 60]")</f>
        <v>[36-45]</v>
      </c>
      <c r="C698" s="3" t="s">
        <v>43</v>
      </c>
      <c r="D698">
        <f t="shared" si="10"/>
        <v>0</v>
      </c>
      <c r="E698" t="s">
        <v>62</v>
      </c>
      <c r="F698" s="1">
        <v>805</v>
      </c>
      <c r="G698" s="3" t="s">
        <v>45</v>
      </c>
      <c r="H698" s="1">
        <v>4</v>
      </c>
      <c r="I698" s="9" t="str" cm="1">
        <f t="array" ref="I698">_xlfn.IFS(H698 &lt;= 2, "[1-2] very close", H698 &lt;= 10, "[3-10] close", H698 &lt;= 20, "[11-20] moderate", H698 &lt;= 30, "[21-30] far")</f>
        <v>[3-10] close</v>
      </c>
      <c r="J698" s="1">
        <v>2</v>
      </c>
      <c r="K698" s="3" t="s">
        <v>38</v>
      </c>
      <c r="L698" s="1">
        <v>1</v>
      </c>
      <c r="M698" s="1">
        <v>972</v>
      </c>
      <c r="N698" s="1">
        <v>3</v>
      </c>
      <c r="O698" s="3" t="s">
        <v>46</v>
      </c>
      <c r="P698" s="1">
        <v>57</v>
      </c>
      <c r="Q698" s="1">
        <v>3</v>
      </c>
      <c r="R698" s="1">
        <v>2</v>
      </c>
      <c r="S698" s="3" t="s">
        <v>50</v>
      </c>
      <c r="T698" s="1">
        <v>2</v>
      </c>
      <c r="U698" s="3" t="s">
        <v>48</v>
      </c>
      <c r="V698" s="4">
        <v>4447</v>
      </c>
      <c r="W698" s="1">
        <v>23163</v>
      </c>
      <c r="X698" s="1">
        <v>1</v>
      </c>
      <c r="Y698" s="3" t="s">
        <v>42</v>
      </c>
      <c r="Z698" s="3" t="s">
        <v>43</v>
      </c>
      <c r="AA698" s="5">
        <v>0.12</v>
      </c>
      <c r="AB698" s="10" t="str" cm="1">
        <f t="array" ref="AB698">_xlfn.IFS(AA698 &lt;= 15%, "Low Hike[11-15%]", AA698 &lt;= 20%, "Moderate Hike[16-20%]", AA698 &lt;= 25%,"High Hike[21-25%]")</f>
        <v>Low Hike[11-15%]</v>
      </c>
      <c r="AC698" s="1">
        <v>3</v>
      </c>
      <c r="AD698" s="1">
        <v>2</v>
      </c>
      <c r="AE698" s="1">
        <v>80</v>
      </c>
      <c r="AF698" s="1">
        <v>0</v>
      </c>
      <c r="AG698" s="1">
        <v>9</v>
      </c>
      <c r="AH698" s="9" t="str" cm="1">
        <f t="array" ref="AH698">_xlfn.IFS(AG698 &lt;= 5, "New[1-5]", AG698 &lt;= 10, "Early Career[6-10]", AG698 &lt;= 20, "Established[11-20]", AG698 &lt;= 30, "Veteran[21-30]", AG698 &lt;= 40, "Late Career[31-40]")</f>
        <v>Early Career[6-10]</v>
      </c>
      <c r="AI698" s="1">
        <v>5</v>
      </c>
      <c r="AJ698" s="1">
        <v>2</v>
      </c>
      <c r="AK698" s="1">
        <v>9</v>
      </c>
      <c r="AL698" s="9" t="str" cm="1">
        <f t="array" ref="AL698">_xlfn.IFS(AK698 &lt;= 5, "New[1-5]", AK698 &lt;= 10, "Early Career[6-10]", AK698 &lt;= 20, "Established[11-20]", AK698 &lt;= 30, "Veteran[21-30]", AK698 &lt;= 40, "Late Career[31-40]")</f>
        <v>Early Career[6-10]</v>
      </c>
      <c r="AM698" s="1">
        <v>7</v>
      </c>
      <c r="AN698" s="9" t="str" cm="1">
        <f t="array" ref="AN698">_xlfn.IFS(AM698 &lt;= 3, "New to Role[1-3]", AM698 &lt;= 7, "Settled[4-7]", AM698 &lt;= 12, "Experienced[[8-12]", AM698 &lt;= 18, "Long Tenured[13-18]")</f>
        <v>Settled[4-7]</v>
      </c>
      <c r="AO698" s="1">
        <v>0</v>
      </c>
      <c r="AP698" s="9" t="str" cm="1">
        <f t="array" ref="AP698">_xlfn.IFS(AO698 &lt;= 3, "Recently[1-3]", AO698 &lt;= 6, "Due Soon[4-6]", AO698 &lt;= 10, "Overdue[7-10]", AO698 &lt;= 15, "Long Overdue[11-15]")</f>
        <v>Recently[1-3]</v>
      </c>
      <c r="AQ698" s="9" t="str" cm="1">
        <f t="array" ref="AQ698">_xlfn.IFS(AR698 &lt;= 3, "New Relationship[1-3]", AR698 &lt;= 7, "Established Relationship[4-7]", AR698 &lt;= 12, "Long Term Relationship[8-12]", AR698 &lt;= 17, "Very Long Term Relationship[13-17]")</f>
        <v>Long Term Relationship[8-12]</v>
      </c>
      <c r="AR698" s="1">
        <v>8</v>
      </c>
    </row>
    <row r="699" spans="1:44" x14ac:dyDescent="0.25">
      <c r="A699" s="1">
        <v>29</v>
      </c>
      <c r="B699" s="8" t="str" cm="1">
        <f t="array" ref="B699">_xlfn.IFS(A699 &lt;= 25, "[18-25]", A699 &lt;= 35, "[26-35]", A699 &lt;=45, "[36-45]", A699 &lt;= 60, "[46- 60]")</f>
        <v>[26-35]</v>
      </c>
      <c r="C699" s="3" t="s">
        <v>43</v>
      </c>
      <c r="D699">
        <f t="shared" si="10"/>
        <v>0</v>
      </c>
      <c r="E699" t="s">
        <v>44</v>
      </c>
      <c r="F699" s="1">
        <v>1404</v>
      </c>
      <c r="G699" s="3" t="s">
        <v>37</v>
      </c>
      <c r="H699" s="1">
        <v>20</v>
      </c>
      <c r="I699" s="9" t="str" cm="1">
        <f t="array" ref="I699">_xlfn.IFS(H699 &lt;= 2, "[1-2] very close", H699 &lt;= 10, "[3-10] close", H699 &lt;= 20, "[11-20] moderate", H699 &lt;= 30, "[21-30] far")</f>
        <v>[11-20] moderate</v>
      </c>
      <c r="J699" s="1">
        <v>3</v>
      </c>
      <c r="K699" s="3" t="s">
        <v>60</v>
      </c>
      <c r="L699" s="1">
        <v>1</v>
      </c>
      <c r="M699" s="1">
        <v>974</v>
      </c>
      <c r="N699" s="1">
        <v>3</v>
      </c>
      <c r="O699" s="3" t="s">
        <v>39</v>
      </c>
      <c r="P699" s="1">
        <v>84</v>
      </c>
      <c r="Q699" s="1">
        <v>3</v>
      </c>
      <c r="R699" s="1">
        <v>1</v>
      </c>
      <c r="S699" s="3" t="s">
        <v>57</v>
      </c>
      <c r="T699" s="1">
        <v>4</v>
      </c>
      <c r="U699" s="3" t="s">
        <v>48</v>
      </c>
      <c r="V699" s="4">
        <v>2157</v>
      </c>
      <c r="W699" s="1">
        <v>18203</v>
      </c>
      <c r="X699" s="1">
        <v>1</v>
      </c>
      <c r="Y699" s="3" t="s">
        <v>42</v>
      </c>
      <c r="Z699" s="3" t="s">
        <v>43</v>
      </c>
      <c r="AA699" s="5">
        <v>0.15</v>
      </c>
      <c r="AB699" s="10" t="str" cm="1">
        <f t="array" ref="AB699">_xlfn.IFS(AA699 &lt;= 15%, "Low Hike[11-15%]", AA699 &lt;= 20%, "Moderate Hike[16-20%]", AA699 &lt;= 25%,"High Hike[21-25%]")</f>
        <v>Low Hike[11-15%]</v>
      </c>
      <c r="AC699" s="1">
        <v>3</v>
      </c>
      <c r="AD699" s="1">
        <v>2</v>
      </c>
      <c r="AE699" s="1">
        <v>80</v>
      </c>
      <c r="AF699" s="1">
        <v>1</v>
      </c>
      <c r="AG699" s="1">
        <v>3</v>
      </c>
      <c r="AH699" s="9" t="str" cm="1">
        <f t="array" ref="AH699">_xlfn.IFS(AG699 &lt;= 5, "New[1-5]", AG699 &lt;= 10, "Early Career[6-10]", AG699 &lt;= 20, "Established[11-20]", AG699 &lt;= 30, "Veteran[21-30]", AG699 &lt;= 40, "Late Career[31-40]")</f>
        <v>New[1-5]</v>
      </c>
      <c r="AI699" s="1">
        <v>5</v>
      </c>
      <c r="AJ699" s="1">
        <v>3</v>
      </c>
      <c r="AK699" s="1">
        <v>3</v>
      </c>
      <c r="AL699" s="9" t="str" cm="1">
        <f t="array" ref="AL699">_xlfn.IFS(AK699 &lt;= 5, "New[1-5]", AK699 &lt;= 10, "Early Career[6-10]", AK699 &lt;= 20, "Established[11-20]", AK699 &lt;= 30, "Veteran[21-30]", AK699 &lt;= 40, "Late Career[31-40]")</f>
        <v>New[1-5]</v>
      </c>
      <c r="AM699" s="1">
        <v>1</v>
      </c>
      <c r="AN699" s="9" t="str" cm="1">
        <f t="array" ref="AN699">_xlfn.IFS(AM699 &lt;= 3, "New to Role[1-3]", AM699 &lt;= 7, "Settled[4-7]", AM699 &lt;= 12, "Experienced[[8-12]", AM699 &lt;= 18, "Long Tenured[13-18]")</f>
        <v>New to Role[1-3]</v>
      </c>
      <c r="AO699" s="1">
        <v>0</v>
      </c>
      <c r="AP699" s="9" t="str" cm="1">
        <f t="array" ref="AP699">_xlfn.IFS(AO699 &lt;= 3, "Recently[1-3]", AO699 &lt;= 6, "Due Soon[4-6]", AO699 &lt;= 10, "Overdue[7-10]", AO699 &lt;= 15, "Long Overdue[11-15]")</f>
        <v>Recently[1-3]</v>
      </c>
      <c r="AQ699" s="9" t="str" cm="1">
        <f t="array" ref="AQ699">_xlfn.IFS(AR699 &lt;= 3, "New Relationship[1-3]", AR699 &lt;= 7, "Established Relationship[4-7]", AR699 &lt;= 12, "Long Term Relationship[8-12]", AR699 &lt;= 17, "Very Long Term Relationship[13-17]")</f>
        <v>New Relationship[1-3]</v>
      </c>
      <c r="AR699" s="1">
        <v>2</v>
      </c>
    </row>
    <row r="700" spans="1:44" x14ac:dyDescent="0.25">
      <c r="A700" s="1">
        <v>35</v>
      </c>
      <c r="B700" s="8" t="str" cm="1">
        <f t="array" ref="B700">_xlfn.IFS(A700 &lt;= 25, "[18-25]", A700 &lt;= 35, "[26-35]", A700 &lt;=45, "[36-45]", A700 &lt;= 60, "[46- 60]")</f>
        <v>[26-35]</v>
      </c>
      <c r="C700" s="3" t="s">
        <v>43</v>
      </c>
      <c r="D700">
        <f t="shared" si="10"/>
        <v>0</v>
      </c>
      <c r="E700" t="s">
        <v>36</v>
      </c>
      <c r="F700" s="1">
        <v>1219</v>
      </c>
      <c r="G700" s="3" t="s">
        <v>37</v>
      </c>
      <c r="H700" s="1">
        <v>18</v>
      </c>
      <c r="I700" s="9" t="str" cm="1">
        <f t="array" ref="I700">_xlfn.IFS(H700 &lt;= 2, "[1-2] very close", H700 &lt;= 10, "[3-10] close", H700 &lt;= 20, "[11-20] moderate", H700 &lt;= 30, "[21-30] far")</f>
        <v>[11-20] moderate</v>
      </c>
      <c r="J700" s="1">
        <v>3</v>
      </c>
      <c r="K700" s="3" t="s">
        <v>51</v>
      </c>
      <c r="L700" s="1">
        <v>1</v>
      </c>
      <c r="M700" s="1">
        <v>975</v>
      </c>
      <c r="N700" s="1">
        <v>3</v>
      </c>
      <c r="O700" s="3" t="s">
        <v>39</v>
      </c>
      <c r="P700" s="1">
        <v>86</v>
      </c>
      <c r="Q700" s="1">
        <v>3</v>
      </c>
      <c r="R700" s="1">
        <v>2</v>
      </c>
      <c r="S700" s="3" t="s">
        <v>40</v>
      </c>
      <c r="T700" s="1">
        <v>3</v>
      </c>
      <c r="U700" s="3" t="s">
        <v>48</v>
      </c>
      <c r="V700" s="4">
        <v>4601</v>
      </c>
      <c r="W700" s="1">
        <v>6179</v>
      </c>
      <c r="X700" s="1">
        <v>1</v>
      </c>
      <c r="Y700" s="3" t="s">
        <v>42</v>
      </c>
      <c r="Z700" s="3" t="s">
        <v>43</v>
      </c>
      <c r="AA700" s="5">
        <v>0.16</v>
      </c>
      <c r="AB700" s="10" t="str" cm="1">
        <f t="array" ref="AB700">_xlfn.IFS(AA700 &lt;= 15%, "Low Hike[11-15%]", AA700 &lt;= 20%, "Moderate Hike[16-20%]", AA700 &lt;= 25%,"High Hike[21-25%]")</f>
        <v>Moderate Hike[16-20%]</v>
      </c>
      <c r="AC700" s="1">
        <v>3</v>
      </c>
      <c r="AD700" s="1">
        <v>2</v>
      </c>
      <c r="AE700" s="1">
        <v>80</v>
      </c>
      <c r="AF700" s="1">
        <v>0</v>
      </c>
      <c r="AG700" s="1">
        <v>5</v>
      </c>
      <c r="AH700" s="9" t="str" cm="1">
        <f t="array" ref="AH700">_xlfn.IFS(AG700 &lt;= 5, "New[1-5]", AG700 &lt;= 10, "Early Career[6-10]", AG700 &lt;= 20, "Established[11-20]", AG700 &lt;= 30, "Veteran[21-30]", AG700 &lt;= 40, "Late Career[31-40]")</f>
        <v>New[1-5]</v>
      </c>
      <c r="AI700" s="1">
        <v>3</v>
      </c>
      <c r="AJ700" s="1">
        <v>3</v>
      </c>
      <c r="AK700" s="1">
        <v>5</v>
      </c>
      <c r="AL700" s="9" t="str" cm="1">
        <f t="array" ref="AL700">_xlfn.IFS(AK700 &lt;= 5, "New[1-5]", AK700 &lt;= 10, "Early Career[6-10]", AK700 &lt;= 20, "Established[11-20]", AK700 &lt;= 30, "Veteran[21-30]", AK700 &lt;= 40, "Late Career[31-40]")</f>
        <v>New[1-5]</v>
      </c>
      <c r="AM700" s="1">
        <v>2</v>
      </c>
      <c r="AN700" s="9" t="str" cm="1">
        <f t="array" ref="AN700">_xlfn.IFS(AM700 &lt;= 3, "New to Role[1-3]", AM700 &lt;= 7, "Settled[4-7]", AM700 &lt;= 12, "Experienced[[8-12]", AM700 &lt;= 18, "Long Tenured[13-18]")</f>
        <v>New to Role[1-3]</v>
      </c>
      <c r="AO700" s="1">
        <v>1</v>
      </c>
      <c r="AP700" s="9" t="str" cm="1">
        <f t="array" ref="AP700">_xlfn.IFS(AO700 &lt;= 3, "Recently[1-3]", AO700 &lt;= 6, "Due Soon[4-6]", AO700 &lt;= 10, "Overdue[7-10]", AO700 &lt;= 15, "Long Overdue[11-15]")</f>
        <v>Recently[1-3]</v>
      </c>
      <c r="AQ700" s="9" t="str" cm="1">
        <f t="array" ref="AQ700">_xlfn.IFS(AR700 &lt;= 3, "New Relationship[1-3]", AR700 &lt;= 7, "Established Relationship[4-7]", AR700 &lt;= 12, "Long Term Relationship[8-12]", AR700 &lt;= 17, "Very Long Term Relationship[13-17]")</f>
        <v>New Relationship[1-3]</v>
      </c>
      <c r="AR700" s="1">
        <v>0</v>
      </c>
    </row>
    <row r="701" spans="1:44" x14ac:dyDescent="0.25">
      <c r="A701" s="1">
        <v>52</v>
      </c>
      <c r="B701" s="8" t="str" cm="1">
        <f t="array" ref="B701">_xlfn.IFS(A701 &lt;= 25, "[18-25]", A701 &lt;= 35, "[26-35]", A701 &lt;=45, "[36-45]", A701 &lt;= 60, "[46- 60]")</f>
        <v>[46- 60]</v>
      </c>
      <c r="C701" s="3" t="s">
        <v>43</v>
      </c>
      <c r="D701">
        <f t="shared" si="10"/>
        <v>0</v>
      </c>
      <c r="E701" t="s">
        <v>36</v>
      </c>
      <c r="F701" s="1">
        <v>1053</v>
      </c>
      <c r="G701" s="3" t="s">
        <v>45</v>
      </c>
      <c r="H701" s="1">
        <v>1</v>
      </c>
      <c r="I701" s="9" t="str" cm="1">
        <f t="array" ref="I701">_xlfn.IFS(H701 &lt;= 2, "[1-2] very close", H701 &lt;= 10, "[3-10] close", H701 &lt;= 20, "[11-20] moderate", H701 &lt;= 30, "[21-30] far")</f>
        <v>[1-2] very close</v>
      </c>
      <c r="J701" s="1">
        <v>2</v>
      </c>
      <c r="K701" s="3" t="s">
        <v>38</v>
      </c>
      <c r="L701" s="1">
        <v>1</v>
      </c>
      <c r="M701" s="1">
        <v>976</v>
      </c>
      <c r="N701" s="1">
        <v>4</v>
      </c>
      <c r="O701" s="3" t="s">
        <v>46</v>
      </c>
      <c r="P701" s="1">
        <v>70</v>
      </c>
      <c r="Q701" s="1">
        <v>3</v>
      </c>
      <c r="R701" s="1">
        <v>4</v>
      </c>
      <c r="S701" s="3" t="s">
        <v>56</v>
      </c>
      <c r="T701" s="1">
        <v>4</v>
      </c>
      <c r="U701" s="3" t="s">
        <v>48</v>
      </c>
      <c r="V701" s="4">
        <v>17099</v>
      </c>
      <c r="W701" s="1">
        <v>13829</v>
      </c>
      <c r="X701" s="1">
        <v>2</v>
      </c>
      <c r="Y701" s="3" t="s">
        <v>42</v>
      </c>
      <c r="Z701" s="3" t="s">
        <v>43</v>
      </c>
      <c r="AA701" s="5">
        <v>0.15</v>
      </c>
      <c r="AB701" s="10" t="str" cm="1">
        <f t="array" ref="AB701">_xlfn.IFS(AA701 &lt;= 15%, "Low Hike[11-15%]", AA701 &lt;= 20%, "Moderate Hike[16-20%]", AA701 &lt;= 25%,"High Hike[21-25%]")</f>
        <v>Low Hike[11-15%]</v>
      </c>
      <c r="AC701" s="1">
        <v>3</v>
      </c>
      <c r="AD701" s="1">
        <v>2</v>
      </c>
      <c r="AE701" s="1">
        <v>80</v>
      </c>
      <c r="AF701" s="1">
        <v>1</v>
      </c>
      <c r="AG701" s="1">
        <v>26</v>
      </c>
      <c r="AH701" s="9" t="str" cm="1">
        <f t="array" ref="AH701">_xlfn.IFS(AG701 &lt;= 5, "New[1-5]", AG701 &lt;= 10, "Early Career[6-10]", AG701 &lt;= 20, "Established[11-20]", AG701 &lt;= 30, "Veteran[21-30]", AG701 &lt;= 40, "Late Career[31-40]")</f>
        <v>Veteran[21-30]</v>
      </c>
      <c r="AI701" s="1">
        <v>2</v>
      </c>
      <c r="AJ701" s="1">
        <v>2</v>
      </c>
      <c r="AK701" s="1">
        <v>9</v>
      </c>
      <c r="AL701" s="9" t="str" cm="1">
        <f t="array" ref="AL701">_xlfn.IFS(AK701 &lt;= 5, "New[1-5]", AK701 &lt;= 10, "Early Career[6-10]", AK701 &lt;= 20, "Established[11-20]", AK701 &lt;= 30, "Veteran[21-30]", AK701 &lt;= 40, "Late Career[31-40]")</f>
        <v>Early Career[6-10]</v>
      </c>
      <c r="AM701" s="1">
        <v>8</v>
      </c>
      <c r="AN701" s="9" t="str" cm="1">
        <f t="array" ref="AN701">_xlfn.IFS(AM701 &lt;= 3, "New to Role[1-3]", AM701 &lt;= 7, "Settled[4-7]", AM701 &lt;= 12, "Experienced[[8-12]", AM701 &lt;= 18, "Long Tenured[13-18]")</f>
        <v>Experienced[[8-12]</v>
      </c>
      <c r="AO701" s="1">
        <v>7</v>
      </c>
      <c r="AP701" s="9" t="str" cm="1">
        <f t="array" ref="AP701">_xlfn.IFS(AO701 &lt;= 3, "Recently[1-3]", AO701 &lt;= 6, "Due Soon[4-6]", AO701 &lt;= 10, "Overdue[7-10]", AO701 &lt;= 15, "Long Overdue[11-15]")</f>
        <v>Overdue[7-10]</v>
      </c>
      <c r="AQ701" s="9" t="str" cm="1">
        <f t="array" ref="AQ701">_xlfn.IFS(AR701 &lt;= 3, "New Relationship[1-3]", AR701 &lt;= 7, "Established Relationship[4-7]", AR701 &lt;= 12, "Long Term Relationship[8-12]", AR701 &lt;= 17, "Very Long Term Relationship[13-17]")</f>
        <v>Long Term Relationship[8-12]</v>
      </c>
      <c r="AR701" s="1">
        <v>8</v>
      </c>
    </row>
    <row r="702" spans="1:44" x14ac:dyDescent="0.25">
      <c r="A702" s="1">
        <v>58</v>
      </c>
      <c r="B702" s="8" t="str" cm="1">
        <f t="array" ref="B702">_xlfn.IFS(A702 &lt;= 25, "[18-25]", A702 &lt;= 35, "[26-35]", A702 &lt;=45, "[36-45]", A702 &lt;= 60, "[46- 60]")</f>
        <v>[46- 60]</v>
      </c>
      <c r="C702" s="3" t="s">
        <v>35</v>
      </c>
      <c r="D702">
        <f t="shared" si="10"/>
        <v>1</v>
      </c>
      <c r="E702" t="s">
        <v>36</v>
      </c>
      <c r="F702" s="1">
        <v>289</v>
      </c>
      <c r="G702" s="3" t="s">
        <v>45</v>
      </c>
      <c r="H702" s="1">
        <v>2</v>
      </c>
      <c r="I702" s="9" t="str" cm="1">
        <f t="array" ref="I702">_xlfn.IFS(H702 &lt;= 2, "[1-2] very close", H702 &lt;= 10, "[3-10] close", H702 &lt;= 20, "[11-20] moderate", H702 &lt;= 30, "[21-30] far")</f>
        <v>[1-2] very close</v>
      </c>
      <c r="J702" s="1">
        <v>3</v>
      </c>
      <c r="K702" s="3" t="s">
        <v>60</v>
      </c>
      <c r="L702" s="1">
        <v>1</v>
      </c>
      <c r="M702" s="1">
        <v>977</v>
      </c>
      <c r="N702" s="1">
        <v>4</v>
      </c>
      <c r="O702" s="3" t="s">
        <v>46</v>
      </c>
      <c r="P702" s="1">
        <v>51</v>
      </c>
      <c r="Q702" s="1">
        <v>3</v>
      </c>
      <c r="R702" s="1">
        <v>1</v>
      </c>
      <c r="S702" s="3" t="s">
        <v>47</v>
      </c>
      <c r="T702" s="1">
        <v>3</v>
      </c>
      <c r="U702" s="3" t="s">
        <v>41</v>
      </c>
      <c r="V702" s="4">
        <v>2479</v>
      </c>
      <c r="W702" s="1">
        <v>26227</v>
      </c>
      <c r="X702" s="1">
        <v>4</v>
      </c>
      <c r="Y702" s="3" t="s">
        <v>42</v>
      </c>
      <c r="Z702" s="3" t="s">
        <v>43</v>
      </c>
      <c r="AA702" s="5">
        <v>0.24</v>
      </c>
      <c r="AB702" s="10" t="str" cm="1">
        <f t="array" ref="AB702">_xlfn.IFS(AA702 &lt;= 15%, "Low Hike[11-15%]", AA702 &lt;= 20%, "Moderate Hike[16-20%]", AA702 &lt;= 25%,"High Hike[21-25%]")</f>
        <v>High Hike[21-25%]</v>
      </c>
      <c r="AC702" s="1">
        <v>4</v>
      </c>
      <c r="AD702" s="1">
        <v>1</v>
      </c>
      <c r="AE702" s="1">
        <v>80</v>
      </c>
      <c r="AF702" s="1">
        <v>0</v>
      </c>
      <c r="AG702" s="1">
        <v>7</v>
      </c>
      <c r="AH702" s="9" t="str" cm="1">
        <f t="array" ref="AH702">_xlfn.IFS(AG702 &lt;= 5, "New[1-5]", AG702 &lt;= 10, "Early Career[6-10]", AG702 &lt;= 20, "Established[11-20]", AG702 &lt;= 30, "Veteran[21-30]", AG702 &lt;= 40, "Late Career[31-40]")</f>
        <v>Early Career[6-10]</v>
      </c>
      <c r="AI702" s="1">
        <v>4</v>
      </c>
      <c r="AJ702" s="1">
        <v>3</v>
      </c>
      <c r="AK702" s="1">
        <v>1</v>
      </c>
      <c r="AL702" s="9" t="str" cm="1">
        <f t="array" ref="AL702">_xlfn.IFS(AK702 &lt;= 5, "New[1-5]", AK702 &lt;= 10, "Early Career[6-10]", AK702 &lt;= 20, "Established[11-20]", AK702 &lt;= 30, "Veteran[21-30]", AK702 &lt;= 40, "Late Career[31-40]")</f>
        <v>New[1-5]</v>
      </c>
      <c r="AM702" s="1">
        <v>0</v>
      </c>
      <c r="AN702" s="9" t="str" cm="1">
        <f t="array" ref="AN702">_xlfn.IFS(AM702 &lt;= 3, "New to Role[1-3]", AM702 &lt;= 7, "Settled[4-7]", AM702 &lt;= 12, "Experienced[[8-12]", AM702 &lt;= 18, "Long Tenured[13-18]")</f>
        <v>New to Role[1-3]</v>
      </c>
      <c r="AO702" s="1">
        <v>0</v>
      </c>
      <c r="AP702" s="9" t="str" cm="1">
        <f t="array" ref="AP702">_xlfn.IFS(AO702 &lt;= 3, "Recently[1-3]", AO702 &lt;= 6, "Due Soon[4-6]", AO702 &lt;= 10, "Overdue[7-10]", AO702 &lt;= 15, "Long Overdue[11-15]")</f>
        <v>Recently[1-3]</v>
      </c>
      <c r="AQ702" s="9" t="str" cm="1">
        <f t="array" ref="AQ702">_xlfn.IFS(AR702 &lt;= 3, "New Relationship[1-3]", AR702 &lt;= 7, "Established Relationship[4-7]", AR702 &lt;= 12, "Long Term Relationship[8-12]", AR702 &lt;= 17, "Very Long Term Relationship[13-17]")</f>
        <v>New Relationship[1-3]</v>
      </c>
      <c r="AR702" s="1">
        <v>0</v>
      </c>
    </row>
    <row r="703" spans="1:44" x14ac:dyDescent="0.25">
      <c r="A703" s="1">
        <v>53</v>
      </c>
      <c r="B703" s="8" t="str" cm="1">
        <f t="array" ref="B703">_xlfn.IFS(A703 &lt;= 25, "[18-25]", A703 &lt;= 35, "[26-35]", A703 &lt;=45, "[36-45]", A703 &lt;= 60, "[46- 60]")</f>
        <v>[46- 60]</v>
      </c>
      <c r="C703" s="3" t="s">
        <v>43</v>
      </c>
      <c r="D703">
        <f t="shared" si="10"/>
        <v>0</v>
      </c>
      <c r="E703" t="s">
        <v>36</v>
      </c>
      <c r="F703" s="1">
        <v>1376</v>
      </c>
      <c r="G703" s="3" t="s">
        <v>37</v>
      </c>
      <c r="H703" s="1">
        <v>2</v>
      </c>
      <c r="I703" s="9" t="str" cm="1">
        <f t="array" ref="I703">_xlfn.IFS(H703 &lt;= 2, "[1-2] very close", H703 &lt;= 10, "[3-10] close", H703 &lt;= 20, "[11-20] moderate", H703 &lt;= 30, "[21-30] far")</f>
        <v>[1-2] very close</v>
      </c>
      <c r="J703" s="1">
        <v>2</v>
      </c>
      <c r="K703" s="3" t="s">
        <v>51</v>
      </c>
      <c r="L703" s="1">
        <v>1</v>
      </c>
      <c r="M703" s="1">
        <v>981</v>
      </c>
      <c r="N703" s="1">
        <v>3</v>
      </c>
      <c r="O703" s="3" t="s">
        <v>46</v>
      </c>
      <c r="P703" s="1">
        <v>45</v>
      </c>
      <c r="Q703" s="1">
        <v>3</v>
      </c>
      <c r="R703" s="1">
        <v>4</v>
      </c>
      <c r="S703" s="3" t="s">
        <v>56</v>
      </c>
      <c r="T703" s="1">
        <v>3</v>
      </c>
      <c r="U703" s="3" t="s">
        <v>52</v>
      </c>
      <c r="V703" s="4">
        <v>14852</v>
      </c>
      <c r="W703" s="1">
        <v>13938</v>
      </c>
      <c r="X703" s="1">
        <v>6</v>
      </c>
      <c r="Y703" s="3" t="s">
        <v>42</v>
      </c>
      <c r="Z703" s="3" t="s">
        <v>43</v>
      </c>
      <c r="AA703" s="5">
        <v>0.13</v>
      </c>
      <c r="AB703" s="10" t="str" cm="1">
        <f t="array" ref="AB703">_xlfn.IFS(AA703 &lt;= 15%, "Low Hike[11-15%]", AA703 &lt;= 20%, "Moderate Hike[16-20%]", AA703 &lt;= 25%,"High Hike[21-25%]")</f>
        <v>Low Hike[11-15%]</v>
      </c>
      <c r="AC703" s="1">
        <v>3</v>
      </c>
      <c r="AD703" s="1">
        <v>3</v>
      </c>
      <c r="AE703" s="1">
        <v>80</v>
      </c>
      <c r="AF703" s="1">
        <v>1</v>
      </c>
      <c r="AG703" s="1">
        <v>22</v>
      </c>
      <c r="AH703" s="9" t="str" cm="1">
        <f t="array" ref="AH703">_xlfn.IFS(AG703 &lt;= 5, "New[1-5]", AG703 &lt;= 10, "Early Career[6-10]", AG703 &lt;= 20, "Established[11-20]", AG703 &lt;= 30, "Veteran[21-30]", AG703 &lt;= 40, "Late Career[31-40]")</f>
        <v>Veteran[21-30]</v>
      </c>
      <c r="AI703" s="1">
        <v>3</v>
      </c>
      <c r="AJ703" s="1">
        <v>4</v>
      </c>
      <c r="AK703" s="1">
        <v>17</v>
      </c>
      <c r="AL703" s="9" t="str" cm="1">
        <f t="array" ref="AL703">_xlfn.IFS(AK703 &lt;= 5, "New[1-5]", AK703 &lt;= 10, "Early Career[6-10]", AK703 &lt;= 20, "Established[11-20]", AK703 &lt;= 30, "Veteran[21-30]", AK703 &lt;= 40, "Late Career[31-40]")</f>
        <v>Established[11-20]</v>
      </c>
      <c r="AM703" s="1">
        <v>13</v>
      </c>
      <c r="AN703" s="9" t="str" cm="1">
        <f t="array" ref="AN703">_xlfn.IFS(AM703 &lt;= 3, "New to Role[1-3]", AM703 &lt;= 7, "Settled[4-7]", AM703 &lt;= 12, "Experienced[[8-12]", AM703 &lt;= 18, "Long Tenured[13-18]")</f>
        <v>Long Tenured[13-18]</v>
      </c>
      <c r="AO703" s="1">
        <v>15</v>
      </c>
      <c r="AP703" s="9" t="str" cm="1">
        <f t="array" ref="AP703">_xlfn.IFS(AO703 &lt;= 3, "Recently[1-3]", AO703 &lt;= 6, "Due Soon[4-6]", AO703 &lt;= 10, "Overdue[7-10]", AO703 &lt;= 15, "Long Overdue[11-15]")</f>
        <v>Long Overdue[11-15]</v>
      </c>
      <c r="AQ703" s="9" t="str" cm="1">
        <f t="array" ref="AQ703">_xlfn.IFS(AR703 &lt;= 3, "New Relationship[1-3]", AR703 &lt;= 7, "Established Relationship[4-7]", AR703 &lt;= 12, "Long Term Relationship[8-12]", AR703 &lt;= 17, "Very Long Term Relationship[13-17]")</f>
        <v>New Relationship[1-3]</v>
      </c>
      <c r="AR703" s="1">
        <v>2</v>
      </c>
    </row>
    <row r="704" spans="1:44" x14ac:dyDescent="0.25">
      <c r="A704" s="1">
        <v>30</v>
      </c>
      <c r="B704" s="8" t="str" cm="1">
        <f t="array" ref="B704">_xlfn.IFS(A704 &lt;= 25, "[18-25]", A704 &lt;= 35, "[26-35]", A704 &lt;=45, "[36-45]", A704 &lt;= 60, "[46- 60]")</f>
        <v>[26-35]</v>
      </c>
      <c r="C704" s="3" t="s">
        <v>43</v>
      </c>
      <c r="D704">
        <f t="shared" si="10"/>
        <v>0</v>
      </c>
      <c r="E704" t="s">
        <v>36</v>
      </c>
      <c r="F704" s="1">
        <v>231</v>
      </c>
      <c r="G704" s="3" t="s">
        <v>37</v>
      </c>
      <c r="H704" s="1">
        <v>8</v>
      </c>
      <c r="I704" s="9" t="str" cm="1">
        <f t="array" ref="I704">_xlfn.IFS(H704 &lt;= 2, "[1-2] very close", H704 &lt;= 10, "[3-10] close", H704 &lt;= 20, "[11-20] moderate", H704 &lt;= 30, "[21-30] far")</f>
        <v>[3-10] close</v>
      </c>
      <c r="J704" s="1">
        <v>2</v>
      </c>
      <c r="K704" s="3" t="s">
        <v>49</v>
      </c>
      <c r="L704" s="1">
        <v>1</v>
      </c>
      <c r="M704" s="1">
        <v>982</v>
      </c>
      <c r="N704" s="1">
        <v>3</v>
      </c>
      <c r="O704" s="3" t="s">
        <v>46</v>
      </c>
      <c r="P704" s="1">
        <v>62</v>
      </c>
      <c r="Q704" s="1">
        <v>3</v>
      </c>
      <c r="R704" s="1">
        <v>3</v>
      </c>
      <c r="S704" s="3" t="s">
        <v>40</v>
      </c>
      <c r="T704" s="1">
        <v>3</v>
      </c>
      <c r="U704" s="3" t="s">
        <v>52</v>
      </c>
      <c r="V704" s="4">
        <v>7264</v>
      </c>
      <c r="W704" s="1">
        <v>9977</v>
      </c>
      <c r="X704" s="1">
        <v>5</v>
      </c>
      <c r="Y704" s="3" t="s">
        <v>42</v>
      </c>
      <c r="Z704" s="3" t="s">
        <v>43</v>
      </c>
      <c r="AA704" s="5">
        <v>0.11</v>
      </c>
      <c r="AB704" s="10" t="str" cm="1">
        <f t="array" ref="AB704">_xlfn.IFS(AA704 &lt;= 15%, "Low Hike[11-15%]", AA704 &lt;= 20%, "Moderate Hike[16-20%]", AA704 &lt;= 25%,"High Hike[21-25%]")</f>
        <v>Low Hike[11-15%]</v>
      </c>
      <c r="AC704" s="1">
        <v>3</v>
      </c>
      <c r="AD704" s="1">
        <v>1</v>
      </c>
      <c r="AE704" s="1">
        <v>80</v>
      </c>
      <c r="AF704" s="1">
        <v>1</v>
      </c>
      <c r="AG704" s="1">
        <v>10</v>
      </c>
      <c r="AH704" s="9" t="str" cm="1">
        <f t="array" ref="AH704">_xlfn.IFS(AG704 &lt;= 5, "New[1-5]", AG704 &lt;= 10, "Early Career[6-10]", AG704 &lt;= 20, "Established[11-20]", AG704 &lt;= 30, "Veteran[21-30]", AG704 &lt;= 40, "Late Career[31-40]")</f>
        <v>Early Career[6-10]</v>
      </c>
      <c r="AI704" s="1">
        <v>2</v>
      </c>
      <c r="AJ704" s="1">
        <v>4</v>
      </c>
      <c r="AK704" s="1">
        <v>8</v>
      </c>
      <c r="AL704" s="9" t="str" cm="1">
        <f t="array" ref="AL704">_xlfn.IFS(AK704 &lt;= 5, "New[1-5]", AK704 &lt;= 10, "Early Career[6-10]", AK704 &lt;= 20, "Established[11-20]", AK704 &lt;= 30, "Veteran[21-30]", AK704 &lt;= 40, "Late Career[31-40]")</f>
        <v>Early Career[6-10]</v>
      </c>
      <c r="AM704" s="1">
        <v>4</v>
      </c>
      <c r="AN704" s="9" t="str" cm="1">
        <f t="array" ref="AN704">_xlfn.IFS(AM704 &lt;= 3, "New to Role[1-3]", AM704 &lt;= 7, "Settled[4-7]", AM704 &lt;= 12, "Experienced[[8-12]", AM704 &lt;= 18, "Long Tenured[13-18]")</f>
        <v>Settled[4-7]</v>
      </c>
      <c r="AO704" s="1">
        <v>7</v>
      </c>
      <c r="AP704" s="9" t="str" cm="1">
        <f t="array" ref="AP704">_xlfn.IFS(AO704 &lt;= 3, "Recently[1-3]", AO704 &lt;= 6, "Due Soon[4-6]", AO704 &lt;= 10, "Overdue[7-10]", AO704 &lt;= 15, "Long Overdue[11-15]")</f>
        <v>Overdue[7-10]</v>
      </c>
      <c r="AQ704" s="9" t="str" cm="1">
        <f t="array" ref="AQ704">_xlfn.IFS(AR704 &lt;= 3, "New Relationship[1-3]", AR704 &lt;= 7, "Established Relationship[4-7]", AR704 &lt;= 12, "Long Term Relationship[8-12]", AR704 &lt;= 17, "Very Long Term Relationship[13-17]")</f>
        <v>Established Relationship[4-7]</v>
      </c>
      <c r="AR704" s="1">
        <v>7</v>
      </c>
    </row>
    <row r="705" spans="1:44" x14ac:dyDescent="0.25">
      <c r="A705" s="1">
        <v>38</v>
      </c>
      <c r="B705" s="8" t="str" cm="1">
        <f t="array" ref="B705">_xlfn.IFS(A705 &lt;= 25, "[18-25]", A705 &lt;= 35, "[26-35]", A705 &lt;=45, "[36-45]", A705 &lt;= 60, "[46- 60]")</f>
        <v>[36-45]</v>
      </c>
      <c r="C705" s="3" t="s">
        <v>43</v>
      </c>
      <c r="D705">
        <f t="shared" si="10"/>
        <v>0</v>
      </c>
      <c r="E705" t="s">
        <v>62</v>
      </c>
      <c r="F705" s="1">
        <v>152</v>
      </c>
      <c r="G705" s="3" t="s">
        <v>37</v>
      </c>
      <c r="H705" s="1">
        <v>10</v>
      </c>
      <c r="I705" s="9" t="str" cm="1">
        <f t="array" ref="I705">_xlfn.IFS(H705 &lt;= 2, "[1-2] very close", H705 &lt;= 10, "[3-10] close", H705 &lt;= 20, "[11-20] moderate", H705 &lt;= 30, "[21-30] far")</f>
        <v>[3-10] close</v>
      </c>
      <c r="J705" s="1">
        <v>3</v>
      </c>
      <c r="K705" s="3" t="s">
        <v>60</v>
      </c>
      <c r="L705" s="1">
        <v>1</v>
      </c>
      <c r="M705" s="1">
        <v>983</v>
      </c>
      <c r="N705" s="1">
        <v>3</v>
      </c>
      <c r="O705" s="3" t="s">
        <v>39</v>
      </c>
      <c r="P705" s="1">
        <v>85</v>
      </c>
      <c r="Q705" s="1">
        <v>3</v>
      </c>
      <c r="R705" s="1">
        <v>2</v>
      </c>
      <c r="S705" s="3" t="s">
        <v>40</v>
      </c>
      <c r="T705" s="1">
        <v>4</v>
      </c>
      <c r="U705" s="3" t="s">
        <v>41</v>
      </c>
      <c r="V705" s="4">
        <v>5666</v>
      </c>
      <c r="W705" s="1">
        <v>19899</v>
      </c>
      <c r="X705" s="1">
        <v>1</v>
      </c>
      <c r="Y705" s="3" t="s">
        <v>42</v>
      </c>
      <c r="Z705" s="3" t="s">
        <v>35</v>
      </c>
      <c r="AA705" s="5">
        <v>0.13</v>
      </c>
      <c r="AB705" s="10" t="str" cm="1">
        <f t="array" ref="AB705">_xlfn.IFS(AA705 &lt;= 15%, "Low Hike[11-15%]", AA705 &lt;= 20%, "Moderate Hike[16-20%]", AA705 &lt;= 25%,"High Hike[21-25%]")</f>
        <v>Low Hike[11-15%]</v>
      </c>
      <c r="AC705" s="1">
        <v>3</v>
      </c>
      <c r="AD705" s="1">
        <v>2</v>
      </c>
      <c r="AE705" s="1">
        <v>80</v>
      </c>
      <c r="AF705" s="1">
        <v>0</v>
      </c>
      <c r="AG705" s="1">
        <v>6</v>
      </c>
      <c r="AH705" s="9" t="str" cm="1">
        <f t="array" ref="AH705">_xlfn.IFS(AG705 &lt;= 5, "New[1-5]", AG705 &lt;= 10, "Early Career[6-10]", AG705 &lt;= 20, "Established[11-20]", AG705 &lt;= 30, "Veteran[21-30]", AG705 &lt;= 40, "Late Career[31-40]")</f>
        <v>Early Career[6-10]</v>
      </c>
      <c r="AI705" s="1">
        <v>1</v>
      </c>
      <c r="AJ705" s="1">
        <v>3</v>
      </c>
      <c r="AK705" s="1">
        <v>5</v>
      </c>
      <c r="AL705" s="9" t="str" cm="1">
        <f t="array" ref="AL705">_xlfn.IFS(AK705 &lt;= 5, "New[1-5]", AK705 &lt;= 10, "Early Career[6-10]", AK705 &lt;= 20, "Established[11-20]", AK705 &lt;= 30, "Veteran[21-30]", AK705 &lt;= 40, "Late Career[31-40]")</f>
        <v>New[1-5]</v>
      </c>
      <c r="AM705" s="1">
        <v>3</v>
      </c>
      <c r="AN705" s="9" t="str" cm="1">
        <f t="array" ref="AN705">_xlfn.IFS(AM705 &lt;= 3, "New to Role[1-3]", AM705 &lt;= 7, "Settled[4-7]", AM705 &lt;= 12, "Experienced[[8-12]", AM705 &lt;= 18, "Long Tenured[13-18]")</f>
        <v>New to Role[1-3]</v>
      </c>
      <c r="AO705" s="1">
        <v>1</v>
      </c>
      <c r="AP705" s="9" t="str" cm="1">
        <f t="array" ref="AP705">_xlfn.IFS(AO705 &lt;= 3, "Recently[1-3]", AO705 &lt;= 6, "Due Soon[4-6]", AO705 &lt;= 10, "Overdue[7-10]", AO705 &lt;= 15, "Long Overdue[11-15]")</f>
        <v>Recently[1-3]</v>
      </c>
      <c r="AQ705" s="9" t="str" cm="1">
        <f t="array" ref="AQ705">_xlfn.IFS(AR705 &lt;= 3, "New Relationship[1-3]", AR705 &lt;= 7, "Established Relationship[4-7]", AR705 &lt;= 12, "Long Term Relationship[8-12]", AR705 &lt;= 17, "Very Long Term Relationship[13-17]")</f>
        <v>New Relationship[1-3]</v>
      </c>
      <c r="AR705" s="1">
        <v>3</v>
      </c>
    </row>
    <row r="706" spans="1:44" x14ac:dyDescent="0.25">
      <c r="A706" s="1">
        <v>35</v>
      </c>
      <c r="B706" s="8" t="str" cm="1">
        <f t="array" ref="B706">_xlfn.IFS(A706 &lt;= 25, "[18-25]", A706 &lt;= 35, "[26-35]", A706 &lt;=45, "[36-45]", A706 &lt;= 60, "[46- 60]")</f>
        <v>[26-35]</v>
      </c>
      <c r="C706" s="3" t="s">
        <v>43</v>
      </c>
      <c r="D706">
        <f t="shared" ref="D706:D769" si="11">IF(C706 = "Yes",1, 0)</f>
        <v>0</v>
      </c>
      <c r="E706" t="s">
        <v>36</v>
      </c>
      <c r="F706" s="1">
        <v>882</v>
      </c>
      <c r="G706" s="3" t="s">
        <v>37</v>
      </c>
      <c r="H706" s="1">
        <v>3</v>
      </c>
      <c r="I706" s="9" t="str" cm="1">
        <f t="array" ref="I706">_xlfn.IFS(H706 &lt;= 2, "[1-2] very close", H706 &lt;= 10, "[3-10] close", H706 &lt;= 20, "[11-20] moderate", H706 &lt;= 30, "[21-30] far")</f>
        <v>[3-10] close</v>
      </c>
      <c r="J706" s="1">
        <v>4</v>
      </c>
      <c r="K706" s="3" t="s">
        <v>38</v>
      </c>
      <c r="L706" s="1">
        <v>1</v>
      </c>
      <c r="M706" s="1">
        <v>984</v>
      </c>
      <c r="N706" s="1">
        <v>4</v>
      </c>
      <c r="O706" s="3" t="s">
        <v>46</v>
      </c>
      <c r="P706" s="1">
        <v>92</v>
      </c>
      <c r="Q706" s="1">
        <v>3</v>
      </c>
      <c r="R706" s="1">
        <v>3</v>
      </c>
      <c r="S706" s="3" t="s">
        <v>40</v>
      </c>
      <c r="T706" s="1">
        <v>4</v>
      </c>
      <c r="U706" s="3" t="s">
        <v>52</v>
      </c>
      <c r="V706" s="4">
        <v>7823</v>
      </c>
      <c r="W706" s="1">
        <v>6812</v>
      </c>
      <c r="X706" s="1">
        <v>6</v>
      </c>
      <c r="Y706" s="3" t="s">
        <v>42</v>
      </c>
      <c r="Z706" s="3" t="s">
        <v>43</v>
      </c>
      <c r="AA706" s="5">
        <v>0.13</v>
      </c>
      <c r="AB706" s="10" t="str" cm="1">
        <f t="array" ref="AB706">_xlfn.IFS(AA706 &lt;= 15%, "Low Hike[11-15%]", AA706 &lt;= 20%, "Moderate Hike[16-20%]", AA706 &lt;= 25%,"High Hike[21-25%]")</f>
        <v>Low Hike[11-15%]</v>
      </c>
      <c r="AC706" s="1">
        <v>3</v>
      </c>
      <c r="AD706" s="1">
        <v>2</v>
      </c>
      <c r="AE706" s="1">
        <v>80</v>
      </c>
      <c r="AF706" s="1">
        <v>1</v>
      </c>
      <c r="AG706" s="1">
        <v>12</v>
      </c>
      <c r="AH706" s="9" t="str" cm="1">
        <f t="array" ref="AH706">_xlfn.IFS(AG706 &lt;= 5, "New[1-5]", AG706 &lt;= 10, "Early Career[6-10]", AG706 &lt;= 20, "Established[11-20]", AG706 &lt;= 30, "Veteran[21-30]", AG706 &lt;= 40, "Late Career[31-40]")</f>
        <v>Established[11-20]</v>
      </c>
      <c r="AI706" s="1">
        <v>2</v>
      </c>
      <c r="AJ706" s="1">
        <v>3</v>
      </c>
      <c r="AK706" s="1">
        <v>10</v>
      </c>
      <c r="AL706" s="9" t="str" cm="1">
        <f t="array" ref="AL706">_xlfn.IFS(AK706 &lt;= 5, "New[1-5]", AK706 &lt;= 10, "Early Career[6-10]", AK706 &lt;= 20, "Established[11-20]", AK706 &lt;= 30, "Veteran[21-30]", AK706 &lt;= 40, "Late Career[31-40]")</f>
        <v>Early Career[6-10]</v>
      </c>
      <c r="AM706" s="1">
        <v>9</v>
      </c>
      <c r="AN706" s="9" t="str" cm="1">
        <f t="array" ref="AN706">_xlfn.IFS(AM706 &lt;= 3, "New to Role[1-3]", AM706 &lt;= 7, "Settled[4-7]", AM706 &lt;= 12, "Experienced[[8-12]", AM706 &lt;= 18, "Long Tenured[13-18]")</f>
        <v>Experienced[[8-12]</v>
      </c>
      <c r="AO706" s="1">
        <v>0</v>
      </c>
      <c r="AP706" s="9" t="str" cm="1">
        <f t="array" ref="AP706">_xlfn.IFS(AO706 &lt;= 3, "Recently[1-3]", AO706 &lt;= 6, "Due Soon[4-6]", AO706 &lt;= 10, "Overdue[7-10]", AO706 &lt;= 15, "Long Overdue[11-15]")</f>
        <v>Recently[1-3]</v>
      </c>
      <c r="AQ706" s="9" t="str" cm="1">
        <f t="array" ref="AQ706">_xlfn.IFS(AR706 &lt;= 3, "New Relationship[1-3]", AR706 &lt;= 7, "Established Relationship[4-7]", AR706 &lt;= 12, "Long Term Relationship[8-12]", AR706 &lt;= 17, "Very Long Term Relationship[13-17]")</f>
        <v>Long Term Relationship[8-12]</v>
      </c>
      <c r="AR706" s="1">
        <v>8</v>
      </c>
    </row>
    <row r="707" spans="1:44" x14ac:dyDescent="0.25">
      <c r="A707" s="1">
        <v>39</v>
      </c>
      <c r="B707" s="8" t="str" cm="1">
        <f t="array" ref="B707">_xlfn.IFS(A707 &lt;= 25, "[18-25]", A707 &lt;= 35, "[26-35]", A707 &lt;=45, "[36-45]", A707 &lt;= 60, "[46- 60]")</f>
        <v>[36-45]</v>
      </c>
      <c r="C707" s="3" t="s">
        <v>43</v>
      </c>
      <c r="D707">
        <f t="shared" si="11"/>
        <v>0</v>
      </c>
      <c r="E707" t="s">
        <v>36</v>
      </c>
      <c r="F707" s="1">
        <v>903</v>
      </c>
      <c r="G707" s="3" t="s">
        <v>37</v>
      </c>
      <c r="H707" s="1">
        <v>2</v>
      </c>
      <c r="I707" s="9" t="str" cm="1">
        <f t="array" ref="I707">_xlfn.IFS(H707 &lt;= 2, "[1-2] very close", H707 &lt;= 10, "[3-10] close", H707 &lt;= 20, "[11-20] moderate", H707 &lt;= 30, "[21-30] far")</f>
        <v>[1-2] very close</v>
      </c>
      <c r="J707" s="1">
        <v>5</v>
      </c>
      <c r="K707" s="3" t="s">
        <v>38</v>
      </c>
      <c r="L707" s="1">
        <v>1</v>
      </c>
      <c r="M707" s="1">
        <v>985</v>
      </c>
      <c r="N707" s="1">
        <v>1</v>
      </c>
      <c r="O707" s="3" t="s">
        <v>46</v>
      </c>
      <c r="P707" s="1">
        <v>41</v>
      </c>
      <c r="Q707" s="1">
        <v>4</v>
      </c>
      <c r="R707" s="1">
        <v>3</v>
      </c>
      <c r="S707" s="3" t="s">
        <v>40</v>
      </c>
      <c r="T707" s="1">
        <v>3</v>
      </c>
      <c r="U707" s="3" t="s">
        <v>41</v>
      </c>
      <c r="V707" s="4">
        <v>7880</v>
      </c>
      <c r="W707" s="1">
        <v>2560</v>
      </c>
      <c r="X707" s="1">
        <v>0</v>
      </c>
      <c r="Y707" s="3" t="s">
        <v>42</v>
      </c>
      <c r="Z707" s="3" t="s">
        <v>43</v>
      </c>
      <c r="AA707" s="5">
        <v>0.18</v>
      </c>
      <c r="AB707" s="10" t="str" cm="1">
        <f t="array" ref="AB707">_xlfn.IFS(AA707 &lt;= 15%, "Low Hike[11-15%]", AA707 &lt;= 20%, "Moderate Hike[16-20%]", AA707 &lt;= 25%,"High Hike[21-25%]")</f>
        <v>Moderate Hike[16-20%]</v>
      </c>
      <c r="AC707" s="1">
        <v>3</v>
      </c>
      <c r="AD707" s="1">
        <v>4</v>
      </c>
      <c r="AE707" s="1">
        <v>80</v>
      </c>
      <c r="AF707" s="1">
        <v>0</v>
      </c>
      <c r="AG707" s="1">
        <v>9</v>
      </c>
      <c r="AH707" s="9" t="str" cm="1">
        <f t="array" ref="AH707">_xlfn.IFS(AG707 &lt;= 5, "New[1-5]", AG707 &lt;= 10, "Early Career[6-10]", AG707 &lt;= 20, "Established[11-20]", AG707 &lt;= 30, "Veteran[21-30]", AG707 &lt;= 40, "Late Career[31-40]")</f>
        <v>Early Career[6-10]</v>
      </c>
      <c r="AI707" s="1">
        <v>3</v>
      </c>
      <c r="AJ707" s="1">
        <v>3</v>
      </c>
      <c r="AK707" s="1">
        <v>8</v>
      </c>
      <c r="AL707" s="9" t="str" cm="1">
        <f t="array" ref="AL707">_xlfn.IFS(AK707 &lt;= 5, "New[1-5]", AK707 &lt;= 10, "Early Career[6-10]", AK707 &lt;= 20, "Established[11-20]", AK707 &lt;= 30, "Veteran[21-30]", AK707 &lt;= 40, "Late Career[31-40]")</f>
        <v>Early Career[6-10]</v>
      </c>
      <c r="AM707" s="1">
        <v>7</v>
      </c>
      <c r="AN707" s="9" t="str" cm="1">
        <f t="array" ref="AN707">_xlfn.IFS(AM707 &lt;= 3, "New to Role[1-3]", AM707 &lt;= 7, "Settled[4-7]", AM707 &lt;= 12, "Experienced[[8-12]", AM707 &lt;= 18, "Long Tenured[13-18]")</f>
        <v>Settled[4-7]</v>
      </c>
      <c r="AO707" s="1">
        <v>0</v>
      </c>
      <c r="AP707" s="9" t="str" cm="1">
        <f t="array" ref="AP707">_xlfn.IFS(AO707 &lt;= 3, "Recently[1-3]", AO707 &lt;= 6, "Due Soon[4-6]", AO707 &lt;= 10, "Overdue[7-10]", AO707 &lt;= 15, "Long Overdue[11-15]")</f>
        <v>Recently[1-3]</v>
      </c>
      <c r="AQ707" s="9" t="str" cm="1">
        <f t="array" ref="AQ707">_xlfn.IFS(AR707 &lt;= 3, "New Relationship[1-3]", AR707 &lt;= 7, "Established Relationship[4-7]", AR707 &lt;= 12, "Long Term Relationship[8-12]", AR707 &lt;= 17, "Very Long Term Relationship[13-17]")</f>
        <v>Established Relationship[4-7]</v>
      </c>
      <c r="AR707" s="1">
        <v>7</v>
      </c>
    </row>
    <row r="708" spans="1:44" x14ac:dyDescent="0.25">
      <c r="A708" s="1">
        <v>40</v>
      </c>
      <c r="B708" s="8" t="str" cm="1">
        <f t="array" ref="B708">_xlfn.IFS(A708 &lt;= 25, "[18-25]", A708 &lt;= 35, "[26-35]", A708 &lt;=45, "[36-45]", A708 &lt;= 60, "[46- 60]")</f>
        <v>[36-45]</v>
      </c>
      <c r="C708" s="3" t="s">
        <v>35</v>
      </c>
      <c r="D708">
        <f t="shared" si="11"/>
        <v>1</v>
      </c>
      <c r="E708" t="s">
        <v>62</v>
      </c>
      <c r="F708" s="1">
        <v>1479</v>
      </c>
      <c r="G708" s="3" t="s">
        <v>37</v>
      </c>
      <c r="H708" s="1">
        <v>24</v>
      </c>
      <c r="I708" s="9" t="str" cm="1">
        <f t="array" ref="I708">_xlfn.IFS(H708 &lt;= 2, "[1-2] very close", H708 &lt;= 10, "[3-10] close", H708 &lt;= 20, "[11-20] moderate", H708 &lt;= 30, "[21-30] far")</f>
        <v>[21-30] far</v>
      </c>
      <c r="J708" s="1">
        <v>3</v>
      </c>
      <c r="K708" s="3" t="s">
        <v>38</v>
      </c>
      <c r="L708" s="1">
        <v>1</v>
      </c>
      <c r="M708" s="1">
        <v>986</v>
      </c>
      <c r="N708" s="1">
        <v>2</v>
      </c>
      <c r="O708" s="3" t="s">
        <v>39</v>
      </c>
      <c r="P708" s="1">
        <v>100</v>
      </c>
      <c r="Q708" s="1">
        <v>4</v>
      </c>
      <c r="R708" s="1">
        <v>4</v>
      </c>
      <c r="S708" s="3" t="s">
        <v>40</v>
      </c>
      <c r="T708" s="1">
        <v>2</v>
      </c>
      <c r="U708" s="3" t="s">
        <v>41</v>
      </c>
      <c r="V708" s="4">
        <v>13194</v>
      </c>
      <c r="W708" s="1">
        <v>17071</v>
      </c>
      <c r="X708" s="1">
        <v>4</v>
      </c>
      <c r="Y708" s="3" t="s">
        <v>42</v>
      </c>
      <c r="Z708" s="3" t="s">
        <v>35</v>
      </c>
      <c r="AA708" s="5">
        <v>0.16</v>
      </c>
      <c r="AB708" s="10" t="str" cm="1">
        <f t="array" ref="AB708">_xlfn.IFS(AA708 &lt;= 15%, "Low Hike[11-15%]", AA708 &lt;= 20%, "Moderate Hike[16-20%]", AA708 &lt;= 25%,"High Hike[21-25%]")</f>
        <v>Moderate Hike[16-20%]</v>
      </c>
      <c r="AC708" s="1">
        <v>3</v>
      </c>
      <c r="AD708" s="1">
        <v>4</v>
      </c>
      <c r="AE708" s="1">
        <v>80</v>
      </c>
      <c r="AF708" s="1">
        <v>0</v>
      </c>
      <c r="AG708" s="1">
        <v>22</v>
      </c>
      <c r="AH708" s="9" t="str" cm="1">
        <f t="array" ref="AH708">_xlfn.IFS(AG708 &lt;= 5, "New[1-5]", AG708 &lt;= 10, "Early Career[6-10]", AG708 &lt;= 20, "Established[11-20]", AG708 &lt;= 30, "Veteran[21-30]", AG708 &lt;= 40, "Late Career[31-40]")</f>
        <v>Veteran[21-30]</v>
      </c>
      <c r="AI708" s="1">
        <v>2</v>
      </c>
      <c r="AJ708" s="1">
        <v>2</v>
      </c>
      <c r="AK708" s="1">
        <v>1</v>
      </c>
      <c r="AL708" s="9" t="str" cm="1">
        <f t="array" ref="AL708">_xlfn.IFS(AK708 &lt;= 5, "New[1-5]", AK708 &lt;= 10, "Early Career[6-10]", AK708 &lt;= 20, "Established[11-20]", AK708 &lt;= 30, "Veteran[21-30]", AK708 &lt;= 40, "Late Career[31-40]")</f>
        <v>New[1-5]</v>
      </c>
      <c r="AM708" s="1">
        <v>0</v>
      </c>
      <c r="AN708" s="9" t="str" cm="1">
        <f t="array" ref="AN708">_xlfn.IFS(AM708 &lt;= 3, "New to Role[1-3]", AM708 &lt;= 7, "Settled[4-7]", AM708 &lt;= 12, "Experienced[[8-12]", AM708 &lt;= 18, "Long Tenured[13-18]")</f>
        <v>New to Role[1-3]</v>
      </c>
      <c r="AO708" s="1">
        <v>0</v>
      </c>
      <c r="AP708" s="9" t="str" cm="1">
        <f t="array" ref="AP708">_xlfn.IFS(AO708 &lt;= 3, "Recently[1-3]", AO708 &lt;= 6, "Due Soon[4-6]", AO708 &lt;= 10, "Overdue[7-10]", AO708 &lt;= 15, "Long Overdue[11-15]")</f>
        <v>Recently[1-3]</v>
      </c>
      <c r="AQ708" s="9" t="str" cm="1">
        <f t="array" ref="AQ708">_xlfn.IFS(AR708 &lt;= 3, "New Relationship[1-3]", AR708 &lt;= 7, "Established Relationship[4-7]", AR708 &lt;= 12, "Long Term Relationship[8-12]", AR708 &lt;= 17, "Very Long Term Relationship[13-17]")</f>
        <v>New Relationship[1-3]</v>
      </c>
      <c r="AR708" s="1">
        <v>0</v>
      </c>
    </row>
    <row r="709" spans="1:44" x14ac:dyDescent="0.25">
      <c r="A709" s="1">
        <v>47</v>
      </c>
      <c r="B709" s="8" t="str" cm="1">
        <f t="array" ref="B709">_xlfn.IFS(A709 &lt;= 25, "[18-25]", A709 &lt;= 35, "[26-35]", A709 &lt;=45, "[36-45]", A709 &lt;= 60, "[46- 60]")</f>
        <v>[46- 60]</v>
      </c>
      <c r="C709" s="3" t="s">
        <v>43</v>
      </c>
      <c r="D709">
        <f t="shared" si="11"/>
        <v>0</v>
      </c>
      <c r="E709" t="s">
        <v>44</v>
      </c>
      <c r="F709" s="1">
        <v>1379</v>
      </c>
      <c r="G709" s="3" t="s">
        <v>45</v>
      </c>
      <c r="H709" s="1">
        <v>16</v>
      </c>
      <c r="I709" s="9" t="str" cm="1">
        <f t="array" ref="I709">_xlfn.IFS(H709 &lt;= 2, "[1-2] very close", H709 &lt;= 10, "[3-10] close", H709 &lt;= 20, "[11-20] moderate", H709 &lt;= 30, "[21-30] far")</f>
        <v>[11-20] moderate</v>
      </c>
      <c r="J709" s="1">
        <v>4</v>
      </c>
      <c r="K709" s="3" t="s">
        <v>51</v>
      </c>
      <c r="L709" s="1">
        <v>1</v>
      </c>
      <c r="M709" s="1">
        <v>987</v>
      </c>
      <c r="N709" s="1">
        <v>3</v>
      </c>
      <c r="O709" s="3" t="s">
        <v>46</v>
      </c>
      <c r="P709" s="1">
        <v>64</v>
      </c>
      <c r="Q709" s="1">
        <v>4</v>
      </c>
      <c r="R709" s="1">
        <v>2</v>
      </c>
      <c r="S709" s="3" t="s">
        <v>53</v>
      </c>
      <c r="T709" s="1">
        <v>3</v>
      </c>
      <c r="U709" s="3" t="s">
        <v>52</v>
      </c>
      <c r="V709" s="4">
        <v>5067</v>
      </c>
      <c r="W709" s="1">
        <v>6759</v>
      </c>
      <c r="X709" s="1">
        <v>1</v>
      </c>
      <c r="Y709" s="3" t="s">
        <v>42</v>
      </c>
      <c r="Z709" s="3" t="s">
        <v>35</v>
      </c>
      <c r="AA709" s="5">
        <v>0.19</v>
      </c>
      <c r="AB709" s="10" t="str" cm="1">
        <f t="array" ref="AB709">_xlfn.IFS(AA709 &lt;= 15%, "Low Hike[11-15%]", AA709 &lt;= 20%, "Moderate Hike[16-20%]", AA709 &lt;= 25%,"High Hike[21-25%]")</f>
        <v>Moderate Hike[16-20%]</v>
      </c>
      <c r="AC709" s="1">
        <v>3</v>
      </c>
      <c r="AD709" s="1">
        <v>3</v>
      </c>
      <c r="AE709" s="1">
        <v>80</v>
      </c>
      <c r="AF709" s="1">
        <v>0</v>
      </c>
      <c r="AG709" s="1">
        <v>20</v>
      </c>
      <c r="AH709" s="9" t="str" cm="1">
        <f t="array" ref="AH709">_xlfn.IFS(AG709 &lt;= 5, "New[1-5]", AG709 &lt;= 10, "Early Career[6-10]", AG709 &lt;= 20, "Established[11-20]", AG709 &lt;= 30, "Veteran[21-30]", AG709 &lt;= 40, "Late Career[31-40]")</f>
        <v>Established[11-20]</v>
      </c>
      <c r="AI709" s="1">
        <v>3</v>
      </c>
      <c r="AJ709" s="1">
        <v>4</v>
      </c>
      <c r="AK709" s="1">
        <v>19</v>
      </c>
      <c r="AL709" s="9" t="str" cm="1">
        <f t="array" ref="AL709">_xlfn.IFS(AK709 &lt;= 5, "New[1-5]", AK709 &lt;= 10, "Early Career[6-10]", AK709 &lt;= 20, "Established[11-20]", AK709 &lt;= 30, "Veteran[21-30]", AK709 &lt;= 40, "Late Career[31-40]")</f>
        <v>Established[11-20]</v>
      </c>
      <c r="AM709" s="1">
        <v>10</v>
      </c>
      <c r="AN709" s="9" t="str" cm="1">
        <f t="array" ref="AN709">_xlfn.IFS(AM709 &lt;= 3, "New to Role[1-3]", AM709 &lt;= 7, "Settled[4-7]", AM709 &lt;= 12, "Experienced[[8-12]", AM709 &lt;= 18, "Long Tenured[13-18]")</f>
        <v>Experienced[[8-12]</v>
      </c>
      <c r="AO709" s="1">
        <v>2</v>
      </c>
      <c r="AP709" s="9" t="str" cm="1">
        <f t="array" ref="AP709">_xlfn.IFS(AO709 &lt;= 3, "Recently[1-3]", AO709 &lt;= 6, "Due Soon[4-6]", AO709 &lt;= 10, "Overdue[7-10]", AO709 &lt;= 15, "Long Overdue[11-15]")</f>
        <v>Recently[1-3]</v>
      </c>
      <c r="AQ709" s="9" t="str" cm="1">
        <f t="array" ref="AQ709">_xlfn.IFS(AR709 &lt;= 3, "New Relationship[1-3]", AR709 &lt;= 7, "Established Relationship[4-7]", AR709 &lt;= 12, "Long Term Relationship[8-12]", AR709 &lt;= 17, "Very Long Term Relationship[13-17]")</f>
        <v>Established Relationship[4-7]</v>
      </c>
      <c r="AR709" s="1">
        <v>7</v>
      </c>
    </row>
    <row r="710" spans="1:44" x14ac:dyDescent="0.25">
      <c r="A710" s="1">
        <v>36</v>
      </c>
      <c r="B710" s="8" t="str" cm="1">
        <f t="array" ref="B710">_xlfn.IFS(A710 &lt;= 25, "[18-25]", A710 &lt;= 35, "[26-35]", A710 &lt;=45, "[36-45]", A710 &lt;= 60, "[46- 60]")</f>
        <v>[36-45]</v>
      </c>
      <c r="C710" s="3" t="s">
        <v>43</v>
      </c>
      <c r="D710">
        <f t="shared" si="11"/>
        <v>0</v>
      </c>
      <c r="E710" t="s">
        <v>62</v>
      </c>
      <c r="F710" s="1">
        <v>1229</v>
      </c>
      <c r="G710" s="3" t="s">
        <v>37</v>
      </c>
      <c r="H710" s="1">
        <v>8</v>
      </c>
      <c r="I710" s="9" t="str" cm="1">
        <f t="array" ref="I710">_xlfn.IFS(H710 &lt;= 2, "[1-2] very close", H710 &lt;= 10, "[3-10] close", H710 &lt;= 20, "[11-20] moderate", H710 &lt;= 30, "[21-30] far")</f>
        <v>[3-10] close</v>
      </c>
      <c r="J710" s="1">
        <v>4</v>
      </c>
      <c r="K710" s="3" t="s">
        <v>60</v>
      </c>
      <c r="L710" s="1">
        <v>1</v>
      </c>
      <c r="M710" s="1">
        <v>990</v>
      </c>
      <c r="N710" s="1">
        <v>1</v>
      </c>
      <c r="O710" s="3" t="s">
        <v>46</v>
      </c>
      <c r="P710" s="1">
        <v>84</v>
      </c>
      <c r="Q710" s="1">
        <v>3</v>
      </c>
      <c r="R710" s="1">
        <v>2</v>
      </c>
      <c r="S710" s="3" t="s">
        <v>40</v>
      </c>
      <c r="T710" s="1">
        <v>4</v>
      </c>
      <c r="U710" s="3" t="s">
        <v>52</v>
      </c>
      <c r="V710" s="4">
        <v>5079</v>
      </c>
      <c r="W710" s="1">
        <v>25952</v>
      </c>
      <c r="X710" s="1">
        <v>4</v>
      </c>
      <c r="Y710" s="3" t="s">
        <v>42</v>
      </c>
      <c r="Z710" s="3" t="s">
        <v>43</v>
      </c>
      <c r="AA710" s="5">
        <v>0.13</v>
      </c>
      <c r="AB710" s="10" t="str" cm="1">
        <f t="array" ref="AB710">_xlfn.IFS(AA710 &lt;= 15%, "Low Hike[11-15%]", AA710 &lt;= 20%, "Moderate Hike[16-20%]", AA710 &lt;= 25%,"High Hike[21-25%]")</f>
        <v>Low Hike[11-15%]</v>
      </c>
      <c r="AC710" s="1">
        <v>3</v>
      </c>
      <c r="AD710" s="1">
        <v>4</v>
      </c>
      <c r="AE710" s="1">
        <v>80</v>
      </c>
      <c r="AF710" s="1">
        <v>2</v>
      </c>
      <c r="AG710" s="1">
        <v>12</v>
      </c>
      <c r="AH710" s="9" t="str" cm="1">
        <f t="array" ref="AH710">_xlfn.IFS(AG710 &lt;= 5, "New[1-5]", AG710 &lt;= 10, "Early Career[6-10]", AG710 &lt;= 20, "Established[11-20]", AG710 &lt;= 30, "Veteran[21-30]", AG710 &lt;= 40, "Late Career[31-40]")</f>
        <v>Established[11-20]</v>
      </c>
      <c r="AI710" s="1">
        <v>3</v>
      </c>
      <c r="AJ710" s="1">
        <v>3</v>
      </c>
      <c r="AK710" s="1">
        <v>7</v>
      </c>
      <c r="AL710" s="9" t="str" cm="1">
        <f t="array" ref="AL710">_xlfn.IFS(AK710 &lt;= 5, "New[1-5]", AK710 &lt;= 10, "Early Career[6-10]", AK710 &lt;= 20, "Established[11-20]", AK710 &lt;= 30, "Veteran[21-30]", AK710 &lt;= 40, "Late Career[31-40]")</f>
        <v>Early Career[6-10]</v>
      </c>
      <c r="AM710" s="1">
        <v>7</v>
      </c>
      <c r="AN710" s="9" t="str" cm="1">
        <f t="array" ref="AN710">_xlfn.IFS(AM710 &lt;= 3, "New to Role[1-3]", AM710 &lt;= 7, "Settled[4-7]", AM710 &lt;= 12, "Experienced[[8-12]", AM710 &lt;= 18, "Long Tenured[13-18]")</f>
        <v>Settled[4-7]</v>
      </c>
      <c r="AO710" s="1">
        <v>0</v>
      </c>
      <c r="AP710" s="9" t="str" cm="1">
        <f t="array" ref="AP710">_xlfn.IFS(AO710 &lt;= 3, "Recently[1-3]", AO710 &lt;= 6, "Due Soon[4-6]", AO710 &lt;= 10, "Overdue[7-10]", AO710 &lt;= 15, "Long Overdue[11-15]")</f>
        <v>Recently[1-3]</v>
      </c>
      <c r="AQ710" s="9" t="str" cm="1">
        <f t="array" ref="AQ710">_xlfn.IFS(AR710 &lt;= 3, "New Relationship[1-3]", AR710 &lt;= 7, "Established Relationship[4-7]", AR710 &lt;= 12, "Long Term Relationship[8-12]", AR710 &lt;= 17, "Very Long Term Relationship[13-17]")</f>
        <v>Established Relationship[4-7]</v>
      </c>
      <c r="AR710" s="1">
        <v>7</v>
      </c>
    </row>
    <row r="711" spans="1:44" x14ac:dyDescent="0.25">
      <c r="A711" s="1">
        <v>31</v>
      </c>
      <c r="B711" s="8" t="str" cm="1">
        <f t="array" ref="B711">_xlfn.IFS(A711 &lt;= 25, "[18-25]", A711 &lt;= 35, "[26-35]", A711 &lt;=45, "[36-45]", A711 &lt;= 60, "[46- 60]")</f>
        <v>[26-35]</v>
      </c>
      <c r="C711" s="3" t="s">
        <v>35</v>
      </c>
      <c r="D711">
        <f t="shared" si="11"/>
        <v>1</v>
      </c>
      <c r="E711" t="s">
        <v>62</v>
      </c>
      <c r="F711" s="1">
        <v>335</v>
      </c>
      <c r="G711" s="3" t="s">
        <v>45</v>
      </c>
      <c r="H711" s="1">
        <v>9</v>
      </c>
      <c r="I711" s="9" t="str" cm="1">
        <f t="array" ref="I711">_xlfn.IFS(H711 &lt;= 2, "[1-2] very close", H711 &lt;= 10, "[3-10] close", H711 &lt;= 20, "[11-20] moderate", H711 &lt;= 30, "[21-30] far")</f>
        <v>[3-10] close</v>
      </c>
      <c r="J711" s="1">
        <v>2</v>
      </c>
      <c r="K711" s="3" t="s">
        <v>51</v>
      </c>
      <c r="L711" s="1">
        <v>1</v>
      </c>
      <c r="M711" s="1">
        <v>991</v>
      </c>
      <c r="N711" s="1">
        <v>3</v>
      </c>
      <c r="O711" s="3" t="s">
        <v>46</v>
      </c>
      <c r="P711" s="1">
        <v>46</v>
      </c>
      <c r="Q711" s="1">
        <v>2</v>
      </c>
      <c r="R711" s="1">
        <v>1</v>
      </c>
      <c r="S711" s="3" t="s">
        <v>47</v>
      </c>
      <c r="T711" s="1">
        <v>1</v>
      </c>
      <c r="U711" s="3" t="s">
        <v>41</v>
      </c>
      <c r="V711" s="4">
        <v>2321</v>
      </c>
      <c r="W711" s="1">
        <v>10322</v>
      </c>
      <c r="X711" s="1">
        <v>0</v>
      </c>
      <c r="Y711" s="3" t="s">
        <v>42</v>
      </c>
      <c r="Z711" s="3" t="s">
        <v>35</v>
      </c>
      <c r="AA711" s="5">
        <v>0.22</v>
      </c>
      <c r="AB711" s="10" t="str" cm="1">
        <f t="array" ref="AB711">_xlfn.IFS(AA711 &lt;= 15%, "Low Hike[11-15%]", AA711 &lt;= 20%, "Moderate Hike[16-20%]", AA711 &lt;= 25%,"High Hike[21-25%]")</f>
        <v>High Hike[21-25%]</v>
      </c>
      <c r="AC711" s="1">
        <v>4</v>
      </c>
      <c r="AD711" s="1">
        <v>1</v>
      </c>
      <c r="AE711" s="1">
        <v>80</v>
      </c>
      <c r="AF711" s="1">
        <v>0</v>
      </c>
      <c r="AG711" s="1">
        <v>4</v>
      </c>
      <c r="AH711" s="9" t="str" cm="1">
        <f t="array" ref="AH711">_xlfn.IFS(AG711 &lt;= 5, "New[1-5]", AG711 &lt;= 10, "Early Career[6-10]", AG711 &lt;= 20, "Established[11-20]", AG711 &lt;= 30, "Veteran[21-30]", AG711 &lt;= 40, "Late Career[31-40]")</f>
        <v>New[1-5]</v>
      </c>
      <c r="AI711" s="1">
        <v>0</v>
      </c>
      <c r="AJ711" s="1">
        <v>3</v>
      </c>
      <c r="AK711" s="1">
        <v>3</v>
      </c>
      <c r="AL711" s="9" t="str" cm="1">
        <f t="array" ref="AL711">_xlfn.IFS(AK711 &lt;= 5, "New[1-5]", AK711 &lt;= 10, "Early Career[6-10]", AK711 &lt;= 20, "Established[11-20]", AK711 &lt;= 30, "Veteran[21-30]", AK711 &lt;= 40, "Late Career[31-40]")</f>
        <v>New[1-5]</v>
      </c>
      <c r="AM711" s="1">
        <v>2</v>
      </c>
      <c r="AN711" s="9" t="str" cm="1">
        <f t="array" ref="AN711">_xlfn.IFS(AM711 &lt;= 3, "New to Role[1-3]", AM711 &lt;= 7, "Settled[4-7]", AM711 &lt;= 12, "Experienced[[8-12]", AM711 &lt;= 18, "Long Tenured[13-18]")</f>
        <v>New to Role[1-3]</v>
      </c>
      <c r="AO711" s="1">
        <v>1</v>
      </c>
      <c r="AP711" s="9" t="str" cm="1">
        <f t="array" ref="AP711">_xlfn.IFS(AO711 &lt;= 3, "Recently[1-3]", AO711 &lt;= 6, "Due Soon[4-6]", AO711 &lt;= 10, "Overdue[7-10]", AO711 &lt;= 15, "Long Overdue[11-15]")</f>
        <v>Recently[1-3]</v>
      </c>
      <c r="AQ711" s="9" t="str" cm="1">
        <f t="array" ref="AQ711">_xlfn.IFS(AR711 &lt;= 3, "New Relationship[1-3]", AR711 &lt;= 7, "Established Relationship[4-7]", AR711 &lt;= 12, "Long Term Relationship[8-12]", AR711 &lt;= 17, "Very Long Term Relationship[13-17]")</f>
        <v>New Relationship[1-3]</v>
      </c>
      <c r="AR711" s="1">
        <v>2</v>
      </c>
    </row>
    <row r="712" spans="1:44" x14ac:dyDescent="0.25">
      <c r="A712" s="1">
        <v>33</v>
      </c>
      <c r="B712" s="8" t="str" cm="1">
        <f t="array" ref="B712">_xlfn.IFS(A712 &lt;= 25, "[18-25]", A712 &lt;= 35, "[26-35]", A712 &lt;=45, "[36-45]", A712 &lt;= 60, "[46- 60]")</f>
        <v>[26-35]</v>
      </c>
      <c r="C712" s="3" t="s">
        <v>43</v>
      </c>
      <c r="D712">
        <f t="shared" si="11"/>
        <v>0</v>
      </c>
      <c r="E712" t="s">
        <v>62</v>
      </c>
      <c r="F712" s="1">
        <v>722</v>
      </c>
      <c r="G712" s="3" t="s">
        <v>37</v>
      </c>
      <c r="H712" s="1">
        <v>17</v>
      </c>
      <c r="I712" s="9" t="str" cm="1">
        <f t="array" ref="I712">_xlfn.IFS(H712 &lt;= 2, "[1-2] very close", H712 &lt;= 10, "[3-10] close", H712 &lt;= 20, "[11-20] moderate", H712 &lt;= 30, "[21-30] far")</f>
        <v>[11-20] moderate</v>
      </c>
      <c r="J712" s="1">
        <v>3</v>
      </c>
      <c r="K712" s="3" t="s">
        <v>38</v>
      </c>
      <c r="L712" s="1">
        <v>1</v>
      </c>
      <c r="M712" s="1">
        <v>992</v>
      </c>
      <c r="N712" s="1">
        <v>4</v>
      </c>
      <c r="O712" s="3" t="s">
        <v>46</v>
      </c>
      <c r="P712" s="1">
        <v>38</v>
      </c>
      <c r="Q712" s="1">
        <v>3</v>
      </c>
      <c r="R712" s="1">
        <v>4</v>
      </c>
      <c r="S712" s="3" t="s">
        <v>56</v>
      </c>
      <c r="T712" s="1">
        <v>3</v>
      </c>
      <c r="U712" s="3" t="s">
        <v>41</v>
      </c>
      <c r="V712" s="4">
        <v>17444</v>
      </c>
      <c r="W712" s="1">
        <v>20489</v>
      </c>
      <c r="X712" s="1">
        <v>1</v>
      </c>
      <c r="Y712" s="3" t="s">
        <v>42</v>
      </c>
      <c r="Z712" s="3" t="s">
        <v>43</v>
      </c>
      <c r="AA712" s="5">
        <v>0.11</v>
      </c>
      <c r="AB712" s="10" t="str" cm="1">
        <f t="array" ref="AB712">_xlfn.IFS(AA712 &lt;= 15%, "Low Hike[11-15%]", AA712 &lt;= 20%, "Moderate Hike[16-20%]", AA712 &lt;= 25%,"High Hike[21-25%]")</f>
        <v>Low Hike[11-15%]</v>
      </c>
      <c r="AC712" s="1">
        <v>3</v>
      </c>
      <c r="AD712" s="1">
        <v>4</v>
      </c>
      <c r="AE712" s="1">
        <v>80</v>
      </c>
      <c r="AF712" s="1">
        <v>0</v>
      </c>
      <c r="AG712" s="1">
        <v>10</v>
      </c>
      <c r="AH712" s="9" t="str" cm="1">
        <f t="array" ref="AH712">_xlfn.IFS(AG712 &lt;= 5, "New[1-5]", AG712 &lt;= 10, "Early Career[6-10]", AG712 &lt;= 20, "Established[11-20]", AG712 &lt;= 30, "Veteran[21-30]", AG712 &lt;= 40, "Late Career[31-40]")</f>
        <v>Early Career[6-10]</v>
      </c>
      <c r="AI712" s="1">
        <v>2</v>
      </c>
      <c r="AJ712" s="1">
        <v>3</v>
      </c>
      <c r="AK712" s="1">
        <v>10</v>
      </c>
      <c r="AL712" s="9" t="str" cm="1">
        <f t="array" ref="AL712">_xlfn.IFS(AK712 &lt;= 5, "New[1-5]", AK712 &lt;= 10, "Early Career[6-10]", AK712 &lt;= 20, "Established[11-20]", AK712 &lt;= 30, "Veteran[21-30]", AK712 &lt;= 40, "Late Career[31-40]")</f>
        <v>Early Career[6-10]</v>
      </c>
      <c r="AM712" s="1">
        <v>8</v>
      </c>
      <c r="AN712" s="9" t="str" cm="1">
        <f t="array" ref="AN712">_xlfn.IFS(AM712 &lt;= 3, "New to Role[1-3]", AM712 &lt;= 7, "Settled[4-7]", AM712 &lt;= 12, "Experienced[[8-12]", AM712 &lt;= 18, "Long Tenured[13-18]")</f>
        <v>Experienced[[8-12]</v>
      </c>
      <c r="AO712" s="1">
        <v>6</v>
      </c>
      <c r="AP712" s="9" t="str" cm="1">
        <f t="array" ref="AP712">_xlfn.IFS(AO712 &lt;= 3, "Recently[1-3]", AO712 &lt;= 6, "Due Soon[4-6]", AO712 &lt;= 10, "Overdue[7-10]", AO712 &lt;= 15, "Long Overdue[11-15]")</f>
        <v>Due Soon[4-6]</v>
      </c>
      <c r="AQ712" s="9" t="str" cm="1">
        <f t="array" ref="AQ712">_xlfn.IFS(AR712 &lt;= 3, "New Relationship[1-3]", AR712 &lt;= 7, "Established Relationship[4-7]", AR712 &lt;= 12, "Long Term Relationship[8-12]", AR712 &lt;= 17, "Very Long Term Relationship[13-17]")</f>
        <v>New Relationship[1-3]</v>
      </c>
      <c r="AR712" s="1">
        <v>0</v>
      </c>
    </row>
    <row r="713" spans="1:44" x14ac:dyDescent="0.25">
      <c r="A713" s="1">
        <v>29</v>
      </c>
      <c r="B713" s="8" t="str" cm="1">
        <f t="array" ref="B713">_xlfn.IFS(A713 &lt;= 25, "[18-25]", A713 &lt;= 35, "[26-35]", A713 &lt;=45, "[36-45]", A713 &lt;= 60, "[46- 60]")</f>
        <v>[26-35]</v>
      </c>
      <c r="C713" s="3" t="s">
        <v>35</v>
      </c>
      <c r="D713">
        <f t="shared" si="11"/>
        <v>1</v>
      </c>
      <c r="E713" t="s">
        <v>36</v>
      </c>
      <c r="F713" s="1">
        <v>906</v>
      </c>
      <c r="G713" s="3" t="s">
        <v>45</v>
      </c>
      <c r="H713" s="1">
        <v>10</v>
      </c>
      <c r="I713" s="9" t="str" cm="1">
        <f t="array" ref="I713">_xlfn.IFS(H713 &lt;= 2, "[1-2] very close", H713 &lt;= 10, "[3-10] close", H713 &lt;= 20, "[11-20] moderate", H713 &lt;= 30, "[21-30] far")</f>
        <v>[3-10] close</v>
      </c>
      <c r="J713" s="1">
        <v>3</v>
      </c>
      <c r="K713" s="3" t="s">
        <v>38</v>
      </c>
      <c r="L713" s="1">
        <v>1</v>
      </c>
      <c r="M713" s="1">
        <v>994</v>
      </c>
      <c r="N713" s="1">
        <v>4</v>
      </c>
      <c r="O713" s="3" t="s">
        <v>39</v>
      </c>
      <c r="P713" s="1">
        <v>92</v>
      </c>
      <c r="Q713" s="1">
        <v>2</v>
      </c>
      <c r="R713" s="1">
        <v>1</v>
      </c>
      <c r="S713" s="3" t="s">
        <v>47</v>
      </c>
      <c r="T713" s="1">
        <v>1</v>
      </c>
      <c r="U713" s="3" t="s">
        <v>41</v>
      </c>
      <c r="V713" s="4">
        <v>2404</v>
      </c>
      <c r="W713" s="1">
        <v>11479</v>
      </c>
      <c r="X713" s="1">
        <v>6</v>
      </c>
      <c r="Y713" s="3" t="s">
        <v>42</v>
      </c>
      <c r="Z713" s="3" t="s">
        <v>35</v>
      </c>
      <c r="AA713" s="5">
        <v>0.2</v>
      </c>
      <c r="AB713" s="10" t="str" cm="1">
        <f t="array" ref="AB713">_xlfn.IFS(AA713 &lt;= 15%, "Low Hike[11-15%]", AA713 &lt;= 20%, "Moderate Hike[16-20%]", AA713 &lt;= 25%,"High Hike[21-25%]")</f>
        <v>Moderate Hike[16-20%]</v>
      </c>
      <c r="AC713" s="1">
        <v>4</v>
      </c>
      <c r="AD713" s="1">
        <v>3</v>
      </c>
      <c r="AE713" s="1">
        <v>80</v>
      </c>
      <c r="AF713" s="1">
        <v>0</v>
      </c>
      <c r="AG713" s="1">
        <v>3</v>
      </c>
      <c r="AH713" s="9" t="str" cm="1">
        <f t="array" ref="AH713">_xlfn.IFS(AG713 &lt;= 5, "New[1-5]", AG713 &lt;= 10, "Early Career[6-10]", AG713 &lt;= 20, "Established[11-20]", AG713 &lt;= 30, "Veteran[21-30]", AG713 &lt;= 40, "Late Career[31-40]")</f>
        <v>New[1-5]</v>
      </c>
      <c r="AI713" s="1">
        <v>5</v>
      </c>
      <c r="AJ713" s="1">
        <v>3</v>
      </c>
      <c r="AK713" s="1">
        <v>0</v>
      </c>
      <c r="AL713" s="9" t="str" cm="1">
        <f t="array" ref="AL713">_xlfn.IFS(AK713 &lt;= 5, "New[1-5]", AK713 &lt;= 10, "Early Career[6-10]", AK713 &lt;= 20, "Established[11-20]", AK713 &lt;= 30, "Veteran[21-30]", AK713 &lt;= 40, "Late Career[31-40]")</f>
        <v>New[1-5]</v>
      </c>
      <c r="AM713" s="1">
        <v>0</v>
      </c>
      <c r="AN713" s="9" t="str" cm="1">
        <f t="array" ref="AN713">_xlfn.IFS(AM713 &lt;= 3, "New to Role[1-3]", AM713 &lt;= 7, "Settled[4-7]", AM713 &lt;= 12, "Experienced[[8-12]", AM713 &lt;= 18, "Long Tenured[13-18]")</f>
        <v>New to Role[1-3]</v>
      </c>
      <c r="AO713" s="1">
        <v>0</v>
      </c>
      <c r="AP713" s="9" t="str" cm="1">
        <f t="array" ref="AP713">_xlfn.IFS(AO713 &lt;= 3, "Recently[1-3]", AO713 &lt;= 6, "Due Soon[4-6]", AO713 &lt;= 10, "Overdue[7-10]", AO713 &lt;= 15, "Long Overdue[11-15]")</f>
        <v>Recently[1-3]</v>
      </c>
      <c r="AQ713" s="9" t="str" cm="1">
        <f t="array" ref="AQ713">_xlfn.IFS(AR713 &lt;= 3, "New Relationship[1-3]", AR713 &lt;= 7, "Established Relationship[4-7]", AR713 &lt;= 12, "Long Term Relationship[8-12]", AR713 &lt;= 17, "Very Long Term Relationship[13-17]")</f>
        <v>New Relationship[1-3]</v>
      </c>
      <c r="AR713" s="1">
        <v>0</v>
      </c>
    </row>
    <row r="714" spans="1:44" x14ac:dyDescent="0.25">
      <c r="A714" s="1">
        <v>33</v>
      </c>
      <c r="B714" s="8" t="str" cm="1">
        <f t="array" ref="B714">_xlfn.IFS(A714 &lt;= 25, "[18-25]", A714 &lt;= 35, "[26-35]", A714 &lt;=45, "[36-45]", A714 &lt;= 60, "[46- 60]")</f>
        <v>[26-35]</v>
      </c>
      <c r="C714" s="3" t="s">
        <v>43</v>
      </c>
      <c r="D714">
        <f t="shared" si="11"/>
        <v>0</v>
      </c>
      <c r="E714" t="s">
        <v>36</v>
      </c>
      <c r="F714" s="1">
        <v>461</v>
      </c>
      <c r="G714" s="3" t="s">
        <v>45</v>
      </c>
      <c r="H714" s="1">
        <v>13</v>
      </c>
      <c r="I714" s="9" t="str" cm="1">
        <f t="array" ref="I714">_xlfn.IFS(H714 &lt;= 2, "[1-2] very close", H714 &lt;= 10, "[3-10] close", H714 &lt;= 20, "[11-20] moderate", H714 &lt;= 30, "[21-30] far")</f>
        <v>[11-20] moderate</v>
      </c>
      <c r="J714" s="1">
        <v>1</v>
      </c>
      <c r="K714" s="3" t="s">
        <v>38</v>
      </c>
      <c r="L714" s="1">
        <v>1</v>
      </c>
      <c r="M714" s="1">
        <v>995</v>
      </c>
      <c r="N714" s="1">
        <v>2</v>
      </c>
      <c r="O714" s="3" t="s">
        <v>39</v>
      </c>
      <c r="P714" s="1">
        <v>53</v>
      </c>
      <c r="Q714" s="1">
        <v>3</v>
      </c>
      <c r="R714" s="1">
        <v>1</v>
      </c>
      <c r="S714" s="3" t="s">
        <v>47</v>
      </c>
      <c r="T714" s="1">
        <v>4</v>
      </c>
      <c r="U714" s="3" t="s">
        <v>41</v>
      </c>
      <c r="V714" s="4">
        <v>3452</v>
      </c>
      <c r="W714" s="1">
        <v>17241</v>
      </c>
      <c r="X714" s="1">
        <v>3</v>
      </c>
      <c r="Y714" s="3" t="s">
        <v>42</v>
      </c>
      <c r="Z714" s="3" t="s">
        <v>43</v>
      </c>
      <c r="AA714" s="5">
        <v>0.18</v>
      </c>
      <c r="AB714" s="10" t="str" cm="1">
        <f t="array" ref="AB714">_xlfn.IFS(AA714 &lt;= 15%, "Low Hike[11-15%]", AA714 &lt;= 20%, "Moderate Hike[16-20%]", AA714 &lt;= 25%,"High Hike[21-25%]")</f>
        <v>Moderate Hike[16-20%]</v>
      </c>
      <c r="AC714" s="1">
        <v>3</v>
      </c>
      <c r="AD714" s="1">
        <v>1</v>
      </c>
      <c r="AE714" s="1">
        <v>80</v>
      </c>
      <c r="AF714" s="1">
        <v>0</v>
      </c>
      <c r="AG714" s="1">
        <v>5</v>
      </c>
      <c r="AH714" s="9" t="str" cm="1">
        <f t="array" ref="AH714">_xlfn.IFS(AG714 &lt;= 5, "New[1-5]", AG714 &lt;= 10, "Early Career[6-10]", AG714 &lt;= 20, "Established[11-20]", AG714 &lt;= 30, "Veteran[21-30]", AG714 &lt;= 40, "Late Career[31-40]")</f>
        <v>New[1-5]</v>
      </c>
      <c r="AI714" s="1">
        <v>4</v>
      </c>
      <c r="AJ714" s="1">
        <v>3</v>
      </c>
      <c r="AK714" s="1">
        <v>3</v>
      </c>
      <c r="AL714" s="9" t="str" cm="1">
        <f t="array" ref="AL714">_xlfn.IFS(AK714 &lt;= 5, "New[1-5]", AK714 &lt;= 10, "Early Career[6-10]", AK714 &lt;= 20, "Established[11-20]", AK714 &lt;= 30, "Veteran[21-30]", AK714 &lt;= 40, "Late Career[31-40]")</f>
        <v>New[1-5]</v>
      </c>
      <c r="AM714" s="1">
        <v>2</v>
      </c>
      <c r="AN714" s="9" t="str" cm="1">
        <f t="array" ref="AN714">_xlfn.IFS(AM714 &lt;= 3, "New to Role[1-3]", AM714 &lt;= 7, "Settled[4-7]", AM714 &lt;= 12, "Experienced[[8-12]", AM714 &lt;= 18, "Long Tenured[13-18]")</f>
        <v>New to Role[1-3]</v>
      </c>
      <c r="AO714" s="1">
        <v>0</v>
      </c>
      <c r="AP714" s="9" t="str" cm="1">
        <f t="array" ref="AP714">_xlfn.IFS(AO714 &lt;= 3, "Recently[1-3]", AO714 &lt;= 6, "Due Soon[4-6]", AO714 &lt;= 10, "Overdue[7-10]", AO714 &lt;= 15, "Long Overdue[11-15]")</f>
        <v>Recently[1-3]</v>
      </c>
      <c r="AQ714" s="9" t="str" cm="1">
        <f t="array" ref="AQ714">_xlfn.IFS(AR714 &lt;= 3, "New Relationship[1-3]", AR714 &lt;= 7, "Established Relationship[4-7]", AR714 &lt;= 12, "Long Term Relationship[8-12]", AR714 &lt;= 17, "Very Long Term Relationship[13-17]")</f>
        <v>New Relationship[1-3]</v>
      </c>
      <c r="AR714" s="1">
        <v>2</v>
      </c>
    </row>
    <row r="715" spans="1:44" x14ac:dyDescent="0.25">
      <c r="A715" s="1">
        <v>45</v>
      </c>
      <c r="B715" s="8" t="str" cm="1">
        <f t="array" ref="B715">_xlfn.IFS(A715 &lt;= 25, "[18-25]", A715 &lt;= 35, "[26-35]", A715 &lt;=45, "[36-45]", A715 &lt;= 60, "[46- 60]")</f>
        <v>[36-45]</v>
      </c>
      <c r="C715" s="3" t="s">
        <v>43</v>
      </c>
      <c r="D715">
        <f t="shared" si="11"/>
        <v>0</v>
      </c>
      <c r="E715" t="s">
        <v>36</v>
      </c>
      <c r="F715" s="1">
        <v>974</v>
      </c>
      <c r="G715" s="3" t="s">
        <v>45</v>
      </c>
      <c r="H715" s="1">
        <v>1</v>
      </c>
      <c r="I715" s="9" t="str" cm="1">
        <f t="array" ref="I715">_xlfn.IFS(H715 &lt;= 2, "[1-2] very close", H715 &lt;= 10, "[3-10] close", H715 &lt;= 20, "[11-20] moderate", H715 &lt;= 30, "[21-30] far")</f>
        <v>[1-2] very close</v>
      </c>
      <c r="J715" s="1">
        <v>4</v>
      </c>
      <c r="K715" s="3" t="s">
        <v>51</v>
      </c>
      <c r="L715" s="1">
        <v>1</v>
      </c>
      <c r="M715" s="1">
        <v>996</v>
      </c>
      <c r="N715" s="1">
        <v>4</v>
      </c>
      <c r="O715" s="3" t="s">
        <v>39</v>
      </c>
      <c r="P715" s="1">
        <v>91</v>
      </c>
      <c r="Q715" s="1">
        <v>3</v>
      </c>
      <c r="R715" s="1">
        <v>1</v>
      </c>
      <c r="S715" s="3" t="s">
        <v>50</v>
      </c>
      <c r="T715" s="1">
        <v>4</v>
      </c>
      <c r="U715" s="3" t="s">
        <v>52</v>
      </c>
      <c r="V715" s="4">
        <v>2270</v>
      </c>
      <c r="W715" s="1">
        <v>11005</v>
      </c>
      <c r="X715" s="1">
        <v>3</v>
      </c>
      <c r="Y715" s="3" t="s">
        <v>42</v>
      </c>
      <c r="Z715" s="3" t="s">
        <v>43</v>
      </c>
      <c r="AA715" s="5">
        <v>0.14000000000000001</v>
      </c>
      <c r="AB715" s="10" t="str" cm="1">
        <f t="array" ref="AB715">_xlfn.IFS(AA715 &lt;= 15%, "Low Hike[11-15%]", AA715 &lt;= 20%, "Moderate Hike[16-20%]", AA715 &lt;= 25%,"High Hike[21-25%]")</f>
        <v>Low Hike[11-15%]</v>
      </c>
      <c r="AC715" s="1">
        <v>3</v>
      </c>
      <c r="AD715" s="1">
        <v>4</v>
      </c>
      <c r="AE715" s="1">
        <v>80</v>
      </c>
      <c r="AF715" s="1">
        <v>2</v>
      </c>
      <c r="AG715" s="1">
        <v>8</v>
      </c>
      <c r="AH715" s="9" t="str" cm="1">
        <f t="array" ref="AH715">_xlfn.IFS(AG715 &lt;= 5, "New[1-5]", AG715 &lt;= 10, "Early Career[6-10]", AG715 &lt;= 20, "Established[11-20]", AG715 &lt;= 30, "Veteran[21-30]", AG715 &lt;= 40, "Late Career[31-40]")</f>
        <v>Early Career[6-10]</v>
      </c>
      <c r="AI715" s="1">
        <v>2</v>
      </c>
      <c r="AJ715" s="1">
        <v>3</v>
      </c>
      <c r="AK715" s="1">
        <v>5</v>
      </c>
      <c r="AL715" s="9" t="str" cm="1">
        <f t="array" ref="AL715">_xlfn.IFS(AK715 &lt;= 5, "New[1-5]", AK715 &lt;= 10, "Early Career[6-10]", AK715 &lt;= 20, "Established[11-20]", AK715 &lt;= 30, "Veteran[21-30]", AK715 &lt;= 40, "Late Career[31-40]")</f>
        <v>New[1-5]</v>
      </c>
      <c r="AM715" s="1">
        <v>3</v>
      </c>
      <c r="AN715" s="9" t="str" cm="1">
        <f t="array" ref="AN715">_xlfn.IFS(AM715 &lt;= 3, "New to Role[1-3]", AM715 &lt;= 7, "Settled[4-7]", AM715 &lt;= 12, "Experienced[[8-12]", AM715 &lt;= 18, "Long Tenured[13-18]")</f>
        <v>New to Role[1-3]</v>
      </c>
      <c r="AO715" s="1">
        <v>0</v>
      </c>
      <c r="AP715" s="9" t="str" cm="1">
        <f t="array" ref="AP715">_xlfn.IFS(AO715 &lt;= 3, "Recently[1-3]", AO715 &lt;= 6, "Due Soon[4-6]", AO715 &lt;= 10, "Overdue[7-10]", AO715 &lt;= 15, "Long Overdue[11-15]")</f>
        <v>Recently[1-3]</v>
      </c>
      <c r="AQ715" s="9" t="str" cm="1">
        <f t="array" ref="AQ715">_xlfn.IFS(AR715 &lt;= 3, "New Relationship[1-3]", AR715 &lt;= 7, "Established Relationship[4-7]", AR715 &lt;= 12, "Long Term Relationship[8-12]", AR715 &lt;= 17, "Very Long Term Relationship[13-17]")</f>
        <v>New Relationship[1-3]</v>
      </c>
      <c r="AR715" s="1">
        <v>2</v>
      </c>
    </row>
    <row r="716" spans="1:44" x14ac:dyDescent="0.25">
      <c r="A716" s="1">
        <v>50</v>
      </c>
      <c r="B716" s="8" t="str" cm="1">
        <f t="array" ref="B716">_xlfn.IFS(A716 &lt;= 25, "[18-25]", A716 &lt;= 35, "[26-35]", A716 &lt;=45, "[36-45]", A716 &lt;= 60, "[46- 60]")</f>
        <v>[46- 60]</v>
      </c>
      <c r="C716" s="3" t="s">
        <v>43</v>
      </c>
      <c r="D716">
        <f t="shared" si="11"/>
        <v>0</v>
      </c>
      <c r="E716" t="s">
        <v>36</v>
      </c>
      <c r="F716" s="1">
        <v>1126</v>
      </c>
      <c r="G716" s="3" t="s">
        <v>45</v>
      </c>
      <c r="H716" s="1">
        <v>1</v>
      </c>
      <c r="I716" s="9" t="str" cm="1">
        <f t="array" ref="I716">_xlfn.IFS(H716 &lt;= 2, "[1-2] very close", H716 &lt;= 10, "[3-10] close", H716 &lt;= 20, "[11-20] moderate", H716 &lt;= 30, "[21-30] far")</f>
        <v>[1-2] very close</v>
      </c>
      <c r="J716" s="1">
        <v>2</v>
      </c>
      <c r="K716" s="3" t="s">
        <v>51</v>
      </c>
      <c r="L716" s="1">
        <v>1</v>
      </c>
      <c r="M716" s="1">
        <v>997</v>
      </c>
      <c r="N716" s="1">
        <v>4</v>
      </c>
      <c r="O716" s="3" t="s">
        <v>46</v>
      </c>
      <c r="P716" s="1">
        <v>66</v>
      </c>
      <c r="Q716" s="1">
        <v>3</v>
      </c>
      <c r="R716" s="1">
        <v>4</v>
      </c>
      <c r="S716" s="3" t="s">
        <v>58</v>
      </c>
      <c r="T716" s="1">
        <v>4</v>
      </c>
      <c r="U716" s="3" t="s">
        <v>52</v>
      </c>
      <c r="V716" s="4">
        <v>17399</v>
      </c>
      <c r="W716" s="1">
        <v>6615</v>
      </c>
      <c r="X716" s="1">
        <v>9</v>
      </c>
      <c r="Y716" s="3" t="s">
        <v>42</v>
      </c>
      <c r="Z716" s="3" t="s">
        <v>43</v>
      </c>
      <c r="AA716" s="5">
        <v>0.22</v>
      </c>
      <c r="AB716" s="10" t="str" cm="1">
        <f t="array" ref="AB716">_xlfn.IFS(AA716 &lt;= 15%, "Low Hike[11-15%]", AA716 &lt;= 20%, "Moderate Hike[16-20%]", AA716 &lt;= 25%,"High Hike[21-25%]")</f>
        <v>High Hike[21-25%]</v>
      </c>
      <c r="AC716" s="1">
        <v>4</v>
      </c>
      <c r="AD716" s="1">
        <v>3</v>
      </c>
      <c r="AE716" s="1">
        <v>80</v>
      </c>
      <c r="AF716" s="1">
        <v>1</v>
      </c>
      <c r="AG716" s="1">
        <v>32</v>
      </c>
      <c r="AH716" s="9" t="str" cm="1">
        <f t="array" ref="AH716">_xlfn.IFS(AG716 &lt;= 5, "New[1-5]", AG716 &lt;= 10, "Early Career[6-10]", AG716 &lt;= 20, "Established[11-20]", AG716 &lt;= 30, "Veteran[21-30]", AG716 &lt;= 40, "Late Career[31-40]")</f>
        <v>Late Career[31-40]</v>
      </c>
      <c r="AI716" s="1">
        <v>1</v>
      </c>
      <c r="AJ716" s="1">
        <v>2</v>
      </c>
      <c r="AK716" s="1">
        <v>5</v>
      </c>
      <c r="AL716" s="9" t="str" cm="1">
        <f t="array" ref="AL716">_xlfn.IFS(AK716 &lt;= 5, "New[1-5]", AK716 &lt;= 10, "Early Career[6-10]", AK716 &lt;= 20, "Established[11-20]", AK716 &lt;= 30, "Veteran[21-30]", AK716 &lt;= 40, "Late Career[31-40]")</f>
        <v>New[1-5]</v>
      </c>
      <c r="AM716" s="1">
        <v>4</v>
      </c>
      <c r="AN716" s="9" t="str" cm="1">
        <f t="array" ref="AN716">_xlfn.IFS(AM716 &lt;= 3, "New to Role[1-3]", AM716 &lt;= 7, "Settled[4-7]", AM716 &lt;= 12, "Experienced[[8-12]", AM716 &lt;= 18, "Long Tenured[13-18]")</f>
        <v>Settled[4-7]</v>
      </c>
      <c r="AO716" s="1">
        <v>1</v>
      </c>
      <c r="AP716" s="9" t="str" cm="1">
        <f t="array" ref="AP716">_xlfn.IFS(AO716 &lt;= 3, "Recently[1-3]", AO716 &lt;= 6, "Due Soon[4-6]", AO716 &lt;= 10, "Overdue[7-10]", AO716 &lt;= 15, "Long Overdue[11-15]")</f>
        <v>Recently[1-3]</v>
      </c>
      <c r="AQ716" s="9" t="str" cm="1">
        <f t="array" ref="AQ716">_xlfn.IFS(AR716 &lt;= 3, "New Relationship[1-3]", AR716 &lt;= 7, "Established Relationship[4-7]", AR716 &lt;= 12, "Long Term Relationship[8-12]", AR716 &lt;= 17, "Very Long Term Relationship[13-17]")</f>
        <v>New Relationship[1-3]</v>
      </c>
      <c r="AR716" s="1">
        <v>3</v>
      </c>
    </row>
    <row r="717" spans="1:44" x14ac:dyDescent="0.25">
      <c r="A717" s="1">
        <v>33</v>
      </c>
      <c r="B717" s="8" t="str" cm="1">
        <f t="array" ref="B717">_xlfn.IFS(A717 &lt;= 25, "[18-25]", A717 &lt;= 35, "[26-35]", A717 &lt;=45, "[36-45]", A717 &lt;= 60, "[46- 60]")</f>
        <v>[26-35]</v>
      </c>
      <c r="C717" s="3" t="s">
        <v>43</v>
      </c>
      <c r="D717">
        <f t="shared" si="11"/>
        <v>0</v>
      </c>
      <c r="E717" t="s">
        <v>44</v>
      </c>
      <c r="F717" s="1">
        <v>827</v>
      </c>
      <c r="G717" s="3" t="s">
        <v>45</v>
      </c>
      <c r="H717" s="1">
        <v>1</v>
      </c>
      <c r="I717" s="9" t="str" cm="1">
        <f t="array" ref="I717">_xlfn.IFS(H717 &lt;= 2, "[1-2] very close", H717 &lt;= 10, "[3-10] close", H717 &lt;= 20, "[11-20] moderate", H717 &lt;= 30, "[21-30] far")</f>
        <v>[1-2] very close</v>
      </c>
      <c r="J717" s="1">
        <v>4</v>
      </c>
      <c r="K717" s="3" t="s">
        <v>49</v>
      </c>
      <c r="L717" s="1">
        <v>1</v>
      </c>
      <c r="M717" s="1">
        <v>998</v>
      </c>
      <c r="N717" s="1">
        <v>3</v>
      </c>
      <c r="O717" s="3" t="s">
        <v>39</v>
      </c>
      <c r="P717" s="1">
        <v>84</v>
      </c>
      <c r="Q717" s="1">
        <v>4</v>
      </c>
      <c r="R717" s="1">
        <v>2</v>
      </c>
      <c r="S717" s="3" t="s">
        <v>54</v>
      </c>
      <c r="T717" s="1">
        <v>2</v>
      </c>
      <c r="U717" s="3" t="s">
        <v>48</v>
      </c>
      <c r="V717" s="4">
        <v>5488</v>
      </c>
      <c r="W717" s="1">
        <v>20161</v>
      </c>
      <c r="X717" s="1">
        <v>1</v>
      </c>
      <c r="Y717" s="3" t="s">
        <v>42</v>
      </c>
      <c r="Z717" s="3" t="s">
        <v>35</v>
      </c>
      <c r="AA717" s="5">
        <v>0.13</v>
      </c>
      <c r="AB717" s="10" t="str" cm="1">
        <f t="array" ref="AB717">_xlfn.IFS(AA717 &lt;= 15%, "Low Hike[11-15%]", AA717 &lt;= 20%, "Moderate Hike[16-20%]", AA717 &lt;= 25%,"High Hike[21-25%]")</f>
        <v>Low Hike[11-15%]</v>
      </c>
      <c r="AC717" s="1">
        <v>3</v>
      </c>
      <c r="AD717" s="1">
        <v>1</v>
      </c>
      <c r="AE717" s="1">
        <v>80</v>
      </c>
      <c r="AF717" s="1">
        <v>1</v>
      </c>
      <c r="AG717" s="1">
        <v>6</v>
      </c>
      <c r="AH717" s="9" t="str" cm="1">
        <f t="array" ref="AH717">_xlfn.IFS(AG717 &lt;= 5, "New[1-5]", AG717 &lt;= 10, "Early Career[6-10]", AG717 &lt;= 20, "Established[11-20]", AG717 &lt;= 30, "Veteran[21-30]", AG717 &lt;= 40, "Late Career[31-40]")</f>
        <v>Early Career[6-10]</v>
      </c>
      <c r="AI717" s="1">
        <v>2</v>
      </c>
      <c r="AJ717" s="1">
        <v>3</v>
      </c>
      <c r="AK717" s="1">
        <v>6</v>
      </c>
      <c r="AL717" s="9" t="str" cm="1">
        <f t="array" ref="AL717">_xlfn.IFS(AK717 &lt;= 5, "New[1-5]", AK717 &lt;= 10, "Early Career[6-10]", AK717 &lt;= 20, "Established[11-20]", AK717 &lt;= 30, "Veteran[21-30]", AK717 &lt;= 40, "Late Career[31-40]")</f>
        <v>Early Career[6-10]</v>
      </c>
      <c r="AM717" s="1">
        <v>5</v>
      </c>
      <c r="AN717" s="9" t="str" cm="1">
        <f t="array" ref="AN717">_xlfn.IFS(AM717 &lt;= 3, "New to Role[1-3]", AM717 &lt;= 7, "Settled[4-7]", AM717 &lt;= 12, "Experienced[[8-12]", AM717 &lt;= 18, "Long Tenured[13-18]")</f>
        <v>Settled[4-7]</v>
      </c>
      <c r="AO717" s="1">
        <v>1</v>
      </c>
      <c r="AP717" s="9" t="str" cm="1">
        <f t="array" ref="AP717">_xlfn.IFS(AO717 &lt;= 3, "Recently[1-3]", AO717 &lt;= 6, "Due Soon[4-6]", AO717 &lt;= 10, "Overdue[7-10]", AO717 &lt;= 15, "Long Overdue[11-15]")</f>
        <v>Recently[1-3]</v>
      </c>
      <c r="AQ717" s="9" t="str" cm="1">
        <f t="array" ref="AQ717">_xlfn.IFS(AR717 &lt;= 3, "New Relationship[1-3]", AR717 &lt;= 7, "Established Relationship[4-7]", AR717 &lt;= 12, "Long Term Relationship[8-12]", AR717 &lt;= 17, "Very Long Term Relationship[13-17]")</f>
        <v>New Relationship[1-3]</v>
      </c>
      <c r="AR717" s="1">
        <v>2</v>
      </c>
    </row>
    <row r="718" spans="1:44" x14ac:dyDescent="0.25">
      <c r="A718" s="1">
        <v>41</v>
      </c>
      <c r="B718" s="8" t="str" cm="1">
        <f t="array" ref="B718">_xlfn.IFS(A718 &lt;= 25, "[18-25]", A718 &lt;= 35, "[26-35]", A718 &lt;=45, "[36-45]", A718 &lt;= 60, "[46- 60]")</f>
        <v>[36-45]</v>
      </c>
      <c r="C718" s="3" t="s">
        <v>43</v>
      </c>
      <c r="D718">
        <f t="shared" si="11"/>
        <v>0</v>
      </c>
      <c r="E718" t="s">
        <v>44</v>
      </c>
      <c r="F718" s="1">
        <v>840</v>
      </c>
      <c r="G718" s="3" t="s">
        <v>45</v>
      </c>
      <c r="H718" s="1">
        <v>9</v>
      </c>
      <c r="I718" s="9" t="str" cm="1">
        <f t="array" ref="I718">_xlfn.IFS(H718 &lt;= 2, "[1-2] very close", H718 &lt;= 10, "[3-10] close", H718 &lt;= 20, "[11-20] moderate", H718 &lt;= 30, "[21-30] far")</f>
        <v>[3-10] close</v>
      </c>
      <c r="J718" s="1">
        <v>3</v>
      </c>
      <c r="K718" s="3" t="s">
        <v>51</v>
      </c>
      <c r="L718" s="1">
        <v>1</v>
      </c>
      <c r="M718" s="1">
        <v>999</v>
      </c>
      <c r="N718" s="1">
        <v>1</v>
      </c>
      <c r="O718" s="3" t="s">
        <v>46</v>
      </c>
      <c r="P718" s="1">
        <v>64</v>
      </c>
      <c r="Q718" s="1">
        <v>3</v>
      </c>
      <c r="R718" s="1">
        <v>5</v>
      </c>
      <c r="S718" s="3" t="s">
        <v>58</v>
      </c>
      <c r="T718" s="1">
        <v>3</v>
      </c>
      <c r="U718" s="3" t="s">
        <v>52</v>
      </c>
      <c r="V718" s="4">
        <v>19419</v>
      </c>
      <c r="W718" s="1">
        <v>3735</v>
      </c>
      <c r="X718" s="1">
        <v>2</v>
      </c>
      <c r="Y718" s="3" t="s">
        <v>42</v>
      </c>
      <c r="Z718" s="3" t="s">
        <v>43</v>
      </c>
      <c r="AA718" s="5">
        <v>0.17</v>
      </c>
      <c r="AB718" s="10" t="str" cm="1">
        <f t="array" ref="AB718">_xlfn.IFS(AA718 &lt;= 15%, "Low Hike[11-15%]", AA718 &lt;= 20%, "Moderate Hike[16-20%]", AA718 &lt;= 25%,"High Hike[21-25%]")</f>
        <v>Moderate Hike[16-20%]</v>
      </c>
      <c r="AC718" s="1">
        <v>3</v>
      </c>
      <c r="AD718" s="1">
        <v>2</v>
      </c>
      <c r="AE718" s="1">
        <v>80</v>
      </c>
      <c r="AF718" s="1">
        <v>1</v>
      </c>
      <c r="AG718" s="1">
        <v>21</v>
      </c>
      <c r="AH718" s="9" t="str" cm="1">
        <f t="array" ref="AH718">_xlfn.IFS(AG718 &lt;= 5, "New[1-5]", AG718 &lt;= 10, "Early Career[6-10]", AG718 &lt;= 20, "Established[11-20]", AG718 &lt;= 30, "Veteran[21-30]", AG718 &lt;= 40, "Late Career[31-40]")</f>
        <v>Veteran[21-30]</v>
      </c>
      <c r="AI718" s="1">
        <v>2</v>
      </c>
      <c r="AJ718" s="1">
        <v>4</v>
      </c>
      <c r="AK718" s="1">
        <v>18</v>
      </c>
      <c r="AL718" s="9" t="str" cm="1">
        <f t="array" ref="AL718">_xlfn.IFS(AK718 &lt;= 5, "New[1-5]", AK718 &lt;= 10, "Early Career[6-10]", AK718 &lt;= 20, "Established[11-20]", AK718 &lt;= 30, "Veteran[21-30]", AK718 &lt;= 40, "Late Career[31-40]")</f>
        <v>Established[11-20]</v>
      </c>
      <c r="AM718" s="1">
        <v>16</v>
      </c>
      <c r="AN718" s="9" t="str" cm="1">
        <f t="array" ref="AN718">_xlfn.IFS(AM718 &lt;= 3, "New to Role[1-3]", AM718 &lt;= 7, "Settled[4-7]", AM718 &lt;= 12, "Experienced[[8-12]", AM718 &lt;= 18, "Long Tenured[13-18]")</f>
        <v>Long Tenured[13-18]</v>
      </c>
      <c r="AO718" s="1">
        <v>0</v>
      </c>
      <c r="AP718" s="9" t="str" cm="1">
        <f t="array" ref="AP718">_xlfn.IFS(AO718 &lt;= 3, "Recently[1-3]", AO718 &lt;= 6, "Due Soon[4-6]", AO718 &lt;= 10, "Overdue[7-10]", AO718 &lt;= 15, "Long Overdue[11-15]")</f>
        <v>Recently[1-3]</v>
      </c>
      <c r="AQ718" s="9" t="str" cm="1">
        <f t="array" ref="AQ718">_xlfn.IFS(AR718 &lt;= 3, "New Relationship[1-3]", AR718 &lt;= 7, "Established Relationship[4-7]", AR718 &lt;= 12, "Long Term Relationship[8-12]", AR718 &lt;= 17, "Very Long Term Relationship[13-17]")</f>
        <v>Long Term Relationship[8-12]</v>
      </c>
      <c r="AR718" s="1">
        <v>11</v>
      </c>
    </row>
    <row r="719" spans="1:44" x14ac:dyDescent="0.25">
      <c r="A719" s="1">
        <v>27</v>
      </c>
      <c r="B719" s="8" t="str" cm="1">
        <f t="array" ref="B719">_xlfn.IFS(A719 &lt;= 25, "[18-25]", A719 &lt;= 35, "[26-35]", A719 &lt;=45, "[36-45]", A719 &lt;= 60, "[46- 60]")</f>
        <v>[26-35]</v>
      </c>
      <c r="C719" s="3" t="s">
        <v>43</v>
      </c>
      <c r="D719">
        <f t="shared" si="11"/>
        <v>0</v>
      </c>
      <c r="E719" t="s">
        <v>36</v>
      </c>
      <c r="F719" s="1">
        <v>1134</v>
      </c>
      <c r="G719" s="3" t="s">
        <v>45</v>
      </c>
      <c r="H719" s="1">
        <v>16</v>
      </c>
      <c r="I719" s="9" t="str" cm="1">
        <f t="array" ref="I719">_xlfn.IFS(H719 &lt;= 2, "[1-2] very close", H719 &lt;= 10, "[3-10] close", H719 &lt;= 20, "[11-20] moderate", H719 &lt;= 30, "[21-30] far")</f>
        <v>[11-20] moderate</v>
      </c>
      <c r="J719" s="1">
        <v>4</v>
      </c>
      <c r="K719" s="3" t="s">
        <v>60</v>
      </c>
      <c r="L719" s="1">
        <v>1</v>
      </c>
      <c r="M719" s="1">
        <v>1001</v>
      </c>
      <c r="N719" s="1">
        <v>3</v>
      </c>
      <c r="O719" s="3" t="s">
        <v>39</v>
      </c>
      <c r="P719" s="1">
        <v>37</v>
      </c>
      <c r="Q719" s="1">
        <v>3</v>
      </c>
      <c r="R719" s="1">
        <v>1</v>
      </c>
      <c r="S719" s="3" t="s">
        <v>50</v>
      </c>
      <c r="T719" s="1">
        <v>2</v>
      </c>
      <c r="U719" s="3" t="s">
        <v>48</v>
      </c>
      <c r="V719" s="4">
        <v>2811</v>
      </c>
      <c r="W719" s="1">
        <v>12086</v>
      </c>
      <c r="X719" s="1">
        <v>9</v>
      </c>
      <c r="Y719" s="3" t="s">
        <v>42</v>
      </c>
      <c r="Z719" s="3" t="s">
        <v>43</v>
      </c>
      <c r="AA719" s="5">
        <v>0.14000000000000001</v>
      </c>
      <c r="AB719" s="10" t="str" cm="1">
        <f t="array" ref="AB719">_xlfn.IFS(AA719 &lt;= 15%, "Low Hike[11-15%]", AA719 &lt;= 20%, "Moderate Hike[16-20%]", AA719 &lt;= 25%,"High Hike[21-25%]")</f>
        <v>Low Hike[11-15%]</v>
      </c>
      <c r="AC719" s="1">
        <v>3</v>
      </c>
      <c r="AD719" s="1">
        <v>2</v>
      </c>
      <c r="AE719" s="1">
        <v>80</v>
      </c>
      <c r="AF719" s="1">
        <v>1</v>
      </c>
      <c r="AG719" s="1">
        <v>4</v>
      </c>
      <c r="AH719" s="9" t="str" cm="1">
        <f t="array" ref="AH719">_xlfn.IFS(AG719 &lt;= 5, "New[1-5]", AG719 &lt;= 10, "Early Career[6-10]", AG719 &lt;= 20, "Established[11-20]", AG719 &lt;= 30, "Veteran[21-30]", AG719 &lt;= 40, "Late Career[31-40]")</f>
        <v>New[1-5]</v>
      </c>
      <c r="AI719" s="1">
        <v>2</v>
      </c>
      <c r="AJ719" s="1">
        <v>3</v>
      </c>
      <c r="AK719" s="1">
        <v>2</v>
      </c>
      <c r="AL719" s="9" t="str" cm="1">
        <f t="array" ref="AL719">_xlfn.IFS(AK719 &lt;= 5, "New[1-5]", AK719 &lt;= 10, "Early Career[6-10]", AK719 &lt;= 20, "Established[11-20]", AK719 &lt;= 30, "Veteran[21-30]", AK719 &lt;= 40, "Late Career[31-40]")</f>
        <v>New[1-5]</v>
      </c>
      <c r="AM719" s="1">
        <v>2</v>
      </c>
      <c r="AN719" s="9" t="str" cm="1">
        <f t="array" ref="AN719">_xlfn.IFS(AM719 &lt;= 3, "New to Role[1-3]", AM719 &lt;= 7, "Settled[4-7]", AM719 &lt;= 12, "Experienced[[8-12]", AM719 &lt;= 18, "Long Tenured[13-18]")</f>
        <v>New to Role[1-3]</v>
      </c>
      <c r="AO719" s="1">
        <v>2</v>
      </c>
      <c r="AP719" s="9" t="str" cm="1">
        <f t="array" ref="AP719">_xlfn.IFS(AO719 &lt;= 3, "Recently[1-3]", AO719 &lt;= 6, "Due Soon[4-6]", AO719 &lt;= 10, "Overdue[7-10]", AO719 &lt;= 15, "Long Overdue[11-15]")</f>
        <v>Recently[1-3]</v>
      </c>
      <c r="AQ719" s="9" t="str" cm="1">
        <f t="array" ref="AQ719">_xlfn.IFS(AR719 &lt;= 3, "New Relationship[1-3]", AR719 &lt;= 7, "Established Relationship[4-7]", AR719 &lt;= 12, "Long Term Relationship[8-12]", AR719 &lt;= 17, "Very Long Term Relationship[13-17]")</f>
        <v>New Relationship[1-3]</v>
      </c>
      <c r="AR719" s="1">
        <v>2</v>
      </c>
    </row>
    <row r="720" spans="1:44" x14ac:dyDescent="0.25">
      <c r="A720" s="1">
        <v>45</v>
      </c>
      <c r="B720" s="8" t="str" cm="1">
        <f t="array" ref="B720">_xlfn.IFS(A720 &lt;= 25, "[18-25]", A720 &lt;= 35, "[26-35]", A720 &lt;=45, "[36-45]", A720 &lt;= 60, "[46- 60]")</f>
        <v>[36-45]</v>
      </c>
      <c r="C720" s="3" t="s">
        <v>43</v>
      </c>
      <c r="D720">
        <f t="shared" si="11"/>
        <v>0</v>
      </c>
      <c r="E720" t="s">
        <v>62</v>
      </c>
      <c r="F720" s="1">
        <v>248</v>
      </c>
      <c r="G720" s="3" t="s">
        <v>45</v>
      </c>
      <c r="H720" s="1">
        <v>23</v>
      </c>
      <c r="I720" s="9" t="str" cm="1">
        <f t="array" ref="I720">_xlfn.IFS(H720 &lt;= 2, "[1-2] very close", H720 &lt;= 10, "[3-10] close", H720 &lt;= 20, "[11-20] moderate", H720 &lt;= 30, "[21-30] far")</f>
        <v>[21-30] far</v>
      </c>
      <c r="J720" s="1">
        <v>2</v>
      </c>
      <c r="K720" s="3" t="s">
        <v>38</v>
      </c>
      <c r="L720" s="1">
        <v>1</v>
      </c>
      <c r="M720" s="1">
        <v>1002</v>
      </c>
      <c r="N720" s="1">
        <v>4</v>
      </c>
      <c r="O720" s="3" t="s">
        <v>46</v>
      </c>
      <c r="P720" s="1">
        <v>42</v>
      </c>
      <c r="Q720" s="1">
        <v>3</v>
      </c>
      <c r="R720" s="1">
        <v>2</v>
      </c>
      <c r="S720" s="3" t="s">
        <v>50</v>
      </c>
      <c r="T720" s="1">
        <v>1</v>
      </c>
      <c r="U720" s="3" t="s">
        <v>48</v>
      </c>
      <c r="V720" s="4">
        <v>3633</v>
      </c>
      <c r="W720" s="1">
        <v>14039</v>
      </c>
      <c r="X720" s="1">
        <v>1</v>
      </c>
      <c r="Y720" s="3" t="s">
        <v>42</v>
      </c>
      <c r="Z720" s="3" t="s">
        <v>35</v>
      </c>
      <c r="AA720" s="5">
        <v>0.15</v>
      </c>
      <c r="AB720" s="10" t="str" cm="1">
        <f t="array" ref="AB720">_xlfn.IFS(AA720 &lt;= 15%, "Low Hike[11-15%]", AA720 &lt;= 20%, "Moderate Hike[16-20%]", AA720 &lt;= 25%,"High Hike[21-25%]")</f>
        <v>Low Hike[11-15%]</v>
      </c>
      <c r="AC720" s="1">
        <v>3</v>
      </c>
      <c r="AD720" s="1">
        <v>3</v>
      </c>
      <c r="AE720" s="1">
        <v>80</v>
      </c>
      <c r="AF720" s="1">
        <v>1</v>
      </c>
      <c r="AG720" s="1">
        <v>9</v>
      </c>
      <c r="AH720" s="9" t="str" cm="1">
        <f t="array" ref="AH720">_xlfn.IFS(AG720 &lt;= 5, "New[1-5]", AG720 &lt;= 10, "Early Career[6-10]", AG720 &lt;= 20, "Established[11-20]", AG720 &lt;= 30, "Veteran[21-30]", AG720 &lt;= 40, "Late Career[31-40]")</f>
        <v>Early Career[6-10]</v>
      </c>
      <c r="AI720" s="1">
        <v>2</v>
      </c>
      <c r="AJ720" s="1">
        <v>3</v>
      </c>
      <c r="AK720" s="1">
        <v>9</v>
      </c>
      <c r="AL720" s="9" t="str" cm="1">
        <f t="array" ref="AL720">_xlfn.IFS(AK720 &lt;= 5, "New[1-5]", AK720 &lt;= 10, "Early Career[6-10]", AK720 &lt;= 20, "Established[11-20]", AK720 &lt;= 30, "Veteran[21-30]", AK720 &lt;= 40, "Late Career[31-40]")</f>
        <v>Early Career[6-10]</v>
      </c>
      <c r="AM720" s="1">
        <v>8</v>
      </c>
      <c r="AN720" s="9" t="str" cm="1">
        <f t="array" ref="AN720">_xlfn.IFS(AM720 &lt;= 3, "New to Role[1-3]", AM720 &lt;= 7, "Settled[4-7]", AM720 &lt;= 12, "Experienced[[8-12]", AM720 &lt;= 18, "Long Tenured[13-18]")</f>
        <v>Experienced[[8-12]</v>
      </c>
      <c r="AO720" s="1">
        <v>0</v>
      </c>
      <c r="AP720" s="9" t="str" cm="1">
        <f t="array" ref="AP720">_xlfn.IFS(AO720 &lt;= 3, "Recently[1-3]", AO720 &lt;= 6, "Due Soon[4-6]", AO720 &lt;= 10, "Overdue[7-10]", AO720 &lt;= 15, "Long Overdue[11-15]")</f>
        <v>Recently[1-3]</v>
      </c>
      <c r="AQ720" s="9" t="str" cm="1">
        <f t="array" ref="AQ720">_xlfn.IFS(AR720 &lt;= 3, "New Relationship[1-3]", AR720 &lt;= 7, "Established Relationship[4-7]", AR720 &lt;= 12, "Long Term Relationship[8-12]", AR720 &lt;= 17, "Very Long Term Relationship[13-17]")</f>
        <v>Long Term Relationship[8-12]</v>
      </c>
      <c r="AR720" s="1">
        <v>8</v>
      </c>
    </row>
    <row r="721" spans="1:44" x14ac:dyDescent="0.25">
      <c r="A721" s="1">
        <v>47</v>
      </c>
      <c r="B721" s="8" t="str" cm="1">
        <f t="array" ref="B721">_xlfn.IFS(A721 &lt;= 25, "[18-25]", A721 &lt;= 35, "[26-35]", A721 &lt;=45, "[36-45]", A721 &lt;= 60, "[46- 60]")</f>
        <v>[46- 60]</v>
      </c>
      <c r="C721" s="3" t="s">
        <v>43</v>
      </c>
      <c r="D721">
        <f t="shared" si="11"/>
        <v>0</v>
      </c>
      <c r="E721" t="s">
        <v>36</v>
      </c>
      <c r="F721" s="1">
        <v>955</v>
      </c>
      <c r="G721" s="3" t="s">
        <v>37</v>
      </c>
      <c r="H721" s="1">
        <v>4</v>
      </c>
      <c r="I721" s="9" t="str" cm="1">
        <f t="array" ref="I721">_xlfn.IFS(H721 &lt;= 2, "[1-2] very close", H721 &lt;= 10, "[3-10] close", H721 &lt;= 20, "[11-20] moderate", H721 &lt;= 30, "[21-30] far")</f>
        <v>[3-10] close</v>
      </c>
      <c r="J721" s="1">
        <v>2</v>
      </c>
      <c r="K721" s="3" t="s">
        <v>38</v>
      </c>
      <c r="L721" s="1">
        <v>1</v>
      </c>
      <c r="M721" s="1">
        <v>1003</v>
      </c>
      <c r="N721" s="1">
        <v>4</v>
      </c>
      <c r="O721" s="3" t="s">
        <v>39</v>
      </c>
      <c r="P721" s="1">
        <v>83</v>
      </c>
      <c r="Q721" s="1">
        <v>3</v>
      </c>
      <c r="R721" s="1">
        <v>2</v>
      </c>
      <c r="S721" s="3" t="s">
        <v>40</v>
      </c>
      <c r="T721" s="1">
        <v>4</v>
      </c>
      <c r="U721" s="3" t="s">
        <v>41</v>
      </c>
      <c r="V721" s="4">
        <v>4163</v>
      </c>
      <c r="W721" s="1">
        <v>8571</v>
      </c>
      <c r="X721" s="1">
        <v>1</v>
      </c>
      <c r="Y721" s="3" t="s">
        <v>42</v>
      </c>
      <c r="Z721" s="3" t="s">
        <v>35</v>
      </c>
      <c r="AA721" s="5">
        <v>0.17</v>
      </c>
      <c r="AB721" s="10" t="str" cm="1">
        <f t="array" ref="AB721">_xlfn.IFS(AA721 &lt;= 15%, "Low Hike[11-15%]", AA721 &lt;= 20%, "Moderate Hike[16-20%]", AA721 &lt;= 25%,"High Hike[21-25%]")</f>
        <v>Moderate Hike[16-20%]</v>
      </c>
      <c r="AC721" s="1">
        <v>3</v>
      </c>
      <c r="AD721" s="1">
        <v>3</v>
      </c>
      <c r="AE721" s="1">
        <v>80</v>
      </c>
      <c r="AF721" s="1">
        <v>0</v>
      </c>
      <c r="AG721" s="1">
        <v>9</v>
      </c>
      <c r="AH721" s="9" t="str" cm="1">
        <f t="array" ref="AH721">_xlfn.IFS(AG721 &lt;= 5, "New[1-5]", AG721 &lt;= 10, "Early Career[6-10]", AG721 &lt;= 20, "Established[11-20]", AG721 &lt;= 30, "Veteran[21-30]", AG721 &lt;= 40, "Late Career[31-40]")</f>
        <v>Early Career[6-10]</v>
      </c>
      <c r="AI721" s="1">
        <v>0</v>
      </c>
      <c r="AJ721" s="1">
        <v>3</v>
      </c>
      <c r="AK721" s="1">
        <v>9</v>
      </c>
      <c r="AL721" s="9" t="str" cm="1">
        <f t="array" ref="AL721">_xlfn.IFS(AK721 &lt;= 5, "New[1-5]", AK721 &lt;= 10, "Early Career[6-10]", AK721 &lt;= 20, "Established[11-20]", AK721 &lt;= 30, "Veteran[21-30]", AK721 &lt;= 40, "Late Career[31-40]")</f>
        <v>Early Career[6-10]</v>
      </c>
      <c r="AM721" s="1">
        <v>0</v>
      </c>
      <c r="AN721" s="9" t="str" cm="1">
        <f t="array" ref="AN721">_xlfn.IFS(AM721 &lt;= 3, "New to Role[1-3]", AM721 &lt;= 7, "Settled[4-7]", AM721 &lt;= 12, "Experienced[[8-12]", AM721 &lt;= 18, "Long Tenured[13-18]")</f>
        <v>New to Role[1-3]</v>
      </c>
      <c r="AO721" s="1">
        <v>0</v>
      </c>
      <c r="AP721" s="9" t="str" cm="1">
        <f t="array" ref="AP721">_xlfn.IFS(AO721 &lt;= 3, "Recently[1-3]", AO721 &lt;= 6, "Due Soon[4-6]", AO721 &lt;= 10, "Overdue[7-10]", AO721 &lt;= 15, "Long Overdue[11-15]")</f>
        <v>Recently[1-3]</v>
      </c>
      <c r="AQ721" s="9" t="str" cm="1">
        <f t="array" ref="AQ721">_xlfn.IFS(AR721 &lt;= 3, "New Relationship[1-3]", AR721 &lt;= 7, "Established Relationship[4-7]", AR721 &lt;= 12, "Long Term Relationship[8-12]", AR721 &lt;= 17, "Very Long Term Relationship[13-17]")</f>
        <v>Established Relationship[4-7]</v>
      </c>
      <c r="AR721" s="1">
        <v>7</v>
      </c>
    </row>
    <row r="722" spans="1:44" x14ac:dyDescent="0.25">
      <c r="A722" s="1">
        <v>30</v>
      </c>
      <c r="B722" s="8" t="str" cm="1">
        <f t="array" ref="B722">_xlfn.IFS(A722 &lt;= 25, "[18-25]", A722 &lt;= 35, "[26-35]", A722 &lt;=45, "[36-45]", A722 &lt;= 60, "[46- 60]")</f>
        <v>[26-35]</v>
      </c>
      <c r="C722" s="3" t="s">
        <v>35</v>
      </c>
      <c r="D722">
        <f t="shared" si="11"/>
        <v>1</v>
      </c>
      <c r="E722" t="s">
        <v>36</v>
      </c>
      <c r="F722" s="1">
        <v>138</v>
      </c>
      <c r="G722" s="3" t="s">
        <v>45</v>
      </c>
      <c r="H722" s="1">
        <v>22</v>
      </c>
      <c r="I722" s="9" t="str" cm="1">
        <f t="array" ref="I722">_xlfn.IFS(H722 &lt;= 2, "[1-2] very close", H722 &lt;= 10, "[3-10] close", H722 &lt;= 20, "[11-20] moderate", H722 &lt;= 30, "[21-30] far")</f>
        <v>[21-30] far</v>
      </c>
      <c r="J722" s="1">
        <v>3</v>
      </c>
      <c r="K722" s="3" t="s">
        <v>38</v>
      </c>
      <c r="L722" s="1">
        <v>1</v>
      </c>
      <c r="M722" s="1">
        <v>1004</v>
      </c>
      <c r="N722" s="1">
        <v>1</v>
      </c>
      <c r="O722" s="3" t="s">
        <v>39</v>
      </c>
      <c r="P722" s="1">
        <v>48</v>
      </c>
      <c r="Q722" s="1">
        <v>3</v>
      </c>
      <c r="R722" s="1">
        <v>1</v>
      </c>
      <c r="S722" s="3" t="s">
        <v>47</v>
      </c>
      <c r="T722" s="1">
        <v>3</v>
      </c>
      <c r="U722" s="3" t="s">
        <v>48</v>
      </c>
      <c r="V722" s="4">
        <v>2132</v>
      </c>
      <c r="W722" s="1">
        <v>11539</v>
      </c>
      <c r="X722" s="1">
        <v>4</v>
      </c>
      <c r="Y722" s="3" t="s">
        <v>42</v>
      </c>
      <c r="Z722" s="3" t="s">
        <v>35</v>
      </c>
      <c r="AA722" s="5">
        <v>0.11</v>
      </c>
      <c r="AB722" s="10" t="str" cm="1">
        <f t="array" ref="AB722">_xlfn.IFS(AA722 &lt;= 15%, "Low Hike[11-15%]", AA722 &lt;= 20%, "Moderate Hike[16-20%]", AA722 &lt;= 25%,"High Hike[21-25%]")</f>
        <v>Low Hike[11-15%]</v>
      </c>
      <c r="AC722" s="1">
        <v>3</v>
      </c>
      <c r="AD722" s="1">
        <v>2</v>
      </c>
      <c r="AE722" s="1">
        <v>80</v>
      </c>
      <c r="AF722" s="1">
        <v>0</v>
      </c>
      <c r="AG722" s="1">
        <v>7</v>
      </c>
      <c r="AH722" s="9" t="str" cm="1">
        <f t="array" ref="AH722">_xlfn.IFS(AG722 &lt;= 5, "New[1-5]", AG722 &lt;= 10, "Early Career[6-10]", AG722 &lt;= 20, "Established[11-20]", AG722 &lt;= 30, "Veteran[21-30]", AG722 &lt;= 40, "Late Career[31-40]")</f>
        <v>Early Career[6-10]</v>
      </c>
      <c r="AI722" s="1">
        <v>2</v>
      </c>
      <c r="AJ722" s="1">
        <v>3</v>
      </c>
      <c r="AK722" s="1">
        <v>5</v>
      </c>
      <c r="AL722" s="9" t="str" cm="1">
        <f t="array" ref="AL722">_xlfn.IFS(AK722 &lt;= 5, "New[1-5]", AK722 &lt;= 10, "Early Career[6-10]", AK722 &lt;= 20, "Established[11-20]", AK722 &lt;= 30, "Veteran[21-30]", AK722 &lt;= 40, "Late Career[31-40]")</f>
        <v>New[1-5]</v>
      </c>
      <c r="AM722" s="1">
        <v>2</v>
      </c>
      <c r="AN722" s="9" t="str" cm="1">
        <f t="array" ref="AN722">_xlfn.IFS(AM722 &lt;= 3, "New to Role[1-3]", AM722 &lt;= 7, "Settled[4-7]", AM722 &lt;= 12, "Experienced[[8-12]", AM722 &lt;= 18, "Long Tenured[13-18]")</f>
        <v>New to Role[1-3]</v>
      </c>
      <c r="AO722" s="1">
        <v>0</v>
      </c>
      <c r="AP722" s="9" t="str" cm="1">
        <f t="array" ref="AP722">_xlfn.IFS(AO722 &lt;= 3, "Recently[1-3]", AO722 &lt;= 6, "Due Soon[4-6]", AO722 &lt;= 10, "Overdue[7-10]", AO722 &lt;= 15, "Long Overdue[11-15]")</f>
        <v>Recently[1-3]</v>
      </c>
      <c r="AQ722" s="9" t="str" cm="1">
        <f t="array" ref="AQ722">_xlfn.IFS(AR722 &lt;= 3, "New Relationship[1-3]", AR722 &lt;= 7, "Established Relationship[4-7]", AR722 &lt;= 12, "Long Term Relationship[8-12]", AR722 &lt;= 17, "Very Long Term Relationship[13-17]")</f>
        <v>New Relationship[1-3]</v>
      </c>
      <c r="AR722" s="1">
        <v>1</v>
      </c>
    </row>
    <row r="723" spans="1:44" x14ac:dyDescent="0.25">
      <c r="A723" s="1">
        <v>50</v>
      </c>
      <c r="B723" s="8" t="str" cm="1">
        <f t="array" ref="B723">_xlfn.IFS(A723 &lt;= 25, "[18-25]", A723 &lt;= 35, "[26-35]", A723 &lt;=45, "[36-45]", A723 &lt;= 60, "[46- 60]")</f>
        <v>[46- 60]</v>
      </c>
      <c r="C723" s="3" t="s">
        <v>43</v>
      </c>
      <c r="D723">
        <f t="shared" si="11"/>
        <v>0</v>
      </c>
      <c r="E723" t="s">
        <v>36</v>
      </c>
      <c r="F723" s="1">
        <v>939</v>
      </c>
      <c r="G723" s="3" t="s">
        <v>45</v>
      </c>
      <c r="H723" s="1">
        <v>24</v>
      </c>
      <c r="I723" s="9" t="str" cm="1">
        <f t="array" ref="I723">_xlfn.IFS(H723 &lt;= 2, "[1-2] very close", H723 &lt;= 10, "[3-10] close", H723 &lt;= 20, "[11-20] moderate", H723 &lt;= 30, "[21-30] far")</f>
        <v>[21-30] far</v>
      </c>
      <c r="J723" s="1">
        <v>3</v>
      </c>
      <c r="K723" s="3" t="s">
        <v>38</v>
      </c>
      <c r="L723" s="1">
        <v>1</v>
      </c>
      <c r="M723" s="1">
        <v>1005</v>
      </c>
      <c r="N723" s="1">
        <v>4</v>
      </c>
      <c r="O723" s="3" t="s">
        <v>46</v>
      </c>
      <c r="P723" s="1">
        <v>95</v>
      </c>
      <c r="Q723" s="1">
        <v>3</v>
      </c>
      <c r="R723" s="1">
        <v>4</v>
      </c>
      <c r="S723" s="3" t="s">
        <v>53</v>
      </c>
      <c r="T723" s="1">
        <v>3</v>
      </c>
      <c r="U723" s="3" t="s">
        <v>48</v>
      </c>
      <c r="V723" s="4">
        <v>13973</v>
      </c>
      <c r="W723" s="1">
        <v>4161</v>
      </c>
      <c r="X723" s="1">
        <v>3</v>
      </c>
      <c r="Y723" s="3" t="s">
        <v>42</v>
      </c>
      <c r="Z723" s="3" t="s">
        <v>35</v>
      </c>
      <c r="AA723" s="5">
        <v>0.18</v>
      </c>
      <c r="AB723" s="10" t="str" cm="1">
        <f t="array" ref="AB723">_xlfn.IFS(AA723 &lt;= 15%, "Low Hike[11-15%]", AA723 &lt;= 20%, "Moderate Hike[16-20%]", AA723 &lt;= 25%,"High Hike[21-25%]")</f>
        <v>Moderate Hike[16-20%]</v>
      </c>
      <c r="AC723" s="1">
        <v>3</v>
      </c>
      <c r="AD723" s="1">
        <v>4</v>
      </c>
      <c r="AE723" s="1">
        <v>80</v>
      </c>
      <c r="AF723" s="1">
        <v>1</v>
      </c>
      <c r="AG723" s="1">
        <v>22</v>
      </c>
      <c r="AH723" s="9" t="str" cm="1">
        <f t="array" ref="AH723">_xlfn.IFS(AG723 &lt;= 5, "New[1-5]", AG723 &lt;= 10, "Early Career[6-10]", AG723 &lt;= 20, "Established[11-20]", AG723 &lt;= 30, "Veteran[21-30]", AG723 &lt;= 40, "Late Career[31-40]")</f>
        <v>Veteran[21-30]</v>
      </c>
      <c r="AI723" s="1">
        <v>2</v>
      </c>
      <c r="AJ723" s="1">
        <v>3</v>
      </c>
      <c r="AK723" s="1">
        <v>12</v>
      </c>
      <c r="AL723" s="9" t="str" cm="1">
        <f t="array" ref="AL723">_xlfn.IFS(AK723 &lt;= 5, "New[1-5]", AK723 &lt;= 10, "Early Career[6-10]", AK723 &lt;= 20, "Established[11-20]", AK723 &lt;= 30, "Veteran[21-30]", AK723 &lt;= 40, "Late Career[31-40]")</f>
        <v>Established[11-20]</v>
      </c>
      <c r="AM723" s="1">
        <v>11</v>
      </c>
      <c r="AN723" s="9" t="str" cm="1">
        <f t="array" ref="AN723">_xlfn.IFS(AM723 &lt;= 3, "New to Role[1-3]", AM723 &lt;= 7, "Settled[4-7]", AM723 &lt;= 12, "Experienced[[8-12]", AM723 &lt;= 18, "Long Tenured[13-18]")</f>
        <v>Experienced[[8-12]</v>
      </c>
      <c r="AO723" s="1">
        <v>1</v>
      </c>
      <c r="AP723" s="9" t="str" cm="1">
        <f t="array" ref="AP723">_xlfn.IFS(AO723 &lt;= 3, "Recently[1-3]", AO723 &lt;= 6, "Due Soon[4-6]", AO723 &lt;= 10, "Overdue[7-10]", AO723 &lt;= 15, "Long Overdue[11-15]")</f>
        <v>Recently[1-3]</v>
      </c>
      <c r="AQ723" s="9" t="str" cm="1">
        <f t="array" ref="AQ723">_xlfn.IFS(AR723 &lt;= 3, "New Relationship[1-3]", AR723 &lt;= 7, "Established Relationship[4-7]", AR723 &lt;= 12, "Long Term Relationship[8-12]", AR723 &lt;= 17, "Very Long Term Relationship[13-17]")</f>
        <v>Established Relationship[4-7]</v>
      </c>
      <c r="AR723" s="1">
        <v>5</v>
      </c>
    </row>
    <row r="724" spans="1:44" x14ac:dyDescent="0.25">
      <c r="A724" s="1">
        <v>38</v>
      </c>
      <c r="B724" s="8" t="str" cm="1">
        <f t="array" ref="B724">_xlfn.IFS(A724 &lt;= 25, "[18-25]", A724 &lt;= 35, "[26-35]", A724 &lt;=45, "[36-45]", A724 &lt;= 60, "[46- 60]")</f>
        <v>[36-45]</v>
      </c>
      <c r="C724" s="3" t="s">
        <v>43</v>
      </c>
      <c r="D724">
        <f t="shared" si="11"/>
        <v>0</v>
      </c>
      <c r="E724" t="s">
        <v>44</v>
      </c>
      <c r="F724" s="1">
        <v>1391</v>
      </c>
      <c r="G724" s="3" t="s">
        <v>45</v>
      </c>
      <c r="H724" s="1">
        <v>10</v>
      </c>
      <c r="I724" s="9" t="str" cm="1">
        <f t="array" ref="I724">_xlfn.IFS(H724 &lt;= 2, "[1-2] very close", H724 &lt;= 10, "[3-10] close", H724 &lt;= 20, "[11-20] moderate", H724 &lt;= 30, "[21-30] far")</f>
        <v>[3-10] close</v>
      </c>
      <c r="J724" s="1">
        <v>1</v>
      </c>
      <c r="K724" s="3" t="s">
        <v>51</v>
      </c>
      <c r="L724" s="1">
        <v>1</v>
      </c>
      <c r="M724" s="1">
        <v>1006</v>
      </c>
      <c r="N724" s="1">
        <v>3</v>
      </c>
      <c r="O724" s="3" t="s">
        <v>46</v>
      </c>
      <c r="P724" s="1">
        <v>66</v>
      </c>
      <c r="Q724" s="1">
        <v>3</v>
      </c>
      <c r="R724" s="1">
        <v>1</v>
      </c>
      <c r="S724" s="3" t="s">
        <v>47</v>
      </c>
      <c r="T724" s="1">
        <v>3</v>
      </c>
      <c r="U724" s="3" t="s">
        <v>48</v>
      </c>
      <c r="V724" s="4">
        <v>2684</v>
      </c>
      <c r="W724" s="1">
        <v>12127</v>
      </c>
      <c r="X724" s="1">
        <v>0</v>
      </c>
      <c r="Y724" s="3" t="s">
        <v>42</v>
      </c>
      <c r="Z724" s="3" t="s">
        <v>43</v>
      </c>
      <c r="AA724" s="5">
        <v>0.17</v>
      </c>
      <c r="AB724" s="10" t="str" cm="1">
        <f t="array" ref="AB724">_xlfn.IFS(AA724 &lt;= 15%, "Low Hike[11-15%]", AA724 &lt;= 20%, "Moderate Hike[16-20%]", AA724 &lt;= 25%,"High Hike[21-25%]")</f>
        <v>Moderate Hike[16-20%]</v>
      </c>
      <c r="AC724" s="1">
        <v>3</v>
      </c>
      <c r="AD724" s="1">
        <v>2</v>
      </c>
      <c r="AE724" s="1">
        <v>80</v>
      </c>
      <c r="AF724" s="1">
        <v>1</v>
      </c>
      <c r="AG724" s="1">
        <v>3</v>
      </c>
      <c r="AH724" s="9" t="str" cm="1">
        <f t="array" ref="AH724">_xlfn.IFS(AG724 &lt;= 5, "New[1-5]", AG724 &lt;= 10, "Early Career[6-10]", AG724 &lt;= 20, "Established[11-20]", AG724 &lt;= 30, "Veteran[21-30]", AG724 &lt;= 40, "Late Career[31-40]")</f>
        <v>New[1-5]</v>
      </c>
      <c r="AI724" s="1">
        <v>0</v>
      </c>
      <c r="AJ724" s="1">
        <v>2</v>
      </c>
      <c r="AK724" s="1">
        <v>2</v>
      </c>
      <c r="AL724" s="9" t="str" cm="1">
        <f t="array" ref="AL724">_xlfn.IFS(AK724 &lt;= 5, "New[1-5]", AK724 &lt;= 10, "Early Career[6-10]", AK724 &lt;= 20, "Established[11-20]", AK724 &lt;= 30, "Veteran[21-30]", AK724 &lt;= 40, "Late Career[31-40]")</f>
        <v>New[1-5]</v>
      </c>
      <c r="AM724" s="1">
        <v>1</v>
      </c>
      <c r="AN724" s="9" t="str" cm="1">
        <f t="array" ref="AN724">_xlfn.IFS(AM724 &lt;= 3, "New to Role[1-3]", AM724 &lt;= 7, "Settled[4-7]", AM724 &lt;= 12, "Experienced[[8-12]", AM724 &lt;= 18, "Long Tenured[13-18]")</f>
        <v>New to Role[1-3]</v>
      </c>
      <c r="AO724" s="1">
        <v>0</v>
      </c>
      <c r="AP724" s="9" t="str" cm="1">
        <f t="array" ref="AP724">_xlfn.IFS(AO724 &lt;= 3, "Recently[1-3]", AO724 &lt;= 6, "Due Soon[4-6]", AO724 &lt;= 10, "Overdue[7-10]", AO724 &lt;= 15, "Long Overdue[11-15]")</f>
        <v>Recently[1-3]</v>
      </c>
      <c r="AQ724" s="9" t="str" cm="1">
        <f t="array" ref="AQ724">_xlfn.IFS(AR724 &lt;= 3, "New Relationship[1-3]", AR724 &lt;= 7, "Established Relationship[4-7]", AR724 &lt;= 12, "Long Term Relationship[8-12]", AR724 &lt;= 17, "Very Long Term Relationship[13-17]")</f>
        <v>New Relationship[1-3]</v>
      </c>
      <c r="AR724" s="1">
        <v>2</v>
      </c>
    </row>
    <row r="725" spans="1:44" x14ac:dyDescent="0.25">
      <c r="A725" s="1">
        <v>46</v>
      </c>
      <c r="B725" s="8" t="str" cm="1">
        <f t="array" ref="B725">_xlfn.IFS(A725 &lt;= 25, "[18-25]", A725 &lt;= 35, "[26-35]", A725 &lt;=45, "[36-45]", A725 &lt;= 60, "[46- 60]")</f>
        <v>[46- 60]</v>
      </c>
      <c r="C725" s="3" t="s">
        <v>43</v>
      </c>
      <c r="D725">
        <f t="shared" si="11"/>
        <v>0</v>
      </c>
      <c r="E725" t="s">
        <v>36</v>
      </c>
      <c r="F725" s="1">
        <v>566</v>
      </c>
      <c r="G725" s="3" t="s">
        <v>45</v>
      </c>
      <c r="H725" s="1">
        <v>7</v>
      </c>
      <c r="I725" s="9" t="str" cm="1">
        <f t="array" ref="I725">_xlfn.IFS(H725 &lt;= 2, "[1-2] very close", H725 &lt;= 10, "[3-10] close", H725 &lt;= 20, "[11-20] moderate", H725 &lt;= 30, "[21-30] far")</f>
        <v>[3-10] close</v>
      </c>
      <c r="J725" s="1">
        <v>2</v>
      </c>
      <c r="K725" s="3" t="s">
        <v>51</v>
      </c>
      <c r="L725" s="1">
        <v>1</v>
      </c>
      <c r="M725" s="1">
        <v>1007</v>
      </c>
      <c r="N725" s="1">
        <v>4</v>
      </c>
      <c r="O725" s="3" t="s">
        <v>46</v>
      </c>
      <c r="P725" s="1">
        <v>75</v>
      </c>
      <c r="Q725" s="1">
        <v>3</v>
      </c>
      <c r="R725" s="1">
        <v>3</v>
      </c>
      <c r="S725" s="3" t="s">
        <v>53</v>
      </c>
      <c r="T725" s="1">
        <v>3</v>
      </c>
      <c r="U725" s="3" t="s">
        <v>52</v>
      </c>
      <c r="V725" s="4">
        <v>10845</v>
      </c>
      <c r="W725" s="1">
        <v>24208</v>
      </c>
      <c r="X725" s="1">
        <v>6</v>
      </c>
      <c r="Y725" s="3" t="s">
        <v>42</v>
      </c>
      <c r="Z725" s="3" t="s">
        <v>43</v>
      </c>
      <c r="AA725" s="5">
        <v>0.13</v>
      </c>
      <c r="AB725" s="10" t="str" cm="1">
        <f t="array" ref="AB725">_xlfn.IFS(AA725 &lt;= 15%, "Low Hike[11-15%]", AA725 &lt;= 20%, "Moderate Hike[16-20%]", AA725 &lt;= 25%,"High Hike[21-25%]")</f>
        <v>Low Hike[11-15%]</v>
      </c>
      <c r="AC725" s="1">
        <v>3</v>
      </c>
      <c r="AD725" s="1">
        <v>2</v>
      </c>
      <c r="AE725" s="1">
        <v>80</v>
      </c>
      <c r="AF725" s="1">
        <v>1</v>
      </c>
      <c r="AG725" s="1">
        <v>13</v>
      </c>
      <c r="AH725" s="9" t="str" cm="1">
        <f t="array" ref="AH725">_xlfn.IFS(AG725 &lt;= 5, "New[1-5]", AG725 &lt;= 10, "Early Career[6-10]", AG725 &lt;= 20, "Established[11-20]", AG725 &lt;= 30, "Veteran[21-30]", AG725 &lt;= 40, "Late Career[31-40]")</f>
        <v>Established[11-20]</v>
      </c>
      <c r="AI725" s="1">
        <v>3</v>
      </c>
      <c r="AJ725" s="1">
        <v>3</v>
      </c>
      <c r="AK725" s="1">
        <v>8</v>
      </c>
      <c r="AL725" s="9" t="str" cm="1">
        <f t="array" ref="AL725">_xlfn.IFS(AK725 &lt;= 5, "New[1-5]", AK725 &lt;= 10, "Early Career[6-10]", AK725 &lt;= 20, "Established[11-20]", AK725 &lt;= 30, "Veteran[21-30]", AK725 &lt;= 40, "Late Career[31-40]")</f>
        <v>Early Career[6-10]</v>
      </c>
      <c r="AM725" s="1">
        <v>7</v>
      </c>
      <c r="AN725" s="9" t="str" cm="1">
        <f t="array" ref="AN725">_xlfn.IFS(AM725 &lt;= 3, "New to Role[1-3]", AM725 &lt;= 7, "Settled[4-7]", AM725 &lt;= 12, "Experienced[[8-12]", AM725 &lt;= 18, "Long Tenured[13-18]")</f>
        <v>Settled[4-7]</v>
      </c>
      <c r="AO725" s="1">
        <v>0</v>
      </c>
      <c r="AP725" s="9" t="str" cm="1">
        <f t="array" ref="AP725">_xlfn.IFS(AO725 &lt;= 3, "Recently[1-3]", AO725 &lt;= 6, "Due Soon[4-6]", AO725 &lt;= 10, "Overdue[7-10]", AO725 &lt;= 15, "Long Overdue[11-15]")</f>
        <v>Recently[1-3]</v>
      </c>
      <c r="AQ725" s="9" t="str" cm="1">
        <f t="array" ref="AQ725">_xlfn.IFS(AR725 &lt;= 3, "New Relationship[1-3]", AR725 &lt;= 7, "Established Relationship[4-7]", AR725 &lt;= 12, "Long Term Relationship[8-12]", AR725 &lt;= 17, "Very Long Term Relationship[13-17]")</f>
        <v>Established Relationship[4-7]</v>
      </c>
      <c r="AR725" s="1">
        <v>7</v>
      </c>
    </row>
    <row r="726" spans="1:44" x14ac:dyDescent="0.25">
      <c r="A726" s="1">
        <v>24</v>
      </c>
      <c r="B726" s="8" t="str" cm="1">
        <f t="array" ref="B726">_xlfn.IFS(A726 &lt;= 25, "[18-25]", A726 &lt;= 35, "[26-35]", A726 &lt;=45, "[36-45]", A726 &lt;= 60, "[46- 60]")</f>
        <v>[18-25]</v>
      </c>
      <c r="C726" s="3" t="s">
        <v>43</v>
      </c>
      <c r="D726">
        <f t="shared" si="11"/>
        <v>0</v>
      </c>
      <c r="E726" t="s">
        <v>36</v>
      </c>
      <c r="F726" s="1">
        <v>1206</v>
      </c>
      <c r="G726" s="3" t="s">
        <v>45</v>
      </c>
      <c r="H726" s="1">
        <v>17</v>
      </c>
      <c r="I726" s="9" t="str" cm="1">
        <f t="array" ref="I726">_xlfn.IFS(H726 &lt;= 2, "[1-2] very close", H726 &lt;= 10, "[3-10] close", H726 &lt;= 20, "[11-20] moderate", H726 &lt;= 30, "[21-30] far")</f>
        <v>[11-20] moderate</v>
      </c>
      <c r="J726" s="1">
        <v>1</v>
      </c>
      <c r="K726" s="3" t="s">
        <v>51</v>
      </c>
      <c r="L726" s="1">
        <v>1</v>
      </c>
      <c r="M726" s="1">
        <v>1009</v>
      </c>
      <c r="N726" s="1">
        <v>4</v>
      </c>
      <c r="O726" s="3" t="s">
        <v>39</v>
      </c>
      <c r="P726" s="1">
        <v>41</v>
      </c>
      <c r="Q726" s="1">
        <v>2</v>
      </c>
      <c r="R726" s="1">
        <v>2</v>
      </c>
      <c r="S726" s="3" t="s">
        <v>53</v>
      </c>
      <c r="T726" s="1">
        <v>3</v>
      </c>
      <c r="U726" s="3" t="s">
        <v>52</v>
      </c>
      <c r="V726" s="4">
        <v>4377</v>
      </c>
      <c r="W726" s="1">
        <v>24117</v>
      </c>
      <c r="X726" s="1">
        <v>1</v>
      </c>
      <c r="Y726" s="3" t="s">
        <v>42</v>
      </c>
      <c r="Z726" s="3" t="s">
        <v>43</v>
      </c>
      <c r="AA726" s="5">
        <v>0.15</v>
      </c>
      <c r="AB726" s="10" t="str" cm="1">
        <f t="array" ref="AB726">_xlfn.IFS(AA726 &lt;= 15%, "Low Hike[11-15%]", AA726 &lt;= 20%, "Moderate Hike[16-20%]", AA726 &lt;= 25%,"High Hike[21-25%]")</f>
        <v>Low Hike[11-15%]</v>
      </c>
      <c r="AC726" s="1">
        <v>3</v>
      </c>
      <c r="AD726" s="1">
        <v>2</v>
      </c>
      <c r="AE726" s="1">
        <v>80</v>
      </c>
      <c r="AF726" s="1">
        <v>2</v>
      </c>
      <c r="AG726" s="1">
        <v>5</v>
      </c>
      <c r="AH726" s="9" t="str" cm="1">
        <f t="array" ref="AH726">_xlfn.IFS(AG726 &lt;= 5, "New[1-5]", AG726 &lt;= 10, "Early Career[6-10]", AG726 &lt;= 20, "Established[11-20]", AG726 &lt;= 30, "Veteran[21-30]", AG726 &lt;= 40, "Late Career[31-40]")</f>
        <v>New[1-5]</v>
      </c>
      <c r="AI726" s="1">
        <v>6</v>
      </c>
      <c r="AJ726" s="1">
        <v>3</v>
      </c>
      <c r="AK726" s="1">
        <v>4</v>
      </c>
      <c r="AL726" s="9" t="str" cm="1">
        <f t="array" ref="AL726">_xlfn.IFS(AK726 &lt;= 5, "New[1-5]", AK726 &lt;= 10, "Early Career[6-10]", AK726 &lt;= 20, "Established[11-20]", AK726 &lt;= 30, "Veteran[21-30]", AK726 &lt;= 40, "Late Career[31-40]")</f>
        <v>New[1-5]</v>
      </c>
      <c r="AM726" s="1">
        <v>2</v>
      </c>
      <c r="AN726" s="9" t="str" cm="1">
        <f t="array" ref="AN726">_xlfn.IFS(AM726 &lt;= 3, "New to Role[1-3]", AM726 &lt;= 7, "Settled[4-7]", AM726 &lt;= 12, "Experienced[[8-12]", AM726 &lt;= 18, "Long Tenured[13-18]")</f>
        <v>New to Role[1-3]</v>
      </c>
      <c r="AO726" s="1">
        <v>3</v>
      </c>
      <c r="AP726" s="9" t="str" cm="1">
        <f t="array" ref="AP726">_xlfn.IFS(AO726 &lt;= 3, "Recently[1-3]", AO726 &lt;= 6, "Due Soon[4-6]", AO726 &lt;= 10, "Overdue[7-10]", AO726 &lt;= 15, "Long Overdue[11-15]")</f>
        <v>Recently[1-3]</v>
      </c>
      <c r="AQ726" s="9" t="str" cm="1">
        <f t="array" ref="AQ726">_xlfn.IFS(AR726 &lt;= 3, "New Relationship[1-3]", AR726 &lt;= 7, "Established Relationship[4-7]", AR726 &lt;= 12, "Long Term Relationship[8-12]", AR726 &lt;= 17, "Very Long Term Relationship[13-17]")</f>
        <v>New Relationship[1-3]</v>
      </c>
      <c r="AR726" s="1">
        <v>2</v>
      </c>
    </row>
    <row r="727" spans="1:44" x14ac:dyDescent="0.25">
      <c r="A727" s="1">
        <v>35</v>
      </c>
      <c r="B727" s="8" t="str" cm="1">
        <f t="array" ref="B727">_xlfn.IFS(A727 &lt;= 25, "[18-25]", A727 &lt;= 35, "[26-35]", A727 &lt;=45, "[36-45]", A727 &lt;= 60, "[46- 60]")</f>
        <v>[26-35]</v>
      </c>
      <c r="C727" s="3" t="s">
        <v>35</v>
      </c>
      <c r="D727">
        <f t="shared" si="11"/>
        <v>1</v>
      </c>
      <c r="E727" t="s">
        <v>36</v>
      </c>
      <c r="F727" s="1">
        <v>622</v>
      </c>
      <c r="G727" s="3" t="s">
        <v>45</v>
      </c>
      <c r="H727" s="1">
        <v>14</v>
      </c>
      <c r="I727" s="9" t="str" cm="1">
        <f t="array" ref="I727">_xlfn.IFS(H727 &lt;= 2, "[1-2] very close", H727 &lt;= 10, "[3-10] close", H727 &lt;= 20, "[11-20] moderate", H727 &lt;= 30, "[21-30] far")</f>
        <v>[11-20] moderate</v>
      </c>
      <c r="J727" s="1">
        <v>4</v>
      </c>
      <c r="K727" s="3" t="s">
        <v>49</v>
      </c>
      <c r="L727" s="1">
        <v>1</v>
      </c>
      <c r="M727" s="1">
        <v>1010</v>
      </c>
      <c r="N727" s="1">
        <v>3</v>
      </c>
      <c r="O727" s="3" t="s">
        <v>46</v>
      </c>
      <c r="P727" s="1">
        <v>39</v>
      </c>
      <c r="Q727" s="1">
        <v>2</v>
      </c>
      <c r="R727" s="1">
        <v>1</v>
      </c>
      <c r="S727" s="3" t="s">
        <v>50</v>
      </c>
      <c r="T727" s="1">
        <v>2</v>
      </c>
      <c r="U727" s="3" t="s">
        <v>52</v>
      </c>
      <c r="V727" s="4">
        <v>3743</v>
      </c>
      <c r="W727" s="1">
        <v>10074</v>
      </c>
      <c r="X727" s="1">
        <v>1</v>
      </c>
      <c r="Y727" s="3" t="s">
        <v>42</v>
      </c>
      <c r="Z727" s="3" t="s">
        <v>35</v>
      </c>
      <c r="AA727" s="5">
        <v>0.24</v>
      </c>
      <c r="AB727" s="10" t="str" cm="1">
        <f t="array" ref="AB727">_xlfn.IFS(AA727 &lt;= 15%, "Low Hike[11-15%]", AA727 &lt;= 20%, "Moderate Hike[16-20%]", AA727 &lt;= 25%,"High Hike[21-25%]")</f>
        <v>High Hike[21-25%]</v>
      </c>
      <c r="AC727" s="1">
        <v>4</v>
      </c>
      <c r="AD727" s="1">
        <v>4</v>
      </c>
      <c r="AE727" s="1">
        <v>80</v>
      </c>
      <c r="AF727" s="1">
        <v>1</v>
      </c>
      <c r="AG727" s="1">
        <v>5</v>
      </c>
      <c r="AH727" s="9" t="str" cm="1">
        <f t="array" ref="AH727">_xlfn.IFS(AG727 &lt;= 5, "New[1-5]", AG727 &lt;= 10, "Early Career[6-10]", AG727 &lt;= 20, "Established[11-20]", AG727 &lt;= 30, "Veteran[21-30]", AG727 &lt;= 40, "Late Career[31-40]")</f>
        <v>New[1-5]</v>
      </c>
      <c r="AI727" s="1">
        <v>2</v>
      </c>
      <c r="AJ727" s="1">
        <v>1</v>
      </c>
      <c r="AK727" s="1">
        <v>4</v>
      </c>
      <c r="AL727" s="9" t="str" cm="1">
        <f t="array" ref="AL727">_xlfn.IFS(AK727 &lt;= 5, "New[1-5]", AK727 &lt;= 10, "Early Career[6-10]", AK727 &lt;= 20, "Established[11-20]", AK727 &lt;= 30, "Veteran[21-30]", AK727 &lt;= 40, "Late Career[31-40]")</f>
        <v>New[1-5]</v>
      </c>
      <c r="AM727" s="1">
        <v>2</v>
      </c>
      <c r="AN727" s="9" t="str" cm="1">
        <f t="array" ref="AN727">_xlfn.IFS(AM727 &lt;= 3, "New to Role[1-3]", AM727 &lt;= 7, "Settled[4-7]", AM727 &lt;= 12, "Experienced[[8-12]", AM727 &lt;= 18, "Long Tenured[13-18]")</f>
        <v>New to Role[1-3]</v>
      </c>
      <c r="AO727" s="1">
        <v>0</v>
      </c>
      <c r="AP727" s="9" t="str" cm="1">
        <f t="array" ref="AP727">_xlfn.IFS(AO727 &lt;= 3, "Recently[1-3]", AO727 &lt;= 6, "Due Soon[4-6]", AO727 &lt;= 10, "Overdue[7-10]", AO727 &lt;= 15, "Long Overdue[11-15]")</f>
        <v>Recently[1-3]</v>
      </c>
      <c r="AQ727" s="9" t="str" cm="1">
        <f t="array" ref="AQ727">_xlfn.IFS(AR727 &lt;= 3, "New Relationship[1-3]", AR727 &lt;= 7, "Established Relationship[4-7]", AR727 &lt;= 12, "Long Term Relationship[8-12]", AR727 &lt;= 17, "Very Long Term Relationship[13-17]")</f>
        <v>New Relationship[1-3]</v>
      </c>
      <c r="AR727" s="1">
        <v>2</v>
      </c>
    </row>
    <row r="728" spans="1:44" x14ac:dyDescent="0.25">
      <c r="A728" s="1">
        <v>31</v>
      </c>
      <c r="B728" s="8" t="str" cm="1">
        <f t="array" ref="B728">_xlfn.IFS(A728 &lt;= 25, "[18-25]", A728 &lt;= 35, "[26-35]", A728 &lt;=45, "[36-45]", A728 &lt;= 60, "[46- 60]")</f>
        <v>[26-35]</v>
      </c>
      <c r="C728" s="3" t="s">
        <v>43</v>
      </c>
      <c r="D728">
        <f t="shared" si="11"/>
        <v>0</v>
      </c>
      <c r="E728" t="s">
        <v>44</v>
      </c>
      <c r="F728" s="1">
        <v>853</v>
      </c>
      <c r="G728" s="3" t="s">
        <v>45</v>
      </c>
      <c r="H728" s="1">
        <v>1</v>
      </c>
      <c r="I728" s="9" t="str" cm="1">
        <f t="array" ref="I728">_xlfn.IFS(H728 &lt;= 2, "[1-2] very close", H728 &lt;= 10, "[3-10] close", H728 &lt;= 20, "[11-20] moderate", H728 &lt;= 30, "[21-30] far")</f>
        <v>[1-2] very close</v>
      </c>
      <c r="J728" s="1">
        <v>1</v>
      </c>
      <c r="K728" s="3" t="s">
        <v>38</v>
      </c>
      <c r="L728" s="1">
        <v>1</v>
      </c>
      <c r="M728" s="1">
        <v>1011</v>
      </c>
      <c r="N728" s="1">
        <v>3</v>
      </c>
      <c r="O728" s="3" t="s">
        <v>39</v>
      </c>
      <c r="P728" s="1">
        <v>96</v>
      </c>
      <c r="Q728" s="1">
        <v>3</v>
      </c>
      <c r="R728" s="1">
        <v>2</v>
      </c>
      <c r="S728" s="3" t="s">
        <v>53</v>
      </c>
      <c r="T728" s="1">
        <v>1</v>
      </c>
      <c r="U728" s="3" t="s">
        <v>48</v>
      </c>
      <c r="V728" s="4">
        <v>4148</v>
      </c>
      <c r="W728" s="1">
        <v>11275</v>
      </c>
      <c r="X728" s="1">
        <v>1</v>
      </c>
      <c r="Y728" s="3" t="s">
        <v>42</v>
      </c>
      <c r="Z728" s="3" t="s">
        <v>43</v>
      </c>
      <c r="AA728" s="5">
        <v>0.12</v>
      </c>
      <c r="AB728" s="10" t="str" cm="1">
        <f t="array" ref="AB728">_xlfn.IFS(AA728 &lt;= 15%, "Low Hike[11-15%]", AA728 &lt;= 20%, "Moderate Hike[16-20%]", AA728 &lt;= 25%,"High Hike[21-25%]")</f>
        <v>Low Hike[11-15%]</v>
      </c>
      <c r="AC728" s="1">
        <v>3</v>
      </c>
      <c r="AD728" s="1">
        <v>3</v>
      </c>
      <c r="AE728" s="1">
        <v>80</v>
      </c>
      <c r="AF728" s="1">
        <v>1</v>
      </c>
      <c r="AG728" s="1">
        <v>4</v>
      </c>
      <c r="AH728" s="9" t="str" cm="1">
        <f t="array" ref="AH728">_xlfn.IFS(AG728 &lt;= 5, "New[1-5]", AG728 &lt;= 10, "Early Career[6-10]", AG728 &lt;= 20, "Established[11-20]", AG728 &lt;= 30, "Veteran[21-30]", AG728 &lt;= 40, "Late Career[31-40]")</f>
        <v>New[1-5]</v>
      </c>
      <c r="AI728" s="1">
        <v>1</v>
      </c>
      <c r="AJ728" s="1">
        <v>3</v>
      </c>
      <c r="AK728" s="1">
        <v>4</v>
      </c>
      <c r="AL728" s="9" t="str" cm="1">
        <f t="array" ref="AL728">_xlfn.IFS(AK728 &lt;= 5, "New[1-5]", AK728 &lt;= 10, "Early Career[6-10]", AK728 &lt;= 20, "Established[11-20]", AK728 &lt;= 30, "Veteran[21-30]", AK728 &lt;= 40, "Late Career[31-40]")</f>
        <v>New[1-5]</v>
      </c>
      <c r="AM728" s="1">
        <v>3</v>
      </c>
      <c r="AN728" s="9" t="str" cm="1">
        <f t="array" ref="AN728">_xlfn.IFS(AM728 &lt;= 3, "New to Role[1-3]", AM728 &lt;= 7, "Settled[4-7]", AM728 &lt;= 12, "Experienced[[8-12]", AM728 &lt;= 18, "Long Tenured[13-18]")</f>
        <v>New to Role[1-3]</v>
      </c>
      <c r="AO728" s="1">
        <v>0</v>
      </c>
      <c r="AP728" s="9" t="str" cm="1">
        <f t="array" ref="AP728">_xlfn.IFS(AO728 &lt;= 3, "Recently[1-3]", AO728 &lt;= 6, "Due Soon[4-6]", AO728 &lt;= 10, "Overdue[7-10]", AO728 &lt;= 15, "Long Overdue[11-15]")</f>
        <v>Recently[1-3]</v>
      </c>
      <c r="AQ728" s="9" t="str" cm="1">
        <f t="array" ref="AQ728">_xlfn.IFS(AR728 &lt;= 3, "New Relationship[1-3]", AR728 &lt;= 7, "Established Relationship[4-7]", AR728 &lt;= 12, "Long Term Relationship[8-12]", AR728 &lt;= 17, "Very Long Term Relationship[13-17]")</f>
        <v>New Relationship[1-3]</v>
      </c>
      <c r="AR728" s="1">
        <v>3</v>
      </c>
    </row>
    <row r="729" spans="1:44" x14ac:dyDescent="0.25">
      <c r="A729" s="1">
        <v>18</v>
      </c>
      <c r="B729" s="8" t="str" cm="1">
        <f t="array" ref="B729">_xlfn.IFS(A729 &lt;= 25, "[18-25]", A729 &lt;= 35, "[26-35]", A729 &lt;=45, "[36-45]", A729 &lt;= 60, "[46- 60]")</f>
        <v>[18-25]</v>
      </c>
      <c r="C729" s="3" t="s">
        <v>43</v>
      </c>
      <c r="D729">
        <f t="shared" si="11"/>
        <v>0</v>
      </c>
      <c r="E729" t="s">
        <v>62</v>
      </c>
      <c r="F729" s="1">
        <v>287</v>
      </c>
      <c r="G729" s="3" t="s">
        <v>45</v>
      </c>
      <c r="H729" s="1">
        <v>5</v>
      </c>
      <c r="I729" s="9" t="str" cm="1">
        <f t="array" ref="I729">_xlfn.IFS(H729 &lt;= 2, "[1-2] very close", H729 &lt;= 10, "[3-10] close", H729 &lt;= 20, "[11-20] moderate", H729 &lt;= 30, "[21-30] far")</f>
        <v>[3-10] close</v>
      </c>
      <c r="J729" s="1">
        <v>2</v>
      </c>
      <c r="K729" s="3" t="s">
        <v>38</v>
      </c>
      <c r="L729" s="1">
        <v>1</v>
      </c>
      <c r="M729" s="1">
        <v>1012</v>
      </c>
      <c r="N729" s="1">
        <v>2</v>
      </c>
      <c r="O729" s="3" t="s">
        <v>46</v>
      </c>
      <c r="P729" s="1">
        <v>73</v>
      </c>
      <c r="Q729" s="1">
        <v>3</v>
      </c>
      <c r="R729" s="1">
        <v>1</v>
      </c>
      <c r="S729" s="3" t="s">
        <v>47</v>
      </c>
      <c r="T729" s="1">
        <v>4</v>
      </c>
      <c r="U729" s="3" t="s">
        <v>41</v>
      </c>
      <c r="V729" s="4">
        <v>1051</v>
      </c>
      <c r="W729" s="1">
        <v>13493</v>
      </c>
      <c r="X729" s="1">
        <v>1</v>
      </c>
      <c r="Y729" s="3" t="s">
        <v>42</v>
      </c>
      <c r="Z729" s="3" t="s">
        <v>43</v>
      </c>
      <c r="AA729" s="5">
        <v>0.15</v>
      </c>
      <c r="AB729" s="10" t="str" cm="1">
        <f t="array" ref="AB729">_xlfn.IFS(AA729 &lt;= 15%, "Low Hike[11-15%]", AA729 &lt;= 20%, "Moderate Hike[16-20%]", AA729 &lt;= 25%,"High Hike[21-25%]")</f>
        <v>Low Hike[11-15%]</v>
      </c>
      <c r="AC729" s="1">
        <v>3</v>
      </c>
      <c r="AD729" s="1">
        <v>4</v>
      </c>
      <c r="AE729" s="1">
        <v>80</v>
      </c>
      <c r="AF729" s="1">
        <v>0</v>
      </c>
      <c r="AG729" s="1">
        <v>0</v>
      </c>
      <c r="AH729" s="9" t="str" cm="1">
        <f t="array" ref="AH729">_xlfn.IFS(AG729 &lt;= 5, "New[1-5]", AG729 &lt;= 10, "Early Career[6-10]", AG729 &lt;= 20, "Established[11-20]", AG729 &lt;= 30, "Veteran[21-30]", AG729 &lt;= 40, "Late Career[31-40]")</f>
        <v>New[1-5]</v>
      </c>
      <c r="AI729" s="1">
        <v>2</v>
      </c>
      <c r="AJ729" s="1">
        <v>3</v>
      </c>
      <c r="AK729" s="1">
        <v>0</v>
      </c>
      <c r="AL729" s="9" t="str" cm="1">
        <f t="array" ref="AL729">_xlfn.IFS(AK729 &lt;= 5, "New[1-5]", AK729 &lt;= 10, "Early Career[6-10]", AK729 &lt;= 20, "Established[11-20]", AK729 &lt;= 30, "Veteran[21-30]", AK729 &lt;= 40, "Late Career[31-40]")</f>
        <v>New[1-5]</v>
      </c>
      <c r="AM729" s="1">
        <v>0</v>
      </c>
      <c r="AN729" s="9" t="str" cm="1">
        <f t="array" ref="AN729">_xlfn.IFS(AM729 &lt;= 3, "New to Role[1-3]", AM729 &lt;= 7, "Settled[4-7]", AM729 &lt;= 12, "Experienced[[8-12]", AM729 &lt;= 18, "Long Tenured[13-18]")</f>
        <v>New to Role[1-3]</v>
      </c>
      <c r="AO729" s="1">
        <v>0</v>
      </c>
      <c r="AP729" s="9" t="str" cm="1">
        <f t="array" ref="AP729">_xlfn.IFS(AO729 &lt;= 3, "Recently[1-3]", AO729 &lt;= 6, "Due Soon[4-6]", AO729 &lt;= 10, "Overdue[7-10]", AO729 &lt;= 15, "Long Overdue[11-15]")</f>
        <v>Recently[1-3]</v>
      </c>
      <c r="AQ729" s="9" t="str" cm="1">
        <f t="array" ref="AQ729">_xlfn.IFS(AR729 &lt;= 3, "New Relationship[1-3]", AR729 &lt;= 7, "Established Relationship[4-7]", AR729 &lt;= 12, "Long Term Relationship[8-12]", AR729 &lt;= 17, "Very Long Term Relationship[13-17]")</f>
        <v>New Relationship[1-3]</v>
      </c>
      <c r="AR729" s="1">
        <v>0</v>
      </c>
    </row>
    <row r="730" spans="1:44" x14ac:dyDescent="0.25">
      <c r="A730" s="1">
        <v>54</v>
      </c>
      <c r="B730" s="8" t="str" cm="1">
        <f t="array" ref="B730">_xlfn.IFS(A730 &lt;= 25, "[18-25]", A730 &lt;= 35, "[26-35]", A730 &lt;=45, "[36-45]", A730 &lt;= 60, "[46- 60]")</f>
        <v>[46- 60]</v>
      </c>
      <c r="C730" s="3" t="s">
        <v>43</v>
      </c>
      <c r="D730">
        <f t="shared" si="11"/>
        <v>0</v>
      </c>
      <c r="E730" t="s">
        <v>36</v>
      </c>
      <c r="F730" s="1">
        <v>1441</v>
      </c>
      <c r="G730" s="3" t="s">
        <v>45</v>
      </c>
      <c r="H730" s="1">
        <v>17</v>
      </c>
      <c r="I730" s="9" t="str" cm="1">
        <f t="array" ref="I730">_xlfn.IFS(H730 &lt;= 2, "[1-2] very close", H730 &lt;= 10, "[3-10] close", H730 &lt;= 20, "[11-20] moderate", H730 &lt;= 30, "[21-30] far")</f>
        <v>[11-20] moderate</v>
      </c>
      <c r="J730" s="1">
        <v>3</v>
      </c>
      <c r="K730" s="3" t="s">
        <v>60</v>
      </c>
      <c r="L730" s="1">
        <v>1</v>
      </c>
      <c r="M730" s="1">
        <v>1013</v>
      </c>
      <c r="N730" s="1">
        <v>3</v>
      </c>
      <c r="O730" s="3" t="s">
        <v>39</v>
      </c>
      <c r="P730" s="1">
        <v>56</v>
      </c>
      <c r="Q730" s="1">
        <v>3</v>
      </c>
      <c r="R730" s="1">
        <v>3</v>
      </c>
      <c r="S730" s="3" t="s">
        <v>53</v>
      </c>
      <c r="T730" s="1">
        <v>3</v>
      </c>
      <c r="U730" s="3" t="s">
        <v>48</v>
      </c>
      <c r="V730" s="4">
        <v>10739</v>
      </c>
      <c r="W730" s="1">
        <v>13943</v>
      </c>
      <c r="X730" s="1">
        <v>8</v>
      </c>
      <c r="Y730" s="3" t="s">
        <v>42</v>
      </c>
      <c r="Z730" s="3" t="s">
        <v>43</v>
      </c>
      <c r="AA730" s="5">
        <v>0.11</v>
      </c>
      <c r="AB730" s="10" t="str" cm="1">
        <f t="array" ref="AB730">_xlfn.IFS(AA730 &lt;= 15%, "Low Hike[11-15%]", AA730 &lt;= 20%, "Moderate Hike[16-20%]", AA730 &lt;= 25%,"High Hike[21-25%]")</f>
        <v>Low Hike[11-15%]</v>
      </c>
      <c r="AC730" s="1">
        <v>3</v>
      </c>
      <c r="AD730" s="1">
        <v>3</v>
      </c>
      <c r="AE730" s="1">
        <v>80</v>
      </c>
      <c r="AF730" s="1">
        <v>1</v>
      </c>
      <c r="AG730" s="1">
        <v>22</v>
      </c>
      <c r="AH730" s="9" t="str" cm="1">
        <f t="array" ref="AH730">_xlfn.IFS(AG730 &lt;= 5, "New[1-5]", AG730 &lt;= 10, "Early Career[6-10]", AG730 &lt;= 20, "Established[11-20]", AG730 &lt;= 30, "Veteran[21-30]", AG730 &lt;= 40, "Late Career[31-40]")</f>
        <v>Veteran[21-30]</v>
      </c>
      <c r="AI730" s="1">
        <v>2</v>
      </c>
      <c r="AJ730" s="1">
        <v>3</v>
      </c>
      <c r="AK730" s="1">
        <v>10</v>
      </c>
      <c r="AL730" s="9" t="str" cm="1">
        <f t="array" ref="AL730">_xlfn.IFS(AK730 &lt;= 5, "New[1-5]", AK730 &lt;= 10, "Early Career[6-10]", AK730 &lt;= 20, "Established[11-20]", AK730 &lt;= 30, "Veteran[21-30]", AK730 &lt;= 40, "Late Career[31-40]")</f>
        <v>Early Career[6-10]</v>
      </c>
      <c r="AM730" s="1">
        <v>7</v>
      </c>
      <c r="AN730" s="9" t="str" cm="1">
        <f t="array" ref="AN730">_xlfn.IFS(AM730 &lt;= 3, "New to Role[1-3]", AM730 &lt;= 7, "Settled[4-7]", AM730 &lt;= 12, "Experienced[[8-12]", AM730 &lt;= 18, "Long Tenured[13-18]")</f>
        <v>Settled[4-7]</v>
      </c>
      <c r="AO730" s="1">
        <v>0</v>
      </c>
      <c r="AP730" s="9" t="str" cm="1">
        <f t="array" ref="AP730">_xlfn.IFS(AO730 &lt;= 3, "Recently[1-3]", AO730 &lt;= 6, "Due Soon[4-6]", AO730 &lt;= 10, "Overdue[7-10]", AO730 &lt;= 15, "Long Overdue[11-15]")</f>
        <v>Recently[1-3]</v>
      </c>
      <c r="AQ730" s="9" t="str" cm="1">
        <f t="array" ref="AQ730">_xlfn.IFS(AR730 &lt;= 3, "New Relationship[1-3]", AR730 &lt;= 7, "Established Relationship[4-7]", AR730 &lt;= 12, "Long Term Relationship[8-12]", AR730 &lt;= 17, "Very Long Term Relationship[13-17]")</f>
        <v>Long Term Relationship[8-12]</v>
      </c>
      <c r="AR730" s="1">
        <v>8</v>
      </c>
    </row>
    <row r="731" spans="1:44" x14ac:dyDescent="0.25">
      <c r="A731" s="1">
        <v>35</v>
      </c>
      <c r="B731" s="8" t="str" cm="1">
        <f t="array" ref="B731">_xlfn.IFS(A731 &lt;= 25, "[18-25]", A731 &lt;= 35, "[26-35]", A731 &lt;=45, "[36-45]", A731 &lt;= 60, "[46- 60]")</f>
        <v>[26-35]</v>
      </c>
      <c r="C731" s="3" t="s">
        <v>43</v>
      </c>
      <c r="D731">
        <f t="shared" si="11"/>
        <v>0</v>
      </c>
      <c r="E731" t="s">
        <v>36</v>
      </c>
      <c r="F731" s="1">
        <v>583</v>
      </c>
      <c r="G731" s="3" t="s">
        <v>45</v>
      </c>
      <c r="H731" s="1">
        <v>25</v>
      </c>
      <c r="I731" s="9" t="str" cm="1">
        <f t="array" ref="I731">_xlfn.IFS(H731 &lt;= 2, "[1-2] very close", H731 &lt;= 10, "[3-10] close", H731 &lt;= 20, "[11-20] moderate", H731 &lt;= 30, "[21-30] far")</f>
        <v>[21-30] far</v>
      </c>
      <c r="J731" s="1">
        <v>4</v>
      </c>
      <c r="K731" s="3" t="s">
        <v>51</v>
      </c>
      <c r="L731" s="1">
        <v>1</v>
      </c>
      <c r="M731" s="1">
        <v>1014</v>
      </c>
      <c r="N731" s="1">
        <v>3</v>
      </c>
      <c r="O731" s="3" t="s">
        <v>39</v>
      </c>
      <c r="P731" s="1">
        <v>57</v>
      </c>
      <c r="Q731" s="1">
        <v>3</v>
      </c>
      <c r="R731" s="1">
        <v>3</v>
      </c>
      <c r="S731" s="3" t="s">
        <v>54</v>
      </c>
      <c r="T731" s="1">
        <v>3</v>
      </c>
      <c r="U731" s="3" t="s">
        <v>52</v>
      </c>
      <c r="V731" s="4">
        <v>10388</v>
      </c>
      <c r="W731" s="1">
        <v>6975</v>
      </c>
      <c r="X731" s="1">
        <v>1</v>
      </c>
      <c r="Y731" s="3" t="s">
        <v>42</v>
      </c>
      <c r="Z731" s="3" t="s">
        <v>35</v>
      </c>
      <c r="AA731" s="5">
        <v>0.11</v>
      </c>
      <c r="AB731" s="10" t="str" cm="1">
        <f t="array" ref="AB731">_xlfn.IFS(AA731 &lt;= 15%, "Low Hike[11-15%]", AA731 &lt;= 20%, "Moderate Hike[16-20%]", AA731 &lt;= 25%,"High Hike[21-25%]")</f>
        <v>Low Hike[11-15%]</v>
      </c>
      <c r="AC731" s="1">
        <v>3</v>
      </c>
      <c r="AD731" s="1">
        <v>3</v>
      </c>
      <c r="AE731" s="1">
        <v>80</v>
      </c>
      <c r="AF731" s="1">
        <v>1</v>
      </c>
      <c r="AG731" s="1">
        <v>16</v>
      </c>
      <c r="AH731" s="9" t="str" cm="1">
        <f t="array" ref="AH731">_xlfn.IFS(AG731 &lt;= 5, "New[1-5]", AG731 &lt;= 10, "Early Career[6-10]", AG731 &lt;= 20, "Established[11-20]", AG731 &lt;= 30, "Veteran[21-30]", AG731 &lt;= 40, "Late Career[31-40]")</f>
        <v>Established[11-20]</v>
      </c>
      <c r="AI731" s="1">
        <v>3</v>
      </c>
      <c r="AJ731" s="1">
        <v>2</v>
      </c>
      <c r="AK731" s="1">
        <v>16</v>
      </c>
      <c r="AL731" s="9" t="str" cm="1">
        <f t="array" ref="AL731">_xlfn.IFS(AK731 &lt;= 5, "New[1-5]", AK731 &lt;= 10, "Early Career[6-10]", AK731 &lt;= 20, "Established[11-20]", AK731 &lt;= 30, "Veteran[21-30]", AK731 &lt;= 40, "Late Career[31-40]")</f>
        <v>Established[11-20]</v>
      </c>
      <c r="AM731" s="1">
        <v>10</v>
      </c>
      <c r="AN731" s="9" t="str" cm="1">
        <f t="array" ref="AN731">_xlfn.IFS(AM731 &lt;= 3, "New to Role[1-3]", AM731 &lt;= 7, "Settled[4-7]", AM731 &lt;= 12, "Experienced[[8-12]", AM731 &lt;= 18, "Long Tenured[13-18]")</f>
        <v>Experienced[[8-12]</v>
      </c>
      <c r="AO731" s="1">
        <v>10</v>
      </c>
      <c r="AP731" s="9" t="str" cm="1">
        <f t="array" ref="AP731">_xlfn.IFS(AO731 &lt;= 3, "Recently[1-3]", AO731 &lt;= 6, "Due Soon[4-6]", AO731 &lt;= 10, "Overdue[7-10]", AO731 &lt;= 15, "Long Overdue[11-15]")</f>
        <v>Overdue[7-10]</v>
      </c>
      <c r="AQ731" s="9" t="str" cm="1">
        <f t="array" ref="AQ731">_xlfn.IFS(AR731 &lt;= 3, "New Relationship[1-3]", AR731 &lt;= 7, "Established Relationship[4-7]", AR731 &lt;= 12, "Long Term Relationship[8-12]", AR731 &lt;= 17, "Very Long Term Relationship[13-17]")</f>
        <v>New Relationship[1-3]</v>
      </c>
      <c r="AR731" s="1">
        <v>1</v>
      </c>
    </row>
    <row r="732" spans="1:44" x14ac:dyDescent="0.25">
      <c r="A732" s="1">
        <v>30</v>
      </c>
      <c r="B732" s="8" t="str" cm="1">
        <f t="array" ref="B732">_xlfn.IFS(A732 &lt;= 25, "[18-25]", A732 &lt;= 35, "[26-35]", A732 &lt;=45, "[36-45]", A732 &lt;= 60, "[46- 60]")</f>
        <v>[26-35]</v>
      </c>
      <c r="C732" s="3" t="s">
        <v>43</v>
      </c>
      <c r="D732">
        <f t="shared" si="11"/>
        <v>0</v>
      </c>
      <c r="E732" t="s">
        <v>36</v>
      </c>
      <c r="F732" s="1">
        <v>153</v>
      </c>
      <c r="G732" s="3" t="s">
        <v>45</v>
      </c>
      <c r="H732" s="1">
        <v>8</v>
      </c>
      <c r="I732" s="9" t="str" cm="1">
        <f t="array" ref="I732">_xlfn.IFS(H732 &lt;= 2, "[1-2] very close", H732 &lt;= 10, "[3-10] close", H732 &lt;= 20, "[11-20] moderate", H732 &lt;= 30, "[21-30] far")</f>
        <v>[3-10] close</v>
      </c>
      <c r="J732" s="1">
        <v>2</v>
      </c>
      <c r="K732" s="3" t="s">
        <v>38</v>
      </c>
      <c r="L732" s="1">
        <v>1</v>
      </c>
      <c r="M732" s="1">
        <v>1015</v>
      </c>
      <c r="N732" s="1">
        <v>2</v>
      </c>
      <c r="O732" s="3" t="s">
        <v>39</v>
      </c>
      <c r="P732" s="1">
        <v>73</v>
      </c>
      <c r="Q732" s="1">
        <v>4</v>
      </c>
      <c r="R732" s="1">
        <v>3</v>
      </c>
      <c r="S732" s="3" t="s">
        <v>58</v>
      </c>
      <c r="T732" s="1">
        <v>1</v>
      </c>
      <c r="U732" s="3" t="s">
        <v>48</v>
      </c>
      <c r="V732" s="4">
        <v>11416</v>
      </c>
      <c r="W732" s="1">
        <v>17802</v>
      </c>
      <c r="X732" s="1">
        <v>0</v>
      </c>
      <c r="Y732" s="3" t="s">
        <v>42</v>
      </c>
      <c r="Z732" s="3" t="s">
        <v>35</v>
      </c>
      <c r="AA732" s="5">
        <v>0.12</v>
      </c>
      <c r="AB732" s="10" t="str" cm="1">
        <f t="array" ref="AB732">_xlfn.IFS(AA732 &lt;= 15%, "Low Hike[11-15%]", AA732 &lt;= 20%, "Moderate Hike[16-20%]", AA732 &lt;= 25%,"High Hike[21-25%]")</f>
        <v>Low Hike[11-15%]</v>
      </c>
      <c r="AC732" s="1">
        <v>3</v>
      </c>
      <c r="AD732" s="1">
        <v>3</v>
      </c>
      <c r="AE732" s="1">
        <v>80</v>
      </c>
      <c r="AF732" s="1">
        <v>3</v>
      </c>
      <c r="AG732" s="1">
        <v>9</v>
      </c>
      <c r="AH732" s="9" t="str" cm="1">
        <f t="array" ref="AH732">_xlfn.IFS(AG732 &lt;= 5, "New[1-5]", AG732 &lt;= 10, "Early Career[6-10]", AG732 &lt;= 20, "Established[11-20]", AG732 &lt;= 30, "Veteran[21-30]", AG732 &lt;= 40, "Late Career[31-40]")</f>
        <v>Early Career[6-10]</v>
      </c>
      <c r="AI732" s="1">
        <v>4</v>
      </c>
      <c r="AJ732" s="1">
        <v>2</v>
      </c>
      <c r="AK732" s="1">
        <v>8</v>
      </c>
      <c r="AL732" s="9" t="str" cm="1">
        <f t="array" ref="AL732">_xlfn.IFS(AK732 &lt;= 5, "New[1-5]", AK732 &lt;= 10, "Early Career[6-10]", AK732 &lt;= 20, "Established[11-20]", AK732 &lt;= 30, "Veteran[21-30]", AK732 &lt;= 40, "Late Career[31-40]")</f>
        <v>Early Career[6-10]</v>
      </c>
      <c r="AM732" s="1">
        <v>7</v>
      </c>
      <c r="AN732" s="9" t="str" cm="1">
        <f t="array" ref="AN732">_xlfn.IFS(AM732 &lt;= 3, "New to Role[1-3]", AM732 &lt;= 7, "Settled[4-7]", AM732 &lt;= 12, "Experienced[[8-12]", AM732 &lt;= 18, "Long Tenured[13-18]")</f>
        <v>Settled[4-7]</v>
      </c>
      <c r="AO732" s="1">
        <v>1</v>
      </c>
      <c r="AP732" s="9" t="str" cm="1">
        <f t="array" ref="AP732">_xlfn.IFS(AO732 &lt;= 3, "Recently[1-3]", AO732 &lt;= 6, "Due Soon[4-6]", AO732 &lt;= 10, "Overdue[7-10]", AO732 &lt;= 15, "Long Overdue[11-15]")</f>
        <v>Recently[1-3]</v>
      </c>
      <c r="AQ732" s="9" t="str" cm="1">
        <f t="array" ref="AQ732">_xlfn.IFS(AR732 &lt;= 3, "New Relationship[1-3]", AR732 &lt;= 7, "Established Relationship[4-7]", AR732 &lt;= 12, "Long Term Relationship[8-12]", AR732 &lt;= 17, "Very Long Term Relationship[13-17]")</f>
        <v>Established Relationship[4-7]</v>
      </c>
      <c r="AR732" s="1">
        <v>7</v>
      </c>
    </row>
    <row r="733" spans="1:44" x14ac:dyDescent="0.25">
      <c r="A733" s="1">
        <v>20</v>
      </c>
      <c r="B733" s="8" t="str" cm="1">
        <f t="array" ref="B733">_xlfn.IFS(A733 &lt;= 25, "[18-25]", A733 &lt;= 35, "[26-35]", A733 &lt;=45, "[36-45]", A733 &lt;= 60, "[46- 60]")</f>
        <v>[18-25]</v>
      </c>
      <c r="C733" s="3" t="s">
        <v>35</v>
      </c>
      <c r="D733">
        <f t="shared" si="11"/>
        <v>1</v>
      </c>
      <c r="E733" t="s">
        <v>36</v>
      </c>
      <c r="F733" s="1">
        <v>1097</v>
      </c>
      <c r="G733" s="3" t="s">
        <v>45</v>
      </c>
      <c r="H733" s="1">
        <v>11</v>
      </c>
      <c r="I733" s="9" t="str" cm="1">
        <f t="array" ref="I733">_xlfn.IFS(H733 &lt;= 2, "[1-2] very close", H733 &lt;= 10, "[3-10] close", H733 &lt;= 20, "[11-20] moderate", H733 &lt;= 30, "[21-30] far")</f>
        <v>[11-20] moderate</v>
      </c>
      <c r="J733" s="1">
        <v>3</v>
      </c>
      <c r="K733" s="3" t="s">
        <v>51</v>
      </c>
      <c r="L733" s="1">
        <v>1</v>
      </c>
      <c r="M733" s="1">
        <v>1016</v>
      </c>
      <c r="N733" s="1">
        <v>4</v>
      </c>
      <c r="O733" s="3" t="s">
        <v>39</v>
      </c>
      <c r="P733" s="1">
        <v>98</v>
      </c>
      <c r="Q733" s="1">
        <v>2</v>
      </c>
      <c r="R733" s="1">
        <v>1</v>
      </c>
      <c r="S733" s="3" t="s">
        <v>47</v>
      </c>
      <c r="T733" s="1">
        <v>1</v>
      </c>
      <c r="U733" s="3" t="s">
        <v>41</v>
      </c>
      <c r="V733" s="4">
        <v>2600</v>
      </c>
      <c r="W733" s="1">
        <v>18275</v>
      </c>
      <c r="X733" s="1">
        <v>1</v>
      </c>
      <c r="Y733" s="3" t="s">
        <v>42</v>
      </c>
      <c r="Z733" s="3" t="s">
        <v>35</v>
      </c>
      <c r="AA733" s="5">
        <v>0.15</v>
      </c>
      <c r="AB733" s="10" t="str" cm="1">
        <f t="array" ref="AB733">_xlfn.IFS(AA733 &lt;= 15%, "Low Hike[11-15%]", AA733 &lt;= 20%, "Moderate Hike[16-20%]", AA733 &lt;= 25%,"High Hike[21-25%]")</f>
        <v>Low Hike[11-15%]</v>
      </c>
      <c r="AC733" s="1">
        <v>3</v>
      </c>
      <c r="AD733" s="1">
        <v>1</v>
      </c>
      <c r="AE733" s="1">
        <v>80</v>
      </c>
      <c r="AF733" s="1">
        <v>0</v>
      </c>
      <c r="AG733" s="1">
        <v>1</v>
      </c>
      <c r="AH733" s="9" t="str" cm="1">
        <f t="array" ref="AH733">_xlfn.IFS(AG733 &lt;= 5, "New[1-5]", AG733 &lt;= 10, "Early Career[6-10]", AG733 &lt;= 20, "Established[11-20]", AG733 &lt;= 30, "Veteran[21-30]", AG733 &lt;= 40, "Late Career[31-40]")</f>
        <v>New[1-5]</v>
      </c>
      <c r="AI733" s="1">
        <v>2</v>
      </c>
      <c r="AJ733" s="1">
        <v>3</v>
      </c>
      <c r="AK733" s="1">
        <v>1</v>
      </c>
      <c r="AL733" s="9" t="str" cm="1">
        <f t="array" ref="AL733">_xlfn.IFS(AK733 &lt;= 5, "New[1-5]", AK733 &lt;= 10, "Early Career[6-10]", AK733 &lt;= 20, "Established[11-20]", AK733 &lt;= 30, "Veteran[21-30]", AK733 &lt;= 40, "Late Career[31-40]")</f>
        <v>New[1-5]</v>
      </c>
      <c r="AM733" s="1">
        <v>0</v>
      </c>
      <c r="AN733" s="9" t="str" cm="1">
        <f t="array" ref="AN733">_xlfn.IFS(AM733 &lt;= 3, "New to Role[1-3]", AM733 &lt;= 7, "Settled[4-7]", AM733 &lt;= 12, "Experienced[[8-12]", AM733 &lt;= 18, "Long Tenured[13-18]")</f>
        <v>New to Role[1-3]</v>
      </c>
      <c r="AO733" s="1">
        <v>0</v>
      </c>
      <c r="AP733" s="9" t="str" cm="1">
        <f t="array" ref="AP733">_xlfn.IFS(AO733 &lt;= 3, "Recently[1-3]", AO733 &lt;= 6, "Due Soon[4-6]", AO733 &lt;= 10, "Overdue[7-10]", AO733 &lt;= 15, "Long Overdue[11-15]")</f>
        <v>Recently[1-3]</v>
      </c>
      <c r="AQ733" s="9" t="str" cm="1">
        <f t="array" ref="AQ733">_xlfn.IFS(AR733 &lt;= 3, "New Relationship[1-3]", AR733 &lt;= 7, "Established Relationship[4-7]", AR733 &lt;= 12, "Long Term Relationship[8-12]", AR733 &lt;= 17, "Very Long Term Relationship[13-17]")</f>
        <v>New Relationship[1-3]</v>
      </c>
      <c r="AR733" s="1">
        <v>0</v>
      </c>
    </row>
    <row r="734" spans="1:44" x14ac:dyDescent="0.25">
      <c r="A734" s="1">
        <v>30</v>
      </c>
      <c r="B734" s="8" t="str" cm="1">
        <f t="array" ref="B734">_xlfn.IFS(A734 &lt;= 25, "[18-25]", A734 &lt;= 35, "[26-35]", A734 &lt;=45, "[36-45]", A734 &lt;= 60, "[46- 60]")</f>
        <v>[26-35]</v>
      </c>
      <c r="C734" s="3" t="s">
        <v>35</v>
      </c>
      <c r="D734">
        <f t="shared" si="11"/>
        <v>1</v>
      </c>
      <c r="E734" t="s">
        <v>44</v>
      </c>
      <c r="F734" s="1">
        <v>109</v>
      </c>
      <c r="G734" s="3" t="s">
        <v>45</v>
      </c>
      <c r="H734" s="1">
        <v>5</v>
      </c>
      <c r="I734" s="9" t="str" cm="1">
        <f t="array" ref="I734">_xlfn.IFS(H734 &lt;= 2, "[1-2] very close", H734 &lt;= 10, "[3-10] close", H734 &lt;= 20, "[11-20] moderate", H734 &lt;= 30, "[21-30] far")</f>
        <v>[3-10] close</v>
      </c>
      <c r="J734" s="1">
        <v>3</v>
      </c>
      <c r="K734" s="3" t="s">
        <v>51</v>
      </c>
      <c r="L734" s="1">
        <v>1</v>
      </c>
      <c r="M734" s="1">
        <v>1017</v>
      </c>
      <c r="N734" s="1">
        <v>2</v>
      </c>
      <c r="O734" s="3" t="s">
        <v>39</v>
      </c>
      <c r="P734" s="1">
        <v>60</v>
      </c>
      <c r="Q734" s="1">
        <v>3</v>
      </c>
      <c r="R734" s="1">
        <v>1</v>
      </c>
      <c r="S734" s="3" t="s">
        <v>50</v>
      </c>
      <c r="T734" s="1">
        <v>2</v>
      </c>
      <c r="U734" s="3" t="s">
        <v>41</v>
      </c>
      <c r="V734" s="4">
        <v>2422</v>
      </c>
      <c r="W734" s="1">
        <v>25725</v>
      </c>
      <c r="X734" s="1">
        <v>0</v>
      </c>
      <c r="Y734" s="3" t="s">
        <v>42</v>
      </c>
      <c r="Z734" s="3" t="s">
        <v>43</v>
      </c>
      <c r="AA734" s="5">
        <v>0.17</v>
      </c>
      <c r="AB734" s="10" t="str" cm="1">
        <f t="array" ref="AB734">_xlfn.IFS(AA734 &lt;= 15%, "Low Hike[11-15%]", AA734 &lt;= 20%, "Moderate Hike[16-20%]", AA734 &lt;= 25%,"High Hike[21-25%]")</f>
        <v>Moderate Hike[16-20%]</v>
      </c>
      <c r="AC734" s="1">
        <v>3</v>
      </c>
      <c r="AD734" s="1">
        <v>1</v>
      </c>
      <c r="AE734" s="1">
        <v>80</v>
      </c>
      <c r="AF734" s="1">
        <v>0</v>
      </c>
      <c r="AG734" s="1">
        <v>4</v>
      </c>
      <c r="AH734" s="9" t="str" cm="1">
        <f t="array" ref="AH734">_xlfn.IFS(AG734 &lt;= 5, "New[1-5]", AG734 &lt;= 10, "Early Career[6-10]", AG734 &lt;= 20, "Established[11-20]", AG734 &lt;= 30, "Veteran[21-30]", AG734 &lt;= 40, "Late Career[31-40]")</f>
        <v>New[1-5]</v>
      </c>
      <c r="AI734" s="1">
        <v>3</v>
      </c>
      <c r="AJ734" s="1">
        <v>3</v>
      </c>
      <c r="AK734" s="1">
        <v>3</v>
      </c>
      <c r="AL734" s="9" t="str" cm="1">
        <f t="array" ref="AL734">_xlfn.IFS(AK734 &lt;= 5, "New[1-5]", AK734 &lt;= 10, "Early Career[6-10]", AK734 &lt;= 20, "Established[11-20]", AK734 &lt;= 30, "Veteran[21-30]", AK734 &lt;= 40, "Late Career[31-40]")</f>
        <v>New[1-5]</v>
      </c>
      <c r="AM734" s="1">
        <v>2</v>
      </c>
      <c r="AN734" s="9" t="str" cm="1">
        <f t="array" ref="AN734">_xlfn.IFS(AM734 &lt;= 3, "New to Role[1-3]", AM734 &lt;= 7, "Settled[4-7]", AM734 &lt;= 12, "Experienced[[8-12]", AM734 &lt;= 18, "Long Tenured[13-18]")</f>
        <v>New to Role[1-3]</v>
      </c>
      <c r="AO734" s="1">
        <v>1</v>
      </c>
      <c r="AP734" s="9" t="str" cm="1">
        <f t="array" ref="AP734">_xlfn.IFS(AO734 &lt;= 3, "Recently[1-3]", AO734 &lt;= 6, "Due Soon[4-6]", AO734 &lt;= 10, "Overdue[7-10]", AO734 &lt;= 15, "Long Overdue[11-15]")</f>
        <v>Recently[1-3]</v>
      </c>
      <c r="AQ734" s="9" t="str" cm="1">
        <f t="array" ref="AQ734">_xlfn.IFS(AR734 &lt;= 3, "New Relationship[1-3]", AR734 &lt;= 7, "Established Relationship[4-7]", AR734 &lt;= 12, "Long Term Relationship[8-12]", AR734 &lt;= 17, "Very Long Term Relationship[13-17]")</f>
        <v>New Relationship[1-3]</v>
      </c>
      <c r="AR734" s="1">
        <v>2</v>
      </c>
    </row>
    <row r="735" spans="1:44" x14ac:dyDescent="0.25">
      <c r="A735" s="1">
        <v>26</v>
      </c>
      <c r="B735" s="8" t="str" cm="1">
        <f t="array" ref="B735">_xlfn.IFS(A735 &lt;= 25, "[18-25]", A735 &lt;= 35, "[26-35]", A735 &lt;=45, "[36-45]", A735 &lt;= 60, "[46- 60]")</f>
        <v>[26-35]</v>
      </c>
      <c r="C735" s="3" t="s">
        <v>43</v>
      </c>
      <c r="D735">
        <f t="shared" si="11"/>
        <v>0</v>
      </c>
      <c r="E735" t="s">
        <v>36</v>
      </c>
      <c r="F735" s="1">
        <v>1066</v>
      </c>
      <c r="G735" s="3" t="s">
        <v>45</v>
      </c>
      <c r="H735" s="1">
        <v>2</v>
      </c>
      <c r="I735" s="9" t="str" cm="1">
        <f t="array" ref="I735">_xlfn.IFS(H735 &lt;= 2, "[1-2] very close", H735 &lt;= 10, "[3-10] close", H735 &lt;= 20, "[11-20] moderate", H735 &lt;= 30, "[21-30] far")</f>
        <v>[1-2] very close</v>
      </c>
      <c r="J735" s="1">
        <v>2</v>
      </c>
      <c r="K735" s="3" t="s">
        <v>51</v>
      </c>
      <c r="L735" s="1">
        <v>1</v>
      </c>
      <c r="M735" s="1">
        <v>1018</v>
      </c>
      <c r="N735" s="1">
        <v>4</v>
      </c>
      <c r="O735" s="3" t="s">
        <v>46</v>
      </c>
      <c r="P735" s="1">
        <v>32</v>
      </c>
      <c r="Q735" s="1">
        <v>4</v>
      </c>
      <c r="R735" s="1">
        <v>2</v>
      </c>
      <c r="S735" s="3" t="s">
        <v>53</v>
      </c>
      <c r="T735" s="1">
        <v>4</v>
      </c>
      <c r="U735" s="3" t="s">
        <v>48</v>
      </c>
      <c r="V735" s="4">
        <v>5472</v>
      </c>
      <c r="W735" s="1">
        <v>3334</v>
      </c>
      <c r="X735" s="1">
        <v>1</v>
      </c>
      <c r="Y735" s="3" t="s">
        <v>42</v>
      </c>
      <c r="Z735" s="3" t="s">
        <v>43</v>
      </c>
      <c r="AA735" s="5">
        <v>0.12</v>
      </c>
      <c r="AB735" s="10" t="str" cm="1">
        <f t="array" ref="AB735">_xlfn.IFS(AA735 &lt;= 15%, "Low Hike[11-15%]", AA735 &lt;= 20%, "Moderate Hike[16-20%]", AA735 &lt;= 25%,"High Hike[21-25%]")</f>
        <v>Low Hike[11-15%]</v>
      </c>
      <c r="AC735" s="1">
        <v>3</v>
      </c>
      <c r="AD735" s="1">
        <v>2</v>
      </c>
      <c r="AE735" s="1">
        <v>80</v>
      </c>
      <c r="AF735" s="1">
        <v>0</v>
      </c>
      <c r="AG735" s="1">
        <v>8</v>
      </c>
      <c r="AH735" s="9" t="str" cm="1">
        <f t="array" ref="AH735">_xlfn.IFS(AG735 &lt;= 5, "New[1-5]", AG735 &lt;= 10, "Early Career[6-10]", AG735 &lt;= 20, "Established[11-20]", AG735 &lt;= 30, "Veteran[21-30]", AG735 &lt;= 40, "Late Career[31-40]")</f>
        <v>Early Career[6-10]</v>
      </c>
      <c r="AI735" s="1">
        <v>2</v>
      </c>
      <c r="AJ735" s="1">
        <v>3</v>
      </c>
      <c r="AK735" s="1">
        <v>8</v>
      </c>
      <c r="AL735" s="9" t="str" cm="1">
        <f t="array" ref="AL735">_xlfn.IFS(AK735 &lt;= 5, "New[1-5]", AK735 &lt;= 10, "Early Career[6-10]", AK735 &lt;= 20, "Established[11-20]", AK735 &lt;= 30, "Veteran[21-30]", AK735 &lt;= 40, "Late Career[31-40]")</f>
        <v>Early Career[6-10]</v>
      </c>
      <c r="AM735" s="1">
        <v>7</v>
      </c>
      <c r="AN735" s="9" t="str" cm="1">
        <f t="array" ref="AN735">_xlfn.IFS(AM735 &lt;= 3, "New to Role[1-3]", AM735 &lt;= 7, "Settled[4-7]", AM735 &lt;= 12, "Experienced[[8-12]", AM735 &lt;= 18, "Long Tenured[13-18]")</f>
        <v>Settled[4-7]</v>
      </c>
      <c r="AO735" s="1">
        <v>1</v>
      </c>
      <c r="AP735" s="9" t="str" cm="1">
        <f t="array" ref="AP735">_xlfn.IFS(AO735 &lt;= 3, "Recently[1-3]", AO735 &lt;= 6, "Due Soon[4-6]", AO735 &lt;= 10, "Overdue[7-10]", AO735 &lt;= 15, "Long Overdue[11-15]")</f>
        <v>Recently[1-3]</v>
      </c>
      <c r="AQ735" s="9" t="str" cm="1">
        <f t="array" ref="AQ735">_xlfn.IFS(AR735 &lt;= 3, "New Relationship[1-3]", AR735 &lt;= 7, "Established Relationship[4-7]", AR735 &lt;= 12, "Long Term Relationship[8-12]", AR735 &lt;= 17, "Very Long Term Relationship[13-17]")</f>
        <v>New Relationship[1-3]</v>
      </c>
      <c r="AR735" s="1">
        <v>3</v>
      </c>
    </row>
    <row r="736" spans="1:44" x14ac:dyDescent="0.25">
      <c r="A736" s="1">
        <v>22</v>
      </c>
      <c r="B736" s="8" t="str" cm="1">
        <f t="array" ref="B736">_xlfn.IFS(A736 &lt;= 25, "[18-25]", A736 &lt;= 35, "[26-35]", A736 &lt;=45, "[36-45]", A736 &lt;= 60, "[46- 60]")</f>
        <v>[18-25]</v>
      </c>
      <c r="C736" s="3" t="s">
        <v>43</v>
      </c>
      <c r="D736">
        <f t="shared" si="11"/>
        <v>0</v>
      </c>
      <c r="E736" t="s">
        <v>36</v>
      </c>
      <c r="F736" s="1">
        <v>217</v>
      </c>
      <c r="G736" s="3" t="s">
        <v>45</v>
      </c>
      <c r="H736" s="1">
        <v>8</v>
      </c>
      <c r="I736" s="9" t="str" cm="1">
        <f t="array" ref="I736">_xlfn.IFS(H736 &lt;= 2, "[1-2] very close", H736 &lt;= 10, "[3-10] close", H736 &lt;= 20, "[11-20] moderate", H736 &lt;= 30, "[21-30] far")</f>
        <v>[3-10] close</v>
      </c>
      <c r="J736" s="1">
        <v>1</v>
      </c>
      <c r="K736" s="3" t="s">
        <v>38</v>
      </c>
      <c r="L736" s="1">
        <v>1</v>
      </c>
      <c r="M736" s="1">
        <v>1019</v>
      </c>
      <c r="N736" s="1">
        <v>2</v>
      </c>
      <c r="O736" s="3" t="s">
        <v>46</v>
      </c>
      <c r="P736" s="1">
        <v>94</v>
      </c>
      <c r="Q736" s="1">
        <v>1</v>
      </c>
      <c r="R736" s="1">
        <v>1</v>
      </c>
      <c r="S736" s="3" t="s">
        <v>50</v>
      </c>
      <c r="T736" s="1">
        <v>1</v>
      </c>
      <c r="U736" s="3" t="s">
        <v>48</v>
      </c>
      <c r="V736" s="4">
        <v>2451</v>
      </c>
      <c r="W736" s="1">
        <v>6881</v>
      </c>
      <c r="X736" s="1">
        <v>1</v>
      </c>
      <c r="Y736" s="3" t="s">
        <v>42</v>
      </c>
      <c r="Z736" s="3" t="s">
        <v>43</v>
      </c>
      <c r="AA736" s="5">
        <v>0.15</v>
      </c>
      <c r="AB736" s="10" t="str" cm="1">
        <f t="array" ref="AB736">_xlfn.IFS(AA736 &lt;= 15%, "Low Hike[11-15%]", AA736 &lt;= 20%, "Moderate Hike[16-20%]", AA736 &lt;= 25%,"High Hike[21-25%]")</f>
        <v>Low Hike[11-15%]</v>
      </c>
      <c r="AC736" s="1">
        <v>3</v>
      </c>
      <c r="AD736" s="1">
        <v>1</v>
      </c>
      <c r="AE736" s="1">
        <v>80</v>
      </c>
      <c r="AF736" s="1">
        <v>1</v>
      </c>
      <c r="AG736" s="1">
        <v>4</v>
      </c>
      <c r="AH736" s="9" t="str" cm="1">
        <f t="array" ref="AH736">_xlfn.IFS(AG736 &lt;= 5, "New[1-5]", AG736 &lt;= 10, "Early Career[6-10]", AG736 &lt;= 20, "Established[11-20]", AG736 &lt;= 30, "Veteran[21-30]", AG736 &lt;= 40, "Late Career[31-40]")</f>
        <v>New[1-5]</v>
      </c>
      <c r="AI736" s="1">
        <v>3</v>
      </c>
      <c r="AJ736" s="1">
        <v>2</v>
      </c>
      <c r="AK736" s="1">
        <v>4</v>
      </c>
      <c r="AL736" s="9" t="str" cm="1">
        <f t="array" ref="AL736">_xlfn.IFS(AK736 &lt;= 5, "New[1-5]", AK736 &lt;= 10, "Early Career[6-10]", AK736 &lt;= 20, "Established[11-20]", AK736 &lt;= 30, "Veteran[21-30]", AK736 &lt;= 40, "Late Career[31-40]")</f>
        <v>New[1-5]</v>
      </c>
      <c r="AM736" s="1">
        <v>3</v>
      </c>
      <c r="AN736" s="9" t="str" cm="1">
        <f t="array" ref="AN736">_xlfn.IFS(AM736 &lt;= 3, "New to Role[1-3]", AM736 &lt;= 7, "Settled[4-7]", AM736 &lt;= 12, "Experienced[[8-12]", AM736 &lt;= 18, "Long Tenured[13-18]")</f>
        <v>New to Role[1-3]</v>
      </c>
      <c r="AO736" s="1">
        <v>1</v>
      </c>
      <c r="AP736" s="9" t="str" cm="1">
        <f t="array" ref="AP736">_xlfn.IFS(AO736 &lt;= 3, "Recently[1-3]", AO736 &lt;= 6, "Due Soon[4-6]", AO736 &lt;= 10, "Overdue[7-10]", AO736 &lt;= 15, "Long Overdue[11-15]")</f>
        <v>Recently[1-3]</v>
      </c>
      <c r="AQ736" s="9" t="str" cm="1">
        <f t="array" ref="AQ736">_xlfn.IFS(AR736 &lt;= 3, "New Relationship[1-3]", AR736 &lt;= 7, "Established Relationship[4-7]", AR736 &lt;= 12, "Long Term Relationship[8-12]", AR736 &lt;= 17, "Very Long Term Relationship[13-17]")</f>
        <v>New Relationship[1-3]</v>
      </c>
      <c r="AR736" s="1">
        <v>1</v>
      </c>
    </row>
    <row r="737" spans="1:44" x14ac:dyDescent="0.25">
      <c r="A737" s="1">
        <v>48</v>
      </c>
      <c r="B737" s="8" t="str" cm="1">
        <f t="array" ref="B737">_xlfn.IFS(A737 &lt;= 25, "[18-25]", A737 &lt;= 35, "[26-35]", A737 &lt;=45, "[36-45]", A737 &lt;= 60, "[46- 60]")</f>
        <v>[46- 60]</v>
      </c>
      <c r="C737" s="3" t="s">
        <v>43</v>
      </c>
      <c r="D737">
        <f t="shared" si="11"/>
        <v>0</v>
      </c>
      <c r="E737" t="s">
        <v>36</v>
      </c>
      <c r="F737" s="1">
        <v>277</v>
      </c>
      <c r="G737" s="3" t="s">
        <v>45</v>
      </c>
      <c r="H737" s="1">
        <v>6</v>
      </c>
      <c r="I737" s="9" t="str" cm="1">
        <f t="array" ref="I737">_xlfn.IFS(H737 &lt;= 2, "[1-2] very close", H737 &lt;= 10, "[3-10] close", H737 &lt;= 20, "[11-20] moderate", H737 &lt;= 30, "[21-30] far")</f>
        <v>[3-10] close</v>
      </c>
      <c r="J737" s="1">
        <v>3</v>
      </c>
      <c r="K737" s="3" t="s">
        <v>38</v>
      </c>
      <c r="L737" s="1">
        <v>1</v>
      </c>
      <c r="M737" s="1">
        <v>1022</v>
      </c>
      <c r="N737" s="1">
        <v>1</v>
      </c>
      <c r="O737" s="3" t="s">
        <v>46</v>
      </c>
      <c r="P737" s="1">
        <v>97</v>
      </c>
      <c r="Q737" s="1">
        <v>2</v>
      </c>
      <c r="R737" s="1">
        <v>2</v>
      </c>
      <c r="S737" s="3" t="s">
        <v>54</v>
      </c>
      <c r="T737" s="1">
        <v>3</v>
      </c>
      <c r="U737" s="3" t="s">
        <v>41</v>
      </c>
      <c r="V737" s="4">
        <v>4240</v>
      </c>
      <c r="W737" s="1">
        <v>13119</v>
      </c>
      <c r="X737" s="1">
        <v>2</v>
      </c>
      <c r="Y737" s="3" t="s">
        <v>42</v>
      </c>
      <c r="Z737" s="3" t="s">
        <v>43</v>
      </c>
      <c r="AA737" s="5">
        <v>0.13</v>
      </c>
      <c r="AB737" s="10" t="str" cm="1">
        <f t="array" ref="AB737">_xlfn.IFS(AA737 &lt;= 15%, "Low Hike[11-15%]", AA737 &lt;= 20%, "Moderate Hike[16-20%]", AA737 &lt;= 25%,"High Hike[21-25%]")</f>
        <v>Low Hike[11-15%]</v>
      </c>
      <c r="AC737" s="1">
        <v>3</v>
      </c>
      <c r="AD737" s="1">
        <v>4</v>
      </c>
      <c r="AE737" s="1">
        <v>80</v>
      </c>
      <c r="AF737" s="1">
        <v>0</v>
      </c>
      <c r="AG737" s="1">
        <v>19</v>
      </c>
      <c r="AH737" s="9" t="str" cm="1">
        <f t="array" ref="AH737">_xlfn.IFS(AG737 &lt;= 5, "New[1-5]", AG737 &lt;= 10, "Early Career[6-10]", AG737 &lt;= 20, "Established[11-20]", AG737 &lt;= 30, "Veteran[21-30]", AG737 &lt;= 40, "Late Career[31-40]")</f>
        <v>Established[11-20]</v>
      </c>
      <c r="AI737" s="1">
        <v>0</v>
      </c>
      <c r="AJ737" s="1">
        <v>3</v>
      </c>
      <c r="AK737" s="1">
        <v>2</v>
      </c>
      <c r="AL737" s="9" t="str" cm="1">
        <f t="array" ref="AL737">_xlfn.IFS(AK737 &lt;= 5, "New[1-5]", AK737 &lt;= 10, "Early Career[6-10]", AK737 &lt;= 20, "Established[11-20]", AK737 &lt;= 30, "Veteran[21-30]", AK737 &lt;= 40, "Late Career[31-40]")</f>
        <v>New[1-5]</v>
      </c>
      <c r="AM737" s="1">
        <v>2</v>
      </c>
      <c r="AN737" s="9" t="str" cm="1">
        <f t="array" ref="AN737">_xlfn.IFS(AM737 &lt;= 3, "New to Role[1-3]", AM737 &lt;= 7, "Settled[4-7]", AM737 &lt;= 12, "Experienced[[8-12]", AM737 &lt;= 18, "Long Tenured[13-18]")</f>
        <v>New to Role[1-3]</v>
      </c>
      <c r="AO737" s="1">
        <v>2</v>
      </c>
      <c r="AP737" s="9" t="str" cm="1">
        <f t="array" ref="AP737">_xlfn.IFS(AO737 &lt;= 3, "Recently[1-3]", AO737 &lt;= 6, "Due Soon[4-6]", AO737 &lt;= 10, "Overdue[7-10]", AO737 &lt;= 15, "Long Overdue[11-15]")</f>
        <v>Recently[1-3]</v>
      </c>
      <c r="AQ737" s="9" t="str" cm="1">
        <f t="array" ref="AQ737">_xlfn.IFS(AR737 &lt;= 3, "New Relationship[1-3]", AR737 &lt;= 7, "Established Relationship[4-7]", AR737 &lt;= 12, "Long Term Relationship[8-12]", AR737 &lt;= 17, "Very Long Term Relationship[13-17]")</f>
        <v>New Relationship[1-3]</v>
      </c>
      <c r="AR737" s="1">
        <v>2</v>
      </c>
    </row>
    <row r="738" spans="1:44" x14ac:dyDescent="0.25">
      <c r="A738" s="1">
        <v>48</v>
      </c>
      <c r="B738" s="8" t="str" cm="1">
        <f t="array" ref="B738">_xlfn.IFS(A738 &lt;= 25, "[18-25]", A738 &lt;= 35, "[26-35]", A738 &lt;=45, "[36-45]", A738 &lt;= 60, "[46- 60]")</f>
        <v>[46- 60]</v>
      </c>
      <c r="C738" s="3" t="s">
        <v>43</v>
      </c>
      <c r="D738">
        <f t="shared" si="11"/>
        <v>0</v>
      </c>
      <c r="E738" t="s">
        <v>36</v>
      </c>
      <c r="F738" s="1">
        <v>1355</v>
      </c>
      <c r="G738" s="3" t="s">
        <v>45</v>
      </c>
      <c r="H738" s="1">
        <v>4</v>
      </c>
      <c r="I738" s="9" t="str" cm="1">
        <f t="array" ref="I738">_xlfn.IFS(H738 &lt;= 2, "[1-2] very close", H738 &lt;= 10, "[3-10] close", H738 &lt;= 20, "[11-20] moderate", H738 &lt;= 30, "[21-30] far")</f>
        <v>[3-10] close</v>
      </c>
      <c r="J738" s="1">
        <v>4</v>
      </c>
      <c r="K738" s="3" t="s">
        <v>38</v>
      </c>
      <c r="L738" s="1">
        <v>1</v>
      </c>
      <c r="M738" s="1">
        <v>1024</v>
      </c>
      <c r="N738" s="1">
        <v>3</v>
      </c>
      <c r="O738" s="3" t="s">
        <v>46</v>
      </c>
      <c r="P738" s="1">
        <v>78</v>
      </c>
      <c r="Q738" s="1">
        <v>2</v>
      </c>
      <c r="R738" s="1">
        <v>3</v>
      </c>
      <c r="S738" s="3" t="s">
        <v>54</v>
      </c>
      <c r="T738" s="1">
        <v>3</v>
      </c>
      <c r="U738" s="3" t="s">
        <v>41</v>
      </c>
      <c r="V738" s="4">
        <v>10999</v>
      </c>
      <c r="W738" s="1">
        <v>22245</v>
      </c>
      <c r="X738" s="1">
        <v>7</v>
      </c>
      <c r="Y738" s="3" t="s">
        <v>42</v>
      </c>
      <c r="Z738" s="3" t="s">
        <v>43</v>
      </c>
      <c r="AA738" s="5">
        <v>0.14000000000000001</v>
      </c>
      <c r="AB738" s="10" t="str" cm="1">
        <f t="array" ref="AB738">_xlfn.IFS(AA738 &lt;= 15%, "Low Hike[11-15%]", AA738 &lt;= 20%, "Moderate Hike[16-20%]", AA738 &lt;= 25%,"High Hike[21-25%]")</f>
        <v>Low Hike[11-15%]</v>
      </c>
      <c r="AC738" s="1">
        <v>3</v>
      </c>
      <c r="AD738" s="1">
        <v>2</v>
      </c>
      <c r="AE738" s="1">
        <v>80</v>
      </c>
      <c r="AF738" s="1">
        <v>0</v>
      </c>
      <c r="AG738" s="1">
        <v>27</v>
      </c>
      <c r="AH738" s="9" t="str" cm="1">
        <f t="array" ref="AH738">_xlfn.IFS(AG738 &lt;= 5, "New[1-5]", AG738 &lt;= 10, "Early Career[6-10]", AG738 &lt;= 20, "Established[11-20]", AG738 &lt;= 30, "Veteran[21-30]", AG738 &lt;= 40, "Late Career[31-40]")</f>
        <v>Veteran[21-30]</v>
      </c>
      <c r="AI738" s="1">
        <v>3</v>
      </c>
      <c r="AJ738" s="1">
        <v>3</v>
      </c>
      <c r="AK738" s="1">
        <v>15</v>
      </c>
      <c r="AL738" s="9" t="str" cm="1">
        <f t="array" ref="AL738">_xlfn.IFS(AK738 &lt;= 5, "New[1-5]", AK738 &lt;= 10, "Early Career[6-10]", AK738 &lt;= 20, "Established[11-20]", AK738 &lt;= 30, "Veteran[21-30]", AK738 &lt;= 40, "Late Career[31-40]")</f>
        <v>Established[11-20]</v>
      </c>
      <c r="AM738" s="1">
        <v>11</v>
      </c>
      <c r="AN738" s="9" t="str" cm="1">
        <f t="array" ref="AN738">_xlfn.IFS(AM738 &lt;= 3, "New to Role[1-3]", AM738 &lt;= 7, "Settled[4-7]", AM738 &lt;= 12, "Experienced[[8-12]", AM738 &lt;= 18, "Long Tenured[13-18]")</f>
        <v>Experienced[[8-12]</v>
      </c>
      <c r="AO738" s="1">
        <v>4</v>
      </c>
      <c r="AP738" s="9" t="str" cm="1">
        <f t="array" ref="AP738">_xlfn.IFS(AO738 &lt;= 3, "Recently[1-3]", AO738 &lt;= 6, "Due Soon[4-6]", AO738 &lt;= 10, "Overdue[7-10]", AO738 &lt;= 15, "Long Overdue[11-15]")</f>
        <v>Due Soon[4-6]</v>
      </c>
      <c r="AQ738" s="9" t="str" cm="1">
        <f t="array" ref="AQ738">_xlfn.IFS(AR738 &lt;= 3, "New Relationship[1-3]", AR738 &lt;= 7, "Established Relationship[4-7]", AR738 &lt;= 12, "Long Term Relationship[8-12]", AR738 &lt;= 17, "Very Long Term Relationship[13-17]")</f>
        <v>Long Term Relationship[8-12]</v>
      </c>
      <c r="AR738" s="1">
        <v>8</v>
      </c>
    </row>
    <row r="739" spans="1:44" x14ac:dyDescent="0.25">
      <c r="A739" s="1">
        <v>41</v>
      </c>
      <c r="B739" s="8" t="str" cm="1">
        <f t="array" ref="B739">_xlfn.IFS(A739 &lt;= 25, "[18-25]", A739 &lt;= 35, "[26-35]", A739 &lt;=45, "[36-45]", A739 &lt;= 60, "[46- 60]")</f>
        <v>[36-45]</v>
      </c>
      <c r="C739" s="3" t="s">
        <v>43</v>
      </c>
      <c r="D739">
        <f t="shared" si="11"/>
        <v>0</v>
      </c>
      <c r="E739" t="s">
        <v>36</v>
      </c>
      <c r="F739" s="1">
        <v>549</v>
      </c>
      <c r="G739" s="3" t="s">
        <v>45</v>
      </c>
      <c r="H739" s="1">
        <v>7</v>
      </c>
      <c r="I739" s="9" t="str" cm="1">
        <f t="array" ref="I739">_xlfn.IFS(H739 &lt;= 2, "[1-2] very close", H739 &lt;= 10, "[3-10] close", H739 &lt;= 20, "[11-20] moderate", H739 &lt;= 30, "[21-30] far")</f>
        <v>[3-10] close</v>
      </c>
      <c r="J739" s="1">
        <v>2</v>
      </c>
      <c r="K739" s="3" t="s">
        <v>51</v>
      </c>
      <c r="L739" s="1">
        <v>1</v>
      </c>
      <c r="M739" s="1">
        <v>1025</v>
      </c>
      <c r="N739" s="1">
        <v>4</v>
      </c>
      <c r="O739" s="3" t="s">
        <v>39</v>
      </c>
      <c r="P739" s="1">
        <v>42</v>
      </c>
      <c r="Q739" s="1">
        <v>3</v>
      </c>
      <c r="R739" s="1">
        <v>2</v>
      </c>
      <c r="S739" s="3" t="s">
        <v>53</v>
      </c>
      <c r="T739" s="1">
        <v>3</v>
      </c>
      <c r="U739" s="3" t="s">
        <v>41</v>
      </c>
      <c r="V739" s="4">
        <v>5003</v>
      </c>
      <c r="W739" s="1">
        <v>23371</v>
      </c>
      <c r="X739" s="1">
        <v>6</v>
      </c>
      <c r="Y739" s="3" t="s">
        <v>42</v>
      </c>
      <c r="Z739" s="3" t="s">
        <v>43</v>
      </c>
      <c r="AA739" s="5">
        <v>0.14000000000000001</v>
      </c>
      <c r="AB739" s="10" t="str" cm="1">
        <f t="array" ref="AB739">_xlfn.IFS(AA739 &lt;= 15%, "Low Hike[11-15%]", AA739 &lt;= 20%, "Moderate Hike[16-20%]", AA739 &lt;= 25%,"High Hike[21-25%]")</f>
        <v>Low Hike[11-15%]</v>
      </c>
      <c r="AC739" s="1">
        <v>3</v>
      </c>
      <c r="AD739" s="1">
        <v>2</v>
      </c>
      <c r="AE739" s="1">
        <v>80</v>
      </c>
      <c r="AF739" s="1">
        <v>0</v>
      </c>
      <c r="AG739" s="1">
        <v>8</v>
      </c>
      <c r="AH739" s="9" t="str" cm="1">
        <f t="array" ref="AH739">_xlfn.IFS(AG739 &lt;= 5, "New[1-5]", AG739 &lt;= 10, "Early Career[6-10]", AG739 &lt;= 20, "Established[11-20]", AG739 &lt;= 30, "Veteran[21-30]", AG739 &lt;= 40, "Late Career[31-40]")</f>
        <v>Early Career[6-10]</v>
      </c>
      <c r="AI739" s="1">
        <v>6</v>
      </c>
      <c r="AJ739" s="1">
        <v>3</v>
      </c>
      <c r="AK739" s="1">
        <v>2</v>
      </c>
      <c r="AL739" s="9" t="str" cm="1">
        <f t="array" ref="AL739">_xlfn.IFS(AK739 &lt;= 5, "New[1-5]", AK739 &lt;= 10, "Early Career[6-10]", AK739 &lt;= 20, "Established[11-20]", AK739 &lt;= 30, "Veteran[21-30]", AK739 &lt;= 40, "Late Career[31-40]")</f>
        <v>New[1-5]</v>
      </c>
      <c r="AM739" s="1">
        <v>2</v>
      </c>
      <c r="AN739" s="9" t="str" cm="1">
        <f t="array" ref="AN739">_xlfn.IFS(AM739 &lt;= 3, "New to Role[1-3]", AM739 &lt;= 7, "Settled[4-7]", AM739 &lt;= 12, "Experienced[[8-12]", AM739 &lt;= 18, "Long Tenured[13-18]")</f>
        <v>New to Role[1-3]</v>
      </c>
      <c r="AO739" s="1">
        <v>2</v>
      </c>
      <c r="AP739" s="9" t="str" cm="1">
        <f t="array" ref="AP739">_xlfn.IFS(AO739 &lt;= 3, "Recently[1-3]", AO739 &lt;= 6, "Due Soon[4-6]", AO739 &lt;= 10, "Overdue[7-10]", AO739 &lt;= 15, "Long Overdue[11-15]")</f>
        <v>Recently[1-3]</v>
      </c>
      <c r="AQ739" s="9" t="str" cm="1">
        <f t="array" ref="AQ739">_xlfn.IFS(AR739 &lt;= 3, "New Relationship[1-3]", AR739 &lt;= 7, "Established Relationship[4-7]", AR739 &lt;= 12, "Long Term Relationship[8-12]", AR739 &lt;= 17, "Very Long Term Relationship[13-17]")</f>
        <v>New Relationship[1-3]</v>
      </c>
      <c r="AR739" s="1">
        <v>1</v>
      </c>
    </row>
    <row r="740" spans="1:44" x14ac:dyDescent="0.25">
      <c r="A740" s="1">
        <v>39</v>
      </c>
      <c r="B740" s="8" t="str" cm="1">
        <f t="array" ref="B740">_xlfn.IFS(A740 &lt;= 25, "[18-25]", A740 &lt;= 35, "[26-35]", A740 &lt;=45, "[36-45]", A740 &lt;= 60, "[46- 60]")</f>
        <v>[36-45]</v>
      </c>
      <c r="C740" s="3" t="s">
        <v>43</v>
      </c>
      <c r="D740">
        <f t="shared" si="11"/>
        <v>0</v>
      </c>
      <c r="E740" t="s">
        <v>36</v>
      </c>
      <c r="F740" s="1">
        <v>466</v>
      </c>
      <c r="G740" s="3" t="s">
        <v>45</v>
      </c>
      <c r="H740" s="1">
        <v>1</v>
      </c>
      <c r="I740" s="9" t="str" cm="1">
        <f t="array" ref="I740">_xlfn.IFS(H740 &lt;= 2, "[1-2] very close", H740 &lt;= 10, "[3-10] close", H740 &lt;= 20, "[11-20] moderate", H740 &lt;= 30, "[21-30] far")</f>
        <v>[1-2] very close</v>
      </c>
      <c r="J740" s="1">
        <v>1</v>
      </c>
      <c r="K740" s="3" t="s">
        <v>38</v>
      </c>
      <c r="L740" s="1">
        <v>1</v>
      </c>
      <c r="M740" s="1">
        <v>1026</v>
      </c>
      <c r="N740" s="1">
        <v>4</v>
      </c>
      <c r="O740" s="3" t="s">
        <v>39</v>
      </c>
      <c r="P740" s="1">
        <v>65</v>
      </c>
      <c r="Q740" s="1">
        <v>2</v>
      </c>
      <c r="R740" s="1">
        <v>4</v>
      </c>
      <c r="S740" s="3" t="s">
        <v>53</v>
      </c>
      <c r="T740" s="1">
        <v>4</v>
      </c>
      <c r="U740" s="3" t="s">
        <v>48</v>
      </c>
      <c r="V740" s="4">
        <v>12742</v>
      </c>
      <c r="W740" s="1">
        <v>7060</v>
      </c>
      <c r="X740" s="1">
        <v>1</v>
      </c>
      <c r="Y740" s="3" t="s">
        <v>42</v>
      </c>
      <c r="Z740" s="3" t="s">
        <v>43</v>
      </c>
      <c r="AA740" s="5">
        <v>0.16</v>
      </c>
      <c r="AB740" s="10" t="str" cm="1">
        <f t="array" ref="AB740">_xlfn.IFS(AA740 &lt;= 15%, "Low Hike[11-15%]", AA740 &lt;= 20%, "Moderate Hike[16-20%]", AA740 &lt;= 25%,"High Hike[21-25%]")</f>
        <v>Moderate Hike[16-20%]</v>
      </c>
      <c r="AC740" s="1">
        <v>3</v>
      </c>
      <c r="AD740" s="1">
        <v>3</v>
      </c>
      <c r="AE740" s="1">
        <v>80</v>
      </c>
      <c r="AF740" s="1">
        <v>1</v>
      </c>
      <c r="AG740" s="1">
        <v>21</v>
      </c>
      <c r="AH740" s="9" t="str" cm="1">
        <f t="array" ref="AH740">_xlfn.IFS(AG740 &lt;= 5, "New[1-5]", AG740 &lt;= 10, "Early Career[6-10]", AG740 &lt;= 20, "Established[11-20]", AG740 &lt;= 30, "Veteran[21-30]", AG740 &lt;= 40, "Late Career[31-40]")</f>
        <v>Veteran[21-30]</v>
      </c>
      <c r="AI740" s="1">
        <v>3</v>
      </c>
      <c r="AJ740" s="1">
        <v>3</v>
      </c>
      <c r="AK740" s="1">
        <v>21</v>
      </c>
      <c r="AL740" s="9" t="str" cm="1">
        <f t="array" ref="AL740">_xlfn.IFS(AK740 &lt;= 5, "New[1-5]", AK740 &lt;= 10, "Early Career[6-10]", AK740 &lt;= 20, "Established[11-20]", AK740 &lt;= 30, "Veteran[21-30]", AK740 &lt;= 40, "Late Career[31-40]")</f>
        <v>Veteran[21-30]</v>
      </c>
      <c r="AM740" s="1">
        <v>6</v>
      </c>
      <c r="AN740" s="9" t="str" cm="1">
        <f t="array" ref="AN740">_xlfn.IFS(AM740 &lt;= 3, "New to Role[1-3]", AM740 &lt;= 7, "Settled[4-7]", AM740 &lt;= 12, "Experienced[[8-12]", AM740 &lt;= 18, "Long Tenured[13-18]")</f>
        <v>Settled[4-7]</v>
      </c>
      <c r="AO740" s="1">
        <v>11</v>
      </c>
      <c r="AP740" s="9" t="str" cm="1">
        <f t="array" ref="AP740">_xlfn.IFS(AO740 &lt;= 3, "Recently[1-3]", AO740 &lt;= 6, "Due Soon[4-6]", AO740 &lt;= 10, "Overdue[7-10]", AO740 &lt;= 15, "Long Overdue[11-15]")</f>
        <v>Long Overdue[11-15]</v>
      </c>
      <c r="AQ740" s="9" t="str" cm="1">
        <f t="array" ref="AQ740">_xlfn.IFS(AR740 &lt;= 3, "New Relationship[1-3]", AR740 &lt;= 7, "Established Relationship[4-7]", AR740 &lt;= 12, "Long Term Relationship[8-12]", AR740 &lt;= 17, "Very Long Term Relationship[13-17]")</f>
        <v>Long Term Relationship[8-12]</v>
      </c>
      <c r="AR740" s="1">
        <v>8</v>
      </c>
    </row>
    <row r="741" spans="1:44" x14ac:dyDescent="0.25">
      <c r="A741" s="1">
        <v>27</v>
      </c>
      <c r="B741" s="8" t="str" cm="1">
        <f t="array" ref="B741">_xlfn.IFS(A741 &lt;= 25, "[18-25]", A741 &lt;= 35, "[26-35]", A741 &lt;=45, "[36-45]", A741 &lt;= 60, "[46- 60]")</f>
        <v>[26-35]</v>
      </c>
      <c r="C741" s="3" t="s">
        <v>43</v>
      </c>
      <c r="D741">
        <f t="shared" si="11"/>
        <v>0</v>
      </c>
      <c r="E741" t="s">
        <v>36</v>
      </c>
      <c r="F741" s="1">
        <v>1055</v>
      </c>
      <c r="G741" s="3" t="s">
        <v>45</v>
      </c>
      <c r="H741" s="1">
        <v>2</v>
      </c>
      <c r="I741" s="9" t="str" cm="1">
        <f t="array" ref="I741">_xlfn.IFS(H741 &lt;= 2, "[1-2] very close", H741 &lt;= 10, "[3-10] close", H741 &lt;= 20, "[11-20] moderate", H741 &lt;= 30, "[21-30] far")</f>
        <v>[1-2] very close</v>
      </c>
      <c r="J741" s="1">
        <v>4</v>
      </c>
      <c r="K741" s="3" t="s">
        <v>38</v>
      </c>
      <c r="L741" s="1">
        <v>1</v>
      </c>
      <c r="M741" s="1">
        <v>1027</v>
      </c>
      <c r="N741" s="1">
        <v>1</v>
      </c>
      <c r="O741" s="3" t="s">
        <v>39</v>
      </c>
      <c r="P741" s="1">
        <v>47</v>
      </c>
      <c r="Q741" s="1">
        <v>3</v>
      </c>
      <c r="R741" s="1">
        <v>2</v>
      </c>
      <c r="S741" s="3" t="s">
        <v>53</v>
      </c>
      <c r="T741" s="1">
        <v>4</v>
      </c>
      <c r="U741" s="3" t="s">
        <v>48</v>
      </c>
      <c r="V741" s="4">
        <v>4227</v>
      </c>
      <c r="W741" s="1">
        <v>4658</v>
      </c>
      <c r="X741" s="1">
        <v>0</v>
      </c>
      <c r="Y741" s="3" t="s">
        <v>42</v>
      </c>
      <c r="Z741" s="3" t="s">
        <v>43</v>
      </c>
      <c r="AA741" s="5">
        <v>0.18</v>
      </c>
      <c r="AB741" s="10" t="str" cm="1">
        <f t="array" ref="AB741">_xlfn.IFS(AA741 &lt;= 15%, "Low Hike[11-15%]", AA741 &lt;= 20%, "Moderate Hike[16-20%]", AA741 &lt;= 25%,"High Hike[21-25%]")</f>
        <v>Moderate Hike[16-20%]</v>
      </c>
      <c r="AC741" s="1">
        <v>3</v>
      </c>
      <c r="AD741" s="1">
        <v>2</v>
      </c>
      <c r="AE741" s="1">
        <v>80</v>
      </c>
      <c r="AF741" s="1">
        <v>1</v>
      </c>
      <c r="AG741" s="1">
        <v>4</v>
      </c>
      <c r="AH741" s="9" t="str" cm="1">
        <f t="array" ref="AH741">_xlfn.IFS(AG741 &lt;= 5, "New[1-5]", AG741 &lt;= 10, "Early Career[6-10]", AG741 &lt;= 20, "Established[11-20]", AG741 &lt;= 30, "Veteran[21-30]", AG741 &lt;= 40, "Late Career[31-40]")</f>
        <v>New[1-5]</v>
      </c>
      <c r="AI741" s="1">
        <v>2</v>
      </c>
      <c r="AJ741" s="1">
        <v>3</v>
      </c>
      <c r="AK741" s="1">
        <v>3</v>
      </c>
      <c r="AL741" s="9" t="str" cm="1">
        <f t="array" ref="AL741">_xlfn.IFS(AK741 &lt;= 5, "New[1-5]", AK741 &lt;= 10, "Early Career[6-10]", AK741 &lt;= 20, "Established[11-20]", AK741 &lt;= 30, "Veteran[21-30]", AK741 &lt;= 40, "Late Career[31-40]")</f>
        <v>New[1-5]</v>
      </c>
      <c r="AM741" s="1">
        <v>2</v>
      </c>
      <c r="AN741" s="9" t="str" cm="1">
        <f t="array" ref="AN741">_xlfn.IFS(AM741 &lt;= 3, "New to Role[1-3]", AM741 &lt;= 7, "Settled[4-7]", AM741 &lt;= 12, "Experienced[[8-12]", AM741 &lt;= 18, "Long Tenured[13-18]")</f>
        <v>New to Role[1-3]</v>
      </c>
      <c r="AO741" s="1">
        <v>2</v>
      </c>
      <c r="AP741" s="9" t="str" cm="1">
        <f t="array" ref="AP741">_xlfn.IFS(AO741 &lt;= 3, "Recently[1-3]", AO741 &lt;= 6, "Due Soon[4-6]", AO741 &lt;= 10, "Overdue[7-10]", AO741 &lt;= 15, "Long Overdue[11-15]")</f>
        <v>Recently[1-3]</v>
      </c>
      <c r="AQ741" s="9" t="str" cm="1">
        <f t="array" ref="AQ741">_xlfn.IFS(AR741 &lt;= 3, "New Relationship[1-3]", AR741 &lt;= 7, "Established Relationship[4-7]", AR741 &lt;= 12, "Long Term Relationship[8-12]", AR741 &lt;= 17, "Very Long Term Relationship[13-17]")</f>
        <v>New Relationship[1-3]</v>
      </c>
      <c r="AR741" s="1">
        <v>2</v>
      </c>
    </row>
    <row r="742" spans="1:44" x14ac:dyDescent="0.25">
      <c r="A742" s="1">
        <v>35</v>
      </c>
      <c r="B742" s="8" t="str" cm="1">
        <f t="array" ref="B742">_xlfn.IFS(A742 &lt;= 25, "[18-25]", A742 &lt;= 35, "[26-35]", A742 &lt;=45, "[36-45]", A742 &lt;= 60, "[46- 60]")</f>
        <v>[26-35]</v>
      </c>
      <c r="C742" s="3" t="s">
        <v>43</v>
      </c>
      <c r="D742">
        <f t="shared" si="11"/>
        <v>0</v>
      </c>
      <c r="E742" t="s">
        <v>36</v>
      </c>
      <c r="F742" s="1">
        <v>802</v>
      </c>
      <c r="G742" s="3" t="s">
        <v>45</v>
      </c>
      <c r="H742" s="1">
        <v>10</v>
      </c>
      <c r="I742" s="9" t="str" cm="1">
        <f t="array" ref="I742">_xlfn.IFS(H742 &lt;= 2, "[1-2] very close", H742 &lt;= 10, "[3-10] close", H742 &lt;= 20, "[11-20] moderate", H742 &lt;= 30, "[21-30] far")</f>
        <v>[3-10] close</v>
      </c>
      <c r="J742" s="1">
        <v>3</v>
      </c>
      <c r="K742" s="3" t="s">
        <v>49</v>
      </c>
      <c r="L742" s="1">
        <v>1</v>
      </c>
      <c r="M742" s="1">
        <v>1028</v>
      </c>
      <c r="N742" s="1">
        <v>2</v>
      </c>
      <c r="O742" s="3" t="s">
        <v>46</v>
      </c>
      <c r="P742" s="1">
        <v>45</v>
      </c>
      <c r="Q742" s="1">
        <v>3</v>
      </c>
      <c r="R742" s="1">
        <v>1</v>
      </c>
      <c r="S742" s="3" t="s">
        <v>50</v>
      </c>
      <c r="T742" s="1">
        <v>4</v>
      </c>
      <c r="U742" s="3" t="s">
        <v>52</v>
      </c>
      <c r="V742" s="4">
        <v>3917</v>
      </c>
      <c r="W742" s="1">
        <v>9541</v>
      </c>
      <c r="X742" s="1">
        <v>1</v>
      </c>
      <c r="Y742" s="3" t="s">
        <v>42</v>
      </c>
      <c r="Z742" s="3" t="s">
        <v>43</v>
      </c>
      <c r="AA742" s="5">
        <v>0.2</v>
      </c>
      <c r="AB742" s="10" t="str" cm="1">
        <f t="array" ref="AB742">_xlfn.IFS(AA742 &lt;= 15%, "Low Hike[11-15%]", AA742 &lt;= 20%, "Moderate Hike[16-20%]", AA742 &lt;= 25%,"High Hike[21-25%]")</f>
        <v>Moderate Hike[16-20%]</v>
      </c>
      <c r="AC742" s="1">
        <v>4</v>
      </c>
      <c r="AD742" s="1">
        <v>1</v>
      </c>
      <c r="AE742" s="1">
        <v>80</v>
      </c>
      <c r="AF742" s="1">
        <v>1</v>
      </c>
      <c r="AG742" s="1">
        <v>3</v>
      </c>
      <c r="AH742" s="9" t="str" cm="1">
        <f t="array" ref="AH742">_xlfn.IFS(AG742 &lt;= 5, "New[1-5]", AG742 &lt;= 10, "Early Career[6-10]", AG742 &lt;= 20, "Established[11-20]", AG742 &lt;= 30, "Veteran[21-30]", AG742 &lt;= 40, "Late Career[31-40]")</f>
        <v>New[1-5]</v>
      </c>
      <c r="AI742" s="1">
        <v>4</v>
      </c>
      <c r="AJ742" s="1">
        <v>2</v>
      </c>
      <c r="AK742" s="1">
        <v>3</v>
      </c>
      <c r="AL742" s="9" t="str" cm="1">
        <f t="array" ref="AL742">_xlfn.IFS(AK742 &lt;= 5, "New[1-5]", AK742 &lt;= 10, "Early Career[6-10]", AK742 &lt;= 20, "Established[11-20]", AK742 &lt;= 30, "Veteran[21-30]", AK742 &lt;= 40, "Late Career[31-40]")</f>
        <v>New[1-5]</v>
      </c>
      <c r="AM742" s="1">
        <v>2</v>
      </c>
      <c r="AN742" s="9" t="str" cm="1">
        <f t="array" ref="AN742">_xlfn.IFS(AM742 &lt;= 3, "New to Role[1-3]", AM742 &lt;= 7, "Settled[4-7]", AM742 &lt;= 12, "Experienced[[8-12]", AM742 &lt;= 18, "Long Tenured[13-18]")</f>
        <v>New to Role[1-3]</v>
      </c>
      <c r="AO742" s="1">
        <v>1</v>
      </c>
      <c r="AP742" s="9" t="str" cm="1">
        <f t="array" ref="AP742">_xlfn.IFS(AO742 &lt;= 3, "Recently[1-3]", AO742 &lt;= 6, "Due Soon[4-6]", AO742 &lt;= 10, "Overdue[7-10]", AO742 &lt;= 15, "Long Overdue[11-15]")</f>
        <v>Recently[1-3]</v>
      </c>
      <c r="AQ742" s="9" t="str" cm="1">
        <f t="array" ref="AQ742">_xlfn.IFS(AR742 &lt;= 3, "New Relationship[1-3]", AR742 &lt;= 7, "Established Relationship[4-7]", AR742 &lt;= 12, "Long Term Relationship[8-12]", AR742 &lt;= 17, "Very Long Term Relationship[13-17]")</f>
        <v>New Relationship[1-3]</v>
      </c>
      <c r="AR742" s="1">
        <v>2</v>
      </c>
    </row>
    <row r="743" spans="1:44" x14ac:dyDescent="0.25">
      <c r="A743" s="1">
        <v>42</v>
      </c>
      <c r="B743" s="8" t="str" cm="1">
        <f t="array" ref="B743">_xlfn.IFS(A743 &lt;= 25, "[18-25]", A743 &lt;= 35, "[26-35]", A743 &lt;=45, "[36-45]", A743 &lt;= 60, "[46- 60]")</f>
        <v>[36-45]</v>
      </c>
      <c r="C743" s="3" t="s">
        <v>43</v>
      </c>
      <c r="D743">
        <f t="shared" si="11"/>
        <v>0</v>
      </c>
      <c r="E743" t="s">
        <v>36</v>
      </c>
      <c r="F743" s="1">
        <v>265</v>
      </c>
      <c r="G743" s="3" t="s">
        <v>37</v>
      </c>
      <c r="H743" s="1">
        <v>5</v>
      </c>
      <c r="I743" s="9" t="str" cm="1">
        <f t="array" ref="I743">_xlfn.IFS(H743 &lt;= 2, "[1-2] very close", H743 &lt;= 10, "[3-10] close", H743 &lt;= 20, "[11-20] moderate", H743 &lt;= 30, "[21-30] far")</f>
        <v>[3-10] close</v>
      </c>
      <c r="J743" s="1">
        <v>2</v>
      </c>
      <c r="K743" s="3" t="s">
        <v>59</v>
      </c>
      <c r="L743" s="1">
        <v>1</v>
      </c>
      <c r="M743" s="1">
        <v>1029</v>
      </c>
      <c r="N743" s="1">
        <v>4</v>
      </c>
      <c r="O743" s="3" t="s">
        <v>46</v>
      </c>
      <c r="P743" s="1">
        <v>90</v>
      </c>
      <c r="Q743" s="1">
        <v>3</v>
      </c>
      <c r="R743" s="1">
        <v>5</v>
      </c>
      <c r="S743" s="3" t="s">
        <v>56</v>
      </c>
      <c r="T743" s="1">
        <v>3</v>
      </c>
      <c r="U743" s="3" t="s">
        <v>48</v>
      </c>
      <c r="V743" s="4">
        <v>18303</v>
      </c>
      <c r="W743" s="1">
        <v>7770</v>
      </c>
      <c r="X743" s="1">
        <v>6</v>
      </c>
      <c r="Y743" s="3" t="s">
        <v>42</v>
      </c>
      <c r="Z743" s="3" t="s">
        <v>43</v>
      </c>
      <c r="AA743" s="5">
        <v>0.13</v>
      </c>
      <c r="AB743" s="10" t="str" cm="1">
        <f t="array" ref="AB743">_xlfn.IFS(AA743 &lt;= 15%, "Low Hike[11-15%]", AA743 &lt;= 20%, "Moderate Hike[16-20%]", AA743 &lt;= 25%,"High Hike[21-25%]")</f>
        <v>Low Hike[11-15%]</v>
      </c>
      <c r="AC743" s="1">
        <v>3</v>
      </c>
      <c r="AD743" s="1">
        <v>2</v>
      </c>
      <c r="AE743" s="1">
        <v>80</v>
      </c>
      <c r="AF743" s="1">
        <v>0</v>
      </c>
      <c r="AG743" s="1">
        <v>21</v>
      </c>
      <c r="AH743" s="9" t="str" cm="1">
        <f t="array" ref="AH743">_xlfn.IFS(AG743 &lt;= 5, "New[1-5]", AG743 &lt;= 10, "Early Career[6-10]", AG743 &lt;= 20, "Established[11-20]", AG743 &lt;= 30, "Veteran[21-30]", AG743 &lt;= 40, "Late Career[31-40]")</f>
        <v>Veteran[21-30]</v>
      </c>
      <c r="AI743" s="1">
        <v>3</v>
      </c>
      <c r="AJ743" s="1">
        <v>4</v>
      </c>
      <c r="AK743" s="1">
        <v>1</v>
      </c>
      <c r="AL743" s="9" t="str" cm="1">
        <f t="array" ref="AL743">_xlfn.IFS(AK743 &lt;= 5, "New[1-5]", AK743 &lt;= 10, "Early Career[6-10]", AK743 &lt;= 20, "Established[11-20]", AK743 &lt;= 30, "Veteran[21-30]", AK743 &lt;= 40, "Late Career[31-40]")</f>
        <v>New[1-5]</v>
      </c>
      <c r="AM743" s="1">
        <v>0</v>
      </c>
      <c r="AN743" s="9" t="str" cm="1">
        <f t="array" ref="AN743">_xlfn.IFS(AM743 &lt;= 3, "New to Role[1-3]", AM743 &lt;= 7, "Settled[4-7]", AM743 &lt;= 12, "Experienced[[8-12]", AM743 &lt;= 18, "Long Tenured[13-18]")</f>
        <v>New to Role[1-3]</v>
      </c>
      <c r="AO743" s="1">
        <v>0</v>
      </c>
      <c r="AP743" s="9" t="str" cm="1">
        <f t="array" ref="AP743">_xlfn.IFS(AO743 &lt;= 3, "Recently[1-3]", AO743 &lt;= 6, "Due Soon[4-6]", AO743 &lt;= 10, "Overdue[7-10]", AO743 &lt;= 15, "Long Overdue[11-15]")</f>
        <v>Recently[1-3]</v>
      </c>
      <c r="AQ743" s="9" t="str" cm="1">
        <f t="array" ref="AQ743">_xlfn.IFS(AR743 &lt;= 3, "New Relationship[1-3]", AR743 &lt;= 7, "Established Relationship[4-7]", AR743 &lt;= 12, "Long Term Relationship[8-12]", AR743 &lt;= 17, "Very Long Term Relationship[13-17]")</f>
        <v>New Relationship[1-3]</v>
      </c>
      <c r="AR743" s="1">
        <v>0</v>
      </c>
    </row>
    <row r="744" spans="1:44" x14ac:dyDescent="0.25">
      <c r="A744" s="1">
        <v>50</v>
      </c>
      <c r="B744" s="8" t="str" cm="1">
        <f t="array" ref="B744">_xlfn.IFS(A744 &lt;= 25, "[18-25]", A744 &lt;= 35, "[26-35]", A744 &lt;=45, "[36-45]", A744 &lt;= 60, "[46- 60]")</f>
        <v>[46- 60]</v>
      </c>
      <c r="C744" s="3" t="s">
        <v>43</v>
      </c>
      <c r="D744">
        <f t="shared" si="11"/>
        <v>0</v>
      </c>
      <c r="E744" t="s">
        <v>36</v>
      </c>
      <c r="F744" s="1">
        <v>804</v>
      </c>
      <c r="G744" s="3" t="s">
        <v>45</v>
      </c>
      <c r="H744" s="1">
        <v>9</v>
      </c>
      <c r="I744" s="9" t="str" cm="1">
        <f t="array" ref="I744">_xlfn.IFS(H744 &lt;= 2, "[1-2] very close", H744 &lt;= 10, "[3-10] close", H744 &lt;= 20, "[11-20] moderate", H744 &lt;= 30, "[21-30] far")</f>
        <v>[3-10] close</v>
      </c>
      <c r="J744" s="1">
        <v>3</v>
      </c>
      <c r="K744" s="3" t="s">
        <v>38</v>
      </c>
      <c r="L744" s="1">
        <v>1</v>
      </c>
      <c r="M744" s="1">
        <v>1030</v>
      </c>
      <c r="N744" s="1">
        <v>1</v>
      </c>
      <c r="O744" s="3" t="s">
        <v>46</v>
      </c>
      <c r="P744" s="1">
        <v>64</v>
      </c>
      <c r="Q744" s="1">
        <v>3</v>
      </c>
      <c r="R744" s="1">
        <v>1</v>
      </c>
      <c r="S744" s="3" t="s">
        <v>50</v>
      </c>
      <c r="T744" s="1">
        <v>4</v>
      </c>
      <c r="U744" s="3" t="s">
        <v>48</v>
      </c>
      <c r="V744" s="4">
        <v>2380</v>
      </c>
      <c r="W744" s="1">
        <v>20165</v>
      </c>
      <c r="X744" s="1">
        <v>4</v>
      </c>
      <c r="Y744" s="3" t="s">
        <v>42</v>
      </c>
      <c r="Z744" s="3" t="s">
        <v>43</v>
      </c>
      <c r="AA744" s="5">
        <v>0.18</v>
      </c>
      <c r="AB744" s="10" t="str" cm="1">
        <f t="array" ref="AB744">_xlfn.IFS(AA744 &lt;= 15%, "Low Hike[11-15%]", AA744 &lt;= 20%, "Moderate Hike[16-20%]", AA744 &lt;= 25%,"High Hike[21-25%]")</f>
        <v>Moderate Hike[16-20%]</v>
      </c>
      <c r="AC744" s="1">
        <v>3</v>
      </c>
      <c r="AD744" s="1">
        <v>2</v>
      </c>
      <c r="AE744" s="1">
        <v>80</v>
      </c>
      <c r="AF744" s="1">
        <v>0</v>
      </c>
      <c r="AG744" s="1">
        <v>8</v>
      </c>
      <c r="AH744" s="9" t="str" cm="1">
        <f t="array" ref="AH744">_xlfn.IFS(AG744 &lt;= 5, "New[1-5]", AG744 &lt;= 10, "Early Career[6-10]", AG744 &lt;= 20, "Established[11-20]", AG744 &lt;= 30, "Veteran[21-30]", AG744 &lt;= 40, "Late Career[31-40]")</f>
        <v>Early Career[6-10]</v>
      </c>
      <c r="AI744" s="1">
        <v>5</v>
      </c>
      <c r="AJ744" s="1">
        <v>3</v>
      </c>
      <c r="AK744" s="1">
        <v>1</v>
      </c>
      <c r="AL744" s="9" t="str" cm="1">
        <f t="array" ref="AL744">_xlfn.IFS(AK744 &lt;= 5, "New[1-5]", AK744 &lt;= 10, "Early Career[6-10]", AK744 &lt;= 20, "Established[11-20]", AK744 &lt;= 30, "Veteran[21-30]", AK744 &lt;= 40, "Late Career[31-40]")</f>
        <v>New[1-5]</v>
      </c>
      <c r="AM744" s="1">
        <v>0</v>
      </c>
      <c r="AN744" s="9" t="str" cm="1">
        <f t="array" ref="AN744">_xlfn.IFS(AM744 &lt;= 3, "New to Role[1-3]", AM744 &lt;= 7, "Settled[4-7]", AM744 &lt;= 12, "Experienced[[8-12]", AM744 &lt;= 18, "Long Tenured[13-18]")</f>
        <v>New to Role[1-3]</v>
      </c>
      <c r="AO744" s="1">
        <v>0</v>
      </c>
      <c r="AP744" s="9" t="str" cm="1">
        <f t="array" ref="AP744">_xlfn.IFS(AO744 &lt;= 3, "Recently[1-3]", AO744 &lt;= 6, "Due Soon[4-6]", AO744 &lt;= 10, "Overdue[7-10]", AO744 &lt;= 15, "Long Overdue[11-15]")</f>
        <v>Recently[1-3]</v>
      </c>
      <c r="AQ744" s="9" t="str" cm="1">
        <f t="array" ref="AQ744">_xlfn.IFS(AR744 &lt;= 3, "New Relationship[1-3]", AR744 &lt;= 7, "Established Relationship[4-7]", AR744 &lt;= 12, "Long Term Relationship[8-12]", AR744 &lt;= 17, "Very Long Term Relationship[13-17]")</f>
        <v>New Relationship[1-3]</v>
      </c>
      <c r="AR744" s="1">
        <v>0</v>
      </c>
    </row>
    <row r="745" spans="1:44" x14ac:dyDescent="0.25">
      <c r="A745" s="1">
        <v>59</v>
      </c>
      <c r="B745" s="8" t="str" cm="1">
        <f t="array" ref="B745">_xlfn.IFS(A745 &lt;= 25, "[18-25]", A745 &lt;= 35, "[26-35]", A745 &lt;=45, "[36-45]", A745 &lt;= 60, "[46- 60]")</f>
        <v>[46- 60]</v>
      </c>
      <c r="C745" s="3" t="s">
        <v>43</v>
      </c>
      <c r="D745">
        <f t="shared" si="11"/>
        <v>0</v>
      </c>
      <c r="E745" t="s">
        <v>36</v>
      </c>
      <c r="F745" s="1">
        <v>715</v>
      </c>
      <c r="G745" s="3" t="s">
        <v>45</v>
      </c>
      <c r="H745" s="1">
        <v>2</v>
      </c>
      <c r="I745" s="9" t="str" cm="1">
        <f t="array" ref="I745">_xlfn.IFS(H745 &lt;= 2, "[1-2] very close", H745 &lt;= 10, "[3-10] close", H745 &lt;= 20, "[11-20] moderate", H745 &lt;= 30, "[21-30] far")</f>
        <v>[1-2] very close</v>
      </c>
      <c r="J745" s="1">
        <v>3</v>
      </c>
      <c r="K745" s="3" t="s">
        <v>38</v>
      </c>
      <c r="L745" s="1">
        <v>1</v>
      </c>
      <c r="M745" s="1">
        <v>1032</v>
      </c>
      <c r="N745" s="1">
        <v>3</v>
      </c>
      <c r="O745" s="3" t="s">
        <v>39</v>
      </c>
      <c r="P745" s="1">
        <v>69</v>
      </c>
      <c r="Q745" s="1">
        <v>2</v>
      </c>
      <c r="R745" s="1">
        <v>4</v>
      </c>
      <c r="S745" s="3" t="s">
        <v>53</v>
      </c>
      <c r="T745" s="1">
        <v>4</v>
      </c>
      <c r="U745" s="3" t="s">
        <v>41</v>
      </c>
      <c r="V745" s="4">
        <v>13726</v>
      </c>
      <c r="W745" s="1">
        <v>21829</v>
      </c>
      <c r="X745" s="1">
        <v>3</v>
      </c>
      <c r="Y745" s="3" t="s">
        <v>42</v>
      </c>
      <c r="Z745" s="3" t="s">
        <v>35</v>
      </c>
      <c r="AA745" s="5">
        <v>0.13</v>
      </c>
      <c r="AB745" s="10" t="str" cm="1">
        <f t="array" ref="AB745">_xlfn.IFS(AA745 &lt;= 15%, "Low Hike[11-15%]", AA745 &lt;= 20%, "Moderate Hike[16-20%]", AA745 &lt;= 25%,"High Hike[21-25%]")</f>
        <v>Low Hike[11-15%]</v>
      </c>
      <c r="AC745" s="1">
        <v>3</v>
      </c>
      <c r="AD745" s="1">
        <v>1</v>
      </c>
      <c r="AE745" s="1">
        <v>80</v>
      </c>
      <c r="AF745" s="1">
        <v>0</v>
      </c>
      <c r="AG745" s="1">
        <v>30</v>
      </c>
      <c r="AH745" s="9" t="str" cm="1">
        <f t="array" ref="AH745">_xlfn.IFS(AG745 &lt;= 5, "New[1-5]", AG745 &lt;= 10, "Early Career[6-10]", AG745 &lt;= 20, "Established[11-20]", AG745 &lt;= 30, "Veteran[21-30]", AG745 &lt;= 40, "Late Career[31-40]")</f>
        <v>Veteran[21-30]</v>
      </c>
      <c r="AI745" s="1">
        <v>4</v>
      </c>
      <c r="AJ745" s="1">
        <v>3</v>
      </c>
      <c r="AK745" s="1">
        <v>5</v>
      </c>
      <c r="AL745" s="9" t="str" cm="1">
        <f t="array" ref="AL745">_xlfn.IFS(AK745 &lt;= 5, "New[1-5]", AK745 &lt;= 10, "Early Career[6-10]", AK745 &lt;= 20, "Established[11-20]", AK745 &lt;= 30, "Veteran[21-30]", AK745 &lt;= 40, "Late Career[31-40]")</f>
        <v>New[1-5]</v>
      </c>
      <c r="AM745" s="1">
        <v>3</v>
      </c>
      <c r="AN745" s="9" t="str" cm="1">
        <f t="array" ref="AN745">_xlfn.IFS(AM745 &lt;= 3, "New to Role[1-3]", AM745 &lt;= 7, "Settled[4-7]", AM745 &lt;= 12, "Experienced[[8-12]", AM745 &lt;= 18, "Long Tenured[13-18]")</f>
        <v>New to Role[1-3]</v>
      </c>
      <c r="AO745" s="1">
        <v>4</v>
      </c>
      <c r="AP745" s="9" t="str" cm="1">
        <f t="array" ref="AP745">_xlfn.IFS(AO745 &lt;= 3, "Recently[1-3]", AO745 &lt;= 6, "Due Soon[4-6]", AO745 &lt;= 10, "Overdue[7-10]", AO745 &lt;= 15, "Long Overdue[11-15]")</f>
        <v>Due Soon[4-6]</v>
      </c>
      <c r="AQ745" s="9" t="str" cm="1">
        <f t="array" ref="AQ745">_xlfn.IFS(AR745 &lt;= 3, "New Relationship[1-3]", AR745 &lt;= 7, "Established Relationship[4-7]", AR745 &lt;= 12, "Long Term Relationship[8-12]", AR745 &lt;= 17, "Very Long Term Relationship[13-17]")</f>
        <v>New Relationship[1-3]</v>
      </c>
      <c r="AR745" s="1">
        <v>3</v>
      </c>
    </row>
    <row r="746" spans="1:44" x14ac:dyDescent="0.25">
      <c r="A746" s="1">
        <v>37</v>
      </c>
      <c r="B746" s="8" t="str" cm="1">
        <f t="array" ref="B746">_xlfn.IFS(A746 &lt;= 25, "[18-25]", A746 &lt;= 35, "[26-35]", A746 &lt;=45, "[36-45]", A746 &lt;= 60, "[46- 60]")</f>
        <v>[36-45]</v>
      </c>
      <c r="C746" s="3" t="s">
        <v>35</v>
      </c>
      <c r="D746">
        <f t="shared" si="11"/>
        <v>1</v>
      </c>
      <c r="E746" t="s">
        <v>36</v>
      </c>
      <c r="F746" s="1">
        <v>1141</v>
      </c>
      <c r="G746" s="3" t="s">
        <v>45</v>
      </c>
      <c r="H746" s="1">
        <v>11</v>
      </c>
      <c r="I746" s="9" t="str" cm="1">
        <f t="array" ref="I746">_xlfn.IFS(H746 &lt;= 2, "[1-2] very close", H746 &lt;= 10, "[3-10] close", H746 &lt;= 20, "[11-20] moderate", H746 &lt;= 30, "[21-30] far")</f>
        <v>[11-20] moderate</v>
      </c>
      <c r="J746" s="1">
        <v>2</v>
      </c>
      <c r="K746" s="3" t="s">
        <v>51</v>
      </c>
      <c r="L746" s="1">
        <v>1</v>
      </c>
      <c r="M746" s="1">
        <v>1033</v>
      </c>
      <c r="N746" s="1">
        <v>1</v>
      </c>
      <c r="O746" s="3" t="s">
        <v>39</v>
      </c>
      <c r="P746" s="1">
        <v>61</v>
      </c>
      <c r="Q746" s="1">
        <v>1</v>
      </c>
      <c r="R746" s="1">
        <v>2</v>
      </c>
      <c r="S746" s="3" t="s">
        <v>54</v>
      </c>
      <c r="T746" s="1">
        <v>2</v>
      </c>
      <c r="U746" s="3" t="s">
        <v>48</v>
      </c>
      <c r="V746" s="4">
        <v>4777</v>
      </c>
      <c r="W746" s="1">
        <v>14382</v>
      </c>
      <c r="X746" s="1">
        <v>5</v>
      </c>
      <c r="Y746" s="3" t="s">
        <v>42</v>
      </c>
      <c r="Z746" s="3" t="s">
        <v>43</v>
      </c>
      <c r="AA746" s="5">
        <v>0.15</v>
      </c>
      <c r="AB746" s="10" t="str" cm="1">
        <f t="array" ref="AB746">_xlfn.IFS(AA746 &lt;= 15%, "Low Hike[11-15%]", AA746 &lt;= 20%, "Moderate Hike[16-20%]", AA746 &lt;= 25%,"High Hike[21-25%]")</f>
        <v>Low Hike[11-15%]</v>
      </c>
      <c r="AC746" s="1">
        <v>3</v>
      </c>
      <c r="AD746" s="1">
        <v>1</v>
      </c>
      <c r="AE746" s="1">
        <v>80</v>
      </c>
      <c r="AF746" s="1">
        <v>0</v>
      </c>
      <c r="AG746" s="1">
        <v>15</v>
      </c>
      <c r="AH746" s="9" t="str" cm="1">
        <f t="array" ref="AH746">_xlfn.IFS(AG746 &lt;= 5, "New[1-5]", AG746 &lt;= 10, "Early Career[6-10]", AG746 &lt;= 20, "Established[11-20]", AG746 &lt;= 30, "Veteran[21-30]", AG746 &lt;= 40, "Late Career[31-40]")</f>
        <v>Established[11-20]</v>
      </c>
      <c r="AI746" s="1">
        <v>2</v>
      </c>
      <c r="AJ746" s="1">
        <v>1</v>
      </c>
      <c r="AK746" s="1">
        <v>1</v>
      </c>
      <c r="AL746" s="9" t="str" cm="1">
        <f t="array" ref="AL746">_xlfn.IFS(AK746 &lt;= 5, "New[1-5]", AK746 &lt;= 10, "Early Career[6-10]", AK746 &lt;= 20, "Established[11-20]", AK746 &lt;= 30, "Veteran[21-30]", AK746 &lt;= 40, "Late Career[31-40]")</f>
        <v>New[1-5]</v>
      </c>
      <c r="AM746" s="1">
        <v>0</v>
      </c>
      <c r="AN746" s="9" t="str" cm="1">
        <f t="array" ref="AN746">_xlfn.IFS(AM746 &lt;= 3, "New to Role[1-3]", AM746 &lt;= 7, "Settled[4-7]", AM746 &lt;= 12, "Experienced[[8-12]", AM746 &lt;= 18, "Long Tenured[13-18]")</f>
        <v>New to Role[1-3]</v>
      </c>
      <c r="AO746" s="1">
        <v>0</v>
      </c>
      <c r="AP746" s="9" t="str" cm="1">
        <f t="array" ref="AP746">_xlfn.IFS(AO746 &lt;= 3, "Recently[1-3]", AO746 &lt;= 6, "Due Soon[4-6]", AO746 &lt;= 10, "Overdue[7-10]", AO746 &lt;= 15, "Long Overdue[11-15]")</f>
        <v>Recently[1-3]</v>
      </c>
      <c r="AQ746" s="9" t="str" cm="1">
        <f t="array" ref="AQ746">_xlfn.IFS(AR746 &lt;= 3, "New Relationship[1-3]", AR746 &lt;= 7, "Established Relationship[4-7]", AR746 &lt;= 12, "Long Term Relationship[8-12]", AR746 &lt;= 17, "Very Long Term Relationship[13-17]")</f>
        <v>New Relationship[1-3]</v>
      </c>
      <c r="AR746" s="1">
        <v>0</v>
      </c>
    </row>
    <row r="747" spans="1:44" x14ac:dyDescent="0.25">
      <c r="A747" s="1">
        <v>55</v>
      </c>
      <c r="B747" s="8" t="str" cm="1">
        <f t="array" ref="B747">_xlfn.IFS(A747 &lt;= 25, "[18-25]", A747 &lt;= 35, "[26-35]", A747 &lt;=45, "[36-45]", A747 &lt;= 60, "[46- 60]")</f>
        <v>[46- 60]</v>
      </c>
      <c r="C747" s="3" t="s">
        <v>43</v>
      </c>
      <c r="D747">
        <f t="shared" si="11"/>
        <v>0</v>
      </c>
      <c r="E747" t="s">
        <v>44</v>
      </c>
      <c r="F747" s="1">
        <v>135</v>
      </c>
      <c r="G747" s="3" t="s">
        <v>45</v>
      </c>
      <c r="H747" s="1">
        <v>18</v>
      </c>
      <c r="I747" s="9" t="str" cm="1">
        <f t="array" ref="I747">_xlfn.IFS(H747 &lt;= 2, "[1-2] very close", H747 &lt;= 10, "[3-10] close", H747 &lt;= 20, "[11-20] moderate", H747 &lt;= 30, "[21-30] far")</f>
        <v>[11-20] moderate</v>
      </c>
      <c r="J747" s="1">
        <v>4</v>
      </c>
      <c r="K747" s="3" t="s">
        <v>51</v>
      </c>
      <c r="L747" s="1">
        <v>1</v>
      </c>
      <c r="M747" s="1">
        <v>1034</v>
      </c>
      <c r="N747" s="1">
        <v>3</v>
      </c>
      <c r="O747" s="3" t="s">
        <v>46</v>
      </c>
      <c r="P747" s="1">
        <v>62</v>
      </c>
      <c r="Q747" s="1">
        <v>3</v>
      </c>
      <c r="R747" s="1">
        <v>2</v>
      </c>
      <c r="S747" s="3" t="s">
        <v>54</v>
      </c>
      <c r="T747" s="1">
        <v>2</v>
      </c>
      <c r="U747" s="3" t="s">
        <v>48</v>
      </c>
      <c r="V747" s="4">
        <v>6385</v>
      </c>
      <c r="W747" s="1">
        <v>12992</v>
      </c>
      <c r="X747" s="1">
        <v>3</v>
      </c>
      <c r="Y747" s="3" t="s">
        <v>42</v>
      </c>
      <c r="Z747" s="3" t="s">
        <v>35</v>
      </c>
      <c r="AA747" s="5">
        <v>0.14000000000000001</v>
      </c>
      <c r="AB747" s="10" t="str" cm="1">
        <f t="array" ref="AB747">_xlfn.IFS(AA747 &lt;= 15%, "Low Hike[11-15%]", AA747 &lt;= 20%, "Moderate Hike[16-20%]", AA747 &lt;= 25%,"High Hike[21-25%]")</f>
        <v>Low Hike[11-15%]</v>
      </c>
      <c r="AC747" s="1">
        <v>3</v>
      </c>
      <c r="AD747" s="1">
        <v>4</v>
      </c>
      <c r="AE747" s="1">
        <v>80</v>
      </c>
      <c r="AF747" s="1">
        <v>2</v>
      </c>
      <c r="AG747" s="1">
        <v>17</v>
      </c>
      <c r="AH747" s="9" t="str" cm="1">
        <f t="array" ref="AH747">_xlfn.IFS(AG747 &lt;= 5, "New[1-5]", AG747 &lt;= 10, "Early Career[6-10]", AG747 &lt;= 20, "Established[11-20]", AG747 &lt;= 30, "Veteran[21-30]", AG747 &lt;= 40, "Late Career[31-40]")</f>
        <v>Established[11-20]</v>
      </c>
      <c r="AI747" s="1">
        <v>3</v>
      </c>
      <c r="AJ747" s="1">
        <v>3</v>
      </c>
      <c r="AK747" s="1">
        <v>8</v>
      </c>
      <c r="AL747" s="9" t="str" cm="1">
        <f t="array" ref="AL747">_xlfn.IFS(AK747 &lt;= 5, "New[1-5]", AK747 &lt;= 10, "Early Career[6-10]", AK747 &lt;= 20, "Established[11-20]", AK747 &lt;= 30, "Veteran[21-30]", AK747 &lt;= 40, "Late Career[31-40]")</f>
        <v>Early Career[6-10]</v>
      </c>
      <c r="AM747" s="1">
        <v>7</v>
      </c>
      <c r="AN747" s="9" t="str" cm="1">
        <f t="array" ref="AN747">_xlfn.IFS(AM747 &lt;= 3, "New to Role[1-3]", AM747 &lt;= 7, "Settled[4-7]", AM747 &lt;= 12, "Experienced[[8-12]", AM747 &lt;= 18, "Long Tenured[13-18]")</f>
        <v>Settled[4-7]</v>
      </c>
      <c r="AO747" s="1">
        <v>6</v>
      </c>
      <c r="AP747" s="9" t="str" cm="1">
        <f t="array" ref="AP747">_xlfn.IFS(AO747 &lt;= 3, "Recently[1-3]", AO747 &lt;= 6, "Due Soon[4-6]", AO747 &lt;= 10, "Overdue[7-10]", AO747 &lt;= 15, "Long Overdue[11-15]")</f>
        <v>Due Soon[4-6]</v>
      </c>
      <c r="AQ747" s="9" t="str" cm="1">
        <f t="array" ref="AQ747">_xlfn.IFS(AR747 &lt;= 3, "New Relationship[1-3]", AR747 &lt;= 7, "Established Relationship[4-7]", AR747 &lt;= 12, "Long Term Relationship[8-12]", AR747 &lt;= 17, "Very Long Term Relationship[13-17]")</f>
        <v>Established Relationship[4-7]</v>
      </c>
      <c r="AR747" s="1">
        <v>7</v>
      </c>
    </row>
    <row r="748" spans="1:44" x14ac:dyDescent="0.25">
      <c r="A748" s="1">
        <v>41</v>
      </c>
      <c r="B748" s="8" t="str" cm="1">
        <f t="array" ref="B748">_xlfn.IFS(A748 &lt;= 25, "[18-25]", A748 &lt;= 35, "[26-35]", A748 &lt;=45, "[36-45]", A748 &lt;= 60, "[46- 60]")</f>
        <v>[36-45]</v>
      </c>
      <c r="C748" s="3" t="s">
        <v>43</v>
      </c>
      <c r="D748">
        <f t="shared" si="11"/>
        <v>0</v>
      </c>
      <c r="E748" t="s">
        <v>62</v>
      </c>
      <c r="F748" s="1">
        <v>247</v>
      </c>
      <c r="G748" s="3" t="s">
        <v>45</v>
      </c>
      <c r="H748" s="1">
        <v>7</v>
      </c>
      <c r="I748" s="9" t="str" cm="1">
        <f t="array" ref="I748">_xlfn.IFS(H748 &lt;= 2, "[1-2] very close", H748 &lt;= 10, "[3-10] close", H748 &lt;= 20, "[11-20] moderate", H748 &lt;= 30, "[21-30] far")</f>
        <v>[3-10] close</v>
      </c>
      <c r="J748" s="1">
        <v>1</v>
      </c>
      <c r="K748" s="3" t="s">
        <v>38</v>
      </c>
      <c r="L748" s="1">
        <v>1</v>
      </c>
      <c r="M748" s="1">
        <v>1035</v>
      </c>
      <c r="N748" s="1">
        <v>2</v>
      </c>
      <c r="O748" s="3" t="s">
        <v>39</v>
      </c>
      <c r="P748" s="1">
        <v>55</v>
      </c>
      <c r="Q748" s="1">
        <v>1</v>
      </c>
      <c r="R748" s="1">
        <v>5</v>
      </c>
      <c r="S748" s="3" t="s">
        <v>58</v>
      </c>
      <c r="T748" s="1">
        <v>3</v>
      </c>
      <c r="U748" s="3" t="s">
        <v>52</v>
      </c>
      <c r="V748" s="4">
        <v>19973</v>
      </c>
      <c r="W748" s="1">
        <v>20284</v>
      </c>
      <c r="X748" s="1">
        <v>1</v>
      </c>
      <c r="Y748" s="3" t="s">
        <v>42</v>
      </c>
      <c r="Z748" s="3" t="s">
        <v>43</v>
      </c>
      <c r="AA748" s="5">
        <v>0.22</v>
      </c>
      <c r="AB748" s="10" t="str" cm="1">
        <f t="array" ref="AB748">_xlfn.IFS(AA748 &lt;= 15%, "Low Hike[11-15%]", AA748 &lt;= 20%, "Moderate Hike[16-20%]", AA748 &lt;= 25%,"High Hike[21-25%]")</f>
        <v>High Hike[21-25%]</v>
      </c>
      <c r="AC748" s="1">
        <v>4</v>
      </c>
      <c r="AD748" s="1">
        <v>2</v>
      </c>
      <c r="AE748" s="1">
        <v>80</v>
      </c>
      <c r="AF748" s="1">
        <v>2</v>
      </c>
      <c r="AG748" s="1">
        <v>21</v>
      </c>
      <c r="AH748" s="9" t="str" cm="1">
        <f t="array" ref="AH748">_xlfn.IFS(AG748 &lt;= 5, "New[1-5]", AG748 &lt;= 10, "Early Career[6-10]", AG748 &lt;= 20, "Established[11-20]", AG748 &lt;= 30, "Veteran[21-30]", AG748 &lt;= 40, "Late Career[31-40]")</f>
        <v>Veteran[21-30]</v>
      </c>
      <c r="AI748" s="1">
        <v>3</v>
      </c>
      <c r="AJ748" s="1">
        <v>3</v>
      </c>
      <c r="AK748" s="1">
        <v>21</v>
      </c>
      <c r="AL748" s="9" t="str" cm="1">
        <f t="array" ref="AL748">_xlfn.IFS(AK748 &lt;= 5, "New[1-5]", AK748 &lt;= 10, "Early Career[6-10]", AK748 &lt;= 20, "Established[11-20]", AK748 &lt;= 30, "Veteran[21-30]", AK748 &lt;= 40, "Late Career[31-40]")</f>
        <v>Veteran[21-30]</v>
      </c>
      <c r="AM748" s="1">
        <v>16</v>
      </c>
      <c r="AN748" s="9" t="str" cm="1">
        <f t="array" ref="AN748">_xlfn.IFS(AM748 &lt;= 3, "New to Role[1-3]", AM748 &lt;= 7, "Settled[4-7]", AM748 &lt;= 12, "Experienced[[8-12]", AM748 &lt;= 18, "Long Tenured[13-18]")</f>
        <v>Long Tenured[13-18]</v>
      </c>
      <c r="AO748" s="1">
        <v>5</v>
      </c>
      <c r="AP748" s="9" t="str" cm="1">
        <f t="array" ref="AP748">_xlfn.IFS(AO748 &lt;= 3, "Recently[1-3]", AO748 &lt;= 6, "Due Soon[4-6]", AO748 &lt;= 10, "Overdue[7-10]", AO748 &lt;= 15, "Long Overdue[11-15]")</f>
        <v>Due Soon[4-6]</v>
      </c>
      <c r="AQ748" s="9" t="str" cm="1">
        <f t="array" ref="AQ748">_xlfn.IFS(AR748 &lt;= 3, "New Relationship[1-3]", AR748 &lt;= 7, "Established Relationship[4-7]", AR748 &lt;= 12, "Long Term Relationship[8-12]", AR748 &lt;= 17, "Very Long Term Relationship[13-17]")</f>
        <v>Long Term Relationship[8-12]</v>
      </c>
      <c r="AR748" s="1">
        <v>10</v>
      </c>
    </row>
    <row r="749" spans="1:44" x14ac:dyDescent="0.25">
      <c r="A749" s="1">
        <v>38</v>
      </c>
      <c r="B749" s="8" t="str" cm="1">
        <f t="array" ref="B749">_xlfn.IFS(A749 &lt;= 25, "[18-25]", A749 &lt;= 35, "[26-35]", A749 &lt;=45, "[36-45]", A749 &lt;= 60, "[46- 60]")</f>
        <v>[36-45]</v>
      </c>
      <c r="C749" s="3" t="s">
        <v>43</v>
      </c>
      <c r="D749">
        <f t="shared" si="11"/>
        <v>0</v>
      </c>
      <c r="E749" t="s">
        <v>36</v>
      </c>
      <c r="F749" s="1">
        <v>1035</v>
      </c>
      <c r="G749" s="3" t="s">
        <v>37</v>
      </c>
      <c r="H749" s="1">
        <v>3</v>
      </c>
      <c r="I749" s="9" t="str" cm="1">
        <f t="array" ref="I749">_xlfn.IFS(H749 &lt;= 2, "[1-2] very close", H749 &lt;= 10, "[3-10] close", H749 &lt;= 20, "[11-20] moderate", H749 &lt;= 30, "[21-30] far")</f>
        <v>[3-10] close</v>
      </c>
      <c r="J749" s="1">
        <v>4</v>
      </c>
      <c r="K749" s="3" t="s">
        <v>38</v>
      </c>
      <c r="L749" s="1">
        <v>1</v>
      </c>
      <c r="M749" s="1">
        <v>1036</v>
      </c>
      <c r="N749" s="1">
        <v>2</v>
      </c>
      <c r="O749" s="3" t="s">
        <v>46</v>
      </c>
      <c r="P749" s="1">
        <v>42</v>
      </c>
      <c r="Q749" s="1">
        <v>3</v>
      </c>
      <c r="R749" s="1">
        <v>2</v>
      </c>
      <c r="S749" s="3" t="s">
        <v>40</v>
      </c>
      <c r="T749" s="1">
        <v>4</v>
      </c>
      <c r="U749" s="3" t="s">
        <v>41</v>
      </c>
      <c r="V749" s="4">
        <v>6861</v>
      </c>
      <c r="W749" s="1">
        <v>4981</v>
      </c>
      <c r="X749" s="1">
        <v>8</v>
      </c>
      <c r="Y749" s="3" t="s">
        <v>42</v>
      </c>
      <c r="Z749" s="3" t="s">
        <v>35</v>
      </c>
      <c r="AA749" s="5">
        <v>0.12</v>
      </c>
      <c r="AB749" s="10" t="str" cm="1">
        <f t="array" ref="AB749">_xlfn.IFS(AA749 &lt;= 15%, "Low Hike[11-15%]", AA749 &lt;= 20%, "Moderate Hike[16-20%]", AA749 &lt;= 25%,"High Hike[21-25%]")</f>
        <v>Low Hike[11-15%]</v>
      </c>
      <c r="AC749" s="1">
        <v>3</v>
      </c>
      <c r="AD749" s="1">
        <v>3</v>
      </c>
      <c r="AE749" s="1">
        <v>80</v>
      </c>
      <c r="AF749" s="1">
        <v>0</v>
      </c>
      <c r="AG749" s="1">
        <v>19</v>
      </c>
      <c r="AH749" s="9" t="str" cm="1">
        <f t="array" ref="AH749">_xlfn.IFS(AG749 &lt;= 5, "New[1-5]", AG749 &lt;= 10, "Early Career[6-10]", AG749 &lt;= 20, "Established[11-20]", AG749 &lt;= 30, "Veteran[21-30]", AG749 &lt;= 40, "Late Career[31-40]")</f>
        <v>Established[11-20]</v>
      </c>
      <c r="AI749" s="1">
        <v>1</v>
      </c>
      <c r="AJ749" s="1">
        <v>3</v>
      </c>
      <c r="AK749" s="1">
        <v>1</v>
      </c>
      <c r="AL749" s="9" t="str" cm="1">
        <f t="array" ref="AL749">_xlfn.IFS(AK749 &lt;= 5, "New[1-5]", AK749 &lt;= 10, "Early Career[6-10]", AK749 &lt;= 20, "Established[11-20]", AK749 &lt;= 30, "Veteran[21-30]", AK749 &lt;= 40, "Late Career[31-40]")</f>
        <v>New[1-5]</v>
      </c>
      <c r="AM749" s="1">
        <v>0</v>
      </c>
      <c r="AN749" s="9" t="str" cm="1">
        <f t="array" ref="AN749">_xlfn.IFS(AM749 &lt;= 3, "New to Role[1-3]", AM749 &lt;= 7, "Settled[4-7]", AM749 &lt;= 12, "Experienced[[8-12]", AM749 &lt;= 18, "Long Tenured[13-18]")</f>
        <v>New to Role[1-3]</v>
      </c>
      <c r="AO749" s="1">
        <v>0</v>
      </c>
      <c r="AP749" s="9" t="str" cm="1">
        <f t="array" ref="AP749">_xlfn.IFS(AO749 &lt;= 3, "Recently[1-3]", AO749 &lt;= 6, "Due Soon[4-6]", AO749 &lt;= 10, "Overdue[7-10]", AO749 &lt;= 15, "Long Overdue[11-15]")</f>
        <v>Recently[1-3]</v>
      </c>
      <c r="AQ749" s="9" t="str" cm="1">
        <f t="array" ref="AQ749">_xlfn.IFS(AR749 &lt;= 3, "New Relationship[1-3]", AR749 &lt;= 7, "Established Relationship[4-7]", AR749 &lt;= 12, "Long Term Relationship[8-12]", AR749 &lt;= 17, "Very Long Term Relationship[13-17]")</f>
        <v>New Relationship[1-3]</v>
      </c>
      <c r="AR749" s="1">
        <v>0</v>
      </c>
    </row>
    <row r="750" spans="1:44" x14ac:dyDescent="0.25">
      <c r="A750" s="1">
        <v>26</v>
      </c>
      <c r="B750" s="8" t="str" cm="1">
        <f t="array" ref="B750">_xlfn.IFS(A750 &lt;= 25, "[18-25]", A750 &lt;= 35, "[26-35]", A750 &lt;=45, "[36-45]", A750 &lt;= 60, "[46- 60]")</f>
        <v>[26-35]</v>
      </c>
      <c r="C750" s="3" t="s">
        <v>35</v>
      </c>
      <c r="D750">
        <f t="shared" si="11"/>
        <v>1</v>
      </c>
      <c r="E750" t="s">
        <v>62</v>
      </c>
      <c r="F750" s="1">
        <v>265</v>
      </c>
      <c r="G750" s="3" t="s">
        <v>37</v>
      </c>
      <c r="H750" s="1">
        <v>29</v>
      </c>
      <c r="I750" s="9" t="str" cm="1">
        <f t="array" ref="I750">_xlfn.IFS(H750 &lt;= 2, "[1-2] very close", H750 &lt;= 10, "[3-10] close", H750 &lt;= 20, "[11-20] moderate", H750 &lt;= 30, "[21-30] far")</f>
        <v>[21-30] far</v>
      </c>
      <c r="J750" s="1">
        <v>2</v>
      </c>
      <c r="K750" s="3" t="s">
        <v>51</v>
      </c>
      <c r="L750" s="1">
        <v>1</v>
      </c>
      <c r="M750" s="1">
        <v>1037</v>
      </c>
      <c r="N750" s="1">
        <v>2</v>
      </c>
      <c r="O750" s="3" t="s">
        <v>46</v>
      </c>
      <c r="P750" s="1">
        <v>79</v>
      </c>
      <c r="Q750" s="1">
        <v>1</v>
      </c>
      <c r="R750" s="1">
        <v>2</v>
      </c>
      <c r="S750" s="3" t="s">
        <v>40</v>
      </c>
      <c r="T750" s="1">
        <v>1</v>
      </c>
      <c r="U750" s="3" t="s">
        <v>41</v>
      </c>
      <c r="V750" s="4">
        <v>4969</v>
      </c>
      <c r="W750" s="1">
        <v>21813</v>
      </c>
      <c r="X750" s="1">
        <v>8</v>
      </c>
      <c r="Y750" s="3" t="s">
        <v>42</v>
      </c>
      <c r="Z750" s="3" t="s">
        <v>43</v>
      </c>
      <c r="AA750" s="5">
        <v>0.18</v>
      </c>
      <c r="AB750" s="10" t="str" cm="1">
        <f t="array" ref="AB750">_xlfn.IFS(AA750 &lt;= 15%, "Low Hike[11-15%]", AA750 &lt;= 20%, "Moderate Hike[16-20%]", AA750 &lt;= 25%,"High Hike[21-25%]")</f>
        <v>Moderate Hike[16-20%]</v>
      </c>
      <c r="AC750" s="1">
        <v>3</v>
      </c>
      <c r="AD750" s="1">
        <v>4</v>
      </c>
      <c r="AE750" s="1">
        <v>80</v>
      </c>
      <c r="AF750" s="1">
        <v>0</v>
      </c>
      <c r="AG750" s="1">
        <v>7</v>
      </c>
      <c r="AH750" s="9" t="str" cm="1">
        <f t="array" ref="AH750">_xlfn.IFS(AG750 &lt;= 5, "New[1-5]", AG750 &lt;= 10, "Early Career[6-10]", AG750 &lt;= 20, "Established[11-20]", AG750 &lt;= 30, "Veteran[21-30]", AG750 &lt;= 40, "Late Career[31-40]")</f>
        <v>Early Career[6-10]</v>
      </c>
      <c r="AI750" s="1">
        <v>6</v>
      </c>
      <c r="AJ750" s="1">
        <v>3</v>
      </c>
      <c r="AK750" s="1">
        <v>2</v>
      </c>
      <c r="AL750" s="9" t="str" cm="1">
        <f t="array" ref="AL750">_xlfn.IFS(AK750 &lt;= 5, "New[1-5]", AK750 &lt;= 10, "Early Career[6-10]", AK750 &lt;= 20, "Established[11-20]", AK750 &lt;= 30, "Veteran[21-30]", AK750 &lt;= 40, "Late Career[31-40]")</f>
        <v>New[1-5]</v>
      </c>
      <c r="AM750" s="1">
        <v>2</v>
      </c>
      <c r="AN750" s="9" t="str" cm="1">
        <f t="array" ref="AN750">_xlfn.IFS(AM750 &lt;= 3, "New to Role[1-3]", AM750 &lt;= 7, "Settled[4-7]", AM750 &lt;= 12, "Experienced[[8-12]", AM750 &lt;= 18, "Long Tenured[13-18]")</f>
        <v>New to Role[1-3]</v>
      </c>
      <c r="AO750" s="1">
        <v>2</v>
      </c>
      <c r="AP750" s="9" t="str" cm="1">
        <f t="array" ref="AP750">_xlfn.IFS(AO750 &lt;= 3, "Recently[1-3]", AO750 &lt;= 6, "Due Soon[4-6]", AO750 &lt;= 10, "Overdue[7-10]", AO750 &lt;= 15, "Long Overdue[11-15]")</f>
        <v>Recently[1-3]</v>
      </c>
      <c r="AQ750" s="9" t="str" cm="1">
        <f t="array" ref="AQ750">_xlfn.IFS(AR750 &lt;= 3, "New Relationship[1-3]", AR750 &lt;= 7, "Established Relationship[4-7]", AR750 &lt;= 12, "Long Term Relationship[8-12]", AR750 &lt;= 17, "Very Long Term Relationship[13-17]")</f>
        <v>New Relationship[1-3]</v>
      </c>
      <c r="AR750" s="1">
        <v>2</v>
      </c>
    </row>
    <row r="751" spans="1:44" x14ac:dyDescent="0.25">
      <c r="A751" s="1">
        <v>52</v>
      </c>
      <c r="B751" s="8" t="str" cm="1">
        <f t="array" ref="B751">_xlfn.IFS(A751 &lt;= 25, "[18-25]", A751 &lt;= 35, "[26-35]", A751 &lt;=45, "[36-45]", A751 &lt;= 60, "[46- 60]")</f>
        <v>[46- 60]</v>
      </c>
      <c r="C751" s="3" t="s">
        <v>35</v>
      </c>
      <c r="D751">
        <f t="shared" si="11"/>
        <v>1</v>
      </c>
      <c r="E751" t="s">
        <v>36</v>
      </c>
      <c r="F751" s="1">
        <v>266</v>
      </c>
      <c r="G751" s="3" t="s">
        <v>37</v>
      </c>
      <c r="H751" s="1">
        <v>2</v>
      </c>
      <c r="I751" s="9" t="str" cm="1">
        <f t="array" ref="I751">_xlfn.IFS(H751 &lt;= 2, "[1-2] very close", H751 &lt;= 10, "[3-10] close", H751 &lt;= 20, "[11-20] moderate", H751 &lt;= 30, "[21-30] far")</f>
        <v>[1-2] very close</v>
      </c>
      <c r="J751" s="1">
        <v>1</v>
      </c>
      <c r="K751" s="3" t="s">
        <v>59</v>
      </c>
      <c r="L751" s="1">
        <v>1</v>
      </c>
      <c r="M751" s="1">
        <v>1038</v>
      </c>
      <c r="N751" s="1">
        <v>1</v>
      </c>
      <c r="O751" s="3" t="s">
        <v>39</v>
      </c>
      <c r="P751" s="1">
        <v>57</v>
      </c>
      <c r="Q751" s="1">
        <v>1</v>
      </c>
      <c r="R751" s="1">
        <v>5</v>
      </c>
      <c r="S751" s="3" t="s">
        <v>56</v>
      </c>
      <c r="T751" s="1">
        <v>4</v>
      </c>
      <c r="U751" s="3" t="s">
        <v>48</v>
      </c>
      <c r="V751" s="4">
        <v>19845</v>
      </c>
      <c r="W751" s="1">
        <v>25846</v>
      </c>
      <c r="X751" s="1">
        <v>1</v>
      </c>
      <c r="Y751" s="3" t="s">
        <v>42</v>
      </c>
      <c r="Z751" s="3" t="s">
        <v>43</v>
      </c>
      <c r="AA751" s="5">
        <v>0.15</v>
      </c>
      <c r="AB751" s="10" t="str" cm="1">
        <f t="array" ref="AB751">_xlfn.IFS(AA751 &lt;= 15%, "Low Hike[11-15%]", AA751 &lt;= 20%, "Moderate Hike[16-20%]", AA751 &lt;= 25%,"High Hike[21-25%]")</f>
        <v>Low Hike[11-15%]</v>
      </c>
      <c r="AC751" s="1">
        <v>3</v>
      </c>
      <c r="AD751" s="1">
        <v>4</v>
      </c>
      <c r="AE751" s="1">
        <v>80</v>
      </c>
      <c r="AF751" s="1">
        <v>1</v>
      </c>
      <c r="AG751" s="1">
        <v>33</v>
      </c>
      <c r="AH751" s="9" t="str" cm="1">
        <f t="array" ref="AH751">_xlfn.IFS(AG751 &lt;= 5, "New[1-5]", AG751 &lt;= 10, "Early Career[6-10]", AG751 &lt;= 20, "Established[11-20]", AG751 &lt;= 30, "Veteran[21-30]", AG751 &lt;= 40, "Late Career[31-40]")</f>
        <v>Late Career[31-40]</v>
      </c>
      <c r="AI751" s="1">
        <v>3</v>
      </c>
      <c r="AJ751" s="1">
        <v>3</v>
      </c>
      <c r="AK751" s="1">
        <v>32</v>
      </c>
      <c r="AL751" s="9" t="str" cm="1">
        <f t="array" ref="AL751">_xlfn.IFS(AK751 &lt;= 5, "New[1-5]", AK751 &lt;= 10, "Early Career[6-10]", AK751 &lt;= 20, "Established[11-20]", AK751 &lt;= 30, "Veteran[21-30]", AK751 &lt;= 40, "Late Career[31-40]")</f>
        <v>Late Career[31-40]</v>
      </c>
      <c r="AM751" s="1">
        <v>14</v>
      </c>
      <c r="AN751" s="9" t="str" cm="1">
        <f t="array" ref="AN751">_xlfn.IFS(AM751 &lt;= 3, "New to Role[1-3]", AM751 &lt;= 7, "Settled[4-7]", AM751 &lt;= 12, "Experienced[[8-12]", AM751 &lt;= 18, "Long Tenured[13-18]")</f>
        <v>Long Tenured[13-18]</v>
      </c>
      <c r="AO751" s="1">
        <v>6</v>
      </c>
      <c r="AP751" s="9" t="str" cm="1">
        <f t="array" ref="AP751">_xlfn.IFS(AO751 &lt;= 3, "Recently[1-3]", AO751 &lt;= 6, "Due Soon[4-6]", AO751 &lt;= 10, "Overdue[7-10]", AO751 &lt;= 15, "Long Overdue[11-15]")</f>
        <v>Due Soon[4-6]</v>
      </c>
      <c r="AQ751" s="9" t="str" cm="1">
        <f t="array" ref="AQ751">_xlfn.IFS(AR751 &lt;= 3, "New Relationship[1-3]", AR751 &lt;= 7, "Established Relationship[4-7]", AR751 &lt;= 12, "Long Term Relationship[8-12]", AR751 &lt;= 17, "Very Long Term Relationship[13-17]")</f>
        <v>Long Term Relationship[8-12]</v>
      </c>
      <c r="AR751" s="1">
        <v>9</v>
      </c>
    </row>
    <row r="752" spans="1:44" x14ac:dyDescent="0.25">
      <c r="A752" s="1">
        <v>44</v>
      </c>
      <c r="B752" s="8" t="str" cm="1">
        <f t="array" ref="B752">_xlfn.IFS(A752 &lt;= 25, "[18-25]", A752 &lt;= 35, "[26-35]", A752 &lt;=45, "[36-45]", A752 &lt;= 60, "[46- 60]")</f>
        <v>[36-45]</v>
      </c>
      <c r="C752" s="3" t="s">
        <v>43</v>
      </c>
      <c r="D752">
        <f t="shared" si="11"/>
        <v>0</v>
      </c>
      <c r="E752" t="s">
        <v>36</v>
      </c>
      <c r="F752" s="1">
        <v>1448</v>
      </c>
      <c r="G752" s="3" t="s">
        <v>37</v>
      </c>
      <c r="H752" s="1">
        <v>28</v>
      </c>
      <c r="I752" s="9" t="str" cm="1">
        <f t="array" ref="I752">_xlfn.IFS(H752 &lt;= 2, "[1-2] very close", H752 &lt;= 10, "[3-10] close", H752 &lt;= 20, "[11-20] moderate", H752 &lt;= 30, "[21-30] far")</f>
        <v>[21-30] far</v>
      </c>
      <c r="J752" s="1">
        <v>3</v>
      </c>
      <c r="K752" s="3" t="s">
        <v>51</v>
      </c>
      <c r="L752" s="1">
        <v>1</v>
      </c>
      <c r="M752" s="1">
        <v>1039</v>
      </c>
      <c r="N752" s="1">
        <v>4</v>
      </c>
      <c r="O752" s="3" t="s">
        <v>39</v>
      </c>
      <c r="P752" s="1">
        <v>53</v>
      </c>
      <c r="Q752" s="1">
        <v>4</v>
      </c>
      <c r="R752" s="1">
        <v>4</v>
      </c>
      <c r="S752" s="3" t="s">
        <v>40</v>
      </c>
      <c r="T752" s="1">
        <v>4</v>
      </c>
      <c r="U752" s="3" t="s">
        <v>48</v>
      </c>
      <c r="V752" s="4">
        <v>13320</v>
      </c>
      <c r="W752" s="1">
        <v>11737</v>
      </c>
      <c r="X752" s="1">
        <v>3</v>
      </c>
      <c r="Y752" s="3" t="s">
        <v>42</v>
      </c>
      <c r="Z752" s="3" t="s">
        <v>35</v>
      </c>
      <c r="AA752" s="5">
        <v>0.18</v>
      </c>
      <c r="AB752" s="10" t="str" cm="1">
        <f t="array" ref="AB752">_xlfn.IFS(AA752 &lt;= 15%, "Low Hike[11-15%]", AA752 &lt;= 20%, "Moderate Hike[16-20%]", AA752 &lt;= 25%,"High Hike[21-25%]")</f>
        <v>Moderate Hike[16-20%]</v>
      </c>
      <c r="AC752" s="1">
        <v>3</v>
      </c>
      <c r="AD752" s="1">
        <v>3</v>
      </c>
      <c r="AE752" s="1">
        <v>80</v>
      </c>
      <c r="AF752" s="1">
        <v>1</v>
      </c>
      <c r="AG752" s="1">
        <v>23</v>
      </c>
      <c r="AH752" s="9" t="str" cm="1">
        <f t="array" ref="AH752">_xlfn.IFS(AG752 &lt;= 5, "New[1-5]", AG752 &lt;= 10, "Early Career[6-10]", AG752 &lt;= 20, "Established[11-20]", AG752 &lt;= 30, "Veteran[21-30]", AG752 &lt;= 40, "Late Career[31-40]")</f>
        <v>Veteran[21-30]</v>
      </c>
      <c r="AI752" s="1">
        <v>2</v>
      </c>
      <c r="AJ752" s="1">
        <v>3</v>
      </c>
      <c r="AK752" s="1">
        <v>12</v>
      </c>
      <c r="AL752" s="9" t="str" cm="1">
        <f t="array" ref="AL752">_xlfn.IFS(AK752 &lt;= 5, "New[1-5]", AK752 &lt;= 10, "Early Career[6-10]", AK752 &lt;= 20, "Established[11-20]", AK752 &lt;= 30, "Veteran[21-30]", AK752 &lt;= 40, "Late Career[31-40]")</f>
        <v>Established[11-20]</v>
      </c>
      <c r="AM752" s="1">
        <v>11</v>
      </c>
      <c r="AN752" s="9" t="str" cm="1">
        <f t="array" ref="AN752">_xlfn.IFS(AM752 &lt;= 3, "New to Role[1-3]", AM752 &lt;= 7, "Settled[4-7]", AM752 &lt;= 12, "Experienced[[8-12]", AM752 &lt;= 18, "Long Tenured[13-18]")</f>
        <v>Experienced[[8-12]</v>
      </c>
      <c r="AO752" s="1">
        <v>11</v>
      </c>
      <c r="AP752" s="9" t="str" cm="1">
        <f t="array" ref="AP752">_xlfn.IFS(AO752 &lt;= 3, "Recently[1-3]", AO752 &lt;= 6, "Due Soon[4-6]", AO752 &lt;= 10, "Overdue[7-10]", AO752 &lt;= 15, "Long Overdue[11-15]")</f>
        <v>Long Overdue[11-15]</v>
      </c>
      <c r="AQ752" s="9" t="str" cm="1">
        <f t="array" ref="AQ752">_xlfn.IFS(AR752 &lt;= 3, "New Relationship[1-3]", AR752 &lt;= 7, "Established Relationship[4-7]", AR752 &lt;= 12, "Long Term Relationship[8-12]", AR752 &lt;= 17, "Very Long Term Relationship[13-17]")</f>
        <v>Long Term Relationship[8-12]</v>
      </c>
      <c r="AR752" s="1">
        <v>11</v>
      </c>
    </row>
    <row r="753" spans="1:44" x14ac:dyDescent="0.25">
      <c r="A753" s="1">
        <v>50</v>
      </c>
      <c r="B753" s="8" t="str" cm="1">
        <f t="array" ref="B753">_xlfn.IFS(A753 &lt;= 25, "[18-25]", A753 &lt;= 35, "[26-35]", A753 &lt;=45, "[36-45]", A753 &lt;= 60, "[46- 60]")</f>
        <v>[46- 60]</v>
      </c>
      <c r="C753" s="3" t="s">
        <v>43</v>
      </c>
      <c r="D753">
        <f t="shared" si="11"/>
        <v>0</v>
      </c>
      <c r="E753" t="s">
        <v>62</v>
      </c>
      <c r="F753" s="1">
        <v>145</v>
      </c>
      <c r="G753" s="3" t="s">
        <v>37</v>
      </c>
      <c r="H753" s="1">
        <v>1</v>
      </c>
      <c r="I753" s="9" t="str" cm="1">
        <f t="array" ref="I753">_xlfn.IFS(H753 &lt;= 2, "[1-2] very close", H753 &lt;= 10, "[3-10] close", H753 &lt;= 20, "[11-20] moderate", H753 &lt;= 30, "[21-30] far")</f>
        <v>[1-2] very close</v>
      </c>
      <c r="J753" s="1">
        <v>3</v>
      </c>
      <c r="K753" s="3" t="s">
        <v>38</v>
      </c>
      <c r="L753" s="1">
        <v>1</v>
      </c>
      <c r="M753" s="1">
        <v>1040</v>
      </c>
      <c r="N753" s="1">
        <v>4</v>
      </c>
      <c r="O753" s="3" t="s">
        <v>39</v>
      </c>
      <c r="P753" s="1">
        <v>95</v>
      </c>
      <c r="Q753" s="1">
        <v>3</v>
      </c>
      <c r="R753" s="1">
        <v>2</v>
      </c>
      <c r="S753" s="3" t="s">
        <v>40</v>
      </c>
      <c r="T753" s="1">
        <v>3</v>
      </c>
      <c r="U753" s="3" t="s">
        <v>48</v>
      </c>
      <c r="V753" s="4">
        <v>6347</v>
      </c>
      <c r="W753" s="1">
        <v>24920</v>
      </c>
      <c r="X753" s="1">
        <v>0</v>
      </c>
      <c r="Y753" s="3" t="s">
        <v>42</v>
      </c>
      <c r="Z753" s="3" t="s">
        <v>43</v>
      </c>
      <c r="AA753" s="5">
        <v>0.12</v>
      </c>
      <c r="AB753" s="10" t="str" cm="1">
        <f t="array" ref="AB753">_xlfn.IFS(AA753 &lt;= 15%, "Low Hike[11-15%]", AA753 &lt;= 20%, "Moderate Hike[16-20%]", AA753 &lt;= 25%,"High Hike[21-25%]")</f>
        <v>Low Hike[11-15%]</v>
      </c>
      <c r="AC753" s="1">
        <v>3</v>
      </c>
      <c r="AD753" s="1">
        <v>1</v>
      </c>
      <c r="AE753" s="1">
        <v>80</v>
      </c>
      <c r="AF753" s="1">
        <v>1</v>
      </c>
      <c r="AG753" s="1">
        <v>19</v>
      </c>
      <c r="AH753" s="9" t="str" cm="1">
        <f t="array" ref="AH753">_xlfn.IFS(AG753 &lt;= 5, "New[1-5]", AG753 &lt;= 10, "Early Career[6-10]", AG753 &lt;= 20, "Established[11-20]", AG753 &lt;= 30, "Veteran[21-30]", AG753 &lt;= 40, "Late Career[31-40]")</f>
        <v>Established[11-20]</v>
      </c>
      <c r="AI753" s="1">
        <v>3</v>
      </c>
      <c r="AJ753" s="1">
        <v>3</v>
      </c>
      <c r="AK753" s="1">
        <v>18</v>
      </c>
      <c r="AL753" s="9" t="str" cm="1">
        <f t="array" ref="AL753">_xlfn.IFS(AK753 &lt;= 5, "New[1-5]", AK753 &lt;= 10, "Early Career[6-10]", AK753 &lt;= 20, "Established[11-20]", AK753 &lt;= 30, "Veteran[21-30]", AK753 &lt;= 40, "Late Career[31-40]")</f>
        <v>Established[11-20]</v>
      </c>
      <c r="AM753" s="1">
        <v>7</v>
      </c>
      <c r="AN753" s="9" t="str" cm="1">
        <f t="array" ref="AN753">_xlfn.IFS(AM753 &lt;= 3, "New to Role[1-3]", AM753 &lt;= 7, "Settled[4-7]", AM753 &lt;= 12, "Experienced[[8-12]", AM753 &lt;= 18, "Long Tenured[13-18]")</f>
        <v>Settled[4-7]</v>
      </c>
      <c r="AO753" s="1">
        <v>0</v>
      </c>
      <c r="AP753" s="9" t="str" cm="1">
        <f t="array" ref="AP753">_xlfn.IFS(AO753 &lt;= 3, "Recently[1-3]", AO753 &lt;= 6, "Due Soon[4-6]", AO753 &lt;= 10, "Overdue[7-10]", AO753 &lt;= 15, "Long Overdue[11-15]")</f>
        <v>Recently[1-3]</v>
      </c>
      <c r="AQ753" s="9" t="str" cm="1">
        <f t="array" ref="AQ753">_xlfn.IFS(AR753 &lt;= 3, "New Relationship[1-3]", AR753 &lt;= 7, "Established Relationship[4-7]", AR753 &lt;= 12, "Long Term Relationship[8-12]", AR753 &lt;= 17, "Very Long Term Relationship[13-17]")</f>
        <v>Very Long Term Relationship[13-17]</v>
      </c>
      <c r="AR753" s="1">
        <v>13</v>
      </c>
    </row>
    <row r="754" spans="1:44" x14ac:dyDescent="0.25">
      <c r="A754" s="1">
        <v>36</v>
      </c>
      <c r="B754" s="8" t="str" cm="1">
        <f t="array" ref="B754">_xlfn.IFS(A754 &lt;= 25, "[18-25]", A754 &lt;= 35, "[26-35]", A754 &lt;=45, "[36-45]", A754 &lt;= 60, "[46- 60]")</f>
        <v>[36-45]</v>
      </c>
      <c r="C754" s="3" t="s">
        <v>35</v>
      </c>
      <c r="D754">
        <f t="shared" si="11"/>
        <v>1</v>
      </c>
      <c r="E754" t="s">
        <v>36</v>
      </c>
      <c r="F754" s="1">
        <v>885</v>
      </c>
      <c r="G754" s="3" t="s">
        <v>45</v>
      </c>
      <c r="H754" s="1">
        <v>16</v>
      </c>
      <c r="I754" s="9" t="str" cm="1">
        <f t="array" ref="I754">_xlfn.IFS(H754 &lt;= 2, "[1-2] very close", H754 &lt;= 10, "[3-10] close", H754 &lt;= 20, "[11-20] moderate", H754 &lt;= 30, "[21-30] far")</f>
        <v>[11-20] moderate</v>
      </c>
      <c r="J754" s="1">
        <v>4</v>
      </c>
      <c r="K754" s="3" t="s">
        <v>38</v>
      </c>
      <c r="L754" s="1">
        <v>1</v>
      </c>
      <c r="M754" s="1">
        <v>1042</v>
      </c>
      <c r="N754" s="1">
        <v>3</v>
      </c>
      <c r="O754" s="3" t="s">
        <v>39</v>
      </c>
      <c r="P754" s="1">
        <v>43</v>
      </c>
      <c r="Q754" s="1">
        <v>4</v>
      </c>
      <c r="R754" s="1">
        <v>1</v>
      </c>
      <c r="S754" s="3" t="s">
        <v>50</v>
      </c>
      <c r="T754" s="1">
        <v>1</v>
      </c>
      <c r="U754" s="3" t="s">
        <v>41</v>
      </c>
      <c r="V754" s="4">
        <v>2743</v>
      </c>
      <c r="W754" s="1">
        <v>8269</v>
      </c>
      <c r="X754" s="1">
        <v>1</v>
      </c>
      <c r="Y754" s="3" t="s">
        <v>42</v>
      </c>
      <c r="Z754" s="3" t="s">
        <v>43</v>
      </c>
      <c r="AA754" s="5">
        <v>0.16</v>
      </c>
      <c r="AB754" s="10" t="str" cm="1">
        <f t="array" ref="AB754">_xlfn.IFS(AA754 &lt;= 15%, "Low Hike[11-15%]", AA754 &lt;= 20%, "Moderate Hike[16-20%]", AA754 &lt;= 25%,"High Hike[21-25%]")</f>
        <v>Moderate Hike[16-20%]</v>
      </c>
      <c r="AC754" s="1">
        <v>3</v>
      </c>
      <c r="AD754" s="1">
        <v>3</v>
      </c>
      <c r="AE754" s="1">
        <v>80</v>
      </c>
      <c r="AF754" s="1">
        <v>0</v>
      </c>
      <c r="AG754" s="1">
        <v>18</v>
      </c>
      <c r="AH754" s="9" t="str" cm="1">
        <f t="array" ref="AH754">_xlfn.IFS(AG754 &lt;= 5, "New[1-5]", AG754 &lt;= 10, "Early Career[6-10]", AG754 &lt;= 20, "Established[11-20]", AG754 &lt;= 30, "Veteran[21-30]", AG754 &lt;= 40, "Late Career[31-40]")</f>
        <v>Established[11-20]</v>
      </c>
      <c r="AI754" s="1">
        <v>1</v>
      </c>
      <c r="AJ754" s="1">
        <v>3</v>
      </c>
      <c r="AK754" s="1">
        <v>17</v>
      </c>
      <c r="AL754" s="9" t="str" cm="1">
        <f t="array" ref="AL754">_xlfn.IFS(AK754 &lt;= 5, "New[1-5]", AK754 &lt;= 10, "Early Career[6-10]", AK754 &lt;= 20, "Established[11-20]", AK754 &lt;= 30, "Veteran[21-30]", AK754 &lt;= 40, "Late Career[31-40]")</f>
        <v>Established[11-20]</v>
      </c>
      <c r="AM754" s="1">
        <v>13</v>
      </c>
      <c r="AN754" s="9" t="str" cm="1">
        <f t="array" ref="AN754">_xlfn.IFS(AM754 &lt;= 3, "New to Role[1-3]", AM754 &lt;= 7, "Settled[4-7]", AM754 &lt;= 12, "Experienced[[8-12]", AM754 &lt;= 18, "Long Tenured[13-18]")</f>
        <v>Long Tenured[13-18]</v>
      </c>
      <c r="AO754" s="1">
        <v>15</v>
      </c>
      <c r="AP754" s="9" t="str" cm="1">
        <f t="array" ref="AP754">_xlfn.IFS(AO754 &lt;= 3, "Recently[1-3]", AO754 &lt;= 6, "Due Soon[4-6]", AO754 &lt;= 10, "Overdue[7-10]", AO754 &lt;= 15, "Long Overdue[11-15]")</f>
        <v>Long Overdue[11-15]</v>
      </c>
      <c r="AQ754" s="9" t="str" cm="1">
        <f t="array" ref="AQ754">_xlfn.IFS(AR754 &lt;= 3, "New Relationship[1-3]", AR754 &lt;= 7, "Established Relationship[4-7]", AR754 &lt;= 12, "Long Term Relationship[8-12]", AR754 &lt;= 17, "Very Long Term Relationship[13-17]")</f>
        <v>Very Long Term Relationship[13-17]</v>
      </c>
      <c r="AR754" s="1">
        <v>14</v>
      </c>
    </row>
    <row r="755" spans="1:44" x14ac:dyDescent="0.25">
      <c r="A755" s="1">
        <v>39</v>
      </c>
      <c r="B755" s="8" t="str" cm="1">
        <f t="array" ref="B755">_xlfn.IFS(A755 &lt;= 25, "[18-25]", A755 &lt;= 35, "[26-35]", A755 &lt;=45, "[36-45]", A755 &lt;= 60, "[46- 60]")</f>
        <v>[36-45]</v>
      </c>
      <c r="C755" s="3" t="s">
        <v>43</v>
      </c>
      <c r="D755">
        <f t="shared" si="11"/>
        <v>0</v>
      </c>
      <c r="E755" t="s">
        <v>44</v>
      </c>
      <c r="F755" s="1">
        <v>945</v>
      </c>
      <c r="G755" s="3" t="s">
        <v>45</v>
      </c>
      <c r="H755" s="1">
        <v>22</v>
      </c>
      <c r="I755" s="9" t="str" cm="1">
        <f t="array" ref="I755">_xlfn.IFS(H755 &lt;= 2, "[1-2] very close", H755 &lt;= 10, "[3-10] close", H755 &lt;= 20, "[11-20] moderate", H755 &lt;= 30, "[21-30] far")</f>
        <v>[21-30] far</v>
      </c>
      <c r="J755" s="1">
        <v>3</v>
      </c>
      <c r="K755" s="3" t="s">
        <v>51</v>
      </c>
      <c r="L755" s="1">
        <v>1</v>
      </c>
      <c r="M755" s="1">
        <v>1043</v>
      </c>
      <c r="N755" s="1">
        <v>4</v>
      </c>
      <c r="O755" s="3" t="s">
        <v>39</v>
      </c>
      <c r="P755" s="1">
        <v>82</v>
      </c>
      <c r="Q755" s="1">
        <v>3</v>
      </c>
      <c r="R755" s="1">
        <v>3</v>
      </c>
      <c r="S755" s="3" t="s">
        <v>53</v>
      </c>
      <c r="T755" s="1">
        <v>1</v>
      </c>
      <c r="U755" s="3" t="s">
        <v>41</v>
      </c>
      <c r="V755" s="4">
        <v>10880</v>
      </c>
      <c r="W755" s="1">
        <v>5083</v>
      </c>
      <c r="X755" s="1">
        <v>1</v>
      </c>
      <c r="Y755" s="3" t="s">
        <v>42</v>
      </c>
      <c r="Z755" s="3" t="s">
        <v>35</v>
      </c>
      <c r="AA755" s="5">
        <v>0.13</v>
      </c>
      <c r="AB755" s="10" t="str" cm="1">
        <f t="array" ref="AB755">_xlfn.IFS(AA755 &lt;= 15%, "Low Hike[11-15%]", AA755 &lt;= 20%, "Moderate Hike[16-20%]", AA755 &lt;= 25%,"High Hike[21-25%]")</f>
        <v>Low Hike[11-15%]</v>
      </c>
      <c r="AC755" s="1">
        <v>3</v>
      </c>
      <c r="AD755" s="1">
        <v>3</v>
      </c>
      <c r="AE755" s="1">
        <v>80</v>
      </c>
      <c r="AF755" s="1">
        <v>0</v>
      </c>
      <c r="AG755" s="1">
        <v>21</v>
      </c>
      <c r="AH755" s="9" t="str" cm="1">
        <f t="array" ref="AH755">_xlfn.IFS(AG755 &lt;= 5, "New[1-5]", AG755 &lt;= 10, "Early Career[6-10]", AG755 &lt;= 20, "Established[11-20]", AG755 &lt;= 30, "Veteran[21-30]", AG755 &lt;= 40, "Late Career[31-40]")</f>
        <v>Veteran[21-30]</v>
      </c>
      <c r="AI755" s="1">
        <v>2</v>
      </c>
      <c r="AJ755" s="1">
        <v>3</v>
      </c>
      <c r="AK755" s="1">
        <v>21</v>
      </c>
      <c r="AL755" s="9" t="str" cm="1">
        <f t="array" ref="AL755">_xlfn.IFS(AK755 &lt;= 5, "New[1-5]", AK755 &lt;= 10, "Early Career[6-10]", AK755 &lt;= 20, "Established[11-20]", AK755 &lt;= 30, "Veteran[21-30]", AK755 &lt;= 40, "Late Career[31-40]")</f>
        <v>Veteran[21-30]</v>
      </c>
      <c r="AM755" s="1">
        <v>6</v>
      </c>
      <c r="AN755" s="9" t="str" cm="1">
        <f t="array" ref="AN755">_xlfn.IFS(AM755 &lt;= 3, "New to Role[1-3]", AM755 &lt;= 7, "Settled[4-7]", AM755 &lt;= 12, "Experienced[[8-12]", AM755 &lt;= 18, "Long Tenured[13-18]")</f>
        <v>Settled[4-7]</v>
      </c>
      <c r="AO755" s="1">
        <v>2</v>
      </c>
      <c r="AP755" s="9" t="str" cm="1">
        <f t="array" ref="AP755">_xlfn.IFS(AO755 &lt;= 3, "Recently[1-3]", AO755 &lt;= 6, "Due Soon[4-6]", AO755 &lt;= 10, "Overdue[7-10]", AO755 &lt;= 15, "Long Overdue[11-15]")</f>
        <v>Recently[1-3]</v>
      </c>
      <c r="AQ755" s="9" t="str" cm="1">
        <f t="array" ref="AQ755">_xlfn.IFS(AR755 &lt;= 3, "New Relationship[1-3]", AR755 &lt;= 7, "Established Relationship[4-7]", AR755 &lt;= 12, "Long Term Relationship[8-12]", AR755 &lt;= 17, "Very Long Term Relationship[13-17]")</f>
        <v>Long Term Relationship[8-12]</v>
      </c>
      <c r="AR755" s="1">
        <v>8</v>
      </c>
    </row>
    <row r="756" spans="1:44" x14ac:dyDescent="0.25">
      <c r="A756" s="1">
        <v>33</v>
      </c>
      <c r="B756" s="8" t="str" cm="1">
        <f t="array" ref="B756">_xlfn.IFS(A756 &lt;= 25, "[18-25]", A756 &lt;= 35, "[26-35]", A756 &lt;=45, "[36-45]", A756 &lt;= 60, "[46- 60]")</f>
        <v>[26-35]</v>
      </c>
      <c r="C756" s="3" t="s">
        <v>43</v>
      </c>
      <c r="D756">
        <f t="shared" si="11"/>
        <v>0</v>
      </c>
      <c r="E756" t="s">
        <v>62</v>
      </c>
      <c r="F756" s="1">
        <v>1038</v>
      </c>
      <c r="G756" s="3" t="s">
        <v>37</v>
      </c>
      <c r="H756" s="1">
        <v>8</v>
      </c>
      <c r="I756" s="9" t="str" cm="1">
        <f t="array" ref="I756">_xlfn.IFS(H756 &lt;= 2, "[1-2] very close", H756 &lt;= 10, "[3-10] close", H756 &lt;= 20, "[11-20] moderate", H756 &lt;= 30, "[21-30] far")</f>
        <v>[3-10] close</v>
      </c>
      <c r="J756" s="1">
        <v>1</v>
      </c>
      <c r="K756" s="3" t="s">
        <v>38</v>
      </c>
      <c r="L756" s="1">
        <v>1</v>
      </c>
      <c r="M756" s="1">
        <v>1044</v>
      </c>
      <c r="N756" s="1">
        <v>2</v>
      </c>
      <c r="O756" s="3" t="s">
        <v>39</v>
      </c>
      <c r="P756" s="1">
        <v>88</v>
      </c>
      <c r="Q756" s="1">
        <v>2</v>
      </c>
      <c r="R756" s="1">
        <v>1</v>
      </c>
      <c r="S756" s="3" t="s">
        <v>57</v>
      </c>
      <c r="T756" s="1">
        <v>4</v>
      </c>
      <c r="U756" s="3" t="s">
        <v>41</v>
      </c>
      <c r="V756" s="4">
        <v>2342</v>
      </c>
      <c r="W756" s="1">
        <v>21437</v>
      </c>
      <c r="X756" s="1">
        <v>0</v>
      </c>
      <c r="Y756" s="3" t="s">
        <v>42</v>
      </c>
      <c r="Z756" s="3" t="s">
        <v>43</v>
      </c>
      <c r="AA756" s="5">
        <v>0.19</v>
      </c>
      <c r="AB756" s="10" t="str" cm="1">
        <f t="array" ref="AB756">_xlfn.IFS(AA756 &lt;= 15%, "Low Hike[11-15%]", AA756 &lt;= 20%, "Moderate Hike[16-20%]", AA756 &lt;= 25%,"High Hike[21-25%]")</f>
        <v>Moderate Hike[16-20%]</v>
      </c>
      <c r="AC756" s="1">
        <v>3</v>
      </c>
      <c r="AD756" s="1">
        <v>4</v>
      </c>
      <c r="AE756" s="1">
        <v>80</v>
      </c>
      <c r="AF756" s="1">
        <v>0</v>
      </c>
      <c r="AG756" s="1">
        <v>3</v>
      </c>
      <c r="AH756" s="9" t="str" cm="1">
        <f t="array" ref="AH756">_xlfn.IFS(AG756 &lt;= 5, "New[1-5]", AG756 &lt;= 10, "Early Career[6-10]", AG756 &lt;= 20, "Established[11-20]", AG756 &lt;= 30, "Veteran[21-30]", AG756 &lt;= 40, "Late Career[31-40]")</f>
        <v>New[1-5]</v>
      </c>
      <c r="AI756" s="1">
        <v>2</v>
      </c>
      <c r="AJ756" s="1">
        <v>2</v>
      </c>
      <c r="AK756" s="1">
        <v>2</v>
      </c>
      <c r="AL756" s="9" t="str" cm="1">
        <f t="array" ref="AL756">_xlfn.IFS(AK756 &lt;= 5, "New[1-5]", AK756 &lt;= 10, "Early Career[6-10]", AK756 &lt;= 20, "Established[11-20]", AK756 &lt;= 30, "Veteran[21-30]", AK756 &lt;= 40, "Late Career[31-40]")</f>
        <v>New[1-5]</v>
      </c>
      <c r="AM756" s="1">
        <v>2</v>
      </c>
      <c r="AN756" s="9" t="str" cm="1">
        <f t="array" ref="AN756">_xlfn.IFS(AM756 &lt;= 3, "New to Role[1-3]", AM756 &lt;= 7, "Settled[4-7]", AM756 &lt;= 12, "Experienced[[8-12]", AM756 &lt;= 18, "Long Tenured[13-18]")</f>
        <v>New to Role[1-3]</v>
      </c>
      <c r="AO756" s="1">
        <v>2</v>
      </c>
      <c r="AP756" s="9" t="str" cm="1">
        <f t="array" ref="AP756">_xlfn.IFS(AO756 &lt;= 3, "Recently[1-3]", AO756 &lt;= 6, "Due Soon[4-6]", AO756 &lt;= 10, "Overdue[7-10]", AO756 &lt;= 15, "Long Overdue[11-15]")</f>
        <v>Recently[1-3]</v>
      </c>
      <c r="AQ756" s="9" t="str" cm="1">
        <f t="array" ref="AQ756">_xlfn.IFS(AR756 &lt;= 3, "New Relationship[1-3]", AR756 &lt;= 7, "Established Relationship[4-7]", AR756 &lt;= 12, "Long Term Relationship[8-12]", AR756 &lt;= 17, "Very Long Term Relationship[13-17]")</f>
        <v>New Relationship[1-3]</v>
      </c>
      <c r="AR756" s="1">
        <v>2</v>
      </c>
    </row>
    <row r="757" spans="1:44" x14ac:dyDescent="0.25">
      <c r="A757" s="1">
        <v>45</v>
      </c>
      <c r="B757" s="8" t="str" cm="1">
        <f t="array" ref="B757">_xlfn.IFS(A757 &lt;= 25, "[18-25]", A757 &lt;= 35, "[26-35]", A757 &lt;=45, "[36-45]", A757 &lt;= 60, "[46- 60]")</f>
        <v>[36-45]</v>
      </c>
      <c r="C757" s="3" t="s">
        <v>43</v>
      </c>
      <c r="D757">
        <f t="shared" si="11"/>
        <v>0</v>
      </c>
      <c r="E757" t="s">
        <v>36</v>
      </c>
      <c r="F757" s="1">
        <v>1234</v>
      </c>
      <c r="G757" s="3" t="s">
        <v>37</v>
      </c>
      <c r="H757" s="1">
        <v>11</v>
      </c>
      <c r="I757" s="9" t="str" cm="1">
        <f t="array" ref="I757">_xlfn.IFS(H757 &lt;= 2, "[1-2] very close", H757 &lt;= 10, "[3-10] close", H757 &lt;= 20, "[11-20] moderate", H757 &lt;= 30, "[21-30] far")</f>
        <v>[11-20] moderate</v>
      </c>
      <c r="J757" s="1">
        <v>2</v>
      </c>
      <c r="K757" s="3" t="s">
        <v>38</v>
      </c>
      <c r="L757" s="1">
        <v>1</v>
      </c>
      <c r="M757" s="1">
        <v>1045</v>
      </c>
      <c r="N757" s="1">
        <v>4</v>
      </c>
      <c r="O757" s="3" t="s">
        <v>39</v>
      </c>
      <c r="P757" s="1">
        <v>90</v>
      </c>
      <c r="Q757" s="1">
        <v>3</v>
      </c>
      <c r="R757" s="1">
        <v>4</v>
      </c>
      <c r="S757" s="3" t="s">
        <v>56</v>
      </c>
      <c r="T757" s="1">
        <v>4</v>
      </c>
      <c r="U757" s="3" t="s">
        <v>48</v>
      </c>
      <c r="V757" s="4">
        <v>17650</v>
      </c>
      <c r="W757" s="1">
        <v>5404</v>
      </c>
      <c r="X757" s="1">
        <v>3</v>
      </c>
      <c r="Y757" s="3" t="s">
        <v>42</v>
      </c>
      <c r="Z757" s="3" t="s">
        <v>43</v>
      </c>
      <c r="AA757" s="5">
        <v>0.13</v>
      </c>
      <c r="AB757" s="10" t="str" cm="1">
        <f t="array" ref="AB757">_xlfn.IFS(AA757 &lt;= 15%, "Low Hike[11-15%]", AA757 &lt;= 20%, "Moderate Hike[16-20%]", AA757 &lt;= 25%,"High Hike[21-25%]")</f>
        <v>Low Hike[11-15%]</v>
      </c>
      <c r="AC757" s="1">
        <v>3</v>
      </c>
      <c r="AD757" s="1">
        <v>2</v>
      </c>
      <c r="AE757" s="1">
        <v>80</v>
      </c>
      <c r="AF757" s="1">
        <v>1</v>
      </c>
      <c r="AG757" s="1">
        <v>26</v>
      </c>
      <c r="AH757" s="9" t="str" cm="1">
        <f t="array" ref="AH757">_xlfn.IFS(AG757 &lt;= 5, "New[1-5]", AG757 &lt;= 10, "Early Career[6-10]", AG757 &lt;= 20, "Established[11-20]", AG757 &lt;= 30, "Veteran[21-30]", AG757 &lt;= 40, "Late Career[31-40]")</f>
        <v>Veteran[21-30]</v>
      </c>
      <c r="AI757" s="1">
        <v>4</v>
      </c>
      <c r="AJ757" s="1">
        <v>4</v>
      </c>
      <c r="AK757" s="1">
        <v>9</v>
      </c>
      <c r="AL757" s="9" t="str" cm="1">
        <f t="array" ref="AL757">_xlfn.IFS(AK757 &lt;= 5, "New[1-5]", AK757 &lt;= 10, "Early Career[6-10]", AK757 &lt;= 20, "Established[11-20]", AK757 &lt;= 30, "Veteran[21-30]", AK757 &lt;= 40, "Late Career[31-40]")</f>
        <v>Early Career[6-10]</v>
      </c>
      <c r="AM757" s="1">
        <v>3</v>
      </c>
      <c r="AN757" s="9" t="str" cm="1">
        <f t="array" ref="AN757">_xlfn.IFS(AM757 &lt;= 3, "New to Role[1-3]", AM757 &lt;= 7, "Settled[4-7]", AM757 &lt;= 12, "Experienced[[8-12]", AM757 &lt;= 18, "Long Tenured[13-18]")</f>
        <v>New to Role[1-3]</v>
      </c>
      <c r="AO757" s="1">
        <v>1</v>
      </c>
      <c r="AP757" s="9" t="str" cm="1">
        <f t="array" ref="AP757">_xlfn.IFS(AO757 &lt;= 3, "Recently[1-3]", AO757 &lt;= 6, "Due Soon[4-6]", AO757 &lt;= 10, "Overdue[7-10]", AO757 &lt;= 15, "Long Overdue[11-15]")</f>
        <v>Recently[1-3]</v>
      </c>
      <c r="AQ757" s="9" t="str" cm="1">
        <f t="array" ref="AQ757">_xlfn.IFS(AR757 &lt;= 3, "New Relationship[1-3]", AR757 &lt;= 7, "Established Relationship[4-7]", AR757 &lt;= 12, "Long Term Relationship[8-12]", AR757 &lt;= 17, "Very Long Term Relationship[13-17]")</f>
        <v>New Relationship[1-3]</v>
      </c>
      <c r="AR757" s="1">
        <v>1</v>
      </c>
    </row>
    <row r="758" spans="1:44" x14ac:dyDescent="0.25">
      <c r="A758" s="1">
        <v>32</v>
      </c>
      <c r="B758" s="8" t="str" cm="1">
        <f t="array" ref="B758">_xlfn.IFS(A758 &lt;= 25, "[18-25]", A758 &lt;= 35, "[26-35]", A758 &lt;=45, "[36-45]", A758 &lt;= 60, "[46- 60]")</f>
        <v>[26-35]</v>
      </c>
      <c r="C758" s="3" t="s">
        <v>43</v>
      </c>
      <c r="D758">
        <f t="shared" si="11"/>
        <v>0</v>
      </c>
      <c r="E758" t="s">
        <v>62</v>
      </c>
      <c r="F758" s="1">
        <v>1109</v>
      </c>
      <c r="G758" s="3" t="s">
        <v>45</v>
      </c>
      <c r="H758" s="1">
        <v>29</v>
      </c>
      <c r="I758" s="9" t="str" cm="1">
        <f t="array" ref="I758">_xlfn.IFS(H758 &lt;= 2, "[1-2] very close", H758 &lt;= 10, "[3-10] close", H758 &lt;= 20, "[11-20] moderate", H758 &lt;= 30, "[21-30] far")</f>
        <v>[21-30] far</v>
      </c>
      <c r="J758" s="1">
        <v>4</v>
      </c>
      <c r="K758" s="3" t="s">
        <v>51</v>
      </c>
      <c r="L758" s="1">
        <v>1</v>
      </c>
      <c r="M758" s="1">
        <v>1046</v>
      </c>
      <c r="N758" s="1">
        <v>4</v>
      </c>
      <c r="O758" s="3" t="s">
        <v>39</v>
      </c>
      <c r="P758" s="1">
        <v>69</v>
      </c>
      <c r="Q758" s="1">
        <v>3</v>
      </c>
      <c r="R758" s="1">
        <v>1</v>
      </c>
      <c r="S758" s="3" t="s">
        <v>50</v>
      </c>
      <c r="T758" s="1">
        <v>3</v>
      </c>
      <c r="U758" s="3" t="s">
        <v>41</v>
      </c>
      <c r="V758" s="4">
        <v>4025</v>
      </c>
      <c r="W758" s="1">
        <v>11135</v>
      </c>
      <c r="X758" s="1">
        <v>9</v>
      </c>
      <c r="Y758" s="3" t="s">
        <v>42</v>
      </c>
      <c r="Z758" s="3" t="s">
        <v>43</v>
      </c>
      <c r="AA758" s="5">
        <v>0.12</v>
      </c>
      <c r="AB758" s="10" t="str" cm="1">
        <f t="array" ref="AB758">_xlfn.IFS(AA758 &lt;= 15%, "Low Hike[11-15%]", AA758 &lt;= 20%, "Moderate Hike[16-20%]", AA758 &lt;= 25%,"High Hike[21-25%]")</f>
        <v>Low Hike[11-15%]</v>
      </c>
      <c r="AC758" s="1">
        <v>3</v>
      </c>
      <c r="AD758" s="1">
        <v>2</v>
      </c>
      <c r="AE758" s="1">
        <v>80</v>
      </c>
      <c r="AF758" s="1">
        <v>0</v>
      </c>
      <c r="AG758" s="1">
        <v>10</v>
      </c>
      <c r="AH758" s="9" t="str" cm="1">
        <f t="array" ref="AH758">_xlfn.IFS(AG758 &lt;= 5, "New[1-5]", AG758 &lt;= 10, "Early Career[6-10]", AG758 &lt;= 20, "Established[11-20]", AG758 &lt;= 30, "Veteran[21-30]", AG758 &lt;= 40, "Late Career[31-40]")</f>
        <v>Early Career[6-10]</v>
      </c>
      <c r="AI758" s="1">
        <v>2</v>
      </c>
      <c r="AJ758" s="1">
        <v>3</v>
      </c>
      <c r="AK758" s="1">
        <v>8</v>
      </c>
      <c r="AL758" s="9" t="str" cm="1">
        <f t="array" ref="AL758">_xlfn.IFS(AK758 &lt;= 5, "New[1-5]", AK758 &lt;= 10, "Early Career[6-10]", AK758 &lt;= 20, "Established[11-20]", AK758 &lt;= 30, "Veteran[21-30]", AK758 &lt;= 40, "Late Career[31-40]")</f>
        <v>Early Career[6-10]</v>
      </c>
      <c r="AM758" s="1">
        <v>7</v>
      </c>
      <c r="AN758" s="9" t="str" cm="1">
        <f t="array" ref="AN758">_xlfn.IFS(AM758 &lt;= 3, "New to Role[1-3]", AM758 &lt;= 7, "Settled[4-7]", AM758 &lt;= 12, "Experienced[[8-12]", AM758 &lt;= 18, "Long Tenured[13-18]")</f>
        <v>Settled[4-7]</v>
      </c>
      <c r="AO758" s="1">
        <v>7</v>
      </c>
      <c r="AP758" s="9" t="str" cm="1">
        <f t="array" ref="AP758">_xlfn.IFS(AO758 &lt;= 3, "Recently[1-3]", AO758 &lt;= 6, "Due Soon[4-6]", AO758 &lt;= 10, "Overdue[7-10]", AO758 &lt;= 15, "Long Overdue[11-15]")</f>
        <v>Overdue[7-10]</v>
      </c>
      <c r="AQ758" s="9" t="str" cm="1">
        <f t="array" ref="AQ758">_xlfn.IFS(AR758 &lt;= 3, "New Relationship[1-3]", AR758 &lt;= 7, "Established Relationship[4-7]", AR758 &lt;= 12, "Long Term Relationship[8-12]", AR758 &lt;= 17, "Very Long Term Relationship[13-17]")</f>
        <v>Established Relationship[4-7]</v>
      </c>
      <c r="AR758" s="1">
        <v>7</v>
      </c>
    </row>
    <row r="759" spans="1:44" x14ac:dyDescent="0.25">
      <c r="A759" s="1">
        <v>34</v>
      </c>
      <c r="B759" s="8" t="str" cm="1">
        <f t="array" ref="B759">_xlfn.IFS(A759 &lt;= 25, "[18-25]", A759 &lt;= 35, "[26-35]", A759 &lt;=45, "[36-45]", A759 &lt;= 60, "[46- 60]")</f>
        <v>[26-35]</v>
      </c>
      <c r="C759" s="3" t="s">
        <v>43</v>
      </c>
      <c r="D759">
        <f t="shared" si="11"/>
        <v>0</v>
      </c>
      <c r="E759" t="s">
        <v>36</v>
      </c>
      <c r="F759" s="1">
        <v>216</v>
      </c>
      <c r="G759" s="3" t="s">
        <v>37</v>
      </c>
      <c r="H759" s="1">
        <v>1</v>
      </c>
      <c r="I759" s="9" t="str" cm="1">
        <f t="array" ref="I759">_xlfn.IFS(H759 &lt;= 2, "[1-2] very close", H759 &lt;= 10, "[3-10] close", H759 &lt;= 20, "[11-20] moderate", H759 &lt;= 30, "[21-30] far")</f>
        <v>[1-2] very close</v>
      </c>
      <c r="J759" s="1">
        <v>4</v>
      </c>
      <c r="K759" s="3" t="s">
        <v>59</v>
      </c>
      <c r="L759" s="1">
        <v>1</v>
      </c>
      <c r="M759" s="1">
        <v>1047</v>
      </c>
      <c r="N759" s="1">
        <v>2</v>
      </c>
      <c r="O759" s="3" t="s">
        <v>46</v>
      </c>
      <c r="P759" s="1">
        <v>75</v>
      </c>
      <c r="Q759" s="1">
        <v>4</v>
      </c>
      <c r="R759" s="1">
        <v>2</v>
      </c>
      <c r="S759" s="3" t="s">
        <v>40</v>
      </c>
      <c r="T759" s="1">
        <v>4</v>
      </c>
      <c r="U759" s="3" t="s">
        <v>52</v>
      </c>
      <c r="V759" s="4">
        <v>9725</v>
      </c>
      <c r="W759" s="1">
        <v>12278</v>
      </c>
      <c r="X759" s="1">
        <v>0</v>
      </c>
      <c r="Y759" s="3" t="s">
        <v>42</v>
      </c>
      <c r="Z759" s="3" t="s">
        <v>43</v>
      </c>
      <c r="AA759" s="5">
        <v>0.11</v>
      </c>
      <c r="AB759" s="10" t="str" cm="1">
        <f t="array" ref="AB759">_xlfn.IFS(AA759 &lt;= 15%, "Low Hike[11-15%]", AA759 &lt;= 20%, "Moderate Hike[16-20%]", AA759 &lt;= 25%,"High Hike[21-25%]")</f>
        <v>Low Hike[11-15%]</v>
      </c>
      <c r="AC759" s="1">
        <v>3</v>
      </c>
      <c r="AD759" s="1">
        <v>4</v>
      </c>
      <c r="AE759" s="1">
        <v>80</v>
      </c>
      <c r="AF759" s="1">
        <v>1</v>
      </c>
      <c r="AG759" s="1">
        <v>16</v>
      </c>
      <c r="AH759" s="9" t="str" cm="1">
        <f t="array" ref="AH759">_xlfn.IFS(AG759 &lt;= 5, "New[1-5]", AG759 &lt;= 10, "Early Career[6-10]", AG759 &lt;= 20, "Established[11-20]", AG759 &lt;= 30, "Veteran[21-30]", AG759 &lt;= 40, "Late Career[31-40]")</f>
        <v>Established[11-20]</v>
      </c>
      <c r="AI759" s="1">
        <v>2</v>
      </c>
      <c r="AJ759" s="1">
        <v>2</v>
      </c>
      <c r="AK759" s="1">
        <v>15</v>
      </c>
      <c r="AL759" s="9" t="str" cm="1">
        <f t="array" ref="AL759">_xlfn.IFS(AK759 &lt;= 5, "New[1-5]", AK759 &lt;= 10, "Early Career[6-10]", AK759 &lt;= 20, "Established[11-20]", AK759 &lt;= 30, "Veteran[21-30]", AK759 &lt;= 40, "Late Career[31-40]")</f>
        <v>Established[11-20]</v>
      </c>
      <c r="AM759" s="1">
        <v>1</v>
      </c>
      <c r="AN759" s="9" t="str" cm="1">
        <f t="array" ref="AN759">_xlfn.IFS(AM759 &lt;= 3, "New to Role[1-3]", AM759 &lt;= 7, "Settled[4-7]", AM759 &lt;= 12, "Experienced[[8-12]", AM759 &lt;= 18, "Long Tenured[13-18]")</f>
        <v>New to Role[1-3]</v>
      </c>
      <c r="AO759" s="1">
        <v>0</v>
      </c>
      <c r="AP759" s="9" t="str" cm="1">
        <f t="array" ref="AP759">_xlfn.IFS(AO759 &lt;= 3, "Recently[1-3]", AO759 &lt;= 6, "Due Soon[4-6]", AO759 &lt;= 10, "Overdue[7-10]", AO759 &lt;= 15, "Long Overdue[11-15]")</f>
        <v>Recently[1-3]</v>
      </c>
      <c r="AQ759" s="9" t="str" cm="1">
        <f t="array" ref="AQ759">_xlfn.IFS(AR759 &lt;= 3, "New Relationship[1-3]", AR759 &lt;= 7, "Established Relationship[4-7]", AR759 &lt;= 12, "Long Term Relationship[8-12]", AR759 &lt;= 17, "Very Long Term Relationship[13-17]")</f>
        <v>Long Term Relationship[8-12]</v>
      </c>
      <c r="AR759" s="1">
        <v>9</v>
      </c>
    </row>
    <row r="760" spans="1:44" x14ac:dyDescent="0.25">
      <c r="A760" s="1">
        <v>59</v>
      </c>
      <c r="B760" s="8" t="str" cm="1">
        <f t="array" ref="B760">_xlfn.IFS(A760 &lt;= 25, "[18-25]", A760 &lt;= 35, "[26-35]", A760 &lt;=45, "[36-45]", A760 &lt;= 60, "[46- 60]")</f>
        <v>[46- 60]</v>
      </c>
      <c r="C760" s="3" t="s">
        <v>43</v>
      </c>
      <c r="D760">
        <f t="shared" si="11"/>
        <v>0</v>
      </c>
      <c r="E760" t="s">
        <v>36</v>
      </c>
      <c r="F760" s="1">
        <v>1089</v>
      </c>
      <c r="G760" s="3" t="s">
        <v>37</v>
      </c>
      <c r="H760" s="1">
        <v>1</v>
      </c>
      <c r="I760" s="9" t="str" cm="1">
        <f t="array" ref="I760">_xlfn.IFS(H760 &lt;= 2, "[1-2] very close", H760 &lt;= 10, "[3-10] close", H760 &lt;= 20, "[11-20] moderate", H760 &lt;= 30, "[21-30] far")</f>
        <v>[1-2] very close</v>
      </c>
      <c r="J760" s="1">
        <v>2</v>
      </c>
      <c r="K760" s="3" t="s">
        <v>60</v>
      </c>
      <c r="L760" s="1">
        <v>1</v>
      </c>
      <c r="M760" s="1">
        <v>1048</v>
      </c>
      <c r="N760" s="1">
        <v>2</v>
      </c>
      <c r="O760" s="3" t="s">
        <v>46</v>
      </c>
      <c r="P760" s="1">
        <v>66</v>
      </c>
      <c r="Q760" s="1">
        <v>3</v>
      </c>
      <c r="R760" s="1">
        <v>3</v>
      </c>
      <c r="S760" s="3" t="s">
        <v>56</v>
      </c>
      <c r="T760" s="1">
        <v>4</v>
      </c>
      <c r="U760" s="3" t="s">
        <v>48</v>
      </c>
      <c r="V760" s="4">
        <v>11904</v>
      </c>
      <c r="W760" s="1">
        <v>11038</v>
      </c>
      <c r="X760" s="1">
        <v>3</v>
      </c>
      <c r="Y760" s="3" t="s">
        <v>42</v>
      </c>
      <c r="Z760" s="3" t="s">
        <v>35</v>
      </c>
      <c r="AA760" s="5">
        <v>0.14000000000000001</v>
      </c>
      <c r="AB760" s="10" t="str" cm="1">
        <f t="array" ref="AB760">_xlfn.IFS(AA760 &lt;= 15%, "Low Hike[11-15%]", AA760 &lt;= 20%, "Moderate Hike[16-20%]", AA760 &lt;= 25%,"High Hike[21-25%]")</f>
        <v>Low Hike[11-15%]</v>
      </c>
      <c r="AC760" s="1">
        <v>3</v>
      </c>
      <c r="AD760" s="1">
        <v>3</v>
      </c>
      <c r="AE760" s="1">
        <v>80</v>
      </c>
      <c r="AF760" s="1">
        <v>1</v>
      </c>
      <c r="AG760" s="1">
        <v>14</v>
      </c>
      <c r="AH760" s="9" t="str" cm="1">
        <f t="array" ref="AH760">_xlfn.IFS(AG760 &lt;= 5, "New[1-5]", AG760 &lt;= 10, "Early Career[6-10]", AG760 &lt;= 20, "Established[11-20]", AG760 &lt;= 30, "Veteran[21-30]", AG760 &lt;= 40, "Late Career[31-40]")</f>
        <v>Established[11-20]</v>
      </c>
      <c r="AI760" s="1">
        <v>1</v>
      </c>
      <c r="AJ760" s="1">
        <v>1</v>
      </c>
      <c r="AK760" s="1">
        <v>6</v>
      </c>
      <c r="AL760" s="9" t="str" cm="1">
        <f t="array" ref="AL760">_xlfn.IFS(AK760 &lt;= 5, "New[1-5]", AK760 &lt;= 10, "Early Career[6-10]", AK760 &lt;= 20, "Established[11-20]", AK760 &lt;= 30, "Veteran[21-30]", AK760 &lt;= 40, "Late Career[31-40]")</f>
        <v>Early Career[6-10]</v>
      </c>
      <c r="AM760" s="1">
        <v>4</v>
      </c>
      <c r="AN760" s="9" t="str" cm="1">
        <f t="array" ref="AN760">_xlfn.IFS(AM760 &lt;= 3, "New to Role[1-3]", AM760 &lt;= 7, "Settled[4-7]", AM760 &lt;= 12, "Experienced[[8-12]", AM760 &lt;= 18, "Long Tenured[13-18]")</f>
        <v>Settled[4-7]</v>
      </c>
      <c r="AO760" s="1">
        <v>0</v>
      </c>
      <c r="AP760" s="9" t="str" cm="1">
        <f t="array" ref="AP760">_xlfn.IFS(AO760 &lt;= 3, "Recently[1-3]", AO760 &lt;= 6, "Due Soon[4-6]", AO760 &lt;= 10, "Overdue[7-10]", AO760 &lt;= 15, "Long Overdue[11-15]")</f>
        <v>Recently[1-3]</v>
      </c>
      <c r="AQ760" s="9" t="str" cm="1">
        <f t="array" ref="AQ760">_xlfn.IFS(AR760 &lt;= 3, "New Relationship[1-3]", AR760 &lt;= 7, "Established Relationship[4-7]", AR760 &lt;= 12, "Long Term Relationship[8-12]", AR760 &lt;= 17, "Very Long Term Relationship[13-17]")</f>
        <v>Established Relationship[4-7]</v>
      </c>
      <c r="AR760" s="1">
        <v>4</v>
      </c>
    </row>
    <row r="761" spans="1:44" x14ac:dyDescent="0.25">
      <c r="A761" s="1">
        <v>45</v>
      </c>
      <c r="B761" s="8" t="str" cm="1">
        <f t="array" ref="B761">_xlfn.IFS(A761 &lt;= 25, "[18-25]", A761 &lt;= 35, "[26-35]", A761 &lt;=45, "[36-45]", A761 &lt;= 60, "[46- 60]")</f>
        <v>[36-45]</v>
      </c>
      <c r="C761" s="3" t="s">
        <v>43</v>
      </c>
      <c r="D761">
        <f t="shared" si="11"/>
        <v>0</v>
      </c>
      <c r="E761" t="s">
        <v>36</v>
      </c>
      <c r="F761" s="1">
        <v>788</v>
      </c>
      <c r="G761" s="3" t="s">
        <v>61</v>
      </c>
      <c r="H761" s="1">
        <v>24</v>
      </c>
      <c r="I761" s="9" t="str" cm="1">
        <f t="array" ref="I761">_xlfn.IFS(H761 &lt;= 2, "[1-2] very close", H761 &lt;= 10, "[3-10] close", H761 &lt;= 20, "[11-20] moderate", H761 &lt;= 30, "[21-30] far")</f>
        <v>[21-30] far</v>
      </c>
      <c r="J761" s="1">
        <v>4</v>
      </c>
      <c r="K761" s="3" t="s">
        <v>51</v>
      </c>
      <c r="L761" s="1">
        <v>1</v>
      </c>
      <c r="M761" s="1">
        <v>1049</v>
      </c>
      <c r="N761" s="1">
        <v>2</v>
      </c>
      <c r="O761" s="3" t="s">
        <v>46</v>
      </c>
      <c r="P761" s="1">
        <v>36</v>
      </c>
      <c r="Q761" s="1">
        <v>3</v>
      </c>
      <c r="R761" s="1">
        <v>1</v>
      </c>
      <c r="S761" s="3" t="s">
        <v>61</v>
      </c>
      <c r="T761" s="1">
        <v>2</v>
      </c>
      <c r="U761" s="3" t="s">
        <v>41</v>
      </c>
      <c r="V761" s="4">
        <v>2177</v>
      </c>
      <c r="W761" s="1">
        <v>8318</v>
      </c>
      <c r="X761" s="1">
        <v>1</v>
      </c>
      <c r="Y761" s="3" t="s">
        <v>42</v>
      </c>
      <c r="Z761" s="3" t="s">
        <v>43</v>
      </c>
      <c r="AA761" s="5">
        <v>0.16</v>
      </c>
      <c r="AB761" s="10" t="str" cm="1">
        <f t="array" ref="AB761">_xlfn.IFS(AA761 &lt;= 15%, "Low Hike[11-15%]", AA761 &lt;= 20%, "Moderate Hike[16-20%]", AA761 &lt;= 25%,"High Hike[21-25%]")</f>
        <v>Moderate Hike[16-20%]</v>
      </c>
      <c r="AC761" s="1">
        <v>3</v>
      </c>
      <c r="AD761" s="1">
        <v>1</v>
      </c>
      <c r="AE761" s="1">
        <v>80</v>
      </c>
      <c r="AF761" s="1">
        <v>0</v>
      </c>
      <c r="AG761" s="1">
        <v>6</v>
      </c>
      <c r="AH761" s="9" t="str" cm="1">
        <f t="array" ref="AH761">_xlfn.IFS(AG761 &lt;= 5, "New[1-5]", AG761 &lt;= 10, "Early Career[6-10]", AG761 &lt;= 20, "Established[11-20]", AG761 &lt;= 30, "Veteran[21-30]", AG761 &lt;= 40, "Late Career[31-40]")</f>
        <v>Early Career[6-10]</v>
      </c>
      <c r="AI761" s="1">
        <v>3</v>
      </c>
      <c r="AJ761" s="1">
        <v>3</v>
      </c>
      <c r="AK761" s="1">
        <v>6</v>
      </c>
      <c r="AL761" s="9" t="str" cm="1">
        <f t="array" ref="AL761">_xlfn.IFS(AK761 &lt;= 5, "New[1-5]", AK761 &lt;= 10, "Early Career[6-10]", AK761 &lt;= 20, "Established[11-20]", AK761 &lt;= 30, "Veteran[21-30]", AK761 &lt;= 40, "Late Career[31-40]")</f>
        <v>Early Career[6-10]</v>
      </c>
      <c r="AM761" s="1">
        <v>3</v>
      </c>
      <c r="AN761" s="9" t="str" cm="1">
        <f t="array" ref="AN761">_xlfn.IFS(AM761 &lt;= 3, "New to Role[1-3]", AM761 &lt;= 7, "Settled[4-7]", AM761 &lt;= 12, "Experienced[[8-12]", AM761 &lt;= 18, "Long Tenured[13-18]")</f>
        <v>New to Role[1-3]</v>
      </c>
      <c r="AO761" s="1">
        <v>0</v>
      </c>
      <c r="AP761" s="9" t="str" cm="1">
        <f t="array" ref="AP761">_xlfn.IFS(AO761 &lt;= 3, "Recently[1-3]", AO761 &lt;= 6, "Due Soon[4-6]", AO761 &lt;= 10, "Overdue[7-10]", AO761 &lt;= 15, "Long Overdue[11-15]")</f>
        <v>Recently[1-3]</v>
      </c>
      <c r="AQ761" s="9" t="str" cm="1">
        <f t="array" ref="AQ761">_xlfn.IFS(AR761 &lt;= 3, "New Relationship[1-3]", AR761 &lt;= 7, "Established Relationship[4-7]", AR761 &lt;= 12, "Long Term Relationship[8-12]", AR761 &lt;= 17, "Very Long Term Relationship[13-17]")</f>
        <v>Established Relationship[4-7]</v>
      </c>
      <c r="AR761" s="1">
        <v>4</v>
      </c>
    </row>
    <row r="762" spans="1:44" x14ac:dyDescent="0.25">
      <c r="A762" s="1">
        <v>53</v>
      </c>
      <c r="B762" s="8" t="str" cm="1">
        <f t="array" ref="B762">_xlfn.IFS(A762 &lt;= 25, "[18-25]", A762 &lt;= 35, "[26-35]", A762 &lt;=45, "[36-45]", A762 &lt;= 60, "[46- 60]")</f>
        <v>[46- 60]</v>
      </c>
      <c r="C762" s="3" t="s">
        <v>43</v>
      </c>
      <c r="D762">
        <f t="shared" si="11"/>
        <v>0</v>
      </c>
      <c r="E762" t="s">
        <v>44</v>
      </c>
      <c r="F762" s="1">
        <v>124</v>
      </c>
      <c r="G762" s="3" t="s">
        <v>37</v>
      </c>
      <c r="H762" s="1">
        <v>2</v>
      </c>
      <c r="I762" s="9" t="str" cm="1">
        <f t="array" ref="I762">_xlfn.IFS(H762 &lt;= 2, "[1-2] very close", H762 &lt;= 10, "[3-10] close", H762 &lt;= 20, "[11-20] moderate", H762 &lt;= 30, "[21-30] far")</f>
        <v>[1-2] very close</v>
      </c>
      <c r="J762" s="1">
        <v>3</v>
      </c>
      <c r="K762" s="3" t="s">
        <v>59</v>
      </c>
      <c r="L762" s="1">
        <v>1</v>
      </c>
      <c r="M762" s="1">
        <v>1050</v>
      </c>
      <c r="N762" s="1">
        <v>3</v>
      </c>
      <c r="O762" s="3" t="s">
        <v>39</v>
      </c>
      <c r="P762" s="1">
        <v>38</v>
      </c>
      <c r="Q762" s="1">
        <v>2</v>
      </c>
      <c r="R762" s="1">
        <v>3</v>
      </c>
      <c r="S762" s="3" t="s">
        <v>40</v>
      </c>
      <c r="T762" s="1">
        <v>2</v>
      </c>
      <c r="U762" s="3" t="s">
        <v>48</v>
      </c>
      <c r="V762" s="4">
        <v>7525</v>
      </c>
      <c r="W762" s="1">
        <v>23537</v>
      </c>
      <c r="X762" s="1">
        <v>2</v>
      </c>
      <c r="Y762" s="3" t="s">
        <v>42</v>
      </c>
      <c r="Z762" s="3" t="s">
        <v>43</v>
      </c>
      <c r="AA762" s="5">
        <v>0.12</v>
      </c>
      <c r="AB762" s="10" t="str" cm="1">
        <f t="array" ref="AB762">_xlfn.IFS(AA762 &lt;= 15%, "Low Hike[11-15%]", AA762 &lt;= 20%, "Moderate Hike[16-20%]", AA762 &lt;= 25%,"High Hike[21-25%]")</f>
        <v>Low Hike[11-15%]</v>
      </c>
      <c r="AC762" s="1">
        <v>3</v>
      </c>
      <c r="AD762" s="1">
        <v>1</v>
      </c>
      <c r="AE762" s="1">
        <v>80</v>
      </c>
      <c r="AF762" s="1">
        <v>1</v>
      </c>
      <c r="AG762" s="1">
        <v>30</v>
      </c>
      <c r="AH762" s="9" t="str" cm="1">
        <f t="array" ref="AH762">_xlfn.IFS(AG762 &lt;= 5, "New[1-5]", AG762 &lt;= 10, "Early Career[6-10]", AG762 &lt;= 20, "Established[11-20]", AG762 &lt;= 30, "Veteran[21-30]", AG762 &lt;= 40, "Late Career[31-40]")</f>
        <v>Veteran[21-30]</v>
      </c>
      <c r="AI762" s="1">
        <v>2</v>
      </c>
      <c r="AJ762" s="1">
        <v>3</v>
      </c>
      <c r="AK762" s="1">
        <v>15</v>
      </c>
      <c r="AL762" s="9" t="str" cm="1">
        <f t="array" ref="AL762">_xlfn.IFS(AK762 &lt;= 5, "New[1-5]", AK762 &lt;= 10, "Early Career[6-10]", AK762 &lt;= 20, "Established[11-20]", AK762 &lt;= 30, "Veteran[21-30]", AK762 &lt;= 40, "Late Career[31-40]")</f>
        <v>Established[11-20]</v>
      </c>
      <c r="AM762" s="1">
        <v>7</v>
      </c>
      <c r="AN762" s="9" t="str" cm="1">
        <f t="array" ref="AN762">_xlfn.IFS(AM762 &lt;= 3, "New to Role[1-3]", AM762 &lt;= 7, "Settled[4-7]", AM762 &lt;= 12, "Experienced[[8-12]", AM762 &lt;= 18, "Long Tenured[13-18]")</f>
        <v>Settled[4-7]</v>
      </c>
      <c r="AO762" s="1">
        <v>6</v>
      </c>
      <c r="AP762" s="9" t="str" cm="1">
        <f t="array" ref="AP762">_xlfn.IFS(AO762 &lt;= 3, "Recently[1-3]", AO762 &lt;= 6, "Due Soon[4-6]", AO762 &lt;= 10, "Overdue[7-10]", AO762 &lt;= 15, "Long Overdue[11-15]")</f>
        <v>Due Soon[4-6]</v>
      </c>
      <c r="AQ762" s="9" t="str" cm="1">
        <f t="array" ref="AQ762">_xlfn.IFS(AR762 &lt;= 3, "New Relationship[1-3]", AR762 &lt;= 7, "Established Relationship[4-7]", AR762 &lt;= 12, "Long Term Relationship[8-12]", AR762 &lt;= 17, "Very Long Term Relationship[13-17]")</f>
        <v>Long Term Relationship[8-12]</v>
      </c>
      <c r="AR762" s="1">
        <v>12</v>
      </c>
    </row>
    <row r="763" spans="1:44" x14ac:dyDescent="0.25">
      <c r="A763" s="1">
        <v>36</v>
      </c>
      <c r="B763" s="8" t="str" cm="1">
        <f t="array" ref="B763">_xlfn.IFS(A763 &lt;= 25, "[18-25]", A763 &lt;= 35, "[26-35]", A763 &lt;=45, "[36-45]", A763 &lt;= 60, "[46- 60]")</f>
        <v>[36-45]</v>
      </c>
      <c r="C763" s="3" t="s">
        <v>35</v>
      </c>
      <c r="D763">
        <f t="shared" si="11"/>
        <v>1</v>
      </c>
      <c r="E763" t="s">
        <v>36</v>
      </c>
      <c r="F763" s="1">
        <v>660</v>
      </c>
      <c r="G763" s="3" t="s">
        <v>45</v>
      </c>
      <c r="H763" s="1">
        <v>15</v>
      </c>
      <c r="I763" s="9" t="str" cm="1">
        <f t="array" ref="I763">_xlfn.IFS(H763 &lt;= 2, "[1-2] very close", H763 &lt;= 10, "[3-10] close", H763 &lt;= 20, "[11-20] moderate", H763 &lt;= 30, "[21-30] far")</f>
        <v>[11-20] moderate</v>
      </c>
      <c r="J763" s="1">
        <v>3</v>
      </c>
      <c r="K763" s="3" t="s">
        <v>49</v>
      </c>
      <c r="L763" s="1">
        <v>1</v>
      </c>
      <c r="M763" s="1">
        <v>1052</v>
      </c>
      <c r="N763" s="1">
        <v>1</v>
      </c>
      <c r="O763" s="3" t="s">
        <v>46</v>
      </c>
      <c r="P763" s="1">
        <v>81</v>
      </c>
      <c r="Q763" s="1">
        <v>3</v>
      </c>
      <c r="R763" s="1">
        <v>2</v>
      </c>
      <c r="S763" s="3" t="s">
        <v>50</v>
      </c>
      <c r="T763" s="1">
        <v>3</v>
      </c>
      <c r="U763" s="3" t="s">
        <v>52</v>
      </c>
      <c r="V763" s="4">
        <v>4834</v>
      </c>
      <c r="W763" s="1">
        <v>7858</v>
      </c>
      <c r="X763" s="1">
        <v>7</v>
      </c>
      <c r="Y763" s="3" t="s">
        <v>42</v>
      </c>
      <c r="Z763" s="3" t="s">
        <v>43</v>
      </c>
      <c r="AA763" s="5">
        <v>0.14000000000000001</v>
      </c>
      <c r="AB763" s="10" t="str" cm="1">
        <f t="array" ref="AB763">_xlfn.IFS(AA763 &lt;= 15%, "Low Hike[11-15%]", AA763 &lt;= 20%, "Moderate Hike[16-20%]", AA763 &lt;= 25%,"High Hike[21-25%]")</f>
        <v>Low Hike[11-15%]</v>
      </c>
      <c r="AC763" s="1">
        <v>3</v>
      </c>
      <c r="AD763" s="1">
        <v>2</v>
      </c>
      <c r="AE763" s="1">
        <v>80</v>
      </c>
      <c r="AF763" s="1">
        <v>1</v>
      </c>
      <c r="AG763" s="1">
        <v>9</v>
      </c>
      <c r="AH763" s="9" t="str" cm="1">
        <f t="array" ref="AH763">_xlfn.IFS(AG763 &lt;= 5, "New[1-5]", AG763 &lt;= 10, "Early Career[6-10]", AG763 &lt;= 20, "Established[11-20]", AG763 &lt;= 30, "Veteran[21-30]", AG763 &lt;= 40, "Late Career[31-40]")</f>
        <v>Early Career[6-10]</v>
      </c>
      <c r="AI763" s="1">
        <v>3</v>
      </c>
      <c r="AJ763" s="1">
        <v>2</v>
      </c>
      <c r="AK763" s="1">
        <v>1</v>
      </c>
      <c r="AL763" s="9" t="str" cm="1">
        <f t="array" ref="AL763">_xlfn.IFS(AK763 &lt;= 5, "New[1-5]", AK763 &lt;= 10, "Early Career[6-10]", AK763 &lt;= 20, "Established[11-20]", AK763 &lt;= 30, "Veteran[21-30]", AK763 &lt;= 40, "Late Career[31-40]")</f>
        <v>New[1-5]</v>
      </c>
      <c r="AM763" s="1">
        <v>0</v>
      </c>
      <c r="AN763" s="9" t="str" cm="1">
        <f t="array" ref="AN763">_xlfn.IFS(AM763 &lt;= 3, "New to Role[1-3]", AM763 &lt;= 7, "Settled[4-7]", AM763 &lt;= 12, "Experienced[[8-12]", AM763 &lt;= 18, "Long Tenured[13-18]")</f>
        <v>New to Role[1-3]</v>
      </c>
      <c r="AO763" s="1">
        <v>0</v>
      </c>
      <c r="AP763" s="9" t="str" cm="1">
        <f t="array" ref="AP763">_xlfn.IFS(AO763 &lt;= 3, "Recently[1-3]", AO763 &lt;= 6, "Due Soon[4-6]", AO763 &lt;= 10, "Overdue[7-10]", AO763 &lt;= 15, "Long Overdue[11-15]")</f>
        <v>Recently[1-3]</v>
      </c>
      <c r="AQ763" s="9" t="str" cm="1">
        <f t="array" ref="AQ763">_xlfn.IFS(AR763 &lt;= 3, "New Relationship[1-3]", AR763 &lt;= 7, "Established Relationship[4-7]", AR763 &lt;= 12, "Long Term Relationship[8-12]", AR763 &lt;= 17, "Very Long Term Relationship[13-17]")</f>
        <v>New Relationship[1-3]</v>
      </c>
      <c r="AR763" s="1">
        <v>0</v>
      </c>
    </row>
    <row r="764" spans="1:44" x14ac:dyDescent="0.25">
      <c r="A764" s="1">
        <v>26</v>
      </c>
      <c r="B764" s="8" t="str" cm="1">
        <f t="array" ref="B764">_xlfn.IFS(A764 &lt;= 25, "[18-25]", A764 &lt;= 35, "[26-35]", A764 &lt;=45, "[36-45]", A764 &lt;= 60, "[46- 60]")</f>
        <v>[26-35]</v>
      </c>
      <c r="C764" s="3" t="s">
        <v>35</v>
      </c>
      <c r="D764">
        <f t="shared" si="11"/>
        <v>1</v>
      </c>
      <c r="E764" t="s">
        <v>44</v>
      </c>
      <c r="F764" s="1">
        <v>342</v>
      </c>
      <c r="G764" s="3" t="s">
        <v>45</v>
      </c>
      <c r="H764" s="1">
        <v>2</v>
      </c>
      <c r="I764" s="9" t="str" cm="1">
        <f t="array" ref="I764">_xlfn.IFS(H764 &lt;= 2, "[1-2] very close", H764 &lt;= 10, "[3-10] close", H764 &lt;= 20, "[11-20] moderate", H764 &lt;= 30, "[21-30] far")</f>
        <v>[1-2] very close</v>
      </c>
      <c r="J764" s="1">
        <v>3</v>
      </c>
      <c r="K764" s="3" t="s">
        <v>38</v>
      </c>
      <c r="L764" s="1">
        <v>1</v>
      </c>
      <c r="M764" s="1">
        <v>1053</v>
      </c>
      <c r="N764" s="1">
        <v>1</v>
      </c>
      <c r="O764" s="3" t="s">
        <v>46</v>
      </c>
      <c r="P764" s="1">
        <v>57</v>
      </c>
      <c r="Q764" s="1">
        <v>3</v>
      </c>
      <c r="R764" s="1">
        <v>1</v>
      </c>
      <c r="S764" s="3" t="s">
        <v>47</v>
      </c>
      <c r="T764" s="1">
        <v>1</v>
      </c>
      <c r="U764" s="3" t="s">
        <v>48</v>
      </c>
      <c r="V764" s="4">
        <v>2042</v>
      </c>
      <c r="W764" s="1">
        <v>15346</v>
      </c>
      <c r="X764" s="1">
        <v>6</v>
      </c>
      <c r="Y764" s="3" t="s">
        <v>42</v>
      </c>
      <c r="Z764" s="3" t="s">
        <v>35</v>
      </c>
      <c r="AA764" s="5">
        <v>0.14000000000000001</v>
      </c>
      <c r="AB764" s="10" t="str" cm="1">
        <f t="array" ref="AB764">_xlfn.IFS(AA764 &lt;= 15%, "Low Hike[11-15%]", AA764 &lt;= 20%, "Moderate Hike[16-20%]", AA764 &lt;= 25%,"High Hike[21-25%]")</f>
        <v>Low Hike[11-15%]</v>
      </c>
      <c r="AC764" s="1">
        <v>3</v>
      </c>
      <c r="AD764" s="1">
        <v>2</v>
      </c>
      <c r="AE764" s="1">
        <v>80</v>
      </c>
      <c r="AF764" s="1">
        <v>1</v>
      </c>
      <c r="AG764" s="1">
        <v>6</v>
      </c>
      <c r="AH764" s="9" t="str" cm="1">
        <f t="array" ref="AH764">_xlfn.IFS(AG764 &lt;= 5, "New[1-5]", AG764 &lt;= 10, "Early Career[6-10]", AG764 &lt;= 20, "Established[11-20]", AG764 &lt;= 30, "Veteran[21-30]", AG764 &lt;= 40, "Late Career[31-40]")</f>
        <v>Early Career[6-10]</v>
      </c>
      <c r="AI764" s="1">
        <v>2</v>
      </c>
      <c r="AJ764" s="1">
        <v>3</v>
      </c>
      <c r="AK764" s="1">
        <v>3</v>
      </c>
      <c r="AL764" s="9" t="str" cm="1">
        <f t="array" ref="AL764">_xlfn.IFS(AK764 &lt;= 5, "New[1-5]", AK764 &lt;= 10, "Early Career[6-10]", AK764 &lt;= 20, "Established[11-20]", AK764 &lt;= 30, "Veteran[21-30]", AK764 &lt;= 40, "Late Career[31-40]")</f>
        <v>New[1-5]</v>
      </c>
      <c r="AM764" s="1">
        <v>2</v>
      </c>
      <c r="AN764" s="9" t="str" cm="1">
        <f t="array" ref="AN764">_xlfn.IFS(AM764 &lt;= 3, "New to Role[1-3]", AM764 &lt;= 7, "Settled[4-7]", AM764 &lt;= 12, "Experienced[[8-12]", AM764 &lt;= 18, "Long Tenured[13-18]")</f>
        <v>New to Role[1-3]</v>
      </c>
      <c r="AO764" s="1">
        <v>1</v>
      </c>
      <c r="AP764" s="9" t="str" cm="1">
        <f t="array" ref="AP764">_xlfn.IFS(AO764 &lt;= 3, "Recently[1-3]", AO764 &lt;= 6, "Due Soon[4-6]", AO764 &lt;= 10, "Overdue[7-10]", AO764 &lt;= 15, "Long Overdue[11-15]")</f>
        <v>Recently[1-3]</v>
      </c>
      <c r="AQ764" s="9" t="str" cm="1">
        <f t="array" ref="AQ764">_xlfn.IFS(AR764 &lt;= 3, "New Relationship[1-3]", AR764 &lt;= 7, "Established Relationship[4-7]", AR764 &lt;= 12, "Long Term Relationship[8-12]", AR764 &lt;= 17, "Very Long Term Relationship[13-17]")</f>
        <v>New Relationship[1-3]</v>
      </c>
      <c r="AR764" s="1">
        <v>2</v>
      </c>
    </row>
    <row r="765" spans="1:44" x14ac:dyDescent="0.25">
      <c r="A765" s="1">
        <v>34</v>
      </c>
      <c r="B765" s="8" t="str" cm="1">
        <f t="array" ref="B765">_xlfn.IFS(A765 &lt;= 25, "[18-25]", A765 &lt;= 35, "[26-35]", A765 &lt;=45, "[36-45]", A765 &lt;= 60, "[46- 60]")</f>
        <v>[26-35]</v>
      </c>
      <c r="C765" s="3" t="s">
        <v>43</v>
      </c>
      <c r="D765">
        <f t="shared" si="11"/>
        <v>0</v>
      </c>
      <c r="E765" t="s">
        <v>36</v>
      </c>
      <c r="F765" s="1">
        <v>1333</v>
      </c>
      <c r="G765" s="3" t="s">
        <v>37</v>
      </c>
      <c r="H765" s="1">
        <v>10</v>
      </c>
      <c r="I765" s="9" t="str" cm="1">
        <f t="array" ref="I765">_xlfn.IFS(H765 &lt;= 2, "[1-2] very close", H765 &lt;= 10, "[3-10] close", H765 &lt;= 20, "[11-20] moderate", H765 &lt;= 30, "[21-30] far")</f>
        <v>[3-10] close</v>
      </c>
      <c r="J765" s="1">
        <v>4</v>
      </c>
      <c r="K765" s="3" t="s">
        <v>38</v>
      </c>
      <c r="L765" s="1">
        <v>1</v>
      </c>
      <c r="M765" s="1">
        <v>1055</v>
      </c>
      <c r="N765" s="1">
        <v>3</v>
      </c>
      <c r="O765" s="3" t="s">
        <v>39</v>
      </c>
      <c r="P765" s="1">
        <v>87</v>
      </c>
      <c r="Q765" s="1">
        <v>3</v>
      </c>
      <c r="R765" s="1">
        <v>1</v>
      </c>
      <c r="S765" s="3" t="s">
        <v>57</v>
      </c>
      <c r="T765" s="1">
        <v>3</v>
      </c>
      <c r="U765" s="3" t="s">
        <v>48</v>
      </c>
      <c r="V765" s="4">
        <v>2220</v>
      </c>
      <c r="W765" s="1">
        <v>18410</v>
      </c>
      <c r="X765" s="1">
        <v>1</v>
      </c>
      <c r="Y765" s="3" t="s">
        <v>42</v>
      </c>
      <c r="Z765" s="3" t="s">
        <v>35</v>
      </c>
      <c r="AA765" s="5">
        <v>0.19</v>
      </c>
      <c r="AB765" s="10" t="str" cm="1">
        <f t="array" ref="AB765">_xlfn.IFS(AA765 &lt;= 15%, "Low Hike[11-15%]", AA765 &lt;= 20%, "Moderate Hike[16-20%]", AA765 &lt;= 25%,"High Hike[21-25%]")</f>
        <v>Moderate Hike[16-20%]</v>
      </c>
      <c r="AC765" s="1">
        <v>3</v>
      </c>
      <c r="AD765" s="1">
        <v>4</v>
      </c>
      <c r="AE765" s="1">
        <v>80</v>
      </c>
      <c r="AF765" s="1">
        <v>1</v>
      </c>
      <c r="AG765" s="1">
        <v>1</v>
      </c>
      <c r="AH765" s="9" t="str" cm="1">
        <f t="array" ref="AH765">_xlfn.IFS(AG765 &lt;= 5, "New[1-5]", AG765 &lt;= 10, "Early Career[6-10]", AG765 &lt;= 20, "Established[11-20]", AG765 &lt;= 30, "Veteran[21-30]", AG765 &lt;= 40, "Late Career[31-40]")</f>
        <v>New[1-5]</v>
      </c>
      <c r="AI765" s="1">
        <v>2</v>
      </c>
      <c r="AJ765" s="1">
        <v>3</v>
      </c>
      <c r="AK765" s="1">
        <v>1</v>
      </c>
      <c r="AL765" s="9" t="str" cm="1">
        <f t="array" ref="AL765">_xlfn.IFS(AK765 &lt;= 5, "New[1-5]", AK765 &lt;= 10, "Early Career[6-10]", AK765 &lt;= 20, "Established[11-20]", AK765 &lt;= 30, "Veteran[21-30]", AK765 &lt;= 40, "Late Career[31-40]")</f>
        <v>New[1-5]</v>
      </c>
      <c r="AM765" s="1">
        <v>1</v>
      </c>
      <c r="AN765" s="9" t="str" cm="1">
        <f t="array" ref="AN765">_xlfn.IFS(AM765 &lt;= 3, "New to Role[1-3]", AM765 &lt;= 7, "Settled[4-7]", AM765 &lt;= 12, "Experienced[[8-12]", AM765 &lt;= 18, "Long Tenured[13-18]")</f>
        <v>New to Role[1-3]</v>
      </c>
      <c r="AO765" s="1">
        <v>0</v>
      </c>
      <c r="AP765" s="9" t="str" cm="1">
        <f t="array" ref="AP765">_xlfn.IFS(AO765 &lt;= 3, "Recently[1-3]", AO765 &lt;= 6, "Due Soon[4-6]", AO765 &lt;= 10, "Overdue[7-10]", AO765 &lt;= 15, "Long Overdue[11-15]")</f>
        <v>Recently[1-3]</v>
      </c>
      <c r="AQ765" s="9" t="str" cm="1">
        <f t="array" ref="AQ765">_xlfn.IFS(AR765 &lt;= 3, "New Relationship[1-3]", AR765 &lt;= 7, "Established Relationship[4-7]", AR765 &lt;= 12, "Long Term Relationship[8-12]", AR765 &lt;= 17, "Very Long Term Relationship[13-17]")</f>
        <v>New Relationship[1-3]</v>
      </c>
      <c r="AR765" s="1">
        <v>0</v>
      </c>
    </row>
    <row r="766" spans="1:44" x14ac:dyDescent="0.25">
      <c r="A766" s="1">
        <v>28</v>
      </c>
      <c r="B766" s="8" t="str" cm="1">
        <f t="array" ref="B766">_xlfn.IFS(A766 &lt;= 25, "[18-25]", A766 &lt;= 35, "[26-35]", A766 &lt;=45, "[36-45]", A766 &lt;= 60, "[46- 60]")</f>
        <v>[26-35]</v>
      </c>
      <c r="C766" s="3" t="s">
        <v>43</v>
      </c>
      <c r="D766">
        <f t="shared" si="11"/>
        <v>0</v>
      </c>
      <c r="E766" t="s">
        <v>36</v>
      </c>
      <c r="F766" s="1">
        <v>1144</v>
      </c>
      <c r="G766" s="3" t="s">
        <v>37</v>
      </c>
      <c r="H766" s="1">
        <v>10</v>
      </c>
      <c r="I766" s="9" t="str" cm="1">
        <f t="array" ref="I766">_xlfn.IFS(H766 &lt;= 2, "[1-2] very close", H766 &lt;= 10, "[3-10] close", H766 &lt;= 20, "[11-20] moderate", H766 &lt;= 30, "[21-30] far")</f>
        <v>[3-10] close</v>
      </c>
      <c r="J766" s="1">
        <v>1</v>
      </c>
      <c r="K766" s="3" t="s">
        <v>51</v>
      </c>
      <c r="L766" s="1">
        <v>1</v>
      </c>
      <c r="M766" s="1">
        <v>1056</v>
      </c>
      <c r="N766" s="1">
        <v>4</v>
      </c>
      <c r="O766" s="3" t="s">
        <v>46</v>
      </c>
      <c r="P766" s="1">
        <v>74</v>
      </c>
      <c r="Q766" s="1">
        <v>3</v>
      </c>
      <c r="R766" s="1">
        <v>1</v>
      </c>
      <c r="S766" s="3" t="s">
        <v>57</v>
      </c>
      <c r="T766" s="1">
        <v>2</v>
      </c>
      <c r="U766" s="3" t="s">
        <v>48</v>
      </c>
      <c r="V766" s="4">
        <v>1052</v>
      </c>
      <c r="W766" s="1">
        <v>23384</v>
      </c>
      <c r="X766" s="1">
        <v>1</v>
      </c>
      <c r="Y766" s="3" t="s">
        <v>42</v>
      </c>
      <c r="Z766" s="3" t="s">
        <v>43</v>
      </c>
      <c r="AA766" s="5">
        <v>0.22</v>
      </c>
      <c r="AB766" s="10" t="str" cm="1">
        <f t="array" ref="AB766">_xlfn.IFS(AA766 &lt;= 15%, "Low Hike[11-15%]", AA766 &lt;= 20%, "Moderate Hike[16-20%]", AA766 &lt;= 25%,"High Hike[21-25%]")</f>
        <v>High Hike[21-25%]</v>
      </c>
      <c r="AC766" s="1">
        <v>4</v>
      </c>
      <c r="AD766" s="1">
        <v>2</v>
      </c>
      <c r="AE766" s="1">
        <v>80</v>
      </c>
      <c r="AF766" s="1">
        <v>0</v>
      </c>
      <c r="AG766" s="1">
        <v>1</v>
      </c>
      <c r="AH766" s="9" t="str" cm="1">
        <f t="array" ref="AH766">_xlfn.IFS(AG766 &lt;= 5, "New[1-5]", AG766 &lt;= 10, "Early Career[6-10]", AG766 &lt;= 20, "Established[11-20]", AG766 &lt;= 30, "Veteran[21-30]", AG766 &lt;= 40, "Late Career[31-40]")</f>
        <v>New[1-5]</v>
      </c>
      <c r="AI766" s="1">
        <v>5</v>
      </c>
      <c r="AJ766" s="1">
        <v>3</v>
      </c>
      <c r="AK766" s="1">
        <v>1</v>
      </c>
      <c r="AL766" s="9" t="str" cm="1">
        <f t="array" ref="AL766">_xlfn.IFS(AK766 &lt;= 5, "New[1-5]", AK766 &lt;= 10, "Early Career[6-10]", AK766 &lt;= 20, "Established[11-20]", AK766 &lt;= 30, "Veteran[21-30]", AK766 &lt;= 40, "Late Career[31-40]")</f>
        <v>New[1-5]</v>
      </c>
      <c r="AM766" s="1">
        <v>0</v>
      </c>
      <c r="AN766" s="9" t="str" cm="1">
        <f t="array" ref="AN766">_xlfn.IFS(AM766 &lt;= 3, "New to Role[1-3]", AM766 &lt;= 7, "Settled[4-7]", AM766 &lt;= 12, "Experienced[[8-12]", AM766 &lt;= 18, "Long Tenured[13-18]")</f>
        <v>New to Role[1-3]</v>
      </c>
      <c r="AO766" s="1">
        <v>0</v>
      </c>
      <c r="AP766" s="9" t="str" cm="1">
        <f t="array" ref="AP766">_xlfn.IFS(AO766 &lt;= 3, "Recently[1-3]", AO766 &lt;= 6, "Due Soon[4-6]", AO766 &lt;= 10, "Overdue[7-10]", AO766 &lt;= 15, "Long Overdue[11-15]")</f>
        <v>Recently[1-3]</v>
      </c>
      <c r="AQ766" s="9" t="str" cm="1">
        <f t="array" ref="AQ766">_xlfn.IFS(AR766 &lt;= 3, "New Relationship[1-3]", AR766 &lt;= 7, "Established Relationship[4-7]", AR766 &lt;= 12, "Long Term Relationship[8-12]", AR766 &lt;= 17, "Very Long Term Relationship[13-17]")</f>
        <v>New Relationship[1-3]</v>
      </c>
      <c r="AR766" s="1">
        <v>0</v>
      </c>
    </row>
    <row r="767" spans="1:44" x14ac:dyDescent="0.25">
      <c r="A767" s="1">
        <v>38</v>
      </c>
      <c r="B767" s="8" t="str" cm="1">
        <f t="array" ref="B767">_xlfn.IFS(A767 &lt;= 25, "[18-25]", A767 &lt;= 35, "[26-35]", A767 &lt;=45, "[36-45]", A767 &lt;= 60, "[46- 60]")</f>
        <v>[36-45]</v>
      </c>
      <c r="C767" s="3" t="s">
        <v>43</v>
      </c>
      <c r="D767">
        <f t="shared" si="11"/>
        <v>0</v>
      </c>
      <c r="E767" t="s">
        <v>44</v>
      </c>
      <c r="F767" s="1">
        <v>1186</v>
      </c>
      <c r="G767" s="3" t="s">
        <v>45</v>
      </c>
      <c r="H767" s="1">
        <v>3</v>
      </c>
      <c r="I767" s="9" t="str" cm="1">
        <f t="array" ref="I767">_xlfn.IFS(H767 &lt;= 2, "[1-2] very close", H767 &lt;= 10, "[3-10] close", H767 &lt;= 20, "[11-20] moderate", H767 &lt;= 30, "[21-30] far")</f>
        <v>[3-10] close</v>
      </c>
      <c r="J767" s="1">
        <v>4</v>
      </c>
      <c r="K767" s="3" t="s">
        <v>49</v>
      </c>
      <c r="L767" s="1">
        <v>1</v>
      </c>
      <c r="M767" s="1">
        <v>1060</v>
      </c>
      <c r="N767" s="1">
        <v>3</v>
      </c>
      <c r="O767" s="3" t="s">
        <v>46</v>
      </c>
      <c r="P767" s="1">
        <v>44</v>
      </c>
      <c r="Q767" s="1">
        <v>3</v>
      </c>
      <c r="R767" s="1">
        <v>1</v>
      </c>
      <c r="S767" s="3" t="s">
        <v>47</v>
      </c>
      <c r="T767" s="1">
        <v>3</v>
      </c>
      <c r="U767" s="3" t="s">
        <v>48</v>
      </c>
      <c r="V767" s="4">
        <v>2821</v>
      </c>
      <c r="W767" s="1">
        <v>2997</v>
      </c>
      <c r="X767" s="1">
        <v>3</v>
      </c>
      <c r="Y767" s="3" t="s">
        <v>42</v>
      </c>
      <c r="Z767" s="3" t="s">
        <v>43</v>
      </c>
      <c r="AA767" s="5">
        <v>0.16</v>
      </c>
      <c r="AB767" s="10" t="str" cm="1">
        <f t="array" ref="AB767">_xlfn.IFS(AA767 &lt;= 15%, "Low Hike[11-15%]", AA767 &lt;= 20%, "Moderate Hike[16-20%]", AA767 &lt;= 25%,"High Hike[21-25%]")</f>
        <v>Moderate Hike[16-20%]</v>
      </c>
      <c r="AC767" s="1">
        <v>3</v>
      </c>
      <c r="AD767" s="1">
        <v>1</v>
      </c>
      <c r="AE767" s="1">
        <v>80</v>
      </c>
      <c r="AF767" s="1">
        <v>1</v>
      </c>
      <c r="AG767" s="1">
        <v>8</v>
      </c>
      <c r="AH767" s="9" t="str" cm="1">
        <f t="array" ref="AH767">_xlfn.IFS(AG767 &lt;= 5, "New[1-5]", AG767 &lt;= 10, "Early Career[6-10]", AG767 &lt;= 20, "Established[11-20]", AG767 &lt;= 30, "Veteran[21-30]", AG767 &lt;= 40, "Late Career[31-40]")</f>
        <v>Early Career[6-10]</v>
      </c>
      <c r="AI767" s="1">
        <v>2</v>
      </c>
      <c r="AJ767" s="1">
        <v>3</v>
      </c>
      <c r="AK767" s="1">
        <v>2</v>
      </c>
      <c r="AL767" s="9" t="str" cm="1">
        <f t="array" ref="AL767">_xlfn.IFS(AK767 &lt;= 5, "New[1-5]", AK767 &lt;= 10, "Early Career[6-10]", AK767 &lt;= 20, "Established[11-20]", AK767 &lt;= 30, "Veteran[21-30]", AK767 &lt;= 40, "Late Career[31-40]")</f>
        <v>New[1-5]</v>
      </c>
      <c r="AM767" s="1">
        <v>2</v>
      </c>
      <c r="AN767" s="9" t="str" cm="1">
        <f t="array" ref="AN767">_xlfn.IFS(AM767 &lt;= 3, "New to Role[1-3]", AM767 &lt;= 7, "Settled[4-7]", AM767 &lt;= 12, "Experienced[[8-12]", AM767 &lt;= 18, "Long Tenured[13-18]")</f>
        <v>New to Role[1-3]</v>
      </c>
      <c r="AO767" s="1">
        <v>2</v>
      </c>
      <c r="AP767" s="9" t="str" cm="1">
        <f t="array" ref="AP767">_xlfn.IFS(AO767 &lt;= 3, "Recently[1-3]", AO767 &lt;= 6, "Due Soon[4-6]", AO767 &lt;= 10, "Overdue[7-10]", AO767 &lt;= 15, "Long Overdue[11-15]")</f>
        <v>Recently[1-3]</v>
      </c>
      <c r="AQ767" s="9" t="str" cm="1">
        <f t="array" ref="AQ767">_xlfn.IFS(AR767 &lt;= 3, "New Relationship[1-3]", AR767 &lt;= 7, "Established Relationship[4-7]", AR767 &lt;= 12, "Long Term Relationship[8-12]", AR767 &lt;= 17, "Very Long Term Relationship[13-17]")</f>
        <v>New Relationship[1-3]</v>
      </c>
      <c r="AR767" s="1">
        <v>2</v>
      </c>
    </row>
    <row r="768" spans="1:44" x14ac:dyDescent="0.25">
      <c r="A768" s="1">
        <v>50</v>
      </c>
      <c r="B768" s="8" t="str" cm="1">
        <f t="array" ref="B768">_xlfn.IFS(A768 &lt;= 25, "[18-25]", A768 &lt;= 35, "[26-35]", A768 &lt;=45, "[36-45]", A768 &lt;= 60, "[46- 60]")</f>
        <v>[46- 60]</v>
      </c>
      <c r="C768" s="3" t="s">
        <v>43</v>
      </c>
      <c r="D768">
        <f t="shared" si="11"/>
        <v>0</v>
      </c>
      <c r="E768" t="s">
        <v>36</v>
      </c>
      <c r="F768" s="1">
        <v>1464</v>
      </c>
      <c r="G768" s="3" t="s">
        <v>45</v>
      </c>
      <c r="H768" s="1">
        <v>2</v>
      </c>
      <c r="I768" s="9" t="str" cm="1">
        <f t="array" ref="I768">_xlfn.IFS(H768 &lt;= 2, "[1-2] very close", H768 &lt;= 10, "[3-10] close", H768 &lt;= 20, "[11-20] moderate", H768 &lt;= 30, "[21-30] far")</f>
        <v>[1-2] very close</v>
      </c>
      <c r="J768" s="1">
        <v>4</v>
      </c>
      <c r="K768" s="3" t="s">
        <v>51</v>
      </c>
      <c r="L768" s="1">
        <v>1</v>
      </c>
      <c r="M768" s="1">
        <v>1061</v>
      </c>
      <c r="N768" s="1">
        <v>2</v>
      </c>
      <c r="O768" s="3" t="s">
        <v>46</v>
      </c>
      <c r="P768" s="1">
        <v>62</v>
      </c>
      <c r="Q768" s="1">
        <v>3</v>
      </c>
      <c r="R768" s="1">
        <v>5</v>
      </c>
      <c r="S768" s="3" t="s">
        <v>58</v>
      </c>
      <c r="T768" s="1">
        <v>3</v>
      </c>
      <c r="U768" s="3" t="s">
        <v>48</v>
      </c>
      <c r="V768" s="4">
        <v>19237</v>
      </c>
      <c r="W768" s="1">
        <v>12853</v>
      </c>
      <c r="X768" s="1">
        <v>2</v>
      </c>
      <c r="Y768" s="3" t="s">
        <v>42</v>
      </c>
      <c r="Z768" s="3" t="s">
        <v>35</v>
      </c>
      <c r="AA768" s="5">
        <v>0.11</v>
      </c>
      <c r="AB768" s="10" t="str" cm="1">
        <f t="array" ref="AB768">_xlfn.IFS(AA768 &lt;= 15%, "Low Hike[11-15%]", AA768 &lt;= 20%, "Moderate Hike[16-20%]", AA768 &lt;= 25%,"High Hike[21-25%]")</f>
        <v>Low Hike[11-15%]</v>
      </c>
      <c r="AC768" s="1">
        <v>3</v>
      </c>
      <c r="AD768" s="1">
        <v>4</v>
      </c>
      <c r="AE768" s="1">
        <v>80</v>
      </c>
      <c r="AF768" s="1">
        <v>1</v>
      </c>
      <c r="AG768" s="1">
        <v>29</v>
      </c>
      <c r="AH768" s="9" t="str" cm="1">
        <f t="array" ref="AH768">_xlfn.IFS(AG768 &lt;= 5, "New[1-5]", AG768 &lt;= 10, "Early Career[6-10]", AG768 &lt;= 20, "Established[11-20]", AG768 &lt;= 30, "Veteran[21-30]", AG768 &lt;= 40, "Late Career[31-40]")</f>
        <v>Veteran[21-30]</v>
      </c>
      <c r="AI768" s="1">
        <v>2</v>
      </c>
      <c r="AJ768" s="1">
        <v>2</v>
      </c>
      <c r="AK768" s="1">
        <v>8</v>
      </c>
      <c r="AL768" s="9" t="str" cm="1">
        <f t="array" ref="AL768">_xlfn.IFS(AK768 &lt;= 5, "New[1-5]", AK768 &lt;= 10, "Early Career[6-10]", AK768 &lt;= 20, "Established[11-20]", AK768 &lt;= 30, "Veteran[21-30]", AK768 &lt;= 40, "Late Career[31-40]")</f>
        <v>Early Career[6-10]</v>
      </c>
      <c r="AM768" s="1">
        <v>1</v>
      </c>
      <c r="AN768" s="9" t="str" cm="1">
        <f t="array" ref="AN768">_xlfn.IFS(AM768 &lt;= 3, "New to Role[1-3]", AM768 &lt;= 7, "Settled[4-7]", AM768 &lt;= 12, "Experienced[[8-12]", AM768 &lt;= 18, "Long Tenured[13-18]")</f>
        <v>New to Role[1-3]</v>
      </c>
      <c r="AO768" s="1">
        <v>7</v>
      </c>
      <c r="AP768" s="9" t="str" cm="1">
        <f t="array" ref="AP768">_xlfn.IFS(AO768 &lt;= 3, "Recently[1-3]", AO768 &lt;= 6, "Due Soon[4-6]", AO768 &lt;= 10, "Overdue[7-10]", AO768 &lt;= 15, "Long Overdue[11-15]")</f>
        <v>Overdue[7-10]</v>
      </c>
      <c r="AQ768" s="9" t="str" cm="1">
        <f t="array" ref="AQ768">_xlfn.IFS(AR768 &lt;= 3, "New Relationship[1-3]", AR768 &lt;= 7, "Established Relationship[4-7]", AR768 &lt;= 12, "Long Term Relationship[8-12]", AR768 &lt;= 17, "Very Long Term Relationship[13-17]")</f>
        <v>Established Relationship[4-7]</v>
      </c>
      <c r="AR768" s="1">
        <v>7</v>
      </c>
    </row>
    <row r="769" spans="1:44" x14ac:dyDescent="0.25">
      <c r="A769" s="1">
        <v>37</v>
      </c>
      <c r="B769" s="8" t="str" cm="1">
        <f t="array" ref="B769">_xlfn.IFS(A769 &lt;= 25, "[18-25]", A769 &lt;= 35, "[26-35]", A769 &lt;=45, "[36-45]", A769 &lt;= 60, "[46- 60]")</f>
        <v>[36-45]</v>
      </c>
      <c r="C769" s="3" t="s">
        <v>43</v>
      </c>
      <c r="D769">
        <f t="shared" si="11"/>
        <v>0</v>
      </c>
      <c r="E769" t="s">
        <v>36</v>
      </c>
      <c r="F769" s="1">
        <v>124</v>
      </c>
      <c r="G769" s="3" t="s">
        <v>45</v>
      </c>
      <c r="H769" s="1">
        <v>3</v>
      </c>
      <c r="I769" s="9" t="str" cm="1">
        <f t="array" ref="I769">_xlfn.IFS(H769 &lt;= 2, "[1-2] very close", H769 &lt;= 10, "[3-10] close", H769 &lt;= 20, "[11-20] moderate", H769 &lt;= 30, "[21-30] far")</f>
        <v>[3-10] close</v>
      </c>
      <c r="J769" s="1">
        <v>3</v>
      </c>
      <c r="K769" s="3" t="s">
        <v>49</v>
      </c>
      <c r="L769" s="1">
        <v>1</v>
      </c>
      <c r="M769" s="1">
        <v>1062</v>
      </c>
      <c r="N769" s="1">
        <v>4</v>
      </c>
      <c r="O769" s="3" t="s">
        <v>39</v>
      </c>
      <c r="P769" s="1">
        <v>35</v>
      </c>
      <c r="Q769" s="1">
        <v>3</v>
      </c>
      <c r="R769" s="1">
        <v>2</v>
      </c>
      <c r="S769" s="3" t="s">
        <v>54</v>
      </c>
      <c r="T769" s="1">
        <v>2</v>
      </c>
      <c r="U769" s="3" t="s">
        <v>41</v>
      </c>
      <c r="V769" s="4">
        <v>4107</v>
      </c>
      <c r="W769" s="1">
        <v>13848</v>
      </c>
      <c r="X769" s="1">
        <v>3</v>
      </c>
      <c r="Y769" s="3" t="s">
        <v>42</v>
      </c>
      <c r="Z769" s="3" t="s">
        <v>43</v>
      </c>
      <c r="AA769" s="5">
        <v>0.15</v>
      </c>
      <c r="AB769" s="10" t="str" cm="1">
        <f t="array" ref="AB769">_xlfn.IFS(AA769 &lt;= 15%, "Low Hike[11-15%]", AA769 &lt;= 20%, "Moderate Hike[16-20%]", AA769 &lt;= 25%,"High Hike[21-25%]")</f>
        <v>Low Hike[11-15%]</v>
      </c>
      <c r="AC769" s="1">
        <v>3</v>
      </c>
      <c r="AD769" s="1">
        <v>1</v>
      </c>
      <c r="AE769" s="1">
        <v>80</v>
      </c>
      <c r="AF769" s="1">
        <v>0</v>
      </c>
      <c r="AG769" s="1">
        <v>8</v>
      </c>
      <c r="AH769" s="9" t="str" cm="1">
        <f t="array" ref="AH769">_xlfn.IFS(AG769 &lt;= 5, "New[1-5]", AG769 &lt;= 10, "Early Career[6-10]", AG769 &lt;= 20, "Established[11-20]", AG769 &lt;= 30, "Veteran[21-30]", AG769 &lt;= 40, "Late Career[31-40]")</f>
        <v>Early Career[6-10]</v>
      </c>
      <c r="AI769" s="1">
        <v>3</v>
      </c>
      <c r="AJ769" s="1">
        <v>2</v>
      </c>
      <c r="AK769" s="1">
        <v>4</v>
      </c>
      <c r="AL769" s="9" t="str" cm="1">
        <f t="array" ref="AL769">_xlfn.IFS(AK769 &lt;= 5, "New[1-5]", AK769 &lt;= 10, "Early Career[6-10]", AK769 &lt;= 20, "Established[11-20]", AK769 &lt;= 30, "Veteran[21-30]", AK769 &lt;= 40, "Late Career[31-40]")</f>
        <v>New[1-5]</v>
      </c>
      <c r="AM769" s="1">
        <v>3</v>
      </c>
      <c r="AN769" s="9" t="str" cm="1">
        <f t="array" ref="AN769">_xlfn.IFS(AM769 &lt;= 3, "New to Role[1-3]", AM769 &lt;= 7, "Settled[4-7]", AM769 &lt;= 12, "Experienced[[8-12]", AM769 &lt;= 18, "Long Tenured[13-18]")</f>
        <v>New to Role[1-3]</v>
      </c>
      <c r="AO769" s="1">
        <v>0</v>
      </c>
      <c r="AP769" s="9" t="str" cm="1">
        <f t="array" ref="AP769">_xlfn.IFS(AO769 &lt;= 3, "Recently[1-3]", AO769 &lt;= 6, "Due Soon[4-6]", AO769 &lt;= 10, "Overdue[7-10]", AO769 &lt;= 15, "Long Overdue[11-15]")</f>
        <v>Recently[1-3]</v>
      </c>
      <c r="AQ769" s="9" t="str" cm="1">
        <f t="array" ref="AQ769">_xlfn.IFS(AR769 &lt;= 3, "New Relationship[1-3]", AR769 &lt;= 7, "Established Relationship[4-7]", AR769 &lt;= 12, "Long Term Relationship[8-12]", AR769 &lt;= 17, "Very Long Term Relationship[13-17]")</f>
        <v>New Relationship[1-3]</v>
      </c>
      <c r="AR769" s="1">
        <v>1</v>
      </c>
    </row>
    <row r="770" spans="1:44" x14ac:dyDescent="0.25">
      <c r="A770" s="1">
        <v>40</v>
      </c>
      <c r="B770" s="8" t="str" cm="1">
        <f t="array" ref="B770">_xlfn.IFS(A770 &lt;= 25, "[18-25]", A770 &lt;= 35, "[26-35]", A770 &lt;=45, "[36-45]", A770 &lt;= 60, "[46- 60]")</f>
        <v>[36-45]</v>
      </c>
      <c r="C770" s="3" t="s">
        <v>43</v>
      </c>
      <c r="D770">
        <f t="shared" ref="D770:D833" si="12">IF(C770 = "Yes",1, 0)</f>
        <v>0</v>
      </c>
      <c r="E770" t="s">
        <v>36</v>
      </c>
      <c r="F770" s="1">
        <v>300</v>
      </c>
      <c r="G770" s="3" t="s">
        <v>37</v>
      </c>
      <c r="H770" s="1">
        <v>26</v>
      </c>
      <c r="I770" s="9" t="str" cm="1">
        <f t="array" ref="I770">_xlfn.IFS(H770 &lt;= 2, "[1-2] very close", H770 &lt;= 10, "[3-10] close", H770 &lt;= 20, "[11-20] moderate", H770 &lt;= 30, "[21-30] far")</f>
        <v>[21-30] far</v>
      </c>
      <c r="J770" s="1">
        <v>3</v>
      </c>
      <c r="K770" s="3" t="s">
        <v>59</v>
      </c>
      <c r="L770" s="1">
        <v>1</v>
      </c>
      <c r="M770" s="1">
        <v>1066</v>
      </c>
      <c r="N770" s="1">
        <v>3</v>
      </c>
      <c r="O770" s="3" t="s">
        <v>46</v>
      </c>
      <c r="P770" s="1">
        <v>74</v>
      </c>
      <c r="Q770" s="1">
        <v>3</v>
      </c>
      <c r="R770" s="1">
        <v>2</v>
      </c>
      <c r="S770" s="3" t="s">
        <v>40</v>
      </c>
      <c r="T770" s="1">
        <v>1</v>
      </c>
      <c r="U770" s="3" t="s">
        <v>48</v>
      </c>
      <c r="V770" s="4">
        <v>8396</v>
      </c>
      <c r="W770" s="1">
        <v>22217</v>
      </c>
      <c r="X770" s="1">
        <v>1</v>
      </c>
      <c r="Y770" s="3" t="s">
        <v>42</v>
      </c>
      <c r="Z770" s="3" t="s">
        <v>43</v>
      </c>
      <c r="AA770" s="5">
        <v>0.14000000000000001</v>
      </c>
      <c r="AB770" s="10" t="str" cm="1">
        <f t="array" ref="AB770">_xlfn.IFS(AA770 &lt;= 15%, "Low Hike[11-15%]", AA770 &lt;= 20%, "Moderate Hike[16-20%]", AA770 &lt;= 25%,"High Hike[21-25%]")</f>
        <v>Low Hike[11-15%]</v>
      </c>
      <c r="AC770" s="1">
        <v>3</v>
      </c>
      <c r="AD770" s="1">
        <v>2</v>
      </c>
      <c r="AE770" s="1">
        <v>80</v>
      </c>
      <c r="AF770" s="1">
        <v>1</v>
      </c>
      <c r="AG770" s="1">
        <v>8</v>
      </c>
      <c r="AH770" s="9" t="str" cm="1">
        <f t="array" ref="AH770">_xlfn.IFS(AG770 &lt;= 5, "New[1-5]", AG770 &lt;= 10, "Early Career[6-10]", AG770 &lt;= 20, "Established[11-20]", AG770 &lt;= 30, "Veteran[21-30]", AG770 &lt;= 40, "Late Career[31-40]")</f>
        <v>Early Career[6-10]</v>
      </c>
      <c r="AI770" s="1">
        <v>3</v>
      </c>
      <c r="AJ770" s="1">
        <v>2</v>
      </c>
      <c r="AK770" s="1">
        <v>7</v>
      </c>
      <c r="AL770" s="9" t="str" cm="1">
        <f t="array" ref="AL770">_xlfn.IFS(AK770 &lt;= 5, "New[1-5]", AK770 &lt;= 10, "Early Career[6-10]", AK770 &lt;= 20, "Established[11-20]", AK770 &lt;= 30, "Veteran[21-30]", AK770 &lt;= 40, "Late Career[31-40]")</f>
        <v>Early Career[6-10]</v>
      </c>
      <c r="AM770" s="1">
        <v>7</v>
      </c>
      <c r="AN770" s="9" t="str" cm="1">
        <f t="array" ref="AN770">_xlfn.IFS(AM770 &lt;= 3, "New to Role[1-3]", AM770 &lt;= 7, "Settled[4-7]", AM770 &lt;= 12, "Experienced[[8-12]", AM770 &lt;= 18, "Long Tenured[13-18]")</f>
        <v>Settled[4-7]</v>
      </c>
      <c r="AO770" s="1">
        <v>7</v>
      </c>
      <c r="AP770" s="9" t="str" cm="1">
        <f t="array" ref="AP770">_xlfn.IFS(AO770 &lt;= 3, "Recently[1-3]", AO770 &lt;= 6, "Due Soon[4-6]", AO770 &lt;= 10, "Overdue[7-10]", AO770 &lt;= 15, "Long Overdue[11-15]")</f>
        <v>Overdue[7-10]</v>
      </c>
      <c r="AQ770" s="9" t="str" cm="1">
        <f t="array" ref="AQ770">_xlfn.IFS(AR770 &lt;= 3, "New Relationship[1-3]", AR770 &lt;= 7, "Established Relationship[4-7]", AR770 &lt;= 12, "Long Term Relationship[8-12]", AR770 &lt;= 17, "Very Long Term Relationship[13-17]")</f>
        <v>Established Relationship[4-7]</v>
      </c>
      <c r="AR770" s="1">
        <v>5</v>
      </c>
    </row>
    <row r="771" spans="1:44" x14ac:dyDescent="0.25">
      <c r="A771" s="1">
        <v>26</v>
      </c>
      <c r="B771" s="8" t="str" cm="1">
        <f t="array" ref="B771">_xlfn.IFS(A771 &lt;= 25, "[18-25]", A771 &lt;= 35, "[26-35]", A771 &lt;=45, "[36-45]", A771 &lt;= 60, "[46- 60]")</f>
        <v>[26-35]</v>
      </c>
      <c r="C771" s="3" t="s">
        <v>43</v>
      </c>
      <c r="D771">
        <f t="shared" si="12"/>
        <v>0</v>
      </c>
      <c r="E771" t="s">
        <v>44</v>
      </c>
      <c r="F771" s="1">
        <v>921</v>
      </c>
      <c r="G771" s="3" t="s">
        <v>45</v>
      </c>
      <c r="H771" s="1">
        <v>1</v>
      </c>
      <c r="I771" s="9" t="str" cm="1">
        <f t="array" ref="I771">_xlfn.IFS(H771 &lt;= 2, "[1-2] very close", H771 &lt;= 10, "[3-10] close", H771 &lt;= 20, "[11-20] moderate", H771 &lt;= 30, "[21-30] far")</f>
        <v>[1-2] very close</v>
      </c>
      <c r="J771" s="1">
        <v>1</v>
      </c>
      <c r="K771" s="3" t="s">
        <v>51</v>
      </c>
      <c r="L771" s="1">
        <v>1</v>
      </c>
      <c r="M771" s="1">
        <v>1068</v>
      </c>
      <c r="N771" s="1">
        <v>1</v>
      </c>
      <c r="O771" s="3" t="s">
        <v>39</v>
      </c>
      <c r="P771" s="1">
        <v>66</v>
      </c>
      <c r="Q771" s="1">
        <v>2</v>
      </c>
      <c r="R771" s="1">
        <v>1</v>
      </c>
      <c r="S771" s="3" t="s">
        <v>47</v>
      </c>
      <c r="T771" s="1">
        <v>3</v>
      </c>
      <c r="U771" s="3" t="s">
        <v>52</v>
      </c>
      <c r="V771" s="4">
        <v>2007</v>
      </c>
      <c r="W771" s="1">
        <v>25265</v>
      </c>
      <c r="X771" s="1">
        <v>1</v>
      </c>
      <c r="Y771" s="3" t="s">
        <v>42</v>
      </c>
      <c r="Z771" s="3" t="s">
        <v>43</v>
      </c>
      <c r="AA771" s="5">
        <v>0.13</v>
      </c>
      <c r="AB771" s="10" t="str" cm="1">
        <f t="array" ref="AB771">_xlfn.IFS(AA771 &lt;= 15%, "Low Hike[11-15%]", AA771 &lt;= 20%, "Moderate Hike[16-20%]", AA771 &lt;= 25%,"High Hike[21-25%]")</f>
        <v>Low Hike[11-15%]</v>
      </c>
      <c r="AC771" s="1">
        <v>3</v>
      </c>
      <c r="AD771" s="1">
        <v>3</v>
      </c>
      <c r="AE771" s="1">
        <v>80</v>
      </c>
      <c r="AF771" s="1">
        <v>2</v>
      </c>
      <c r="AG771" s="1">
        <v>5</v>
      </c>
      <c r="AH771" s="9" t="str" cm="1">
        <f t="array" ref="AH771">_xlfn.IFS(AG771 &lt;= 5, "New[1-5]", AG771 &lt;= 10, "Early Career[6-10]", AG771 &lt;= 20, "Established[11-20]", AG771 &lt;= 30, "Veteran[21-30]", AG771 &lt;= 40, "Late Career[31-40]")</f>
        <v>New[1-5]</v>
      </c>
      <c r="AI771" s="1">
        <v>5</v>
      </c>
      <c r="AJ771" s="1">
        <v>3</v>
      </c>
      <c r="AK771" s="1">
        <v>5</v>
      </c>
      <c r="AL771" s="9" t="str" cm="1">
        <f t="array" ref="AL771">_xlfn.IFS(AK771 &lt;= 5, "New[1-5]", AK771 &lt;= 10, "Early Career[6-10]", AK771 &lt;= 20, "Established[11-20]", AK771 &lt;= 30, "Veteran[21-30]", AK771 &lt;= 40, "Late Career[31-40]")</f>
        <v>New[1-5]</v>
      </c>
      <c r="AM771" s="1">
        <v>3</v>
      </c>
      <c r="AN771" s="9" t="str" cm="1">
        <f t="array" ref="AN771">_xlfn.IFS(AM771 &lt;= 3, "New to Role[1-3]", AM771 &lt;= 7, "Settled[4-7]", AM771 &lt;= 12, "Experienced[[8-12]", AM771 &lt;= 18, "Long Tenured[13-18]")</f>
        <v>New to Role[1-3]</v>
      </c>
      <c r="AO771" s="1">
        <v>1</v>
      </c>
      <c r="AP771" s="9" t="str" cm="1">
        <f t="array" ref="AP771">_xlfn.IFS(AO771 &lt;= 3, "Recently[1-3]", AO771 &lt;= 6, "Due Soon[4-6]", AO771 &lt;= 10, "Overdue[7-10]", AO771 &lt;= 15, "Long Overdue[11-15]")</f>
        <v>Recently[1-3]</v>
      </c>
      <c r="AQ771" s="9" t="str" cm="1">
        <f t="array" ref="AQ771">_xlfn.IFS(AR771 &lt;= 3, "New Relationship[1-3]", AR771 &lt;= 7, "Established Relationship[4-7]", AR771 &lt;= 12, "Long Term Relationship[8-12]", AR771 &lt;= 17, "Very Long Term Relationship[13-17]")</f>
        <v>New Relationship[1-3]</v>
      </c>
      <c r="AR771" s="1">
        <v>3</v>
      </c>
    </row>
    <row r="772" spans="1:44" x14ac:dyDescent="0.25">
      <c r="A772" s="1">
        <v>46</v>
      </c>
      <c r="B772" s="8" t="str" cm="1">
        <f t="array" ref="B772">_xlfn.IFS(A772 &lt;= 25, "[18-25]", A772 &lt;= 35, "[26-35]", A772 &lt;=45, "[36-45]", A772 &lt;= 60, "[46- 60]")</f>
        <v>[46- 60]</v>
      </c>
      <c r="C772" s="3" t="s">
        <v>43</v>
      </c>
      <c r="D772">
        <f t="shared" si="12"/>
        <v>0</v>
      </c>
      <c r="E772" t="s">
        <v>36</v>
      </c>
      <c r="F772" s="1">
        <v>430</v>
      </c>
      <c r="G772" s="3" t="s">
        <v>45</v>
      </c>
      <c r="H772" s="1">
        <v>1</v>
      </c>
      <c r="I772" s="9" t="str" cm="1">
        <f t="array" ref="I772">_xlfn.IFS(H772 &lt;= 2, "[1-2] very close", H772 &lt;= 10, "[3-10] close", H772 &lt;= 20, "[11-20] moderate", H772 &lt;= 30, "[21-30] far")</f>
        <v>[1-2] very close</v>
      </c>
      <c r="J772" s="1">
        <v>4</v>
      </c>
      <c r="K772" s="3" t="s">
        <v>51</v>
      </c>
      <c r="L772" s="1">
        <v>1</v>
      </c>
      <c r="M772" s="1">
        <v>1069</v>
      </c>
      <c r="N772" s="1">
        <v>4</v>
      </c>
      <c r="O772" s="3" t="s">
        <v>46</v>
      </c>
      <c r="P772" s="1">
        <v>40</v>
      </c>
      <c r="Q772" s="1">
        <v>3</v>
      </c>
      <c r="R772" s="1">
        <v>5</v>
      </c>
      <c r="S772" s="3" t="s">
        <v>58</v>
      </c>
      <c r="T772" s="1">
        <v>4</v>
      </c>
      <c r="U772" s="3" t="s">
        <v>52</v>
      </c>
      <c r="V772" s="4">
        <v>19627</v>
      </c>
      <c r="W772" s="1">
        <v>21445</v>
      </c>
      <c r="X772" s="1">
        <v>9</v>
      </c>
      <c r="Y772" s="3" t="s">
        <v>42</v>
      </c>
      <c r="Z772" s="3" t="s">
        <v>43</v>
      </c>
      <c r="AA772" s="5">
        <v>0.17</v>
      </c>
      <c r="AB772" s="10" t="str" cm="1">
        <f t="array" ref="AB772">_xlfn.IFS(AA772 &lt;= 15%, "Low Hike[11-15%]", AA772 &lt;= 20%, "Moderate Hike[16-20%]", AA772 &lt;= 25%,"High Hike[21-25%]")</f>
        <v>Moderate Hike[16-20%]</v>
      </c>
      <c r="AC772" s="1">
        <v>3</v>
      </c>
      <c r="AD772" s="1">
        <v>4</v>
      </c>
      <c r="AE772" s="1">
        <v>80</v>
      </c>
      <c r="AF772" s="1">
        <v>2</v>
      </c>
      <c r="AG772" s="1">
        <v>23</v>
      </c>
      <c r="AH772" s="9" t="str" cm="1">
        <f t="array" ref="AH772">_xlfn.IFS(AG772 &lt;= 5, "New[1-5]", AG772 &lt;= 10, "Early Career[6-10]", AG772 &lt;= 20, "Established[11-20]", AG772 &lt;= 30, "Veteran[21-30]", AG772 &lt;= 40, "Late Career[31-40]")</f>
        <v>Veteran[21-30]</v>
      </c>
      <c r="AI772" s="1">
        <v>0</v>
      </c>
      <c r="AJ772" s="1">
        <v>3</v>
      </c>
      <c r="AK772" s="1">
        <v>2</v>
      </c>
      <c r="AL772" s="9" t="str" cm="1">
        <f t="array" ref="AL772">_xlfn.IFS(AK772 &lt;= 5, "New[1-5]", AK772 &lt;= 10, "Early Career[6-10]", AK772 &lt;= 20, "Established[11-20]", AK772 &lt;= 30, "Veteran[21-30]", AK772 &lt;= 40, "Late Career[31-40]")</f>
        <v>New[1-5]</v>
      </c>
      <c r="AM772" s="1">
        <v>2</v>
      </c>
      <c r="AN772" s="9" t="str" cm="1">
        <f t="array" ref="AN772">_xlfn.IFS(AM772 &lt;= 3, "New to Role[1-3]", AM772 &lt;= 7, "Settled[4-7]", AM772 &lt;= 12, "Experienced[[8-12]", AM772 &lt;= 18, "Long Tenured[13-18]")</f>
        <v>New to Role[1-3]</v>
      </c>
      <c r="AO772" s="1">
        <v>2</v>
      </c>
      <c r="AP772" s="9" t="str" cm="1">
        <f t="array" ref="AP772">_xlfn.IFS(AO772 &lt;= 3, "Recently[1-3]", AO772 &lt;= 6, "Due Soon[4-6]", AO772 &lt;= 10, "Overdue[7-10]", AO772 &lt;= 15, "Long Overdue[11-15]")</f>
        <v>Recently[1-3]</v>
      </c>
      <c r="AQ772" s="9" t="str" cm="1">
        <f t="array" ref="AQ772">_xlfn.IFS(AR772 &lt;= 3, "New Relationship[1-3]", AR772 &lt;= 7, "Established Relationship[4-7]", AR772 &lt;= 12, "Long Term Relationship[8-12]", AR772 &lt;= 17, "Very Long Term Relationship[13-17]")</f>
        <v>New Relationship[1-3]</v>
      </c>
      <c r="AR772" s="1">
        <v>2</v>
      </c>
    </row>
    <row r="773" spans="1:44" x14ac:dyDescent="0.25">
      <c r="A773" s="1">
        <v>54</v>
      </c>
      <c r="B773" s="8" t="str" cm="1">
        <f t="array" ref="B773">_xlfn.IFS(A773 &lt;= 25, "[18-25]", A773 &lt;= 35, "[26-35]", A773 &lt;=45, "[36-45]", A773 &lt;= 60, "[46- 60]")</f>
        <v>[46- 60]</v>
      </c>
      <c r="C773" s="3" t="s">
        <v>43</v>
      </c>
      <c r="D773">
        <f t="shared" si="12"/>
        <v>0</v>
      </c>
      <c r="E773" t="s">
        <v>36</v>
      </c>
      <c r="F773" s="1">
        <v>1082</v>
      </c>
      <c r="G773" s="3" t="s">
        <v>37</v>
      </c>
      <c r="H773" s="1">
        <v>2</v>
      </c>
      <c r="I773" s="9" t="str" cm="1">
        <f t="array" ref="I773">_xlfn.IFS(H773 &lt;= 2, "[1-2] very close", H773 &lt;= 10, "[3-10] close", H773 &lt;= 20, "[11-20] moderate", H773 &lt;= 30, "[21-30] far")</f>
        <v>[1-2] very close</v>
      </c>
      <c r="J773" s="1">
        <v>4</v>
      </c>
      <c r="K773" s="3" t="s">
        <v>38</v>
      </c>
      <c r="L773" s="1">
        <v>1</v>
      </c>
      <c r="M773" s="1">
        <v>1070</v>
      </c>
      <c r="N773" s="1">
        <v>3</v>
      </c>
      <c r="O773" s="3" t="s">
        <v>39</v>
      </c>
      <c r="P773" s="1">
        <v>41</v>
      </c>
      <c r="Q773" s="1">
        <v>2</v>
      </c>
      <c r="R773" s="1">
        <v>3</v>
      </c>
      <c r="S773" s="3" t="s">
        <v>40</v>
      </c>
      <c r="T773" s="1">
        <v>3</v>
      </c>
      <c r="U773" s="3" t="s">
        <v>48</v>
      </c>
      <c r="V773" s="4">
        <v>10686</v>
      </c>
      <c r="W773" s="1">
        <v>8392</v>
      </c>
      <c r="X773" s="1">
        <v>6</v>
      </c>
      <c r="Y773" s="3" t="s">
        <v>42</v>
      </c>
      <c r="Z773" s="3" t="s">
        <v>43</v>
      </c>
      <c r="AA773" s="5">
        <v>0.11</v>
      </c>
      <c r="AB773" s="10" t="str" cm="1">
        <f t="array" ref="AB773">_xlfn.IFS(AA773 &lt;= 15%, "Low Hike[11-15%]", AA773 &lt;= 20%, "Moderate Hike[16-20%]", AA773 &lt;= 25%,"High Hike[21-25%]")</f>
        <v>Low Hike[11-15%]</v>
      </c>
      <c r="AC773" s="1">
        <v>3</v>
      </c>
      <c r="AD773" s="1">
        <v>2</v>
      </c>
      <c r="AE773" s="1">
        <v>80</v>
      </c>
      <c r="AF773" s="1">
        <v>1</v>
      </c>
      <c r="AG773" s="1">
        <v>13</v>
      </c>
      <c r="AH773" s="9" t="str" cm="1">
        <f t="array" ref="AH773">_xlfn.IFS(AG773 &lt;= 5, "New[1-5]", AG773 &lt;= 10, "Early Career[6-10]", AG773 &lt;= 20, "Established[11-20]", AG773 &lt;= 30, "Veteran[21-30]", AG773 &lt;= 40, "Late Career[31-40]")</f>
        <v>Established[11-20]</v>
      </c>
      <c r="AI773" s="1">
        <v>4</v>
      </c>
      <c r="AJ773" s="1">
        <v>3</v>
      </c>
      <c r="AK773" s="1">
        <v>9</v>
      </c>
      <c r="AL773" s="9" t="str" cm="1">
        <f t="array" ref="AL773">_xlfn.IFS(AK773 &lt;= 5, "New[1-5]", AK773 &lt;= 10, "Early Career[6-10]", AK773 &lt;= 20, "Established[11-20]", AK773 &lt;= 30, "Veteran[21-30]", AK773 &lt;= 40, "Late Career[31-40]")</f>
        <v>Early Career[6-10]</v>
      </c>
      <c r="AM773" s="1">
        <v>4</v>
      </c>
      <c r="AN773" s="9" t="str" cm="1">
        <f t="array" ref="AN773">_xlfn.IFS(AM773 &lt;= 3, "New to Role[1-3]", AM773 &lt;= 7, "Settled[4-7]", AM773 &lt;= 12, "Experienced[[8-12]", AM773 &lt;= 18, "Long Tenured[13-18]")</f>
        <v>Settled[4-7]</v>
      </c>
      <c r="AO773" s="1">
        <v>7</v>
      </c>
      <c r="AP773" s="9" t="str" cm="1">
        <f t="array" ref="AP773">_xlfn.IFS(AO773 &lt;= 3, "Recently[1-3]", AO773 &lt;= 6, "Due Soon[4-6]", AO773 &lt;= 10, "Overdue[7-10]", AO773 &lt;= 15, "Long Overdue[11-15]")</f>
        <v>Overdue[7-10]</v>
      </c>
      <c r="AQ773" s="9" t="str" cm="1">
        <f t="array" ref="AQ773">_xlfn.IFS(AR773 &lt;= 3, "New Relationship[1-3]", AR773 &lt;= 7, "Established Relationship[4-7]", AR773 &lt;= 12, "Long Term Relationship[8-12]", AR773 &lt;= 17, "Very Long Term Relationship[13-17]")</f>
        <v>New Relationship[1-3]</v>
      </c>
      <c r="AR773" s="1">
        <v>0</v>
      </c>
    </row>
    <row r="774" spans="1:44" x14ac:dyDescent="0.25">
      <c r="A774" s="1">
        <v>56</v>
      </c>
      <c r="B774" s="8" t="str" cm="1">
        <f t="array" ref="B774">_xlfn.IFS(A774 &lt;= 25, "[18-25]", A774 &lt;= 35, "[26-35]", A774 &lt;=45, "[36-45]", A774 &lt;= 60, "[46- 60]")</f>
        <v>[46- 60]</v>
      </c>
      <c r="C774" s="3" t="s">
        <v>43</v>
      </c>
      <c r="D774">
        <f t="shared" si="12"/>
        <v>0</v>
      </c>
      <c r="E774" t="s">
        <v>44</v>
      </c>
      <c r="F774" s="1">
        <v>1240</v>
      </c>
      <c r="G774" s="3" t="s">
        <v>45</v>
      </c>
      <c r="H774" s="1">
        <v>9</v>
      </c>
      <c r="I774" s="9" t="str" cm="1">
        <f t="array" ref="I774">_xlfn.IFS(H774 &lt;= 2, "[1-2] very close", H774 &lt;= 10, "[3-10] close", H774 &lt;= 20, "[11-20] moderate", H774 &lt;= 30, "[21-30] far")</f>
        <v>[3-10] close</v>
      </c>
      <c r="J774" s="1">
        <v>3</v>
      </c>
      <c r="K774" s="3" t="s">
        <v>51</v>
      </c>
      <c r="L774" s="1">
        <v>1</v>
      </c>
      <c r="M774" s="1">
        <v>1071</v>
      </c>
      <c r="N774" s="1">
        <v>1</v>
      </c>
      <c r="O774" s="3" t="s">
        <v>39</v>
      </c>
      <c r="P774" s="1">
        <v>63</v>
      </c>
      <c r="Q774" s="1">
        <v>3</v>
      </c>
      <c r="R774" s="1">
        <v>1</v>
      </c>
      <c r="S774" s="3" t="s">
        <v>47</v>
      </c>
      <c r="T774" s="1">
        <v>3</v>
      </c>
      <c r="U774" s="3" t="s">
        <v>48</v>
      </c>
      <c r="V774" s="4">
        <v>2942</v>
      </c>
      <c r="W774" s="1">
        <v>12154</v>
      </c>
      <c r="X774" s="1">
        <v>2</v>
      </c>
      <c r="Y774" s="3" t="s">
        <v>42</v>
      </c>
      <c r="Z774" s="3" t="s">
        <v>43</v>
      </c>
      <c r="AA774" s="5">
        <v>0.19</v>
      </c>
      <c r="AB774" s="10" t="str" cm="1">
        <f t="array" ref="AB774">_xlfn.IFS(AA774 &lt;= 15%, "Low Hike[11-15%]", AA774 &lt;= 20%, "Moderate Hike[16-20%]", AA774 &lt;= 25%,"High Hike[21-25%]")</f>
        <v>Moderate Hike[16-20%]</v>
      </c>
      <c r="AC774" s="1">
        <v>3</v>
      </c>
      <c r="AD774" s="1">
        <v>2</v>
      </c>
      <c r="AE774" s="1">
        <v>80</v>
      </c>
      <c r="AF774" s="1">
        <v>1</v>
      </c>
      <c r="AG774" s="1">
        <v>18</v>
      </c>
      <c r="AH774" s="9" t="str" cm="1">
        <f t="array" ref="AH774">_xlfn.IFS(AG774 &lt;= 5, "New[1-5]", AG774 &lt;= 10, "Early Career[6-10]", AG774 &lt;= 20, "Established[11-20]", AG774 &lt;= 30, "Veteran[21-30]", AG774 &lt;= 40, "Late Career[31-40]")</f>
        <v>Established[11-20]</v>
      </c>
      <c r="AI774" s="1">
        <v>4</v>
      </c>
      <c r="AJ774" s="1">
        <v>3</v>
      </c>
      <c r="AK774" s="1">
        <v>5</v>
      </c>
      <c r="AL774" s="9" t="str" cm="1">
        <f t="array" ref="AL774">_xlfn.IFS(AK774 &lt;= 5, "New[1-5]", AK774 &lt;= 10, "Early Career[6-10]", AK774 &lt;= 20, "Established[11-20]", AK774 &lt;= 30, "Veteran[21-30]", AK774 &lt;= 40, "Late Career[31-40]")</f>
        <v>New[1-5]</v>
      </c>
      <c r="AM774" s="1">
        <v>4</v>
      </c>
      <c r="AN774" s="9" t="str" cm="1">
        <f t="array" ref="AN774">_xlfn.IFS(AM774 &lt;= 3, "New to Role[1-3]", AM774 &lt;= 7, "Settled[4-7]", AM774 &lt;= 12, "Experienced[[8-12]", AM774 &lt;= 18, "Long Tenured[13-18]")</f>
        <v>Settled[4-7]</v>
      </c>
      <c r="AO774" s="1">
        <v>0</v>
      </c>
      <c r="AP774" s="9" t="str" cm="1">
        <f t="array" ref="AP774">_xlfn.IFS(AO774 &lt;= 3, "Recently[1-3]", AO774 &lt;= 6, "Due Soon[4-6]", AO774 &lt;= 10, "Overdue[7-10]", AO774 &lt;= 15, "Long Overdue[11-15]")</f>
        <v>Recently[1-3]</v>
      </c>
      <c r="AQ774" s="9" t="str" cm="1">
        <f t="array" ref="AQ774">_xlfn.IFS(AR774 &lt;= 3, "New Relationship[1-3]", AR774 &lt;= 7, "Established Relationship[4-7]", AR774 &lt;= 12, "Long Term Relationship[8-12]", AR774 &lt;= 17, "Very Long Term Relationship[13-17]")</f>
        <v>New Relationship[1-3]</v>
      </c>
      <c r="AR774" s="1">
        <v>3</v>
      </c>
    </row>
    <row r="775" spans="1:44" x14ac:dyDescent="0.25">
      <c r="A775" s="1">
        <v>36</v>
      </c>
      <c r="B775" s="8" t="str" cm="1">
        <f t="array" ref="B775">_xlfn.IFS(A775 &lt;= 25, "[18-25]", A775 &lt;= 35, "[26-35]", A775 &lt;=45, "[36-45]", A775 &lt;= 60, "[46- 60]")</f>
        <v>[36-45]</v>
      </c>
      <c r="C775" s="3" t="s">
        <v>43</v>
      </c>
      <c r="D775">
        <f t="shared" si="12"/>
        <v>0</v>
      </c>
      <c r="E775" t="s">
        <v>36</v>
      </c>
      <c r="F775" s="1">
        <v>796</v>
      </c>
      <c r="G775" s="3" t="s">
        <v>45</v>
      </c>
      <c r="H775" s="1">
        <v>12</v>
      </c>
      <c r="I775" s="9" t="str" cm="1">
        <f t="array" ref="I775">_xlfn.IFS(H775 &lt;= 2, "[1-2] very close", H775 &lt;= 10, "[3-10] close", H775 &lt;= 20, "[11-20] moderate", H775 &lt;= 30, "[21-30] far")</f>
        <v>[11-20] moderate</v>
      </c>
      <c r="J775" s="1">
        <v>5</v>
      </c>
      <c r="K775" s="3" t="s">
        <v>51</v>
      </c>
      <c r="L775" s="1">
        <v>1</v>
      </c>
      <c r="M775" s="1">
        <v>1073</v>
      </c>
      <c r="N775" s="1">
        <v>4</v>
      </c>
      <c r="O775" s="3" t="s">
        <v>39</v>
      </c>
      <c r="P775" s="1">
        <v>51</v>
      </c>
      <c r="Q775" s="1">
        <v>2</v>
      </c>
      <c r="R775" s="1">
        <v>3</v>
      </c>
      <c r="S775" s="3" t="s">
        <v>53</v>
      </c>
      <c r="T775" s="1">
        <v>4</v>
      </c>
      <c r="U775" s="3" t="s">
        <v>41</v>
      </c>
      <c r="V775" s="4">
        <v>8858</v>
      </c>
      <c r="W775" s="1">
        <v>15669</v>
      </c>
      <c r="X775" s="1">
        <v>0</v>
      </c>
      <c r="Y775" s="3" t="s">
        <v>42</v>
      </c>
      <c r="Z775" s="3" t="s">
        <v>43</v>
      </c>
      <c r="AA775" s="5">
        <v>0.11</v>
      </c>
      <c r="AB775" s="10" t="str" cm="1">
        <f t="array" ref="AB775">_xlfn.IFS(AA775 &lt;= 15%, "Low Hike[11-15%]", AA775 &lt;= 20%, "Moderate Hike[16-20%]", AA775 &lt;= 25%,"High Hike[21-25%]")</f>
        <v>Low Hike[11-15%]</v>
      </c>
      <c r="AC775" s="1">
        <v>3</v>
      </c>
      <c r="AD775" s="1">
        <v>2</v>
      </c>
      <c r="AE775" s="1">
        <v>80</v>
      </c>
      <c r="AF775" s="1">
        <v>0</v>
      </c>
      <c r="AG775" s="1">
        <v>15</v>
      </c>
      <c r="AH775" s="9" t="str" cm="1">
        <f t="array" ref="AH775">_xlfn.IFS(AG775 &lt;= 5, "New[1-5]", AG775 &lt;= 10, "Early Career[6-10]", AG775 &lt;= 20, "Established[11-20]", AG775 &lt;= 30, "Veteran[21-30]", AG775 &lt;= 40, "Late Career[31-40]")</f>
        <v>Established[11-20]</v>
      </c>
      <c r="AI775" s="1">
        <v>2</v>
      </c>
      <c r="AJ775" s="1">
        <v>2</v>
      </c>
      <c r="AK775" s="1">
        <v>14</v>
      </c>
      <c r="AL775" s="9" t="str" cm="1">
        <f t="array" ref="AL775">_xlfn.IFS(AK775 &lt;= 5, "New[1-5]", AK775 &lt;= 10, "Early Career[6-10]", AK775 &lt;= 20, "Established[11-20]", AK775 &lt;= 30, "Veteran[21-30]", AK775 &lt;= 40, "Late Career[31-40]")</f>
        <v>Established[11-20]</v>
      </c>
      <c r="AM775" s="1">
        <v>8</v>
      </c>
      <c r="AN775" s="9" t="str" cm="1">
        <f t="array" ref="AN775">_xlfn.IFS(AM775 &lt;= 3, "New to Role[1-3]", AM775 &lt;= 7, "Settled[4-7]", AM775 &lt;= 12, "Experienced[[8-12]", AM775 &lt;= 18, "Long Tenured[13-18]")</f>
        <v>Experienced[[8-12]</v>
      </c>
      <c r="AO775" s="1">
        <v>7</v>
      </c>
      <c r="AP775" s="9" t="str" cm="1">
        <f t="array" ref="AP775">_xlfn.IFS(AO775 &lt;= 3, "Recently[1-3]", AO775 &lt;= 6, "Due Soon[4-6]", AO775 &lt;= 10, "Overdue[7-10]", AO775 &lt;= 15, "Long Overdue[11-15]")</f>
        <v>Overdue[7-10]</v>
      </c>
      <c r="AQ775" s="9" t="str" cm="1">
        <f t="array" ref="AQ775">_xlfn.IFS(AR775 &lt;= 3, "New Relationship[1-3]", AR775 &lt;= 7, "Established Relationship[4-7]", AR775 &lt;= 12, "Long Term Relationship[8-12]", AR775 &lt;= 17, "Very Long Term Relationship[13-17]")</f>
        <v>Long Term Relationship[8-12]</v>
      </c>
      <c r="AR775" s="1">
        <v>8</v>
      </c>
    </row>
    <row r="776" spans="1:44" x14ac:dyDescent="0.25">
      <c r="A776" s="1">
        <v>55</v>
      </c>
      <c r="B776" s="8" t="str" cm="1">
        <f t="array" ref="B776">_xlfn.IFS(A776 &lt;= 25, "[18-25]", A776 &lt;= 35, "[26-35]", A776 &lt;=45, "[36-45]", A776 &lt;= 60, "[46- 60]")</f>
        <v>[46- 60]</v>
      </c>
      <c r="C776" s="3" t="s">
        <v>43</v>
      </c>
      <c r="D776">
        <f t="shared" si="12"/>
        <v>0</v>
      </c>
      <c r="E776" t="s">
        <v>62</v>
      </c>
      <c r="F776" s="1">
        <v>444</v>
      </c>
      <c r="G776" s="3" t="s">
        <v>45</v>
      </c>
      <c r="H776" s="1">
        <v>2</v>
      </c>
      <c r="I776" s="9" t="str" cm="1">
        <f t="array" ref="I776">_xlfn.IFS(H776 &lt;= 2, "[1-2] very close", H776 &lt;= 10, "[3-10] close", H776 &lt;= 20, "[11-20] moderate", H776 &lt;= 30, "[21-30] far")</f>
        <v>[1-2] very close</v>
      </c>
      <c r="J776" s="1">
        <v>1</v>
      </c>
      <c r="K776" s="3" t="s">
        <v>51</v>
      </c>
      <c r="L776" s="1">
        <v>1</v>
      </c>
      <c r="M776" s="1">
        <v>1074</v>
      </c>
      <c r="N776" s="1">
        <v>3</v>
      </c>
      <c r="O776" s="3" t="s">
        <v>46</v>
      </c>
      <c r="P776" s="1">
        <v>40</v>
      </c>
      <c r="Q776" s="1">
        <v>2</v>
      </c>
      <c r="R776" s="1">
        <v>4</v>
      </c>
      <c r="S776" s="3" t="s">
        <v>56</v>
      </c>
      <c r="T776" s="1">
        <v>1</v>
      </c>
      <c r="U776" s="3" t="s">
        <v>41</v>
      </c>
      <c r="V776" s="4">
        <v>16756</v>
      </c>
      <c r="W776" s="1">
        <v>17323</v>
      </c>
      <c r="X776" s="1">
        <v>7</v>
      </c>
      <c r="Y776" s="3" t="s">
        <v>42</v>
      </c>
      <c r="Z776" s="3" t="s">
        <v>43</v>
      </c>
      <c r="AA776" s="5">
        <v>0.15</v>
      </c>
      <c r="AB776" s="10" t="str" cm="1">
        <f t="array" ref="AB776">_xlfn.IFS(AA776 &lt;= 15%, "Low Hike[11-15%]", AA776 &lt;= 20%, "Moderate Hike[16-20%]", AA776 &lt;= 25%,"High Hike[21-25%]")</f>
        <v>Low Hike[11-15%]</v>
      </c>
      <c r="AC776" s="1">
        <v>3</v>
      </c>
      <c r="AD776" s="1">
        <v>2</v>
      </c>
      <c r="AE776" s="1">
        <v>80</v>
      </c>
      <c r="AF776" s="1">
        <v>0</v>
      </c>
      <c r="AG776" s="1">
        <v>31</v>
      </c>
      <c r="AH776" s="9" t="str" cm="1">
        <f t="array" ref="AH776">_xlfn.IFS(AG776 &lt;= 5, "New[1-5]", AG776 &lt;= 10, "Early Career[6-10]", AG776 &lt;= 20, "Established[11-20]", AG776 &lt;= 30, "Veteran[21-30]", AG776 &lt;= 40, "Late Career[31-40]")</f>
        <v>Late Career[31-40]</v>
      </c>
      <c r="AI776" s="1">
        <v>3</v>
      </c>
      <c r="AJ776" s="1">
        <v>4</v>
      </c>
      <c r="AK776" s="1">
        <v>9</v>
      </c>
      <c r="AL776" s="9" t="str" cm="1">
        <f t="array" ref="AL776">_xlfn.IFS(AK776 &lt;= 5, "New[1-5]", AK776 &lt;= 10, "Early Career[6-10]", AK776 &lt;= 20, "Established[11-20]", AK776 &lt;= 30, "Veteran[21-30]", AK776 &lt;= 40, "Late Career[31-40]")</f>
        <v>Early Career[6-10]</v>
      </c>
      <c r="AM776" s="1">
        <v>7</v>
      </c>
      <c r="AN776" s="9" t="str" cm="1">
        <f t="array" ref="AN776">_xlfn.IFS(AM776 &lt;= 3, "New to Role[1-3]", AM776 &lt;= 7, "Settled[4-7]", AM776 &lt;= 12, "Experienced[[8-12]", AM776 &lt;= 18, "Long Tenured[13-18]")</f>
        <v>Settled[4-7]</v>
      </c>
      <c r="AO776" s="1">
        <v>6</v>
      </c>
      <c r="AP776" s="9" t="str" cm="1">
        <f t="array" ref="AP776">_xlfn.IFS(AO776 &lt;= 3, "Recently[1-3]", AO776 &lt;= 6, "Due Soon[4-6]", AO776 &lt;= 10, "Overdue[7-10]", AO776 &lt;= 15, "Long Overdue[11-15]")</f>
        <v>Due Soon[4-6]</v>
      </c>
      <c r="AQ776" s="9" t="str" cm="1">
        <f t="array" ref="AQ776">_xlfn.IFS(AR776 &lt;= 3, "New Relationship[1-3]", AR776 &lt;= 7, "Established Relationship[4-7]", AR776 &lt;= 12, "Long Term Relationship[8-12]", AR776 &lt;= 17, "Very Long Term Relationship[13-17]")</f>
        <v>New Relationship[1-3]</v>
      </c>
      <c r="AR776" s="1">
        <v>2</v>
      </c>
    </row>
    <row r="777" spans="1:44" x14ac:dyDescent="0.25">
      <c r="A777" s="1">
        <v>43</v>
      </c>
      <c r="B777" s="8" t="str" cm="1">
        <f t="array" ref="B777">_xlfn.IFS(A777 &lt;= 25, "[18-25]", A777 &lt;= 35, "[26-35]", A777 &lt;=45, "[36-45]", A777 &lt;= 60, "[46- 60]")</f>
        <v>[36-45]</v>
      </c>
      <c r="C777" s="3" t="s">
        <v>43</v>
      </c>
      <c r="D777">
        <f t="shared" si="12"/>
        <v>0</v>
      </c>
      <c r="E777" t="s">
        <v>36</v>
      </c>
      <c r="F777" s="1">
        <v>415</v>
      </c>
      <c r="G777" s="3" t="s">
        <v>37</v>
      </c>
      <c r="H777" s="1">
        <v>25</v>
      </c>
      <c r="I777" s="9" t="str" cm="1">
        <f t="array" ref="I777">_xlfn.IFS(H777 &lt;= 2, "[1-2] very close", H777 &lt;= 10, "[3-10] close", H777 &lt;= 20, "[11-20] moderate", H777 &lt;= 30, "[21-30] far")</f>
        <v>[21-30] far</v>
      </c>
      <c r="J777" s="1">
        <v>3</v>
      </c>
      <c r="K777" s="3" t="s">
        <v>51</v>
      </c>
      <c r="L777" s="1">
        <v>1</v>
      </c>
      <c r="M777" s="1">
        <v>1076</v>
      </c>
      <c r="N777" s="1">
        <v>3</v>
      </c>
      <c r="O777" s="3" t="s">
        <v>46</v>
      </c>
      <c r="P777" s="1">
        <v>79</v>
      </c>
      <c r="Q777" s="1">
        <v>2</v>
      </c>
      <c r="R777" s="1">
        <v>3</v>
      </c>
      <c r="S777" s="3" t="s">
        <v>40</v>
      </c>
      <c r="T777" s="1">
        <v>4</v>
      </c>
      <c r="U777" s="3" t="s">
        <v>52</v>
      </c>
      <c r="V777" s="4">
        <v>10798</v>
      </c>
      <c r="W777" s="1">
        <v>5268</v>
      </c>
      <c r="X777" s="1">
        <v>5</v>
      </c>
      <c r="Y777" s="3" t="s">
        <v>42</v>
      </c>
      <c r="Z777" s="3" t="s">
        <v>43</v>
      </c>
      <c r="AA777" s="5">
        <v>0.13</v>
      </c>
      <c r="AB777" s="10" t="str" cm="1">
        <f t="array" ref="AB777">_xlfn.IFS(AA777 &lt;= 15%, "Low Hike[11-15%]", AA777 &lt;= 20%, "Moderate Hike[16-20%]", AA777 &lt;= 25%,"High Hike[21-25%]")</f>
        <v>Low Hike[11-15%]</v>
      </c>
      <c r="AC777" s="1">
        <v>3</v>
      </c>
      <c r="AD777" s="1">
        <v>3</v>
      </c>
      <c r="AE777" s="1">
        <v>80</v>
      </c>
      <c r="AF777" s="1">
        <v>1</v>
      </c>
      <c r="AG777" s="1">
        <v>18</v>
      </c>
      <c r="AH777" s="9" t="str" cm="1">
        <f t="array" ref="AH777">_xlfn.IFS(AG777 &lt;= 5, "New[1-5]", AG777 &lt;= 10, "Early Career[6-10]", AG777 &lt;= 20, "Established[11-20]", AG777 &lt;= 30, "Veteran[21-30]", AG777 &lt;= 40, "Late Career[31-40]")</f>
        <v>Established[11-20]</v>
      </c>
      <c r="AI777" s="1">
        <v>5</v>
      </c>
      <c r="AJ777" s="1">
        <v>3</v>
      </c>
      <c r="AK777" s="1">
        <v>1</v>
      </c>
      <c r="AL777" s="9" t="str" cm="1">
        <f t="array" ref="AL777">_xlfn.IFS(AK777 &lt;= 5, "New[1-5]", AK777 &lt;= 10, "Early Career[6-10]", AK777 &lt;= 20, "Established[11-20]", AK777 &lt;= 30, "Veteran[21-30]", AK777 &lt;= 40, "Late Career[31-40]")</f>
        <v>New[1-5]</v>
      </c>
      <c r="AM777" s="1">
        <v>0</v>
      </c>
      <c r="AN777" s="9" t="str" cm="1">
        <f t="array" ref="AN777">_xlfn.IFS(AM777 &lt;= 3, "New to Role[1-3]", AM777 &lt;= 7, "Settled[4-7]", AM777 &lt;= 12, "Experienced[[8-12]", AM777 &lt;= 18, "Long Tenured[13-18]")</f>
        <v>New to Role[1-3]</v>
      </c>
      <c r="AO777" s="1">
        <v>0</v>
      </c>
      <c r="AP777" s="9" t="str" cm="1">
        <f t="array" ref="AP777">_xlfn.IFS(AO777 &lt;= 3, "Recently[1-3]", AO777 &lt;= 6, "Due Soon[4-6]", AO777 &lt;= 10, "Overdue[7-10]", AO777 &lt;= 15, "Long Overdue[11-15]")</f>
        <v>Recently[1-3]</v>
      </c>
      <c r="AQ777" s="9" t="str" cm="1">
        <f t="array" ref="AQ777">_xlfn.IFS(AR777 &lt;= 3, "New Relationship[1-3]", AR777 &lt;= 7, "Established Relationship[4-7]", AR777 &lt;= 12, "Long Term Relationship[8-12]", AR777 &lt;= 17, "Very Long Term Relationship[13-17]")</f>
        <v>New Relationship[1-3]</v>
      </c>
      <c r="AR777" s="1">
        <v>0</v>
      </c>
    </row>
    <row r="778" spans="1:44" x14ac:dyDescent="0.25">
      <c r="A778" s="1">
        <v>20</v>
      </c>
      <c r="B778" s="8" t="str" cm="1">
        <f t="array" ref="B778">_xlfn.IFS(A778 &lt;= 25, "[18-25]", A778 &lt;= 35, "[26-35]", A778 &lt;=45, "[36-45]", A778 &lt;= 60, "[46- 60]")</f>
        <v>[18-25]</v>
      </c>
      <c r="C778" s="3" t="s">
        <v>35</v>
      </c>
      <c r="D778">
        <f t="shared" si="12"/>
        <v>1</v>
      </c>
      <c r="E778" t="s">
        <v>44</v>
      </c>
      <c r="F778" s="1">
        <v>769</v>
      </c>
      <c r="G778" s="3" t="s">
        <v>37</v>
      </c>
      <c r="H778" s="1">
        <v>9</v>
      </c>
      <c r="I778" s="9" t="str" cm="1">
        <f t="array" ref="I778">_xlfn.IFS(H778 &lt;= 2, "[1-2] very close", H778 &lt;= 10, "[3-10] close", H778 &lt;= 20, "[11-20] moderate", H778 &lt;= 30, "[21-30] far")</f>
        <v>[3-10] close</v>
      </c>
      <c r="J778" s="1">
        <v>3</v>
      </c>
      <c r="K778" s="3" t="s">
        <v>59</v>
      </c>
      <c r="L778" s="1">
        <v>1</v>
      </c>
      <c r="M778" s="1">
        <v>1077</v>
      </c>
      <c r="N778" s="1">
        <v>4</v>
      </c>
      <c r="O778" s="3" t="s">
        <v>39</v>
      </c>
      <c r="P778" s="1">
        <v>54</v>
      </c>
      <c r="Q778" s="1">
        <v>3</v>
      </c>
      <c r="R778" s="1">
        <v>1</v>
      </c>
      <c r="S778" s="3" t="s">
        <v>57</v>
      </c>
      <c r="T778" s="1">
        <v>4</v>
      </c>
      <c r="U778" s="3" t="s">
        <v>41</v>
      </c>
      <c r="V778" s="4">
        <v>2323</v>
      </c>
      <c r="W778" s="1">
        <v>17205</v>
      </c>
      <c r="X778" s="1">
        <v>1</v>
      </c>
      <c r="Y778" s="3" t="s">
        <v>42</v>
      </c>
      <c r="Z778" s="3" t="s">
        <v>35</v>
      </c>
      <c r="AA778" s="5">
        <v>0.14000000000000001</v>
      </c>
      <c r="AB778" s="10" t="str" cm="1">
        <f t="array" ref="AB778">_xlfn.IFS(AA778 &lt;= 15%, "Low Hike[11-15%]", AA778 &lt;= 20%, "Moderate Hike[16-20%]", AA778 &lt;= 25%,"High Hike[21-25%]")</f>
        <v>Low Hike[11-15%]</v>
      </c>
      <c r="AC778" s="1">
        <v>3</v>
      </c>
      <c r="AD778" s="1">
        <v>2</v>
      </c>
      <c r="AE778" s="1">
        <v>80</v>
      </c>
      <c r="AF778" s="1">
        <v>0</v>
      </c>
      <c r="AG778" s="1">
        <v>2</v>
      </c>
      <c r="AH778" s="9" t="str" cm="1">
        <f t="array" ref="AH778">_xlfn.IFS(AG778 &lt;= 5, "New[1-5]", AG778 &lt;= 10, "Early Career[6-10]", AG778 &lt;= 20, "Established[11-20]", AG778 &lt;= 30, "Veteran[21-30]", AG778 &lt;= 40, "Late Career[31-40]")</f>
        <v>New[1-5]</v>
      </c>
      <c r="AI778" s="1">
        <v>3</v>
      </c>
      <c r="AJ778" s="1">
        <v>3</v>
      </c>
      <c r="AK778" s="1">
        <v>2</v>
      </c>
      <c r="AL778" s="9" t="str" cm="1">
        <f t="array" ref="AL778">_xlfn.IFS(AK778 &lt;= 5, "New[1-5]", AK778 &lt;= 10, "Early Career[6-10]", AK778 &lt;= 20, "Established[11-20]", AK778 &lt;= 30, "Veteran[21-30]", AK778 &lt;= 40, "Late Career[31-40]")</f>
        <v>New[1-5]</v>
      </c>
      <c r="AM778" s="1">
        <v>2</v>
      </c>
      <c r="AN778" s="9" t="str" cm="1">
        <f t="array" ref="AN778">_xlfn.IFS(AM778 &lt;= 3, "New to Role[1-3]", AM778 &lt;= 7, "Settled[4-7]", AM778 &lt;= 12, "Experienced[[8-12]", AM778 &lt;= 18, "Long Tenured[13-18]")</f>
        <v>New to Role[1-3]</v>
      </c>
      <c r="AO778" s="1">
        <v>0</v>
      </c>
      <c r="AP778" s="9" t="str" cm="1">
        <f t="array" ref="AP778">_xlfn.IFS(AO778 &lt;= 3, "Recently[1-3]", AO778 &lt;= 6, "Due Soon[4-6]", AO778 &lt;= 10, "Overdue[7-10]", AO778 &lt;= 15, "Long Overdue[11-15]")</f>
        <v>Recently[1-3]</v>
      </c>
      <c r="AQ778" s="9" t="str" cm="1">
        <f t="array" ref="AQ778">_xlfn.IFS(AR778 &lt;= 3, "New Relationship[1-3]", AR778 &lt;= 7, "Established Relationship[4-7]", AR778 &lt;= 12, "Long Term Relationship[8-12]", AR778 &lt;= 17, "Very Long Term Relationship[13-17]")</f>
        <v>New Relationship[1-3]</v>
      </c>
      <c r="AR778" s="1">
        <v>2</v>
      </c>
    </row>
    <row r="779" spans="1:44" x14ac:dyDescent="0.25">
      <c r="A779" s="1">
        <v>21</v>
      </c>
      <c r="B779" s="8" t="str" cm="1">
        <f t="array" ref="B779">_xlfn.IFS(A779 &lt;= 25, "[18-25]", A779 &lt;= 35, "[26-35]", A779 &lt;=45, "[36-45]", A779 &lt;= 60, "[46- 60]")</f>
        <v>[18-25]</v>
      </c>
      <c r="C779" s="3" t="s">
        <v>35</v>
      </c>
      <c r="D779">
        <f t="shared" si="12"/>
        <v>1</v>
      </c>
      <c r="E779" t="s">
        <v>36</v>
      </c>
      <c r="F779" s="1">
        <v>1334</v>
      </c>
      <c r="G779" s="3" t="s">
        <v>45</v>
      </c>
      <c r="H779" s="1">
        <v>10</v>
      </c>
      <c r="I779" s="9" t="str" cm="1">
        <f t="array" ref="I779">_xlfn.IFS(H779 &lt;= 2, "[1-2] very close", H779 &lt;= 10, "[3-10] close", H779 &lt;= 20, "[11-20] moderate", H779 &lt;= 30, "[21-30] far")</f>
        <v>[3-10] close</v>
      </c>
      <c r="J779" s="1">
        <v>3</v>
      </c>
      <c r="K779" s="3" t="s">
        <v>38</v>
      </c>
      <c r="L779" s="1">
        <v>1</v>
      </c>
      <c r="M779" s="1">
        <v>1079</v>
      </c>
      <c r="N779" s="1">
        <v>3</v>
      </c>
      <c r="O779" s="3" t="s">
        <v>39</v>
      </c>
      <c r="P779" s="1">
        <v>36</v>
      </c>
      <c r="Q779" s="1">
        <v>2</v>
      </c>
      <c r="R779" s="1">
        <v>1</v>
      </c>
      <c r="S779" s="3" t="s">
        <v>50</v>
      </c>
      <c r="T779" s="1">
        <v>1</v>
      </c>
      <c r="U779" s="3" t="s">
        <v>41</v>
      </c>
      <c r="V779" s="4">
        <v>1416</v>
      </c>
      <c r="W779" s="1">
        <v>17258</v>
      </c>
      <c r="X779" s="1">
        <v>1</v>
      </c>
      <c r="Y779" s="3" t="s">
        <v>42</v>
      </c>
      <c r="Z779" s="3" t="s">
        <v>43</v>
      </c>
      <c r="AA779" s="5">
        <v>0.13</v>
      </c>
      <c r="AB779" s="10" t="str" cm="1">
        <f t="array" ref="AB779">_xlfn.IFS(AA779 &lt;= 15%, "Low Hike[11-15%]", AA779 &lt;= 20%, "Moderate Hike[16-20%]", AA779 &lt;= 25%,"High Hike[21-25%]")</f>
        <v>Low Hike[11-15%]</v>
      </c>
      <c r="AC779" s="1">
        <v>3</v>
      </c>
      <c r="AD779" s="1">
        <v>1</v>
      </c>
      <c r="AE779" s="1">
        <v>80</v>
      </c>
      <c r="AF779" s="1">
        <v>0</v>
      </c>
      <c r="AG779" s="1">
        <v>1</v>
      </c>
      <c r="AH779" s="9" t="str" cm="1">
        <f t="array" ref="AH779">_xlfn.IFS(AG779 &lt;= 5, "New[1-5]", AG779 &lt;= 10, "Early Career[6-10]", AG779 &lt;= 20, "Established[11-20]", AG779 &lt;= 30, "Veteran[21-30]", AG779 &lt;= 40, "Late Career[31-40]")</f>
        <v>New[1-5]</v>
      </c>
      <c r="AI779" s="1">
        <v>6</v>
      </c>
      <c r="AJ779" s="1">
        <v>2</v>
      </c>
      <c r="AK779" s="1">
        <v>1</v>
      </c>
      <c r="AL779" s="9" t="str" cm="1">
        <f t="array" ref="AL779">_xlfn.IFS(AK779 &lt;= 5, "New[1-5]", AK779 &lt;= 10, "Early Career[6-10]", AK779 &lt;= 20, "Established[11-20]", AK779 &lt;= 30, "Veteran[21-30]", AK779 &lt;= 40, "Late Career[31-40]")</f>
        <v>New[1-5]</v>
      </c>
      <c r="AM779" s="1">
        <v>0</v>
      </c>
      <c r="AN779" s="9" t="str" cm="1">
        <f t="array" ref="AN779">_xlfn.IFS(AM779 &lt;= 3, "New to Role[1-3]", AM779 &lt;= 7, "Settled[4-7]", AM779 &lt;= 12, "Experienced[[8-12]", AM779 &lt;= 18, "Long Tenured[13-18]")</f>
        <v>New to Role[1-3]</v>
      </c>
      <c r="AO779" s="1">
        <v>1</v>
      </c>
      <c r="AP779" s="9" t="str" cm="1">
        <f t="array" ref="AP779">_xlfn.IFS(AO779 &lt;= 3, "Recently[1-3]", AO779 &lt;= 6, "Due Soon[4-6]", AO779 &lt;= 10, "Overdue[7-10]", AO779 &lt;= 15, "Long Overdue[11-15]")</f>
        <v>Recently[1-3]</v>
      </c>
      <c r="AQ779" s="9" t="str" cm="1">
        <f t="array" ref="AQ779">_xlfn.IFS(AR779 &lt;= 3, "New Relationship[1-3]", AR779 &lt;= 7, "Established Relationship[4-7]", AR779 &lt;= 12, "Long Term Relationship[8-12]", AR779 &lt;= 17, "Very Long Term Relationship[13-17]")</f>
        <v>New Relationship[1-3]</v>
      </c>
      <c r="AR779" s="1">
        <v>0</v>
      </c>
    </row>
    <row r="780" spans="1:44" x14ac:dyDescent="0.25">
      <c r="A780" s="1">
        <v>46</v>
      </c>
      <c r="B780" s="8" t="str" cm="1">
        <f t="array" ref="B780">_xlfn.IFS(A780 &lt;= 25, "[18-25]", A780 &lt;= 35, "[26-35]", A780 &lt;=45, "[36-45]", A780 &lt;= 60, "[46- 60]")</f>
        <v>[46- 60]</v>
      </c>
      <c r="C780" s="3" t="s">
        <v>43</v>
      </c>
      <c r="D780">
        <f t="shared" si="12"/>
        <v>0</v>
      </c>
      <c r="E780" t="s">
        <v>36</v>
      </c>
      <c r="F780" s="1">
        <v>1003</v>
      </c>
      <c r="G780" s="3" t="s">
        <v>45</v>
      </c>
      <c r="H780" s="1">
        <v>8</v>
      </c>
      <c r="I780" s="9" t="str" cm="1">
        <f t="array" ref="I780">_xlfn.IFS(H780 &lt;= 2, "[1-2] very close", H780 &lt;= 10, "[3-10] close", H780 &lt;= 20, "[11-20] moderate", H780 &lt;= 30, "[21-30] far")</f>
        <v>[3-10] close</v>
      </c>
      <c r="J780" s="1">
        <v>4</v>
      </c>
      <c r="K780" s="3" t="s">
        <v>38</v>
      </c>
      <c r="L780" s="1">
        <v>1</v>
      </c>
      <c r="M780" s="1">
        <v>1080</v>
      </c>
      <c r="N780" s="1">
        <v>4</v>
      </c>
      <c r="O780" s="3" t="s">
        <v>39</v>
      </c>
      <c r="P780" s="1">
        <v>74</v>
      </c>
      <c r="Q780" s="1">
        <v>2</v>
      </c>
      <c r="R780" s="1">
        <v>2</v>
      </c>
      <c r="S780" s="3" t="s">
        <v>47</v>
      </c>
      <c r="T780" s="1">
        <v>1</v>
      </c>
      <c r="U780" s="3" t="s">
        <v>52</v>
      </c>
      <c r="V780" s="4">
        <v>4615</v>
      </c>
      <c r="W780" s="1">
        <v>21029</v>
      </c>
      <c r="X780" s="1">
        <v>8</v>
      </c>
      <c r="Y780" s="3" t="s">
        <v>42</v>
      </c>
      <c r="Z780" s="3" t="s">
        <v>35</v>
      </c>
      <c r="AA780" s="5">
        <v>0.23</v>
      </c>
      <c r="AB780" s="10" t="str" cm="1">
        <f t="array" ref="AB780">_xlfn.IFS(AA780 &lt;= 15%, "Low Hike[11-15%]", AA780 &lt;= 20%, "Moderate Hike[16-20%]", AA780 &lt;= 25%,"High Hike[21-25%]")</f>
        <v>High Hike[21-25%]</v>
      </c>
      <c r="AC780" s="1">
        <v>4</v>
      </c>
      <c r="AD780" s="1">
        <v>1</v>
      </c>
      <c r="AE780" s="1">
        <v>80</v>
      </c>
      <c r="AF780" s="1">
        <v>3</v>
      </c>
      <c r="AG780" s="1">
        <v>19</v>
      </c>
      <c r="AH780" s="9" t="str" cm="1">
        <f t="array" ref="AH780">_xlfn.IFS(AG780 &lt;= 5, "New[1-5]", AG780 &lt;= 10, "Early Career[6-10]", AG780 &lt;= 20, "Established[11-20]", AG780 &lt;= 30, "Veteran[21-30]", AG780 &lt;= 40, "Late Career[31-40]")</f>
        <v>Established[11-20]</v>
      </c>
      <c r="AI780" s="1">
        <v>2</v>
      </c>
      <c r="AJ780" s="1">
        <v>3</v>
      </c>
      <c r="AK780" s="1">
        <v>16</v>
      </c>
      <c r="AL780" s="9" t="str" cm="1">
        <f t="array" ref="AL780">_xlfn.IFS(AK780 &lt;= 5, "New[1-5]", AK780 &lt;= 10, "Early Career[6-10]", AK780 &lt;= 20, "Established[11-20]", AK780 &lt;= 30, "Veteran[21-30]", AK780 &lt;= 40, "Late Career[31-40]")</f>
        <v>Established[11-20]</v>
      </c>
      <c r="AM780" s="1">
        <v>13</v>
      </c>
      <c r="AN780" s="9" t="str" cm="1">
        <f t="array" ref="AN780">_xlfn.IFS(AM780 &lt;= 3, "New to Role[1-3]", AM780 &lt;= 7, "Settled[4-7]", AM780 &lt;= 12, "Experienced[[8-12]", AM780 &lt;= 18, "Long Tenured[13-18]")</f>
        <v>Long Tenured[13-18]</v>
      </c>
      <c r="AO780" s="1">
        <v>1</v>
      </c>
      <c r="AP780" s="9" t="str" cm="1">
        <f t="array" ref="AP780">_xlfn.IFS(AO780 &lt;= 3, "Recently[1-3]", AO780 &lt;= 6, "Due Soon[4-6]", AO780 &lt;= 10, "Overdue[7-10]", AO780 &lt;= 15, "Long Overdue[11-15]")</f>
        <v>Recently[1-3]</v>
      </c>
      <c r="AQ780" s="9" t="str" cm="1">
        <f t="array" ref="AQ780">_xlfn.IFS(AR780 &lt;= 3, "New Relationship[1-3]", AR780 &lt;= 7, "Established Relationship[4-7]", AR780 &lt;= 12, "Long Term Relationship[8-12]", AR780 &lt;= 17, "Very Long Term Relationship[13-17]")</f>
        <v>Established Relationship[4-7]</v>
      </c>
      <c r="AR780" s="1">
        <v>7</v>
      </c>
    </row>
    <row r="781" spans="1:44" x14ac:dyDescent="0.25">
      <c r="A781" s="1">
        <v>51</v>
      </c>
      <c r="B781" s="8" t="str" cm="1">
        <f t="array" ref="B781">_xlfn.IFS(A781 &lt;= 25, "[18-25]", A781 &lt;= 35, "[26-35]", A781 &lt;=45, "[36-45]", A781 &lt;= 60, "[46- 60]")</f>
        <v>[46- 60]</v>
      </c>
      <c r="C781" s="3" t="s">
        <v>35</v>
      </c>
      <c r="D781">
        <f t="shared" si="12"/>
        <v>1</v>
      </c>
      <c r="E781" t="s">
        <v>36</v>
      </c>
      <c r="F781" s="1">
        <v>1323</v>
      </c>
      <c r="G781" s="3" t="s">
        <v>45</v>
      </c>
      <c r="H781" s="1">
        <v>4</v>
      </c>
      <c r="I781" s="9" t="str" cm="1">
        <f t="array" ref="I781">_xlfn.IFS(H781 &lt;= 2, "[1-2] very close", H781 &lt;= 10, "[3-10] close", H781 &lt;= 20, "[11-20] moderate", H781 &lt;= 30, "[21-30] far")</f>
        <v>[3-10] close</v>
      </c>
      <c r="J781" s="1">
        <v>4</v>
      </c>
      <c r="K781" s="3" t="s">
        <v>38</v>
      </c>
      <c r="L781" s="1">
        <v>1</v>
      </c>
      <c r="M781" s="1">
        <v>1081</v>
      </c>
      <c r="N781" s="1">
        <v>1</v>
      </c>
      <c r="O781" s="3" t="s">
        <v>46</v>
      </c>
      <c r="P781" s="1">
        <v>34</v>
      </c>
      <c r="Q781" s="1">
        <v>3</v>
      </c>
      <c r="R781" s="1">
        <v>1</v>
      </c>
      <c r="S781" s="3" t="s">
        <v>47</v>
      </c>
      <c r="T781" s="1">
        <v>3</v>
      </c>
      <c r="U781" s="3" t="s">
        <v>48</v>
      </c>
      <c r="V781" s="4">
        <v>2461</v>
      </c>
      <c r="W781" s="1">
        <v>10332</v>
      </c>
      <c r="X781" s="1">
        <v>9</v>
      </c>
      <c r="Y781" s="3" t="s">
        <v>42</v>
      </c>
      <c r="Z781" s="3" t="s">
        <v>35</v>
      </c>
      <c r="AA781" s="5">
        <v>0.12</v>
      </c>
      <c r="AB781" s="10" t="str" cm="1">
        <f t="array" ref="AB781">_xlfn.IFS(AA781 &lt;= 15%, "Low Hike[11-15%]", AA781 &lt;= 20%, "Moderate Hike[16-20%]", AA781 &lt;= 25%,"High Hike[21-25%]")</f>
        <v>Low Hike[11-15%]</v>
      </c>
      <c r="AC781" s="1">
        <v>3</v>
      </c>
      <c r="AD781" s="1">
        <v>3</v>
      </c>
      <c r="AE781" s="1">
        <v>80</v>
      </c>
      <c r="AF781" s="1">
        <v>3</v>
      </c>
      <c r="AG781" s="1">
        <v>18</v>
      </c>
      <c r="AH781" s="9" t="str" cm="1">
        <f t="array" ref="AH781">_xlfn.IFS(AG781 &lt;= 5, "New[1-5]", AG781 &lt;= 10, "Early Career[6-10]", AG781 &lt;= 20, "Established[11-20]", AG781 &lt;= 30, "Veteran[21-30]", AG781 &lt;= 40, "Late Career[31-40]")</f>
        <v>Established[11-20]</v>
      </c>
      <c r="AI781" s="1">
        <v>2</v>
      </c>
      <c r="AJ781" s="1">
        <v>4</v>
      </c>
      <c r="AK781" s="1">
        <v>10</v>
      </c>
      <c r="AL781" s="9" t="str" cm="1">
        <f t="array" ref="AL781">_xlfn.IFS(AK781 &lt;= 5, "New[1-5]", AK781 &lt;= 10, "Early Career[6-10]", AK781 &lt;= 20, "Established[11-20]", AK781 &lt;= 30, "Veteran[21-30]", AK781 &lt;= 40, "Late Career[31-40]")</f>
        <v>Early Career[6-10]</v>
      </c>
      <c r="AM781" s="1">
        <v>0</v>
      </c>
      <c r="AN781" s="9" t="str" cm="1">
        <f t="array" ref="AN781">_xlfn.IFS(AM781 &lt;= 3, "New to Role[1-3]", AM781 &lt;= 7, "Settled[4-7]", AM781 &lt;= 12, "Experienced[[8-12]", AM781 &lt;= 18, "Long Tenured[13-18]")</f>
        <v>New to Role[1-3]</v>
      </c>
      <c r="AO781" s="1">
        <v>2</v>
      </c>
      <c r="AP781" s="9" t="str" cm="1">
        <f t="array" ref="AP781">_xlfn.IFS(AO781 &lt;= 3, "Recently[1-3]", AO781 &lt;= 6, "Due Soon[4-6]", AO781 &lt;= 10, "Overdue[7-10]", AO781 &lt;= 15, "Long Overdue[11-15]")</f>
        <v>Recently[1-3]</v>
      </c>
      <c r="AQ781" s="9" t="str" cm="1">
        <f t="array" ref="AQ781">_xlfn.IFS(AR781 &lt;= 3, "New Relationship[1-3]", AR781 &lt;= 7, "Established Relationship[4-7]", AR781 &lt;= 12, "Long Term Relationship[8-12]", AR781 &lt;= 17, "Very Long Term Relationship[13-17]")</f>
        <v>Established Relationship[4-7]</v>
      </c>
      <c r="AR781" s="1">
        <v>7</v>
      </c>
    </row>
    <row r="782" spans="1:44" x14ac:dyDescent="0.25">
      <c r="A782" s="1">
        <v>28</v>
      </c>
      <c r="B782" s="8" t="str" cm="1">
        <f t="array" ref="B782">_xlfn.IFS(A782 &lt;= 25, "[18-25]", A782 &lt;= 35, "[26-35]", A782 &lt;=45, "[36-45]", A782 &lt;= 60, "[46- 60]")</f>
        <v>[26-35]</v>
      </c>
      <c r="C782" s="3" t="s">
        <v>35</v>
      </c>
      <c r="D782">
        <f t="shared" si="12"/>
        <v>1</v>
      </c>
      <c r="E782" t="s">
        <v>62</v>
      </c>
      <c r="F782" s="1">
        <v>1366</v>
      </c>
      <c r="G782" s="3" t="s">
        <v>45</v>
      </c>
      <c r="H782" s="1">
        <v>24</v>
      </c>
      <c r="I782" s="9" t="str" cm="1">
        <f t="array" ref="I782">_xlfn.IFS(H782 &lt;= 2, "[1-2] very close", H782 &lt;= 10, "[3-10] close", H782 &lt;= 20, "[11-20] moderate", H782 &lt;= 30, "[21-30] far")</f>
        <v>[21-30] far</v>
      </c>
      <c r="J782" s="1">
        <v>2</v>
      </c>
      <c r="K782" s="3" t="s">
        <v>60</v>
      </c>
      <c r="L782" s="1">
        <v>1</v>
      </c>
      <c r="M782" s="1">
        <v>1082</v>
      </c>
      <c r="N782" s="1">
        <v>2</v>
      </c>
      <c r="O782" s="3" t="s">
        <v>46</v>
      </c>
      <c r="P782" s="1">
        <v>72</v>
      </c>
      <c r="Q782" s="1">
        <v>2</v>
      </c>
      <c r="R782" s="1">
        <v>3</v>
      </c>
      <c r="S782" s="3" t="s">
        <v>54</v>
      </c>
      <c r="T782" s="1">
        <v>1</v>
      </c>
      <c r="U782" s="3" t="s">
        <v>41</v>
      </c>
      <c r="V782" s="4">
        <v>8722</v>
      </c>
      <c r="W782" s="1">
        <v>12355</v>
      </c>
      <c r="X782" s="1">
        <v>1</v>
      </c>
      <c r="Y782" s="3" t="s">
        <v>42</v>
      </c>
      <c r="Z782" s="3" t="s">
        <v>43</v>
      </c>
      <c r="AA782" s="5">
        <v>0.12</v>
      </c>
      <c r="AB782" s="10" t="str" cm="1">
        <f t="array" ref="AB782">_xlfn.IFS(AA782 &lt;= 15%, "Low Hike[11-15%]", AA782 &lt;= 20%, "Moderate Hike[16-20%]", AA782 &lt;= 25%,"High Hike[21-25%]")</f>
        <v>Low Hike[11-15%]</v>
      </c>
      <c r="AC782" s="1">
        <v>3</v>
      </c>
      <c r="AD782" s="1">
        <v>1</v>
      </c>
      <c r="AE782" s="1">
        <v>80</v>
      </c>
      <c r="AF782" s="1">
        <v>0</v>
      </c>
      <c r="AG782" s="1">
        <v>10</v>
      </c>
      <c r="AH782" s="9" t="str" cm="1">
        <f t="array" ref="AH782">_xlfn.IFS(AG782 &lt;= 5, "New[1-5]", AG782 &lt;= 10, "Early Career[6-10]", AG782 &lt;= 20, "Established[11-20]", AG782 &lt;= 30, "Veteran[21-30]", AG782 &lt;= 40, "Late Career[31-40]")</f>
        <v>Early Career[6-10]</v>
      </c>
      <c r="AI782" s="1">
        <v>2</v>
      </c>
      <c r="AJ782" s="1">
        <v>2</v>
      </c>
      <c r="AK782" s="1">
        <v>10</v>
      </c>
      <c r="AL782" s="9" t="str" cm="1">
        <f t="array" ref="AL782">_xlfn.IFS(AK782 &lt;= 5, "New[1-5]", AK782 &lt;= 10, "Early Career[6-10]", AK782 &lt;= 20, "Established[11-20]", AK782 &lt;= 30, "Veteran[21-30]", AK782 &lt;= 40, "Late Career[31-40]")</f>
        <v>Early Career[6-10]</v>
      </c>
      <c r="AM782" s="1">
        <v>7</v>
      </c>
      <c r="AN782" s="9" t="str" cm="1">
        <f t="array" ref="AN782">_xlfn.IFS(AM782 &lt;= 3, "New to Role[1-3]", AM782 &lt;= 7, "Settled[4-7]", AM782 &lt;= 12, "Experienced[[8-12]", AM782 &lt;= 18, "Long Tenured[13-18]")</f>
        <v>Settled[4-7]</v>
      </c>
      <c r="AO782" s="1">
        <v>1</v>
      </c>
      <c r="AP782" s="9" t="str" cm="1">
        <f t="array" ref="AP782">_xlfn.IFS(AO782 &lt;= 3, "Recently[1-3]", AO782 &lt;= 6, "Due Soon[4-6]", AO782 &lt;= 10, "Overdue[7-10]", AO782 &lt;= 15, "Long Overdue[11-15]")</f>
        <v>Recently[1-3]</v>
      </c>
      <c r="AQ782" s="9" t="str" cm="1">
        <f t="array" ref="AQ782">_xlfn.IFS(AR782 &lt;= 3, "New Relationship[1-3]", AR782 &lt;= 7, "Established Relationship[4-7]", AR782 &lt;= 12, "Long Term Relationship[8-12]", AR782 &lt;= 17, "Very Long Term Relationship[13-17]")</f>
        <v>Long Term Relationship[8-12]</v>
      </c>
      <c r="AR782" s="1">
        <v>9</v>
      </c>
    </row>
    <row r="783" spans="1:44" x14ac:dyDescent="0.25">
      <c r="A783" s="1">
        <v>26</v>
      </c>
      <c r="B783" s="8" t="str" cm="1">
        <f t="array" ref="B783">_xlfn.IFS(A783 &lt;= 25, "[18-25]", A783 &lt;= 35, "[26-35]", A783 &lt;=45, "[36-45]", A783 &lt;= 60, "[46- 60]")</f>
        <v>[26-35]</v>
      </c>
      <c r="C783" s="3" t="s">
        <v>43</v>
      </c>
      <c r="D783">
        <f t="shared" si="12"/>
        <v>0</v>
      </c>
      <c r="E783" t="s">
        <v>36</v>
      </c>
      <c r="F783" s="1">
        <v>192</v>
      </c>
      <c r="G783" s="3" t="s">
        <v>45</v>
      </c>
      <c r="H783" s="1">
        <v>1</v>
      </c>
      <c r="I783" s="9" t="str" cm="1">
        <f t="array" ref="I783">_xlfn.IFS(H783 &lt;= 2, "[1-2] very close", H783 &lt;= 10, "[3-10] close", H783 &lt;= 20, "[11-20] moderate", H783 &lt;= 30, "[21-30] far")</f>
        <v>[1-2] very close</v>
      </c>
      <c r="J783" s="1">
        <v>2</v>
      </c>
      <c r="K783" s="3" t="s">
        <v>51</v>
      </c>
      <c r="L783" s="1">
        <v>1</v>
      </c>
      <c r="M783" s="1">
        <v>1083</v>
      </c>
      <c r="N783" s="1">
        <v>1</v>
      </c>
      <c r="O783" s="3" t="s">
        <v>46</v>
      </c>
      <c r="P783" s="1">
        <v>59</v>
      </c>
      <c r="Q783" s="1">
        <v>2</v>
      </c>
      <c r="R783" s="1">
        <v>1</v>
      </c>
      <c r="S783" s="3" t="s">
        <v>50</v>
      </c>
      <c r="T783" s="1">
        <v>1</v>
      </c>
      <c r="U783" s="3" t="s">
        <v>48</v>
      </c>
      <c r="V783" s="4">
        <v>3955</v>
      </c>
      <c r="W783" s="1">
        <v>11141</v>
      </c>
      <c r="X783" s="1">
        <v>1</v>
      </c>
      <c r="Y783" s="3" t="s">
        <v>42</v>
      </c>
      <c r="Z783" s="3" t="s">
        <v>43</v>
      </c>
      <c r="AA783" s="5">
        <v>0.16</v>
      </c>
      <c r="AB783" s="10" t="str" cm="1">
        <f t="array" ref="AB783">_xlfn.IFS(AA783 &lt;= 15%, "Low Hike[11-15%]", AA783 &lt;= 20%, "Moderate Hike[16-20%]", AA783 &lt;= 25%,"High Hike[21-25%]")</f>
        <v>Moderate Hike[16-20%]</v>
      </c>
      <c r="AC783" s="1">
        <v>3</v>
      </c>
      <c r="AD783" s="1">
        <v>1</v>
      </c>
      <c r="AE783" s="1">
        <v>80</v>
      </c>
      <c r="AF783" s="1">
        <v>2</v>
      </c>
      <c r="AG783" s="1">
        <v>6</v>
      </c>
      <c r="AH783" s="9" t="str" cm="1">
        <f t="array" ref="AH783">_xlfn.IFS(AG783 &lt;= 5, "New[1-5]", AG783 &lt;= 10, "Early Career[6-10]", AG783 &lt;= 20, "Established[11-20]", AG783 &lt;= 30, "Veteran[21-30]", AG783 &lt;= 40, "Late Career[31-40]")</f>
        <v>Early Career[6-10]</v>
      </c>
      <c r="AI783" s="1">
        <v>2</v>
      </c>
      <c r="AJ783" s="1">
        <v>3</v>
      </c>
      <c r="AK783" s="1">
        <v>5</v>
      </c>
      <c r="AL783" s="9" t="str" cm="1">
        <f t="array" ref="AL783">_xlfn.IFS(AK783 &lt;= 5, "New[1-5]", AK783 &lt;= 10, "Early Career[6-10]", AK783 &lt;= 20, "Established[11-20]", AK783 &lt;= 30, "Veteran[21-30]", AK783 &lt;= 40, "Late Career[31-40]")</f>
        <v>New[1-5]</v>
      </c>
      <c r="AM783" s="1">
        <v>3</v>
      </c>
      <c r="AN783" s="9" t="str" cm="1">
        <f t="array" ref="AN783">_xlfn.IFS(AM783 &lt;= 3, "New to Role[1-3]", AM783 &lt;= 7, "Settled[4-7]", AM783 &lt;= 12, "Experienced[[8-12]", AM783 &lt;= 18, "Long Tenured[13-18]")</f>
        <v>New to Role[1-3]</v>
      </c>
      <c r="AO783" s="1">
        <v>1</v>
      </c>
      <c r="AP783" s="9" t="str" cm="1">
        <f t="array" ref="AP783">_xlfn.IFS(AO783 &lt;= 3, "Recently[1-3]", AO783 &lt;= 6, "Due Soon[4-6]", AO783 &lt;= 10, "Overdue[7-10]", AO783 &lt;= 15, "Long Overdue[11-15]")</f>
        <v>Recently[1-3]</v>
      </c>
      <c r="AQ783" s="9" t="str" cm="1">
        <f t="array" ref="AQ783">_xlfn.IFS(AR783 &lt;= 3, "New Relationship[1-3]", AR783 &lt;= 7, "Established Relationship[4-7]", AR783 &lt;= 12, "Long Term Relationship[8-12]", AR783 &lt;= 17, "Very Long Term Relationship[13-17]")</f>
        <v>New Relationship[1-3]</v>
      </c>
      <c r="AR783" s="1">
        <v>3</v>
      </c>
    </row>
    <row r="784" spans="1:44" x14ac:dyDescent="0.25">
      <c r="A784" s="1">
        <v>30</v>
      </c>
      <c r="B784" s="8" t="str" cm="1">
        <f t="array" ref="B784">_xlfn.IFS(A784 &lt;= 25, "[18-25]", A784 &lt;= 35, "[26-35]", A784 &lt;=45, "[36-45]", A784 &lt;= 60, "[46- 60]")</f>
        <v>[26-35]</v>
      </c>
      <c r="C784" s="3" t="s">
        <v>43</v>
      </c>
      <c r="D784">
        <f t="shared" si="12"/>
        <v>0</v>
      </c>
      <c r="E784" t="s">
        <v>36</v>
      </c>
      <c r="F784" s="1">
        <v>1176</v>
      </c>
      <c r="G784" s="3" t="s">
        <v>45</v>
      </c>
      <c r="H784" s="1">
        <v>20</v>
      </c>
      <c r="I784" s="9" t="str" cm="1">
        <f t="array" ref="I784">_xlfn.IFS(H784 &lt;= 2, "[1-2] very close", H784 &lt;= 10, "[3-10] close", H784 &lt;= 20, "[11-20] moderate", H784 &lt;= 30, "[21-30] far")</f>
        <v>[11-20] moderate</v>
      </c>
      <c r="J784" s="1">
        <v>3</v>
      </c>
      <c r="K784" s="3" t="s">
        <v>49</v>
      </c>
      <c r="L784" s="1">
        <v>1</v>
      </c>
      <c r="M784" s="1">
        <v>1084</v>
      </c>
      <c r="N784" s="1">
        <v>3</v>
      </c>
      <c r="O784" s="3" t="s">
        <v>46</v>
      </c>
      <c r="P784" s="1">
        <v>85</v>
      </c>
      <c r="Q784" s="1">
        <v>3</v>
      </c>
      <c r="R784" s="1">
        <v>2</v>
      </c>
      <c r="S784" s="3" t="s">
        <v>53</v>
      </c>
      <c r="T784" s="1">
        <v>1</v>
      </c>
      <c r="U784" s="3" t="s">
        <v>48</v>
      </c>
      <c r="V784" s="4">
        <v>9957</v>
      </c>
      <c r="W784" s="1">
        <v>9096</v>
      </c>
      <c r="X784" s="1">
        <v>0</v>
      </c>
      <c r="Y784" s="3" t="s">
        <v>42</v>
      </c>
      <c r="Z784" s="3" t="s">
        <v>43</v>
      </c>
      <c r="AA784" s="5">
        <v>0.15</v>
      </c>
      <c r="AB784" s="10" t="str" cm="1">
        <f t="array" ref="AB784">_xlfn.IFS(AA784 &lt;= 15%, "Low Hike[11-15%]", AA784 &lt;= 20%, "Moderate Hike[16-20%]", AA784 &lt;= 25%,"High Hike[21-25%]")</f>
        <v>Low Hike[11-15%]</v>
      </c>
      <c r="AC784" s="1">
        <v>3</v>
      </c>
      <c r="AD784" s="1">
        <v>3</v>
      </c>
      <c r="AE784" s="1">
        <v>80</v>
      </c>
      <c r="AF784" s="1">
        <v>1</v>
      </c>
      <c r="AG784" s="1">
        <v>7</v>
      </c>
      <c r="AH784" s="9" t="str" cm="1">
        <f t="array" ref="AH784">_xlfn.IFS(AG784 &lt;= 5, "New[1-5]", AG784 &lt;= 10, "Early Career[6-10]", AG784 &lt;= 20, "Established[11-20]", AG784 &lt;= 30, "Veteran[21-30]", AG784 &lt;= 40, "Late Career[31-40]")</f>
        <v>Early Career[6-10]</v>
      </c>
      <c r="AI784" s="1">
        <v>1</v>
      </c>
      <c r="AJ784" s="1">
        <v>2</v>
      </c>
      <c r="AK784" s="1">
        <v>6</v>
      </c>
      <c r="AL784" s="9" t="str" cm="1">
        <f t="array" ref="AL784">_xlfn.IFS(AK784 &lt;= 5, "New[1-5]", AK784 &lt;= 10, "Early Career[6-10]", AK784 &lt;= 20, "Established[11-20]", AK784 &lt;= 30, "Veteran[21-30]", AK784 &lt;= 40, "Late Career[31-40]")</f>
        <v>Early Career[6-10]</v>
      </c>
      <c r="AM784" s="1">
        <v>2</v>
      </c>
      <c r="AN784" s="9" t="str" cm="1">
        <f t="array" ref="AN784">_xlfn.IFS(AM784 &lt;= 3, "New to Role[1-3]", AM784 &lt;= 7, "Settled[4-7]", AM784 &lt;= 12, "Experienced[[8-12]", AM784 &lt;= 18, "Long Tenured[13-18]")</f>
        <v>New to Role[1-3]</v>
      </c>
      <c r="AO784" s="1">
        <v>0</v>
      </c>
      <c r="AP784" s="9" t="str" cm="1">
        <f t="array" ref="AP784">_xlfn.IFS(AO784 &lt;= 3, "Recently[1-3]", AO784 &lt;= 6, "Due Soon[4-6]", AO784 &lt;= 10, "Overdue[7-10]", AO784 &lt;= 15, "Long Overdue[11-15]")</f>
        <v>Recently[1-3]</v>
      </c>
      <c r="AQ784" s="9" t="str" cm="1">
        <f t="array" ref="AQ784">_xlfn.IFS(AR784 &lt;= 3, "New Relationship[1-3]", AR784 &lt;= 7, "Established Relationship[4-7]", AR784 &lt;= 12, "Long Term Relationship[8-12]", AR784 &lt;= 17, "Very Long Term Relationship[13-17]")</f>
        <v>New Relationship[1-3]</v>
      </c>
      <c r="AR784" s="1">
        <v>2</v>
      </c>
    </row>
    <row r="785" spans="1:44" x14ac:dyDescent="0.25">
      <c r="A785" s="1">
        <v>41</v>
      </c>
      <c r="B785" s="8" t="str" cm="1">
        <f t="array" ref="B785">_xlfn.IFS(A785 &lt;= 25, "[18-25]", A785 &lt;= 35, "[26-35]", A785 &lt;=45, "[36-45]", A785 &lt;= 60, "[46- 60]")</f>
        <v>[36-45]</v>
      </c>
      <c r="C785" s="3" t="s">
        <v>43</v>
      </c>
      <c r="D785">
        <f t="shared" si="12"/>
        <v>0</v>
      </c>
      <c r="E785" t="s">
        <v>36</v>
      </c>
      <c r="F785" s="1">
        <v>509</v>
      </c>
      <c r="G785" s="3" t="s">
        <v>45</v>
      </c>
      <c r="H785" s="1">
        <v>7</v>
      </c>
      <c r="I785" s="9" t="str" cm="1">
        <f t="array" ref="I785">_xlfn.IFS(H785 &lt;= 2, "[1-2] very close", H785 &lt;= 10, "[3-10] close", H785 &lt;= 20, "[11-20] moderate", H785 &lt;= 30, "[21-30] far")</f>
        <v>[3-10] close</v>
      </c>
      <c r="J785" s="1">
        <v>2</v>
      </c>
      <c r="K785" s="3" t="s">
        <v>60</v>
      </c>
      <c r="L785" s="1">
        <v>1</v>
      </c>
      <c r="M785" s="1">
        <v>1085</v>
      </c>
      <c r="N785" s="1">
        <v>2</v>
      </c>
      <c r="O785" s="3" t="s">
        <v>39</v>
      </c>
      <c r="P785" s="1">
        <v>43</v>
      </c>
      <c r="Q785" s="1">
        <v>4</v>
      </c>
      <c r="R785" s="1">
        <v>1</v>
      </c>
      <c r="S785" s="3" t="s">
        <v>47</v>
      </c>
      <c r="T785" s="1">
        <v>3</v>
      </c>
      <c r="U785" s="3" t="s">
        <v>48</v>
      </c>
      <c r="V785" s="4">
        <v>3376</v>
      </c>
      <c r="W785" s="1">
        <v>18863</v>
      </c>
      <c r="X785" s="1">
        <v>1</v>
      </c>
      <c r="Y785" s="3" t="s">
        <v>42</v>
      </c>
      <c r="Z785" s="3" t="s">
        <v>43</v>
      </c>
      <c r="AA785" s="5">
        <v>0.13</v>
      </c>
      <c r="AB785" s="10" t="str" cm="1">
        <f t="array" ref="AB785">_xlfn.IFS(AA785 &lt;= 15%, "Low Hike[11-15%]", AA785 &lt;= 20%, "Moderate Hike[16-20%]", AA785 &lt;= 25%,"High Hike[21-25%]")</f>
        <v>Low Hike[11-15%]</v>
      </c>
      <c r="AC785" s="1">
        <v>3</v>
      </c>
      <c r="AD785" s="1">
        <v>3</v>
      </c>
      <c r="AE785" s="1">
        <v>80</v>
      </c>
      <c r="AF785" s="1">
        <v>0</v>
      </c>
      <c r="AG785" s="1">
        <v>10</v>
      </c>
      <c r="AH785" s="9" t="str" cm="1">
        <f t="array" ref="AH785">_xlfn.IFS(AG785 &lt;= 5, "New[1-5]", AG785 &lt;= 10, "Early Career[6-10]", AG785 &lt;= 20, "Established[11-20]", AG785 &lt;= 30, "Veteran[21-30]", AG785 &lt;= 40, "Late Career[31-40]")</f>
        <v>Early Career[6-10]</v>
      </c>
      <c r="AI785" s="1">
        <v>3</v>
      </c>
      <c r="AJ785" s="1">
        <v>3</v>
      </c>
      <c r="AK785" s="1">
        <v>10</v>
      </c>
      <c r="AL785" s="9" t="str" cm="1">
        <f t="array" ref="AL785">_xlfn.IFS(AK785 &lt;= 5, "New[1-5]", AK785 &lt;= 10, "Early Career[6-10]", AK785 &lt;= 20, "Established[11-20]", AK785 &lt;= 30, "Veteran[21-30]", AK785 &lt;= 40, "Late Career[31-40]")</f>
        <v>Early Career[6-10]</v>
      </c>
      <c r="AM785" s="1">
        <v>6</v>
      </c>
      <c r="AN785" s="9" t="str" cm="1">
        <f t="array" ref="AN785">_xlfn.IFS(AM785 &lt;= 3, "New to Role[1-3]", AM785 &lt;= 7, "Settled[4-7]", AM785 &lt;= 12, "Experienced[[8-12]", AM785 &lt;= 18, "Long Tenured[13-18]")</f>
        <v>Settled[4-7]</v>
      </c>
      <c r="AO785" s="1">
        <v>0</v>
      </c>
      <c r="AP785" s="9" t="str" cm="1">
        <f t="array" ref="AP785">_xlfn.IFS(AO785 &lt;= 3, "Recently[1-3]", AO785 &lt;= 6, "Due Soon[4-6]", AO785 &lt;= 10, "Overdue[7-10]", AO785 &lt;= 15, "Long Overdue[11-15]")</f>
        <v>Recently[1-3]</v>
      </c>
      <c r="AQ785" s="9" t="str" cm="1">
        <f t="array" ref="AQ785">_xlfn.IFS(AR785 &lt;= 3, "New Relationship[1-3]", AR785 &lt;= 7, "Established Relationship[4-7]", AR785 &lt;= 12, "Long Term Relationship[8-12]", AR785 &lt;= 17, "Very Long Term Relationship[13-17]")</f>
        <v>Long Term Relationship[8-12]</v>
      </c>
      <c r="AR785" s="1">
        <v>8</v>
      </c>
    </row>
    <row r="786" spans="1:44" x14ac:dyDescent="0.25">
      <c r="A786" s="1">
        <v>38</v>
      </c>
      <c r="B786" s="8" t="str" cm="1">
        <f t="array" ref="B786">_xlfn.IFS(A786 &lt;= 25, "[18-25]", A786 &lt;= 35, "[26-35]", A786 &lt;=45, "[36-45]", A786 &lt;= 60, "[46- 60]")</f>
        <v>[36-45]</v>
      </c>
      <c r="C786" s="3" t="s">
        <v>43</v>
      </c>
      <c r="D786">
        <f t="shared" si="12"/>
        <v>0</v>
      </c>
      <c r="E786" t="s">
        <v>36</v>
      </c>
      <c r="F786" s="1">
        <v>330</v>
      </c>
      <c r="G786" s="3" t="s">
        <v>45</v>
      </c>
      <c r="H786" s="1">
        <v>17</v>
      </c>
      <c r="I786" s="9" t="str" cm="1">
        <f t="array" ref="I786">_xlfn.IFS(H786 &lt;= 2, "[1-2] very close", H786 &lt;= 10, "[3-10] close", H786 &lt;= 20, "[11-20] moderate", H786 &lt;= 30, "[21-30] far")</f>
        <v>[11-20] moderate</v>
      </c>
      <c r="J786" s="1">
        <v>1</v>
      </c>
      <c r="K786" s="3" t="s">
        <v>38</v>
      </c>
      <c r="L786" s="1">
        <v>1</v>
      </c>
      <c r="M786" s="1">
        <v>1088</v>
      </c>
      <c r="N786" s="1">
        <v>3</v>
      </c>
      <c r="O786" s="3" t="s">
        <v>39</v>
      </c>
      <c r="P786" s="1">
        <v>65</v>
      </c>
      <c r="Q786" s="1">
        <v>2</v>
      </c>
      <c r="R786" s="1">
        <v>3</v>
      </c>
      <c r="S786" s="3" t="s">
        <v>54</v>
      </c>
      <c r="T786" s="1">
        <v>3</v>
      </c>
      <c r="U786" s="3" t="s">
        <v>48</v>
      </c>
      <c r="V786" s="4">
        <v>8823</v>
      </c>
      <c r="W786" s="1">
        <v>24608</v>
      </c>
      <c r="X786" s="1">
        <v>0</v>
      </c>
      <c r="Y786" s="3" t="s">
        <v>42</v>
      </c>
      <c r="Z786" s="3" t="s">
        <v>43</v>
      </c>
      <c r="AA786" s="5">
        <v>0.18</v>
      </c>
      <c r="AB786" s="10" t="str" cm="1">
        <f t="array" ref="AB786">_xlfn.IFS(AA786 &lt;= 15%, "Low Hike[11-15%]", AA786 &lt;= 20%, "Moderate Hike[16-20%]", AA786 &lt;= 25%,"High Hike[21-25%]")</f>
        <v>Moderate Hike[16-20%]</v>
      </c>
      <c r="AC786" s="1">
        <v>3</v>
      </c>
      <c r="AD786" s="1">
        <v>1</v>
      </c>
      <c r="AE786" s="1">
        <v>80</v>
      </c>
      <c r="AF786" s="1">
        <v>1</v>
      </c>
      <c r="AG786" s="1">
        <v>20</v>
      </c>
      <c r="AH786" s="9" t="str" cm="1">
        <f t="array" ref="AH786">_xlfn.IFS(AG786 &lt;= 5, "New[1-5]", AG786 &lt;= 10, "Early Career[6-10]", AG786 &lt;= 20, "Established[11-20]", AG786 &lt;= 30, "Veteran[21-30]", AG786 &lt;= 40, "Late Career[31-40]")</f>
        <v>Established[11-20]</v>
      </c>
      <c r="AI786" s="1">
        <v>4</v>
      </c>
      <c r="AJ786" s="1">
        <v>2</v>
      </c>
      <c r="AK786" s="1">
        <v>19</v>
      </c>
      <c r="AL786" s="9" t="str" cm="1">
        <f t="array" ref="AL786">_xlfn.IFS(AK786 &lt;= 5, "New[1-5]", AK786 &lt;= 10, "Early Career[6-10]", AK786 &lt;= 20, "Established[11-20]", AK786 &lt;= 30, "Veteran[21-30]", AK786 &lt;= 40, "Late Career[31-40]")</f>
        <v>Established[11-20]</v>
      </c>
      <c r="AM786" s="1">
        <v>9</v>
      </c>
      <c r="AN786" s="9" t="str" cm="1">
        <f t="array" ref="AN786">_xlfn.IFS(AM786 &lt;= 3, "New to Role[1-3]", AM786 &lt;= 7, "Settled[4-7]", AM786 &lt;= 12, "Experienced[[8-12]", AM786 &lt;= 18, "Long Tenured[13-18]")</f>
        <v>Experienced[[8-12]</v>
      </c>
      <c r="AO786" s="1">
        <v>1</v>
      </c>
      <c r="AP786" s="9" t="str" cm="1">
        <f t="array" ref="AP786">_xlfn.IFS(AO786 &lt;= 3, "Recently[1-3]", AO786 &lt;= 6, "Due Soon[4-6]", AO786 &lt;= 10, "Overdue[7-10]", AO786 &lt;= 15, "Long Overdue[11-15]")</f>
        <v>Recently[1-3]</v>
      </c>
      <c r="AQ786" s="9" t="str" cm="1">
        <f t="array" ref="AQ786">_xlfn.IFS(AR786 &lt;= 3, "New Relationship[1-3]", AR786 &lt;= 7, "Established Relationship[4-7]", AR786 &lt;= 12, "Long Term Relationship[8-12]", AR786 &lt;= 17, "Very Long Term Relationship[13-17]")</f>
        <v>Long Term Relationship[8-12]</v>
      </c>
      <c r="AR786" s="1">
        <v>9</v>
      </c>
    </row>
    <row r="787" spans="1:44" x14ac:dyDescent="0.25">
      <c r="A787" s="1">
        <v>40</v>
      </c>
      <c r="B787" s="8" t="str" cm="1">
        <f t="array" ref="B787">_xlfn.IFS(A787 &lt;= 25, "[18-25]", A787 &lt;= 35, "[26-35]", A787 &lt;=45, "[36-45]", A787 &lt;= 60, "[46- 60]")</f>
        <v>[36-45]</v>
      </c>
      <c r="C787" s="3" t="s">
        <v>43</v>
      </c>
      <c r="D787">
        <f t="shared" si="12"/>
        <v>0</v>
      </c>
      <c r="E787" t="s">
        <v>36</v>
      </c>
      <c r="F787" s="1">
        <v>1492</v>
      </c>
      <c r="G787" s="3" t="s">
        <v>45</v>
      </c>
      <c r="H787" s="1">
        <v>20</v>
      </c>
      <c r="I787" s="9" t="str" cm="1">
        <f t="array" ref="I787">_xlfn.IFS(H787 &lt;= 2, "[1-2] very close", H787 &lt;= 10, "[3-10] close", H787 &lt;= 20, "[11-20] moderate", H787 &lt;= 30, "[21-30] far")</f>
        <v>[11-20] moderate</v>
      </c>
      <c r="J787" s="1">
        <v>4</v>
      </c>
      <c r="K787" s="3" t="s">
        <v>60</v>
      </c>
      <c r="L787" s="1">
        <v>1</v>
      </c>
      <c r="M787" s="1">
        <v>1092</v>
      </c>
      <c r="N787" s="1">
        <v>1</v>
      </c>
      <c r="O787" s="3" t="s">
        <v>46</v>
      </c>
      <c r="P787" s="1">
        <v>61</v>
      </c>
      <c r="Q787" s="1">
        <v>3</v>
      </c>
      <c r="R787" s="1">
        <v>3</v>
      </c>
      <c r="S787" s="3" t="s">
        <v>54</v>
      </c>
      <c r="T787" s="1">
        <v>4</v>
      </c>
      <c r="U787" s="3" t="s">
        <v>48</v>
      </c>
      <c r="V787" s="4">
        <v>10322</v>
      </c>
      <c r="W787" s="1">
        <v>26542</v>
      </c>
      <c r="X787" s="1">
        <v>4</v>
      </c>
      <c r="Y787" s="3" t="s">
        <v>42</v>
      </c>
      <c r="Z787" s="3" t="s">
        <v>43</v>
      </c>
      <c r="AA787" s="5">
        <v>0.2</v>
      </c>
      <c r="AB787" s="10" t="str" cm="1">
        <f t="array" ref="AB787">_xlfn.IFS(AA787 &lt;= 15%, "Low Hike[11-15%]", AA787 &lt;= 20%, "Moderate Hike[16-20%]", AA787 &lt;= 25%,"High Hike[21-25%]")</f>
        <v>Moderate Hike[16-20%]</v>
      </c>
      <c r="AC787" s="1">
        <v>4</v>
      </c>
      <c r="AD787" s="1">
        <v>4</v>
      </c>
      <c r="AE787" s="1">
        <v>80</v>
      </c>
      <c r="AF787" s="1">
        <v>1</v>
      </c>
      <c r="AG787" s="1">
        <v>14</v>
      </c>
      <c r="AH787" s="9" t="str" cm="1">
        <f t="array" ref="AH787">_xlfn.IFS(AG787 &lt;= 5, "New[1-5]", AG787 &lt;= 10, "Early Career[6-10]", AG787 &lt;= 20, "Established[11-20]", AG787 &lt;= 30, "Veteran[21-30]", AG787 &lt;= 40, "Late Career[31-40]")</f>
        <v>Established[11-20]</v>
      </c>
      <c r="AI787" s="1">
        <v>6</v>
      </c>
      <c r="AJ787" s="1">
        <v>3</v>
      </c>
      <c r="AK787" s="1">
        <v>11</v>
      </c>
      <c r="AL787" s="9" t="str" cm="1">
        <f t="array" ref="AL787">_xlfn.IFS(AK787 &lt;= 5, "New[1-5]", AK787 &lt;= 10, "Early Career[6-10]", AK787 &lt;= 20, "Established[11-20]", AK787 &lt;= 30, "Veteran[21-30]", AK787 &lt;= 40, "Late Career[31-40]")</f>
        <v>Established[11-20]</v>
      </c>
      <c r="AM787" s="1">
        <v>10</v>
      </c>
      <c r="AN787" s="9" t="str" cm="1">
        <f t="array" ref="AN787">_xlfn.IFS(AM787 &lt;= 3, "New to Role[1-3]", AM787 &lt;= 7, "Settled[4-7]", AM787 &lt;= 12, "Experienced[[8-12]", AM787 &lt;= 18, "Long Tenured[13-18]")</f>
        <v>Experienced[[8-12]</v>
      </c>
      <c r="AO787" s="1">
        <v>11</v>
      </c>
      <c r="AP787" s="9" t="str" cm="1">
        <f t="array" ref="AP787">_xlfn.IFS(AO787 &lt;= 3, "Recently[1-3]", AO787 &lt;= 6, "Due Soon[4-6]", AO787 &lt;= 10, "Overdue[7-10]", AO787 &lt;= 15, "Long Overdue[11-15]")</f>
        <v>Long Overdue[11-15]</v>
      </c>
      <c r="AQ787" s="9" t="str" cm="1">
        <f t="array" ref="AQ787">_xlfn.IFS(AR787 &lt;= 3, "New Relationship[1-3]", AR787 &lt;= 7, "Established Relationship[4-7]", AR787 &lt;= 12, "Long Term Relationship[8-12]", AR787 &lt;= 17, "Very Long Term Relationship[13-17]")</f>
        <v>New Relationship[1-3]</v>
      </c>
      <c r="AR787" s="1">
        <v>1</v>
      </c>
    </row>
    <row r="788" spans="1:44" x14ac:dyDescent="0.25">
      <c r="A788" s="1">
        <v>27</v>
      </c>
      <c r="B788" s="8" t="str" cm="1">
        <f t="array" ref="B788">_xlfn.IFS(A788 &lt;= 25, "[18-25]", A788 &lt;= 35, "[26-35]", A788 &lt;=45, "[36-45]", A788 &lt;= 60, "[46- 60]")</f>
        <v>[26-35]</v>
      </c>
      <c r="C788" s="3" t="s">
        <v>43</v>
      </c>
      <c r="D788">
        <f t="shared" si="12"/>
        <v>0</v>
      </c>
      <c r="E788" t="s">
        <v>62</v>
      </c>
      <c r="F788" s="1">
        <v>1277</v>
      </c>
      <c r="G788" s="3" t="s">
        <v>45</v>
      </c>
      <c r="H788" s="1">
        <v>8</v>
      </c>
      <c r="I788" s="9" t="str" cm="1">
        <f t="array" ref="I788">_xlfn.IFS(H788 &lt;= 2, "[1-2] very close", H788 &lt;= 10, "[3-10] close", H788 &lt;= 20, "[11-20] moderate", H788 &lt;= 30, "[21-30] far")</f>
        <v>[3-10] close</v>
      </c>
      <c r="J788" s="1">
        <v>5</v>
      </c>
      <c r="K788" s="3" t="s">
        <v>38</v>
      </c>
      <c r="L788" s="1">
        <v>1</v>
      </c>
      <c r="M788" s="1">
        <v>1094</v>
      </c>
      <c r="N788" s="1">
        <v>1</v>
      </c>
      <c r="O788" s="3" t="s">
        <v>46</v>
      </c>
      <c r="P788" s="1">
        <v>87</v>
      </c>
      <c r="Q788" s="1">
        <v>1</v>
      </c>
      <c r="R788" s="1">
        <v>1</v>
      </c>
      <c r="S788" s="3" t="s">
        <v>50</v>
      </c>
      <c r="T788" s="1">
        <v>3</v>
      </c>
      <c r="U788" s="3" t="s">
        <v>48</v>
      </c>
      <c r="V788" s="4">
        <v>4621</v>
      </c>
      <c r="W788" s="1">
        <v>5869</v>
      </c>
      <c r="X788" s="1">
        <v>1</v>
      </c>
      <c r="Y788" s="3" t="s">
        <v>42</v>
      </c>
      <c r="Z788" s="3" t="s">
        <v>43</v>
      </c>
      <c r="AA788" s="5">
        <v>0.19</v>
      </c>
      <c r="AB788" s="10" t="str" cm="1">
        <f t="array" ref="AB788">_xlfn.IFS(AA788 &lt;= 15%, "Low Hike[11-15%]", AA788 &lt;= 20%, "Moderate Hike[16-20%]", AA788 &lt;= 25%,"High Hike[21-25%]")</f>
        <v>Moderate Hike[16-20%]</v>
      </c>
      <c r="AC788" s="1">
        <v>3</v>
      </c>
      <c r="AD788" s="1">
        <v>4</v>
      </c>
      <c r="AE788" s="1">
        <v>80</v>
      </c>
      <c r="AF788" s="1">
        <v>3</v>
      </c>
      <c r="AG788" s="1">
        <v>3</v>
      </c>
      <c r="AH788" s="9" t="str" cm="1">
        <f t="array" ref="AH788">_xlfn.IFS(AG788 &lt;= 5, "New[1-5]", AG788 &lt;= 10, "Early Career[6-10]", AG788 &lt;= 20, "Established[11-20]", AG788 &lt;= 30, "Veteran[21-30]", AG788 &lt;= 40, "Late Career[31-40]")</f>
        <v>New[1-5]</v>
      </c>
      <c r="AI788" s="1">
        <v>4</v>
      </c>
      <c r="AJ788" s="1">
        <v>3</v>
      </c>
      <c r="AK788" s="1">
        <v>3</v>
      </c>
      <c r="AL788" s="9" t="str" cm="1">
        <f t="array" ref="AL788">_xlfn.IFS(AK788 &lt;= 5, "New[1-5]", AK788 &lt;= 10, "Early Career[6-10]", AK788 &lt;= 20, "Established[11-20]", AK788 &lt;= 30, "Veteran[21-30]", AK788 &lt;= 40, "Late Career[31-40]")</f>
        <v>New[1-5]</v>
      </c>
      <c r="AM788" s="1">
        <v>2</v>
      </c>
      <c r="AN788" s="9" t="str" cm="1">
        <f t="array" ref="AN788">_xlfn.IFS(AM788 &lt;= 3, "New to Role[1-3]", AM788 &lt;= 7, "Settled[4-7]", AM788 &lt;= 12, "Experienced[[8-12]", AM788 &lt;= 18, "Long Tenured[13-18]")</f>
        <v>New to Role[1-3]</v>
      </c>
      <c r="AO788" s="1">
        <v>1</v>
      </c>
      <c r="AP788" s="9" t="str" cm="1">
        <f t="array" ref="AP788">_xlfn.IFS(AO788 &lt;= 3, "Recently[1-3]", AO788 &lt;= 6, "Due Soon[4-6]", AO788 &lt;= 10, "Overdue[7-10]", AO788 &lt;= 15, "Long Overdue[11-15]")</f>
        <v>Recently[1-3]</v>
      </c>
      <c r="AQ788" s="9" t="str" cm="1">
        <f t="array" ref="AQ788">_xlfn.IFS(AR788 &lt;= 3, "New Relationship[1-3]", AR788 &lt;= 7, "Established Relationship[4-7]", AR788 &lt;= 12, "Long Term Relationship[8-12]", AR788 &lt;= 17, "Very Long Term Relationship[13-17]")</f>
        <v>New Relationship[1-3]</v>
      </c>
      <c r="AR788" s="1">
        <v>2</v>
      </c>
    </row>
    <row r="789" spans="1:44" x14ac:dyDescent="0.25">
      <c r="A789" s="1">
        <v>55</v>
      </c>
      <c r="B789" s="8" t="str" cm="1">
        <f t="array" ref="B789">_xlfn.IFS(A789 &lt;= 25, "[18-25]", A789 &lt;= 35, "[26-35]", A789 &lt;=45, "[36-45]", A789 &lt;= 60, "[46- 60]")</f>
        <v>[46- 60]</v>
      </c>
      <c r="C789" s="3" t="s">
        <v>43</v>
      </c>
      <c r="D789">
        <f t="shared" si="12"/>
        <v>0</v>
      </c>
      <c r="E789" t="s">
        <v>44</v>
      </c>
      <c r="F789" s="1">
        <v>1091</v>
      </c>
      <c r="G789" s="3" t="s">
        <v>45</v>
      </c>
      <c r="H789" s="1">
        <v>2</v>
      </c>
      <c r="I789" s="9" t="str" cm="1">
        <f t="array" ref="I789">_xlfn.IFS(H789 &lt;= 2, "[1-2] very close", H789 &lt;= 10, "[3-10] close", H789 &lt;= 20, "[11-20] moderate", H789 &lt;= 30, "[21-30] far")</f>
        <v>[1-2] very close</v>
      </c>
      <c r="J789" s="1">
        <v>1</v>
      </c>
      <c r="K789" s="3" t="s">
        <v>38</v>
      </c>
      <c r="L789" s="1">
        <v>1</v>
      </c>
      <c r="M789" s="1">
        <v>1096</v>
      </c>
      <c r="N789" s="1">
        <v>4</v>
      </c>
      <c r="O789" s="3" t="s">
        <v>46</v>
      </c>
      <c r="P789" s="1">
        <v>65</v>
      </c>
      <c r="Q789" s="1">
        <v>3</v>
      </c>
      <c r="R789" s="1">
        <v>3</v>
      </c>
      <c r="S789" s="3" t="s">
        <v>53</v>
      </c>
      <c r="T789" s="1">
        <v>2</v>
      </c>
      <c r="U789" s="3" t="s">
        <v>48</v>
      </c>
      <c r="V789" s="4">
        <v>10976</v>
      </c>
      <c r="W789" s="1">
        <v>15813</v>
      </c>
      <c r="X789" s="1">
        <v>3</v>
      </c>
      <c r="Y789" s="3" t="s">
        <v>42</v>
      </c>
      <c r="Z789" s="3" t="s">
        <v>43</v>
      </c>
      <c r="AA789" s="5">
        <v>0.18</v>
      </c>
      <c r="AB789" s="10" t="str" cm="1">
        <f t="array" ref="AB789">_xlfn.IFS(AA789 &lt;= 15%, "Low Hike[11-15%]", AA789 &lt;= 20%, "Moderate Hike[16-20%]", AA789 &lt;= 25%,"High Hike[21-25%]")</f>
        <v>Moderate Hike[16-20%]</v>
      </c>
      <c r="AC789" s="1">
        <v>3</v>
      </c>
      <c r="AD789" s="1">
        <v>2</v>
      </c>
      <c r="AE789" s="1">
        <v>80</v>
      </c>
      <c r="AF789" s="1">
        <v>1</v>
      </c>
      <c r="AG789" s="1">
        <v>23</v>
      </c>
      <c r="AH789" s="9" t="str" cm="1">
        <f t="array" ref="AH789">_xlfn.IFS(AG789 &lt;= 5, "New[1-5]", AG789 &lt;= 10, "Early Career[6-10]", AG789 &lt;= 20, "Established[11-20]", AG789 &lt;= 30, "Veteran[21-30]", AG789 &lt;= 40, "Late Career[31-40]")</f>
        <v>Veteran[21-30]</v>
      </c>
      <c r="AI789" s="1">
        <v>4</v>
      </c>
      <c r="AJ789" s="1">
        <v>3</v>
      </c>
      <c r="AK789" s="1">
        <v>3</v>
      </c>
      <c r="AL789" s="9" t="str" cm="1">
        <f t="array" ref="AL789">_xlfn.IFS(AK789 &lt;= 5, "New[1-5]", AK789 &lt;= 10, "Early Career[6-10]", AK789 &lt;= 20, "Established[11-20]", AK789 &lt;= 30, "Veteran[21-30]", AK789 &lt;= 40, "Late Career[31-40]")</f>
        <v>New[1-5]</v>
      </c>
      <c r="AM789" s="1">
        <v>2</v>
      </c>
      <c r="AN789" s="9" t="str" cm="1">
        <f t="array" ref="AN789">_xlfn.IFS(AM789 &lt;= 3, "New to Role[1-3]", AM789 &lt;= 7, "Settled[4-7]", AM789 &lt;= 12, "Experienced[[8-12]", AM789 &lt;= 18, "Long Tenured[13-18]")</f>
        <v>New to Role[1-3]</v>
      </c>
      <c r="AO789" s="1">
        <v>1</v>
      </c>
      <c r="AP789" s="9" t="str" cm="1">
        <f t="array" ref="AP789">_xlfn.IFS(AO789 &lt;= 3, "Recently[1-3]", AO789 &lt;= 6, "Due Soon[4-6]", AO789 &lt;= 10, "Overdue[7-10]", AO789 &lt;= 15, "Long Overdue[11-15]")</f>
        <v>Recently[1-3]</v>
      </c>
      <c r="AQ789" s="9" t="str" cm="1">
        <f t="array" ref="AQ789">_xlfn.IFS(AR789 &lt;= 3, "New Relationship[1-3]", AR789 &lt;= 7, "Established Relationship[4-7]", AR789 &lt;= 12, "Long Term Relationship[8-12]", AR789 &lt;= 17, "Very Long Term Relationship[13-17]")</f>
        <v>New Relationship[1-3]</v>
      </c>
      <c r="AR789" s="1">
        <v>2</v>
      </c>
    </row>
    <row r="790" spans="1:44" x14ac:dyDescent="0.25">
      <c r="A790" s="1">
        <v>28</v>
      </c>
      <c r="B790" s="8" t="str" cm="1">
        <f t="array" ref="B790">_xlfn.IFS(A790 &lt;= 25, "[18-25]", A790 &lt;= 35, "[26-35]", A790 &lt;=45, "[36-45]", A790 &lt;= 60, "[46- 60]")</f>
        <v>[26-35]</v>
      </c>
      <c r="C790" s="3" t="s">
        <v>43</v>
      </c>
      <c r="D790">
        <f t="shared" si="12"/>
        <v>0</v>
      </c>
      <c r="E790" t="s">
        <v>36</v>
      </c>
      <c r="F790" s="1">
        <v>857</v>
      </c>
      <c r="G790" s="3" t="s">
        <v>45</v>
      </c>
      <c r="H790" s="1">
        <v>10</v>
      </c>
      <c r="I790" s="9" t="str" cm="1">
        <f t="array" ref="I790">_xlfn.IFS(H790 &lt;= 2, "[1-2] very close", H790 &lt;= 10, "[3-10] close", H790 &lt;= 20, "[11-20] moderate", H790 &lt;= 30, "[21-30] far")</f>
        <v>[3-10] close</v>
      </c>
      <c r="J790" s="1">
        <v>3</v>
      </c>
      <c r="K790" s="3" t="s">
        <v>49</v>
      </c>
      <c r="L790" s="1">
        <v>1</v>
      </c>
      <c r="M790" s="1">
        <v>1097</v>
      </c>
      <c r="N790" s="1">
        <v>3</v>
      </c>
      <c r="O790" s="3" t="s">
        <v>39</v>
      </c>
      <c r="P790" s="1">
        <v>59</v>
      </c>
      <c r="Q790" s="1">
        <v>3</v>
      </c>
      <c r="R790" s="1">
        <v>2</v>
      </c>
      <c r="S790" s="3" t="s">
        <v>47</v>
      </c>
      <c r="T790" s="1">
        <v>3</v>
      </c>
      <c r="U790" s="3" t="s">
        <v>41</v>
      </c>
      <c r="V790" s="4">
        <v>3660</v>
      </c>
      <c r="W790" s="1">
        <v>7909</v>
      </c>
      <c r="X790" s="1">
        <v>3</v>
      </c>
      <c r="Y790" s="3" t="s">
        <v>42</v>
      </c>
      <c r="Z790" s="3" t="s">
        <v>43</v>
      </c>
      <c r="AA790" s="5">
        <v>0.13</v>
      </c>
      <c r="AB790" s="10" t="str" cm="1">
        <f t="array" ref="AB790">_xlfn.IFS(AA790 &lt;= 15%, "Low Hike[11-15%]", AA790 &lt;= 20%, "Moderate Hike[16-20%]", AA790 &lt;= 25%,"High Hike[21-25%]")</f>
        <v>Low Hike[11-15%]</v>
      </c>
      <c r="AC790" s="1">
        <v>3</v>
      </c>
      <c r="AD790" s="1">
        <v>4</v>
      </c>
      <c r="AE790" s="1">
        <v>80</v>
      </c>
      <c r="AF790" s="1">
        <v>0</v>
      </c>
      <c r="AG790" s="1">
        <v>10</v>
      </c>
      <c r="AH790" s="9" t="str" cm="1">
        <f t="array" ref="AH790">_xlfn.IFS(AG790 &lt;= 5, "New[1-5]", AG790 &lt;= 10, "Early Career[6-10]", AG790 &lt;= 20, "Established[11-20]", AG790 &lt;= 30, "Veteran[21-30]", AG790 &lt;= 40, "Late Career[31-40]")</f>
        <v>Early Career[6-10]</v>
      </c>
      <c r="AI790" s="1">
        <v>4</v>
      </c>
      <c r="AJ790" s="1">
        <v>4</v>
      </c>
      <c r="AK790" s="1">
        <v>8</v>
      </c>
      <c r="AL790" s="9" t="str" cm="1">
        <f t="array" ref="AL790">_xlfn.IFS(AK790 &lt;= 5, "New[1-5]", AK790 &lt;= 10, "Early Career[6-10]", AK790 &lt;= 20, "Established[11-20]", AK790 &lt;= 30, "Veteran[21-30]", AK790 &lt;= 40, "Late Career[31-40]")</f>
        <v>Early Career[6-10]</v>
      </c>
      <c r="AM790" s="1">
        <v>7</v>
      </c>
      <c r="AN790" s="9" t="str" cm="1">
        <f t="array" ref="AN790">_xlfn.IFS(AM790 &lt;= 3, "New to Role[1-3]", AM790 &lt;= 7, "Settled[4-7]", AM790 &lt;= 12, "Experienced[[8-12]", AM790 &lt;= 18, "Long Tenured[13-18]")</f>
        <v>Settled[4-7]</v>
      </c>
      <c r="AO790" s="1">
        <v>1</v>
      </c>
      <c r="AP790" s="9" t="str" cm="1">
        <f t="array" ref="AP790">_xlfn.IFS(AO790 &lt;= 3, "Recently[1-3]", AO790 &lt;= 6, "Due Soon[4-6]", AO790 &lt;= 10, "Overdue[7-10]", AO790 &lt;= 15, "Long Overdue[11-15]")</f>
        <v>Recently[1-3]</v>
      </c>
      <c r="AQ790" s="9" t="str" cm="1">
        <f t="array" ref="AQ790">_xlfn.IFS(AR790 &lt;= 3, "New Relationship[1-3]", AR790 &lt;= 7, "Established Relationship[4-7]", AR790 &lt;= 12, "Long Term Relationship[8-12]", AR790 &lt;= 17, "Very Long Term Relationship[13-17]")</f>
        <v>Established Relationship[4-7]</v>
      </c>
      <c r="AR790" s="1">
        <v>7</v>
      </c>
    </row>
    <row r="791" spans="1:44" x14ac:dyDescent="0.25">
      <c r="A791" s="1">
        <v>44</v>
      </c>
      <c r="B791" s="8" t="str" cm="1">
        <f t="array" ref="B791">_xlfn.IFS(A791 &lt;= 25, "[18-25]", A791 &lt;= 35, "[26-35]", A791 &lt;=45, "[36-45]", A791 &lt;= 60, "[46- 60]")</f>
        <v>[36-45]</v>
      </c>
      <c r="C791" s="3" t="s">
        <v>35</v>
      </c>
      <c r="D791">
        <f t="shared" si="12"/>
        <v>1</v>
      </c>
      <c r="E791" t="s">
        <v>36</v>
      </c>
      <c r="F791" s="1">
        <v>1376</v>
      </c>
      <c r="G791" s="3" t="s">
        <v>61</v>
      </c>
      <c r="H791" s="1">
        <v>1</v>
      </c>
      <c r="I791" s="9" t="str" cm="1">
        <f t="array" ref="I791">_xlfn.IFS(H791 &lt;= 2, "[1-2] very close", H791 &lt;= 10, "[3-10] close", H791 &lt;= 20, "[11-20] moderate", H791 &lt;= 30, "[21-30] far")</f>
        <v>[1-2] very close</v>
      </c>
      <c r="J791" s="1">
        <v>2</v>
      </c>
      <c r="K791" s="3" t="s">
        <v>51</v>
      </c>
      <c r="L791" s="1">
        <v>1</v>
      </c>
      <c r="M791" s="1">
        <v>1098</v>
      </c>
      <c r="N791" s="1">
        <v>2</v>
      </c>
      <c r="O791" s="3" t="s">
        <v>46</v>
      </c>
      <c r="P791" s="1">
        <v>91</v>
      </c>
      <c r="Q791" s="1">
        <v>2</v>
      </c>
      <c r="R791" s="1">
        <v>3</v>
      </c>
      <c r="S791" s="3" t="s">
        <v>61</v>
      </c>
      <c r="T791" s="1">
        <v>1</v>
      </c>
      <c r="U791" s="3" t="s">
        <v>48</v>
      </c>
      <c r="V791" s="4">
        <v>10482</v>
      </c>
      <c r="W791" s="1">
        <v>2326</v>
      </c>
      <c r="X791" s="1">
        <v>9</v>
      </c>
      <c r="Y791" s="3" t="s">
        <v>42</v>
      </c>
      <c r="Z791" s="3" t="s">
        <v>43</v>
      </c>
      <c r="AA791" s="5">
        <v>0.14000000000000001</v>
      </c>
      <c r="AB791" s="10" t="str" cm="1">
        <f t="array" ref="AB791">_xlfn.IFS(AA791 &lt;= 15%, "Low Hike[11-15%]", AA791 &lt;= 20%, "Moderate Hike[16-20%]", AA791 &lt;= 25%,"High Hike[21-25%]")</f>
        <v>Low Hike[11-15%]</v>
      </c>
      <c r="AC791" s="1">
        <v>3</v>
      </c>
      <c r="AD791" s="1">
        <v>4</v>
      </c>
      <c r="AE791" s="1">
        <v>80</v>
      </c>
      <c r="AF791" s="1">
        <v>1</v>
      </c>
      <c r="AG791" s="1">
        <v>24</v>
      </c>
      <c r="AH791" s="9" t="str" cm="1">
        <f t="array" ref="AH791">_xlfn.IFS(AG791 &lt;= 5, "New[1-5]", AG791 &lt;= 10, "Early Career[6-10]", AG791 &lt;= 20, "Established[11-20]", AG791 &lt;= 30, "Veteran[21-30]", AG791 &lt;= 40, "Late Career[31-40]")</f>
        <v>Veteran[21-30]</v>
      </c>
      <c r="AI791" s="1">
        <v>1</v>
      </c>
      <c r="AJ791" s="1">
        <v>3</v>
      </c>
      <c r="AK791" s="1">
        <v>20</v>
      </c>
      <c r="AL791" s="9" t="str" cm="1">
        <f t="array" ref="AL791">_xlfn.IFS(AK791 &lt;= 5, "New[1-5]", AK791 &lt;= 10, "Early Career[6-10]", AK791 &lt;= 20, "Established[11-20]", AK791 &lt;= 30, "Veteran[21-30]", AK791 &lt;= 40, "Late Career[31-40]")</f>
        <v>Established[11-20]</v>
      </c>
      <c r="AM791" s="1">
        <v>6</v>
      </c>
      <c r="AN791" s="9" t="str" cm="1">
        <f t="array" ref="AN791">_xlfn.IFS(AM791 &lt;= 3, "New to Role[1-3]", AM791 &lt;= 7, "Settled[4-7]", AM791 &lt;= 12, "Experienced[[8-12]", AM791 &lt;= 18, "Long Tenured[13-18]")</f>
        <v>Settled[4-7]</v>
      </c>
      <c r="AO791" s="1">
        <v>3</v>
      </c>
      <c r="AP791" s="9" t="str" cm="1">
        <f t="array" ref="AP791">_xlfn.IFS(AO791 &lt;= 3, "Recently[1-3]", AO791 &lt;= 6, "Due Soon[4-6]", AO791 &lt;= 10, "Overdue[7-10]", AO791 &lt;= 15, "Long Overdue[11-15]")</f>
        <v>Recently[1-3]</v>
      </c>
      <c r="AQ791" s="9" t="str" cm="1">
        <f t="array" ref="AQ791">_xlfn.IFS(AR791 &lt;= 3, "New Relationship[1-3]", AR791 &lt;= 7, "Established Relationship[4-7]", AR791 &lt;= 12, "Long Term Relationship[8-12]", AR791 &lt;= 17, "Very Long Term Relationship[13-17]")</f>
        <v>Established Relationship[4-7]</v>
      </c>
      <c r="AR791" s="1">
        <v>6</v>
      </c>
    </row>
    <row r="792" spans="1:44" x14ac:dyDescent="0.25">
      <c r="A792" s="1">
        <v>33</v>
      </c>
      <c r="B792" s="8" t="str" cm="1">
        <f t="array" ref="B792">_xlfn.IFS(A792 &lt;= 25, "[18-25]", A792 &lt;= 35, "[26-35]", A792 &lt;=45, "[36-45]", A792 &lt;= 60, "[46- 60]")</f>
        <v>[26-35]</v>
      </c>
      <c r="C792" s="3" t="s">
        <v>43</v>
      </c>
      <c r="D792">
        <f t="shared" si="12"/>
        <v>0</v>
      </c>
      <c r="E792" t="s">
        <v>36</v>
      </c>
      <c r="F792" s="1">
        <v>654</v>
      </c>
      <c r="G792" s="3" t="s">
        <v>45</v>
      </c>
      <c r="H792" s="1">
        <v>5</v>
      </c>
      <c r="I792" s="9" t="str" cm="1">
        <f t="array" ref="I792">_xlfn.IFS(H792 &lt;= 2, "[1-2] very close", H792 &lt;= 10, "[3-10] close", H792 &lt;= 20, "[11-20] moderate", H792 &lt;= 30, "[21-30] far")</f>
        <v>[3-10] close</v>
      </c>
      <c r="J792" s="1">
        <v>3</v>
      </c>
      <c r="K792" s="3" t="s">
        <v>38</v>
      </c>
      <c r="L792" s="1">
        <v>1</v>
      </c>
      <c r="M792" s="1">
        <v>1099</v>
      </c>
      <c r="N792" s="1">
        <v>4</v>
      </c>
      <c r="O792" s="3" t="s">
        <v>46</v>
      </c>
      <c r="P792" s="1">
        <v>34</v>
      </c>
      <c r="Q792" s="1">
        <v>2</v>
      </c>
      <c r="R792" s="1">
        <v>3</v>
      </c>
      <c r="S792" s="3" t="s">
        <v>54</v>
      </c>
      <c r="T792" s="1">
        <v>4</v>
      </c>
      <c r="U792" s="3" t="s">
        <v>52</v>
      </c>
      <c r="V792" s="4">
        <v>7119</v>
      </c>
      <c r="W792" s="1">
        <v>21214</v>
      </c>
      <c r="X792" s="1">
        <v>4</v>
      </c>
      <c r="Y792" s="3" t="s">
        <v>42</v>
      </c>
      <c r="Z792" s="3" t="s">
        <v>43</v>
      </c>
      <c r="AA792" s="5">
        <v>0.15</v>
      </c>
      <c r="AB792" s="10" t="str" cm="1">
        <f t="array" ref="AB792">_xlfn.IFS(AA792 &lt;= 15%, "Low Hike[11-15%]", AA792 &lt;= 20%, "Moderate Hike[16-20%]", AA792 &lt;= 25%,"High Hike[21-25%]")</f>
        <v>Low Hike[11-15%]</v>
      </c>
      <c r="AC792" s="1">
        <v>3</v>
      </c>
      <c r="AD792" s="1">
        <v>3</v>
      </c>
      <c r="AE792" s="1">
        <v>80</v>
      </c>
      <c r="AF792" s="1">
        <v>1</v>
      </c>
      <c r="AG792" s="1">
        <v>9</v>
      </c>
      <c r="AH792" s="9" t="str" cm="1">
        <f t="array" ref="AH792">_xlfn.IFS(AG792 &lt;= 5, "New[1-5]", AG792 &lt;= 10, "Early Career[6-10]", AG792 &lt;= 20, "Established[11-20]", AG792 &lt;= 30, "Veteran[21-30]", AG792 &lt;= 40, "Late Career[31-40]")</f>
        <v>Early Career[6-10]</v>
      </c>
      <c r="AI792" s="1">
        <v>2</v>
      </c>
      <c r="AJ792" s="1">
        <v>3</v>
      </c>
      <c r="AK792" s="1">
        <v>3</v>
      </c>
      <c r="AL792" s="9" t="str" cm="1">
        <f t="array" ref="AL792">_xlfn.IFS(AK792 &lt;= 5, "New[1-5]", AK792 &lt;= 10, "Early Career[6-10]", AK792 &lt;= 20, "Established[11-20]", AK792 &lt;= 30, "Veteran[21-30]", AK792 &lt;= 40, "Late Career[31-40]")</f>
        <v>New[1-5]</v>
      </c>
      <c r="AM792" s="1">
        <v>2</v>
      </c>
      <c r="AN792" s="9" t="str" cm="1">
        <f t="array" ref="AN792">_xlfn.IFS(AM792 &lt;= 3, "New to Role[1-3]", AM792 &lt;= 7, "Settled[4-7]", AM792 &lt;= 12, "Experienced[[8-12]", AM792 &lt;= 18, "Long Tenured[13-18]")</f>
        <v>New to Role[1-3]</v>
      </c>
      <c r="AO792" s="1">
        <v>1</v>
      </c>
      <c r="AP792" s="9" t="str" cm="1">
        <f t="array" ref="AP792">_xlfn.IFS(AO792 &lt;= 3, "Recently[1-3]", AO792 &lt;= 6, "Due Soon[4-6]", AO792 &lt;= 10, "Overdue[7-10]", AO792 &lt;= 15, "Long Overdue[11-15]")</f>
        <v>Recently[1-3]</v>
      </c>
      <c r="AQ792" s="9" t="str" cm="1">
        <f t="array" ref="AQ792">_xlfn.IFS(AR792 &lt;= 3, "New Relationship[1-3]", AR792 &lt;= 7, "Established Relationship[4-7]", AR792 &lt;= 12, "Long Term Relationship[8-12]", AR792 &lt;= 17, "Very Long Term Relationship[13-17]")</f>
        <v>New Relationship[1-3]</v>
      </c>
      <c r="AR792" s="1">
        <v>2</v>
      </c>
    </row>
    <row r="793" spans="1:44" x14ac:dyDescent="0.25">
      <c r="A793" s="1">
        <v>35</v>
      </c>
      <c r="B793" s="8" t="str" cm="1">
        <f t="array" ref="B793">_xlfn.IFS(A793 &lt;= 25, "[18-25]", A793 &lt;= 35, "[26-35]", A793 &lt;=45, "[36-45]", A793 &lt;= 60, "[46- 60]")</f>
        <v>[26-35]</v>
      </c>
      <c r="C793" s="3" t="s">
        <v>35</v>
      </c>
      <c r="D793">
        <f t="shared" si="12"/>
        <v>1</v>
      </c>
      <c r="E793" t="s">
        <v>36</v>
      </c>
      <c r="F793" s="1">
        <v>1204</v>
      </c>
      <c r="G793" s="3" t="s">
        <v>37</v>
      </c>
      <c r="H793" s="1">
        <v>4</v>
      </c>
      <c r="I793" s="9" t="str" cm="1">
        <f t="array" ref="I793">_xlfn.IFS(H793 &lt;= 2, "[1-2] very close", H793 &lt;= 10, "[3-10] close", H793 &lt;= 20, "[11-20] moderate", H793 &lt;= 30, "[21-30] far")</f>
        <v>[3-10] close</v>
      </c>
      <c r="J793" s="1">
        <v>3</v>
      </c>
      <c r="K793" s="3" t="s">
        <v>60</v>
      </c>
      <c r="L793" s="1">
        <v>1</v>
      </c>
      <c r="M793" s="1">
        <v>1100</v>
      </c>
      <c r="N793" s="1">
        <v>4</v>
      </c>
      <c r="O793" s="3" t="s">
        <v>46</v>
      </c>
      <c r="P793" s="1">
        <v>86</v>
      </c>
      <c r="Q793" s="1">
        <v>3</v>
      </c>
      <c r="R793" s="1">
        <v>3</v>
      </c>
      <c r="S793" s="3" t="s">
        <v>40</v>
      </c>
      <c r="T793" s="1">
        <v>1</v>
      </c>
      <c r="U793" s="3" t="s">
        <v>41</v>
      </c>
      <c r="V793" s="4">
        <v>9582</v>
      </c>
      <c r="W793" s="1">
        <v>10333</v>
      </c>
      <c r="X793" s="1">
        <v>0</v>
      </c>
      <c r="Y793" s="3" t="s">
        <v>42</v>
      </c>
      <c r="Z793" s="3" t="s">
        <v>35</v>
      </c>
      <c r="AA793" s="5">
        <v>0.22</v>
      </c>
      <c r="AB793" s="10" t="str" cm="1">
        <f t="array" ref="AB793">_xlfn.IFS(AA793 &lt;= 15%, "Low Hike[11-15%]", AA793 &lt;= 20%, "Moderate Hike[16-20%]", AA793 &lt;= 25%,"High Hike[21-25%]")</f>
        <v>High Hike[21-25%]</v>
      </c>
      <c r="AC793" s="1">
        <v>4</v>
      </c>
      <c r="AD793" s="1">
        <v>1</v>
      </c>
      <c r="AE793" s="1">
        <v>80</v>
      </c>
      <c r="AF793" s="1">
        <v>0</v>
      </c>
      <c r="AG793" s="1">
        <v>9</v>
      </c>
      <c r="AH793" s="9" t="str" cm="1">
        <f t="array" ref="AH793">_xlfn.IFS(AG793 &lt;= 5, "New[1-5]", AG793 &lt;= 10, "Early Career[6-10]", AG793 &lt;= 20, "Established[11-20]", AG793 &lt;= 30, "Veteran[21-30]", AG793 &lt;= 40, "Late Career[31-40]")</f>
        <v>Early Career[6-10]</v>
      </c>
      <c r="AI793" s="1">
        <v>2</v>
      </c>
      <c r="AJ793" s="1">
        <v>3</v>
      </c>
      <c r="AK793" s="1">
        <v>8</v>
      </c>
      <c r="AL793" s="9" t="str" cm="1">
        <f t="array" ref="AL793">_xlfn.IFS(AK793 &lt;= 5, "New[1-5]", AK793 &lt;= 10, "Early Career[6-10]", AK793 &lt;= 20, "Established[11-20]", AK793 &lt;= 30, "Veteran[21-30]", AK793 &lt;= 40, "Late Career[31-40]")</f>
        <v>Early Career[6-10]</v>
      </c>
      <c r="AM793" s="1">
        <v>7</v>
      </c>
      <c r="AN793" s="9" t="str" cm="1">
        <f t="array" ref="AN793">_xlfn.IFS(AM793 &lt;= 3, "New to Role[1-3]", AM793 &lt;= 7, "Settled[4-7]", AM793 &lt;= 12, "Experienced[[8-12]", AM793 &lt;= 18, "Long Tenured[13-18]")</f>
        <v>Settled[4-7]</v>
      </c>
      <c r="AO793" s="1">
        <v>4</v>
      </c>
      <c r="AP793" s="9" t="str" cm="1">
        <f t="array" ref="AP793">_xlfn.IFS(AO793 &lt;= 3, "Recently[1-3]", AO793 &lt;= 6, "Due Soon[4-6]", AO793 &lt;= 10, "Overdue[7-10]", AO793 &lt;= 15, "Long Overdue[11-15]")</f>
        <v>Due Soon[4-6]</v>
      </c>
      <c r="AQ793" s="9" t="str" cm="1">
        <f t="array" ref="AQ793">_xlfn.IFS(AR793 &lt;= 3, "New Relationship[1-3]", AR793 &lt;= 7, "Established Relationship[4-7]", AR793 &lt;= 12, "Long Term Relationship[8-12]", AR793 &lt;= 17, "Very Long Term Relationship[13-17]")</f>
        <v>Established Relationship[4-7]</v>
      </c>
      <c r="AR793" s="1">
        <v>7</v>
      </c>
    </row>
    <row r="794" spans="1:44" x14ac:dyDescent="0.25">
      <c r="A794" s="1">
        <v>33</v>
      </c>
      <c r="B794" s="8" t="str" cm="1">
        <f t="array" ref="B794">_xlfn.IFS(A794 &lt;= 25, "[18-25]", A794 &lt;= 35, "[26-35]", A794 &lt;=45, "[36-45]", A794 &lt;= 60, "[46- 60]")</f>
        <v>[26-35]</v>
      </c>
      <c r="C794" s="3" t="s">
        <v>35</v>
      </c>
      <c r="D794">
        <f t="shared" si="12"/>
        <v>1</v>
      </c>
      <c r="E794" t="s">
        <v>44</v>
      </c>
      <c r="F794" s="1">
        <v>827</v>
      </c>
      <c r="G794" s="3" t="s">
        <v>45</v>
      </c>
      <c r="H794" s="1">
        <v>29</v>
      </c>
      <c r="I794" s="9" t="str" cm="1">
        <f t="array" ref="I794">_xlfn.IFS(H794 &lt;= 2, "[1-2] very close", H794 &lt;= 10, "[3-10] close", H794 &lt;= 20, "[11-20] moderate", H794 &lt;= 30, "[21-30] far")</f>
        <v>[21-30] far</v>
      </c>
      <c r="J794" s="1">
        <v>4</v>
      </c>
      <c r="K794" s="3" t="s">
        <v>51</v>
      </c>
      <c r="L794" s="1">
        <v>1</v>
      </c>
      <c r="M794" s="1">
        <v>1101</v>
      </c>
      <c r="N794" s="1">
        <v>1</v>
      </c>
      <c r="O794" s="3" t="s">
        <v>39</v>
      </c>
      <c r="P794" s="1">
        <v>54</v>
      </c>
      <c r="Q794" s="1">
        <v>2</v>
      </c>
      <c r="R794" s="1">
        <v>2</v>
      </c>
      <c r="S794" s="3" t="s">
        <v>47</v>
      </c>
      <c r="T794" s="1">
        <v>3</v>
      </c>
      <c r="U794" s="3" t="s">
        <v>41</v>
      </c>
      <c r="V794" s="4">
        <v>4508</v>
      </c>
      <c r="W794" s="1">
        <v>3129</v>
      </c>
      <c r="X794" s="1">
        <v>1</v>
      </c>
      <c r="Y794" s="3" t="s">
        <v>42</v>
      </c>
      <c r="Z794" s="3" t="s">
        <v>43</v>
      </c>
      <c r="AA794" s="5">
        <v>0.22</v>
      </c>
      <c r="AB794" s="10" t="str" cm="1">
        <f t="array" ref="AB794">_xlfn.IFS(AA794 &lt;= 15%, "Low Hike[11-15%]", AA794 &lt;= 20%, "Moderate Hike[16-20%]", AA794 &lt;= 25%,"High Hike[21-25%]")</f>
        <v>High Hike[21-25%]</v>
      </c>
      <c r="AC794" s="1">
        <v>4</v>
      </c>
      <c r="AD794" s="1">
        <v>2</v>
      </c>
      <c r="AE794" s="1">
        <v>80</v>
      </c>
      <c r="AF794" s="1">
        <v>0</v>
      </c>
      <c r="AG794" s="1">
        <v>14</v>
      </c>
      <c r="AH794" s="9" t="str" cm="1">
        <f t="array" ref="AH794">_xlfn.IFS(AG794 &lt;= 5, "New[1-5]", AG794 &lt;= 10, "Early Career[6-10]", AG794 &lt;= 20, "Established[11-20]", AG794 &lt;= 30, "Veteran[21-30]", AG794 &lt;= 40, "Late Career[31-40]")</f>
        <v>Established[11-20]</v>
      </c>
      <c r="AI794" s="1">
        <v>4</v>
      </c>
      <c r="AJ794" s="1">
        <v>3</v>
      </c>
      <c r="AK794" s="1">
        <v>13</v>
      </c>
      <c r="AL794" s="9" t="str" cm="1">
        <f t="array" ref="AL794">_xlfn.IFS(AK794 &lt;= 5, "New[1-5]", AK794 &lt;= 10, "Early Career[6-10]", AK794 &lt;= 20, "Established[11-20]", AK794 &lt;= 30, "Veteran[21-30]", AK794 &lt;= 40, "Late Career[31-40]")</f>
        <v>Established[11-20]</v>
      </c>
      <c r="AM794" s="1">
        <v>7</v>
      </c>
      <c r="AN794" s="9" t="str" cm="1">
        <f t="array" ref="AN794">_xlfn.IFS(AM794 &lt;= 3, "New to Role[1-3]", AM794 &lt;= 7, "Settled[4-7]", AM794 &lt;= 12, "Experienced[[8-12]", AM794 &lt;= 18, "Long Tenured[13-18]")</f>
        <v>Settled[4-7]</v>
      </c>
      <c r="AO794" s="1">
        <v>3</v>
      </c>
      <c r="AP794" s="9" t="str" cm="1">
        <f t="array" ref="AP794">_xlfn.IFS(AO794 &lt;= 3, "Recently[1-3]", AO794 &lt;= 6, "Due Soon[4-6]", AO794 &lt;= 10, "Overdue[7-10]", AO794 &lt;= 15, "Long Overdue[11-15]")</f>
        <v>Recently[1-3]</v>
      </c>
      <c r="AQ794" s="9" t="str" cm="1">
        <f t="array" ref="AQ794">_xlfn.IFS(AR794 &lt;= 3, "New Relationship[1-3]", AR794 &lt;= 7, "Established Relationship[4-7]", AR794 &lt;= 12, "Long Term Relationship[8-12]", AR794 &lt;= 17, "Very Long Term Relationship[13-17]")</f>
        <v>Long Term Relationship[8-12]</v>
      </c>
      <c r="AR794" s="1">
        <v>8</v>
      </c>
    </row>
    <row r="795" spans="1:44" x14ac:dyDescent="0.25">
      <c r="A795" s="1">
        <v>28</v>
      </c>
      <c r="B795" s="8" t="str" cm="1">
        <f t="array" ref="B795">_xlfn.IFS(A795 &lt;= 25, "[18-25]", A795 &lt;= 35, "[26-35]", A795 &lt;=45, "[36-45]", A795 &lt;= 60, "[46- 60]")</f>
        <v>[26-35]</v>
      </c>
      <c r="C795" s="3" t="s">
        <v>43</v>
      </c>
      <c r="D795">
        <f t="shared" si="12"/>
        <v>0</v>
      </c>
      <c r="E795" t="s">
        <v>36</v>
      </c>
      <c r="F795" s="1">
        <v>895</v>
      </c>
      <c r="G795" s="3" t="s">
        <v>45</v>
      </c>
      <c r="H795" s="1">
        <v>15</v>
      </c>
      <c r="I795" s="9" t="str" cm="1">
        <f t="array" ref="I795">_xlfn.IFS(H795 &lt;= 2, "[1-2] very close", H795 &lt;= 10, "[3-10] close", H795 &lt;= 20, "[11-20] moderate", H795 &lt;= 30, "[21-30] far")</f>
        <v>[11-20] moderate</v>
      </c>
      <c r="J795" s="1">
        <v>2</v>
      </c>
      <c r="K795" s="3" t="s">
        <v>38</v>
      </c>
      <c r="L795" s="1">
        <v>1</v>
      </c>
      <c r="M795" s="1">
        <v>1102</v>
      </c>
      <c r="N795" s="1">
        <v>1</v>
      </c>
      <c r="O795" s="3" t="s">
        <v>46</v>
      </c>
      <c r="P795" s="1">
        <v>50</v>
      </c>
      <c r="Q795" s="1">
        <v>3</v>
      </c>
      <c r="R795" s="1">
        <v>1</v>
      </c>
      <c r="S795" s="3" t="s">
        <v>50</v>
      </c>
      <c r="T795" s="1">
        <v>3</v>
      </c>
      <c r="U795" s="3" t="s">
        <v>52</v>
      </c>
      <c r="V795" s="4">
        <v>2207</v>
      </c>
      <c r="W795" s="1">
        <v>22482</v>
      </c>
      <c r="X795" s="1">
        <v>1</v>
      </c>
      <c r="Y795" s="3" t="s">
        <v>42</v>
      </c>
      <c r="Z795" s="3" t="s">
        <v>43</v>
      </c>
      <c r="AA795" s="5">
        <v>0.16</v>
      </c>
      <c r="AB795" s="10" t="str" cm="1">
        <f t="array" ref="AB795">_xlfn.IFS(AA795 &lt;= 15%, "Low Hike[11-15%]", AA795 &lt;= 20%, "Moderate Hike[16-20%]", AA795 &lt;= 25%,"High Hike[21-25%]")</f>
        <v>Moderate Hike[16-20%]</v>
      </c>
      <c r="AC795" s="1">
        <v>3</v>
      </c>
      <c r="AD795" s="1">
        <v>4</v>
      </c>
      <c r="AE795" s="1">
        <v>80</v>
      </c>
      <c r="AF795" s="1">
        <v>1</v>
      </c>
      <c r="AG795" s="1">
        <v>4</v>
      </c>
      <c r="AH795" s="9" t="str" cm="1">
        <f t="array" ref="AH795">_xlfn.IFS(AG795 &lt;= 5, "New[1-5]", AG795 &lt;= 10, "Early Career[6-10]", AG795 &lt;= 20, "Established[11-20]", AG795 &lt;= 30, "Veteran[21-30]", AG795 &lt;= 40, "Late Career[31-40]")</f>
        <v>New[1-5]</v>
      </c>
      <c r="AI795" s="1">
        <v>5</v>
      </c>
      <c r="AJ795" s="1">
        <v>2</v>
      </c>
      <c r="AK795" s="1">
        <v>4</v>
      </c>
      <c r="AL795" s="9" t="str" cm="1">
        <f t="array" ref="AL795">_xlfn.IFS(AK795 &lt;= 5, "New[1-5]", AK795 &lt;= 10, "Early Career[6-10]", AK795 &lt;= 20, "Established[11-20]", AK795 &lt;= 30, "Veteran[21-30]", AK795 &lt;= 40, "Late Career[31-40]")</f>
        <v>New[1-5]</v>
      </c>
      <c r="AM795" s="1">
        <v>2</v>
      </c>
      <c r="AN795" s="9" t="str" cm="1">
        <f t="array" ref="AN795">_xlfn.IFS(AM795 &lt;= 3, "New to Role[1-3]", AM795 &lt;= 7, "Settled[4-7]", AM795 &lt;= 12, "Experienced[[8-12]", AM795 &lt;= 18, "Long Tenured[13-18]")</f>
        <v>New to Role[1-3]</v>
      </c>
      <c r="AO795" s="1">
        <v>2</v>
      </c>
      <c r="AP795" s="9" t="str" cm="1">
        <f t="array" ref="AP795">_xlfn.IFS(AO795 &lt;= 3, "Recently[1-3]", AO795 &lt;= 6, "Due Soon[4-6]", AO795 &lt;= 10, "Overdue[7-10]", AO795 &lt;= 15, "Long Overdue[11-15]")</f>
        <v>Recently[1-3]</v>
      </c>
      <c r="AQ795" s="9" t="str" cm="1">
        <f t="array" ref="AQ795">_xlfn.IFS(AR795 &lt;= 3, "New Relationship[1-3]", AR795 &lt;= 7, "Established Relationship[4-7]", AR795 &lt;= 12, "Long Term Relationship[8-12]", AR795 &lt;= 17, "Very Long Term Relationship[13-17]")</f>
        <v>New Relationship[1-3]</v>
      </c>
      <c r="AR795" s="1">
        <v>2</v>
      </c>
    </row>
    <row r="796" spans="1:44" x14ac:dyDescent="0.25">
      <c r="A796" s="1">
        <v>34</v>
      </c>
      <c r="B796" s="8" t="str" cm="1">
        <f t="array" ref="B796">_xlfn.IFS(A796 &lt;= 25, "[18-25]", A796 &lt;= 35, "[26-35]", A796 &lt;=45, "[36-45]", A796 &lt;= 60, "[46- 60]")</f>
        <v>[26-35]</v>
      </c>
      <c r="C796" s="3" t="s">
        <v>43</v>
      </c>
      <c r="D796">
        <f t="shared" si="12"/>
        <v>0</v>
      </c>
      <c r="E796" t="s">
        <v>44</v>
      </c>
      <c r="F796" s="1">
        <v>618</v>
      </c>
      <c r="G796" s="3" t="s">
        <v>45</v>
      </c>
      <c r="H796" s="1">
        <v>3</v>
      </c>
      <c r="I796" s="9" t="str" cm="1">
        <f t="array" ref="I796">_xlfn.IFS(H796 &lt;= 2, "[1-2] very close", H796 &lt;= 10, "[3-10] close", H796 &lt;= 20, "[11-20] moderate", H796 &lt;= 30, "[21-30] far")</f>
        <v>[3-10] close</v>
      </c>
      <c r="J796" s="1">
        <v>1</v>
      </c>
      <c r="K796" s="3" t="s">
        <v>38</v>
      </c>
      <c r="L796" s="1">
        <v>1</v>
      </c>
      <c r="M796" s="1">
        <v>1103</v>
      </c>
      <c r="N796" s="1">
        <v>1</v>
      </c>
      <c r="O796" s="3" t="s">
        <v>46</v>
      </c>
      <c r="P796" s="1">
        <v>45</v>
      </c>
      <c r="Q796" s="1">
        <v>3</v>
      </c>
      <c r="R796" s="1">
        <v>2</v>
      </c>
      <c r="S796" s="3" t="s">
        <v>54</v>
      </c>
      <c r="T796" s="1">
        <v>4</v>
      </c>
      <c r="U796" s="3" t="s">
        <v>41</v>
      </c>
      <c r="V796" s="4">
        <v>7756</v>
      </c>
      <c r="W796" s="1">
        <v>22266</v>
      </c>
      <c r="X796" s="1">
        <v>0</v>
      </c>
      <c r="Y796" s="3" t="s">
        <v>42</v>
      </c>
      <c r="Z796" s="3" t="s">
        <v>43</v>
      </c>
      <c r="AA796" s="5">
        <v>0.17</v>
      </c>
      <c r="AB796" s="10" t="str" cm="1">
        <f t="array" ref="AB796">_xlfn.IFS(AA796 &lt;= 15%, "Low Hike[11-15%]", AA796 &lt;= 20%, "Moderate Hike[16-20%]", AA796 &lt;= 25%,"High Hike[21-25%]")</f>
        <v>Moderate Hike[16-20%]</v>
      </c>
      <c r="AC796" s="1">
        <v>3</v>
      </c>
      <c r="AD796" s="1">
        <v>3</v>
      </c>
      <c r="AE796" s="1">
        <v>80</v>
      </c>
      <c r="AF796" s="1">
        <v>0</v>
      </c>
      <c r="AG796" s="1">
        <v>7</v>
      </c>
      <c r="AH796" s="9" t="str" cm="1">
        <f t="array" ref="AH796">_xlfn.IFS(AG796 &lt;= 5, "New[1-5]", AG796 &lt;= 10, "Early Career[6-10]", AG796 &lt;= 20, "Established[11-20]", AG796 &lt;= 30, "Veteran[21-30]", AG796 &lt;= 40, "Late Career[31-40]")</f>
        <v>Early Career[6-10]</v>
      </c>
      <c r="AI796" s="1">
        <v>1</v>
      </c>
      <c r="AJ796" s="1">
        <v>2</v>
      </c>
      <c r="AK796" s="1">
        <v>6</v>
      </c>
      <c r="AL796" s="9" t="str" cm="1">
        <f t="array" ref="AL796">_xlfn.IFS(AK796 &lt;= 5, "New[1-5]", AK796 &lt;= 10, "Early Career[6-10]", AK796 &lt;= 20, "Established[11-20]", AK796 &lt;= 30, "Veteran[21-30]", AK796 &lt;= 40, "Late Career[31-40]")</f>
        <v>Early Career[6-10]</v>
      </c>
      <c r="AM796" s="1">
        <v>2</v>
      </c>
      <c r="AN796" s="9" t="str" cm="1">
        <f t="array" ref="AN796">_xlfn.IFS(AM796 &lt;= 3, "New to Role[1-3]", AM796 &lt;= 7, "Settled[4-7]", AM796 &lt;= 12, "Experienced[[8-12]", AM796 &lt;= 18, "Long Tenured[13-18]")</f>
        <v>New to Role[1-3]</v>
      </c>
      <c r="AO796" s="1">
        <v>0</v>
      </c>
      <c r="AP796" s="9" t="str" cm="1">
        <f t="array" ref="AP796">_xlfn.IFS(AO796 &lt;= 3, "Recently[1-3]", AO796 &lt;= 6, "Due Soon[4-6]", AO796 &lt;= 10, "Overdue[7-10]", AO796 &lt;= 15, "Long Overdue[11-15]")</f>
        <v>Recently[1-3]</v>
      </c>
      <c r="AQ796" s="9" t="str" cm="1">
        <f t="array" ref="AQ796">_xlfn.IFS(AR796 &lt;= 3, "New Relationship[1-3]", AR796 &lt;= 7, "Established Relationship[4-7]", AR796 &lt;= 12, "Long Term Relationship[8-12]", AR796 &lt;= 17, "Very Long Term Relationship[13-17]")</f>
        <v>Established Relationship[4-7]</v>
      </c>
      <c r="AR796" s="1">
        <v>4</v>
      </c>
    </row>
    <row r="797" spans="1:44" x14ac:dyDescent="0.25">
      <c r="A797" s="1">
        <v>37</v>
      </c>
      <c r="B797" s="8" t="str" cm="1">
        <f t="array" ref="B797">_xlfn.IFS(A797 &lt;= 25, "[18-25]", A797 &lt;= 35, "[26-35]", A797 &lt;=45, "[36-45]", A797 &lt;= 60, "[46- 60]")</f>
        <v>[36-45]</v>
      </c>
      <c r="C797" s="3" t="s">
        <v>43</v>
      </c>
      <c r="D797">
        <f t="shared" si="12"/>
        <v>0</v>
      </c>
      <c r="E797" t="s">
        <v>36</v>
      </c>
      <c r="F797" s="1">
        <v>309</v>
      </c>
      <c r="G797" s="3" t="s">
        <v>37</v>
      </c>
      <c r="H797" s="1">
        <v>10</v>
      </c>
      <c r="I797" s="9" t="str" cm="1">
        <f t="array" ref="I797">_xlfn.IFS(H797 &lt;= 2, "[1-2] very close", H797 &lt;= 10, "[3-10] close", H797 &lt;= 20, "[11-20] moderate", H797 &lt;= 30, "[21-30] far")</f>
        <v>[3-10] close</v>
      </c>
      <c r="J797" s="1">
        <v>4</v>
      </c>
      <c r="K797" s="3" t="s">
        <v>38</v>
      </c>
      <c r="L797" s="1">
        <v>1</v>
      </c>
      <c r="M797" s="1">
        <v>1105</v>
      </c>
      <c r="N797" s="1">
        <v>4</v>
      </c>
      <c r="O797" s="3" t="s">
        <v>39</v>
      </c>
      <c r="P797" s="1">
        <v>88</v>
      </c>
      <c r="Q797" s="1">
        <v>2</v>
      </c>
      <c r="R797" s="1">
        <v>2</v>
      </c>
      <c r="S797" s="3" t="s">
        <v>40</v>
      </c>
      <c r="T797" s="1">
        <v>4</v>
      </c>
      <c r="U797" s="3" t="s">
        <v>52</v>
      </c>
      <c r="V797" s="4">
        <v>6694</v>
      </c>
      <c r="W797" s="1">
        <v>24223</v>
      </c>
      <c r="X797" s="1">
        <v>2</v>
      </c>
      <c r="Y797" s="3" t="s">
        <v>42</v>
      </c>
      <c r="Z797" s="3" t="s">
        <v>35</v>
      </c>
      <c r="AA797" s="5">
        <v>0.14000000000000001</v>
      </c>
      <c r="AB797" s="10" t="str" cm="1">
        <f t="array" ref="AB797">_xlfn.IFS(AA797 &lt;= 15%, "Low Hike[11-15%]", AA797 &lt;= 20%, "Moderate Hike[16-20%]", AA797 &lt;= 25%,"High Hike[21-25%]")</f>
        <v>Low Hike[11-15%]</v>
      </c>
      <c r="AC797" s="1">
        <v>3</v>
      </c>
      <c r="AD797" s="1">
        <v>3</v>
      </c>
      <c r="AE797" s="1">
        <v>80</v>
      </c>
      <c r="AF797" s="1">
        <v>3</v>
      </c>
      <c r="AG797" s="1">
        <v>8</v>
      </c>
      <c r="AH797" s="9" t="str" cm="1">
        <f t="array" ref="AH797">_xlfn.IFS(AG797 &lt;= 5, "New[1-5]", AG797 &lt;= 10, "Early Career[6-10]", AG797 &lt;= 20, "Established[11-20]", AG797 &lt;= 30, "Veteran[21-30]", AG797 &lt;= 40, "Late Career[31-40]")</f>
        <v>Early Career[6-10]</v>
      </c>
      <c r="AI797" s="1">
        <v>5</v>
      </c>
      <c r="AJ797" s="1">
        <v>3</v>
      </c>
      <c r="AK797" s="1">
        <v>1</v>
      </c>
      <c r="AL797" s="9" t="str" cm="1">
        <f t="array" ref="AL797">_xlfn.IFS(AK797 &lt;= 5, "New[1-5]", AK797 &lt;= 10, "Early Career[6-10]", AK797 &lt;= 20, "Established[11-20]", AK797 &lt;= 30, "Veteran[21-30]", AK797 &lt;= 40, "Late Career[31-40]")</f>
        <v>New[1-5]</v>
      </c>
      <c r="AM797" s="1">
        <v>0</v>
      </c>
      <c r="AN797" s="9" t="str" cm="1">
        <f t="array" ref="AN797">_xlfn.IFS(AM797 &lt;= 3, "New to Role[1-3]", AM797 &lt;= 7, "Settled[4-7]", AM797 &lt;= 12, "Experienced[[8-12]", AM797 &lt;= 18, "Long Tenured[13-18]")</f>
        <v>New to Role[1-3]</v>
      </c>
      <c r="AO797" s="1">
        <v>0</v>
      </c>
      <c r="AP797" s="9" t="str" cm="1">
        <f t="array" ref="AP797">_xlfn.IFS(AO797 &lt;= 3, "Recently[1-3]", AO797 &lt;= 6, "Due Soon[4-6]", AO797 &lt;= 10, "Overdue[7-10]", AO797 &lt;= 15, "Long Overdue[11-15]")</f>
        <v>Recently[1-3]</v>
      </c>
      <c r="AQ797" s="9" t="str" cm="1">
        <f t="array" ref="AQ797">_xlfn.IFS(AR797 &lt;= 3, "New Relationship[1-3]", AR797 &lt;= 7, "Established Relationship[4-7]", AR797 &lt;= 12, "Long Term Relationship[8-12]", AR797 &lt;= 17, "Very Long Term Relationship[13-17]")</f>
        <v>New Relationship[1-3]</v>
      </c>
      <c r="AR797" s="1">
        <v>0</v>
      </c>
    </row>
    <row r="798" spans="1:44" x14ac:dyDescent="0.25">
      <c r="A798" s="1">
        <v>25</v>
      </c>
      <c r="B798" s="8" t="str" cm="1">
        <f t="array" ref="B798">_xlfn.IFS(A798 &lt;= 25, "[18-25]", A798 &lt;= 35, "[26-35]", A798 &lt;=45, "[36-45]", A798 &lt;= 60, "[46- 60]")</f>
        <v>[18-25]</v>
      </c>
      <c r="C798" s="3" t="s">
        <v>35</v>
      </c>
      <c r="D798">
        <f t="shared" si="12"/>
        <v>1</v>
      </c>
      <c r="E798" t="s">
        <v>36</v>
      </c>
      <c r="F798" s="1">
        <v>1219</v>
      </c>
      <c r="G798" s="3" t="s">
        <v>45</v>
      </c>
      <c r="H798" s="1">
        <v>4</v>
      </c>
      <c r="I798" s="9" t="str" cm="1">
        <f t="array" ref="I798">_xlfn.IFS(H798 &lt;= 2, "[1-2] very close", H798 &lt;= 10, "[3-10] close", H798 &lt;= 20, "[11-20] moderate", H798 &lt;= 30, "[21-30] far")</f>
        <v>[3-10] close</v>
      </c>
      <c r="J798" s="1">
        <v>1</v>
      </c>
      <c r="K798" s="3" t="s">
        <v>60</v>
      </c>
      <c r="L798" s="1">
        <v>1</v>
      </c>
      <c r="M798" s="1">
        <v>1106</v>
      </c>
      <c r="N798" s="1">
        <v>4</v>
      </c>
      <c r="O798" s="3" t="s">
        <v>46</v>
      </c>
      <c r="P798" s="1">
        <v>32</v>
      </c>
      <c r="Q798" s="1">
        <v>3</v>
      </c>
      <c r="R798" s="1">
        <v>1</v>
      </c>
      <c r="S798" s="3" t="s">
        <v>50</v>
      </c>
      <c r="T798" s="1">
        <v>4</v>
      </c>
      <c r="U798" s="3" t="s">
        <v>48</v>
      </c>
      <c r="V798" s="4">
        <v>3691</v>
      </c>
      <c r="W798" s="1">
        <v>4605</v>
      </c>
      <c r="X798" s="1">
        <v>1</v>
      </c>
      <c r="Y798" s="3" t="s">
        <v>42</v>
      </c>
      <c r="Z798" s="3" t="s">
        <v>35</v>
      </c>
      <c r="AA798" s="5">
        <v>0.15</v>
      </c>
      <c r="AB798" s="10" t="str" cm="1">
        <f t="array" ref="AB798">_xlfn.IFS(AA798 &lt;= 15%, "Low Hike[11-15%]", AA798 &lt;= 20%, "Moderate Hike[16-20%]", AA798 &lt;= 25%,"High Hike[21-25%]")</f>
        <v>Low Hike[11-15%]</v>
      </c>
      <c r="AC798" s="1">
        <v>3</v>
      </c>
      <c r="AD798" s="1">
        <v>2</v>
      </c>
      <c r="AE798" s="1">
        <v>80</v>
      </c>
      <c r="AF798" s="1">
        <v>1</v>
      </c>
      <c r="AG798" s="1">
        <v>7</v>
      </c>
      <c r="AH798" s="9" t="str" cm="1">
        <f t="array" ref="AH798">_xlfn.IFS(AG798 &lt;= 5, "New[1-5]", AG798 &lt;= 10, "Early Career[6-10]", AG798 &lt;= 20, "Established[11-20]", AG798 &lt;= 30, "Veteran[21-30]", AG798 &lt;= 40, "Late Career[31-40]")</f>
        <v>Early Career[6-10]</v>
      </c>
      <c r="AI798" s="1">
        <v>3</v>
      </c>
      <c r="AJ798" s="1">
        <v>4</v>
      </c>
      <c r="AK798" s="1">
        <v>7</v>
      </c>
      <c r="AL798" s="9" t="str" cm="1">
        <f t="array" ref="AL798">_xlfn.IFS(AK798 &lt;= 5, "New[1-5]", AK798 &lt;= 10, "Early Career[6-10]", AK798 &lt;= 20, "Established[11-20]", AK798 &lt;= 30, "Veteran[21-30]", AK798 &lt;= 40, "Late Career[31-40]")</f>
        <v>Early Career[6-10]</v>
      </c>
      <c r="AM798" s="1">
        <v>7</v>
      </c>
      <c r="AN798" s="9" t="str" cm="1">
        <f t="array" ref="AN798">_xlfn.IFS(AM798 &lt;= 3, "New to Role[1-3]", AM798 &lt;= 7, "Settled[4-7]", AM798 &lt;= 12, "Experienced[[8-12]", AM798 &lt;= 18, "Long Tenured[13-18]")</f>
        <v>Settled[4-7]</v>
      </c>
      <c r="AO798" s="1">
        <v>5</v>
      </c>
      <c r="AP798" s="9" t="str" cm="1">
        <f t="array" ref="AP798">_xlfn.IFS(AO798 &lt;= 3, "Recently[1-3]", AO798 &lt;= 6, "Due Soon[4-6]", AO798 &lt;= 10, "Overdue[7-10]", AO798 &lt;= 15, "Long Overdue[11-15]")</f>
        <v>Due Soon[4-6]</v>
      </c>
      <c r="AQ798" s="9" t="str" cm="1">
        <f t="array" ref="AQ798">_xlfn.IFS(AR798 &lt;= 3, "New Relationship[1-3]", AR798 &lt;= 7, "Established Relationship[4-7]", AR798 &lt;= 12, "Long Term Relationship[8-12]", AR798 &lt;= 17, "Very Long Term Relationship[13-17]")</f>
        <v>Established Relationship[4-7]</v>
      </c>
      <c r="AR798" s="1">
        <v>6</v>
      </c>
    </row>
    <row r="799" spans="1:44" x14ac:dyDescent="0.25">
      <c r="A799" s="1">
        <v>26</v>
      </c>
      <c r="B799" s="8" t="str" cm="1">
        <f t="array" ref="B799">_xlfn.IFS(A799 &lt;= 25, "[18-25]", A799 &lt;= 35, "[26-35]", A799 &lt;=45, "[36-45]", A799 &lt;= 60, "[46- 60]")</f>
        <v>[26-35]</v>
      </c>
      <c r="C799" s="3" t="s">
        <v>35</v>
      </c>
      <c r="D799">
        <f t="shared" si="12"/>
        <v>1</v>
      </c>
      <c r="E799" t="s">
        <v>36</v>
      </c>
      <c r="F799" s="1">
        <v>1330</v>
      </c>
      <c r="G799" s="3" t="s">
        <v>45</v>
      </c>
      <c r="H799" s="1">
        <v>21</v>
      </c>
      <c r="I799" s="9" t="str" cm="1">
        <f t="array" ref="I799">_xlfn.IFS(H799 &lt;= 2, "[1-2] very close", H799 &lt;= 10, "[3-10] close", H799 &lt;= 20, "[11-20] moderate", H799 &lt;= 30, "[21-30] far")</f>
        <v>[21-30] far</v>
      </c>
      <c r="J799" s="1">
        <v>3</v>
      </c>
      <c r="K799" s="3" t="s">
        <v>51</v>
      </c>
      <c r="L799" s="1">
        <v>1</v>
      </c>
      <c r="M799" s="1">
        <v>1107</v>
      </c>
      <c r="N799" s="1">
        <v>1</v>
      </c>
      <c r="O799" s="3" t="s">
        <v>46</v>
      </c>
      <c r="P799" s="1">
        <v>37</v>
      </c>
      <c r="Q799" s="1">
        <v>3</v>
      </c>
      <c r="R799" s="1">
        <v>1</v>
      </c>
      <c r="S799" s="3" t="s">
        <v>50</v>
      </c>
      <c r="T799" s="1">
        <v>3</v>
      </c>
      <c r="U799" s="3" t="s">
        <v>52</v>
      </c>
      <c r="V799" s="4">
        <v>2377</v>
      </c>
      <c r="W799" s="1">
        <v>19373</v>
      </c>
      <c r="X799" s="1">
        <v>1</v>
      </c>
      <c r="Y799" s="3" t="s">
        <v>42</v>
      </c>
      <c r="Z799" s="3" t="s">
        <v>43</v>
      </c>
      <c r="AA799" s="5">
        <v>0.2</v>
      </c>
      <c r="AB799" s="10" t="str" cm="1">
        <f t="array" ref="AB799">_xlfn.IFS(AA799 &lt;= 15%, "Low Hike[11-15%]", AA799 &lt;= 20%, "Moderate Hike[16-20%]", AA799 &lt;= 25%,"High Hike[21-25%]")</f>
        <v>Moderate Hike[16-20%]</v>
      </c>
      <c r="AC799" s="1">
        <v>4</v>
      </c>
      <c r="AD799" s="1">
        <v>3</v>
      </c>
      <c r="AE799" s="1">
        <v>80</v>
      </c>
      <c r="AF799" s="1">
        <v>1</v>
      </c>
      <c r="AG799" s="1">
        <v>1</v>
      </c>
      <c r="AH799" s="9" t="str" cm="1">
        <f t="array" ref="AH799">_xlfn.IFS(AG799 &lt;= 5, "New[1-5]", AG799 &lt;= 10, "Early Career[6-10]", AG799 &lt;= 20, "Established[11-20]", AG799 &lt;= 30, "Veteran[21-30]", AG799 &lt;= 40, "Late Career[31-40]")</f>
        <v>New[1-5]</v>
      </c>
      <c r="AI799" s="1">
        <v>0</v>
      </c>
      <c r="AJ799" s="1">
        <v>2</v>
      </c>
      <c r="AK799" s="1">
        <v>1</v>
      </c>
      <c r="AL799" s="9" t="str" cm="1">
        <f t="array" ref="AL799">_xlfn.IFS(AK799 &lt;= 5, "New[1-5]", AK799 &lt;= 10, "Early Career[6-10]", AK799 &lt;= 20, "Established[11-20]", AK799 &lt;= 30, "Veteran[21-30]", AK799 &lt;= 40, "Late Career[31-40]")</f>
        <v>New[1-5]</v>
      </c>
      <c r="AM799" s="1">
        <v>1</v>
      </c>
      <c r="AN799" s="9" t="str" cm="1">
        <f t="array" ref="AN799">_xlfn.IFS(AM799 &lt;= 3, "New to Role[1-3]", AM799 &lt;= 7, "Settled[4-7]", AM799 &lt;= 12, "Experienced[[8-12]", AM799 &lt;= 18, "Long Tenured[13-18]")</f>
        <v>New to Role[1-3]</v>
      </c>
      <c r="AO799" s="1">
        <v>0</v>
      </c>
      <c r="AP799" s="9" t="str" cm="1">
        <f t="array" ref="AP799">_xlfn.IFS(AO799 &lt;= 3, "Recently[1-3]", AO799 &lt;= 6, "Due Soon[4-6]", AO799 &lt;= 10, "Overdue[7-10]", AO799 &lt;= 15, "Long Overdue[11-15]")</f>
        <v>Recently[1-3]</v>
      </c>
      <c r="AQ799" s="9" t="str" cm="1">
        <f t="array" ref="AQ799">_xlfn.IFS(AR799 &lt;= 3, "New Relationship[1-3]", AR799 &lt;= 7, "Established Relationship[4-7]", AR799 &lt;= 12, "Long Term Relationship[8-12]", AR799 &lt;= 17, "Very Long Term Relationship[13-17]")</f>
        <v>New Relationship[1-3]</v>
      </c>
      <c r="AR799" s="1">
        <v>0</v>
      </c>
    </row>
    <row r="800" spans="1:44" x14ac:dyDescent="0.25">
      <c r="A800" s="1">
        <v>33</v>
      </c>
      <c r="B800" s="8" t="str" cm="1">
        <f t="array" ref="B800">_xlfn.IFS(A800 &lt;= 25, "[18-25]", A800 &lt;= 35, "[26-35]", A800 &lt;=45, "[36-45]", A800 &lt;= 60, "[46- 60]")</f>
        <v>[26-35]</v>
      </c>
      <c r="C800" s="3" t="s">
        <v>35</v>
      </c>
      <c r="D800">
        <f t="shared" si="12"/>
        <v>1</v>
      </c>
      <c r="E800" t="s">
        <v>36</v>
      </c>
      <c r="F800" s="1">
        <v>1017</v>
      </c>
      <c r="G800" s="3" t="s">
        <v>45</v>
      </c>
      <c r="H800" s="1">
        <v>25</v>
      </c>
      <c r="I800" s="9" t="str" cm="1">
        <f t="array" ref="I800">_xlfn.IFS(H800 &lt;= 2, "[1-2] very close", H800 &lt;= 10, "[3-10] close", H800 &lt;= 20, "[11-20] moderate", H800 &lt;= 30, "[21-30] far")</f>
        <v>[21-30] far</v>
      </c>
      <c r="J800" s="1">
        <v>3</v>
      </c>
      <c r="K800" s="3" t="s">
        <v>51</v>
      </c>
      <c r="L800" s="1">
        <v>1</v>
      </c>
      <c r="M800" s="1">
        <v>1108</v>
      </c>
      <c r="N800" s="1">
        <v>1</v>
      </c>
      <c r="O800" s="3" t="s">
        <v>46</v>
      </c>
      <c r="P800" s="1">
        <v>55</v>
      </c>
      <c r="Q800" s="1">
        <v>2</v>
      </c>
      <c r="R800" s="1">
        <v>1</v>
      </c>
      <c r="S800" s="3" t="s">
        <v>47</v>
      </c>
      <c r="T800" s="1">
        <v>2</v>
      </c>
      <c r="U800" s="3" t="s">
        <v>41</v>
      </c>
      <c r="V800" s="4">
        <v>2313</v>
      </c>
      <c r="W800" s="1">
        <v>2993</v>
      </c>
      <c r="X800" s="1">
        <v>4</v>
      </c>
      <c r="Y800" s="3" t="s">
        <v>42</v>
      </c>
      <c r="Z800" s="3" t="s">
        <v>35</v>
      </c>
      <c r="AA800" s="5">
        <v>0.2</v>
      </c>
      <c r="AB800" s="10" t="str" cm="1">
        <f t="array" ref="AB800">_xlfn.IFS(AA800 &lt;= 15%, "Low Hike[11-15%]", AA800 &lt;= 20%, "Moderate Hike[16-20%]", AA800 &lt;= 25%,"High Hike[21-25%]")</f>
        <v>Moderate Hike[16-20%]</v>
      </c>
      <c r="AC800" s="1">
        <v>4</v>
      </c>
      <c r="AD800" s="1">
        <v>2</v>
      </c>
      <c r="AE800" s="1">
        <v>80</v>
      </c>
      <c r="AF800" s="1">
        <v>0</v>
      </c>
      <c r="AG800" s="1">
        <v>5</v>
      </c>
      <c r="AH800" s="9" t="str" cm="1">
        <f t="array" ref="AH800">_xlfn.IFS(AG800 &lt;= 5, "New[1-5]", AG800 &lt;= 10, "Early Career[6-10]", AG800 &lt;= 20, "Established[11-20]", AG800 &lt;= 30, "Veteran[21-30]", AG800 &lt;= 40, "Late Career[31-40]")</f>
        <v>New[1-5]</v>
      </c>
      <c r="AI800" s="1">
        <v>0</v>
      </c>
      <c r="AJ800" s="1">
        <v>3</v>
      </c>
      <c r="AK800" s="1">
        <v>2</v>
      </c>
      <c r="AL800" s="9" t="str" cm="1">
        <f t="array" ref="AL800">_xlfn.IFS(AK800 &lt;= 5, "New[1-5]", AK800 &lt;= 10, "Early Career[6-10]", AK800 &lt;= 20, "Established[11-20]", AK800 &lt;= 30, "Veteran[21-30]", AK800 &lt;= 40, "Late Career[31-40]")</f>
        <v>New[1-5]</v>
      </c>
      <c r="AM800" s="1">
        <v>2</v>
      </c>
      <c r="AN800" s="9" t="str" cm="1">
        <f t="array" ref="AN800">_xlfn.IFS(AM800 &lt;= 3, "New to Role[1-3]", AM800 &lt;= 7, "Settled[4-7]", AM800 &lt;= 12, "Experienced[[8-12]", AM800 &lt;= 18, "Long Tenured[13-18]")</f>
        <v>New to Role[1-3]</v>
      </c>
      <c r="AO800" s="1">
        <v>2</v>
      </c>
      <c r="AP800" s="9" t="str" cm="1">
        <f t="array" ref="AP800">_xlfn.IFS(AO800 &lt;= 3, "Recently[1-3]", AO800 &lt;= 6, "Due Soon[4-6]", AO800 &lt;= 10, "Overdue[7-10]", AO800 &lt;= 15, "Long Overdue[11-15]")</f>
        <v>Recently[1-3]</v>
      </c>
      <c r="AQ800" s="9" t="str" cm="1">
        <f t="array" ref="AQ800">_xlfn.IFS(AR800 &lt;= 3, "New Relationship[1-3]", AR800 &lt;= 7, "Established Relationship[4-7]", AR800 &lt;= 12, "Long Term Relationship[8-12]", AR800 &lt;= 17, "Very Long Term Relationship[13-17]")</f>
        <v>New Relationship[1-3]</v>
      </c>
      <c r="AR800" s="1">
        <v>2</v>
      </c>
    </row>
    <row r="801" spans="1:44" x14ac:dyDescent="0.25">
      <c r="A801" s="1">
        <v>42</v>
      </c>
      <c r="B801" s="8" t="str" cm="1">
        <f t="array" ref="B801">_xlfn.IFS(A801 &lt;= 25, "[18-25]", A801 &lt;= 35, "[26-35]", A801 &lt;=45, "[36-45]", A801 &lt;= 60, "[46- 60]")</f>
        <v>[36-45]</v>
      </c>
      <c r="C801" s="3" t="s">
        <v>43</v>
      </c>
      <c r="D801">
        <f t="shared" si="12"/>
        <v>0</v>
      </c>
      <c r="E801" t="s">
        <v>36</v>
      </c>
      <c r="F801" s="1">
        <v>469</v>
      </c>
      <c r="G801" s="3" t="s">
        <v>45</v>
      </c>
      <c r="H801" s="1">
        <v>2</v>
      </c>
      <c r="I801" s="9" t="str" cm="1">
        <f t="array" ref="I801">_xlfn.IFS(H801 &lt;= 2, "[1-2] very close", H801 &lt;= 10, "[3-10] close", H801 &lt;= 20, "[11-20] moderate", H801 &lt;= 30, "[21-30] far")</f>
        <v>[1-2] very close</v>
      </c>
      <c r="J801" s="1">
        <v>2</v>
      </c>
      <c r="K801" s="3" t="s">
        <v>51</v>
      </c>
      <c r="L801" s="1">
        <v>1</v>
      </c>
      <c r="M801" s="1">
        <v>1109</v>
      </c>
      <c r="N801" s="1">
        <v>4</v>
      </c>
      <c r="O801" s="3" t="s">
        <v>46</v>
      </c>
      <c r="P801" s="1">
        <v>35</v>
      </c>
      <c r="Q801" s="1">
        <v>3</v>
      </c>
      <c r="R801" s="1">
        <v>4</v>
      </c>
      <c r="S801" s="3" t="s">
        <v>56</v>
      </c>
      <c r="T801" s="1">
        <v>1</v>
      </c>
      <c r="U801" s="3" t="s">
        <v>48</v>
      </c>
      <c r="V801" s="4">
        <v>17665</v>
      </c>
      <c r="W801" s="1">
        <v>14399</v>
      </c>
      <c r="X801" s="1">
        <v>0</v>
      </c>
      <c r="Y801" s="3" t="s">
        <v>42</v>
      </c>
      <c r="Z801" s="3" t="s">
        <v>43</v>
      </c>
      <c r="AA801" s="5">
        <v>0.17</v>
      </c>
      <c r="AB801" s="10" t="str" cm="1">
        <f t="array" ref="AB801">_xlfn.IFS(AA801 &lt;= 15%, "Low Hike[11-15%]", AA801 &lt;= 20%, "Moderate Hike[16-20%]", AA801 &lt;= 25%,"High Hike[21-25%]")</f>
        <v>Moderate Hike[16-20%]</v>
      </c>
      <c r="AC801" s="1">
        <v>3</v>
      </c>
      <c r="AD801" s="1">
        <v>4</v>
      </c>
      <c r="AE801" s="1">
        <v>80</v>
      </c>
      <c r="AF801" s="1">
        <v>1</v>
      </c>
      <c r="AG801" s="1">
        <v>23</v>
      </c>
      <c r="AH801" s="9" t="str" cm="1">
        <f t="array" ref="AH801">_xlfn.IFS(AG801 &lt;= 5, "New[1-5]", AG801 &lt;= 10, "Early Career[6-10]", AG801 &lt;= 20, "Established[11-20]", AG801 &lt;= 30, "Veteran[21-30]", AG801 &lt;= 40, "Late Career[31-40]")</f>
        <v>Veteran[21-30]</v>
      </c>
      <c r="AI801" s="1">
        <v>3</v>
      </c>
      <c r="AJ801" s="1">
        <v>3</v>
      </c>
      <c r="AK801" s="1">
        <v>22</v>
      </c>
      <c r="AL801" s="9" t="str" cm="1">
        <f t="array" ref="AL801">_xlfn.IFS(AK801 &lt;= 5, "New[1-5]", AK801 &lt;= 10, "Early Career[6-10]", AK801 &lt;= 20, "Established[11-20]", AK801 &lt;= 30, "Veteran[21-30]", AK801 &lt;= 40, "Late Career[31-40]")</f>
        <v>Veteran[21-30]</v>
      </c>
      <c r="AM801" s="1">
        <v>6</v>
      </c>
      <c r="AN801" s="9" t="str" cm="1">
        <f t="array" ref="AN801">_xlfn.IFS(AM801 &lt;= 3, "New to Role[1-3]", AM801 &lt;= 7, "Settled[4-7]", AM801 &lt;= 12, "Experienced[[8-12]", AM801 &lt;= 18, "Long Tenured[13-18]")</f>
        <v>Settled[4-7]</v>
      </c>
      <c r="AO801" s="1">
        <v>13</v>
      </c>
      <c r="AP801" s="9" t="str" cm="1">
        <f t="array" ref="AP801">_xlfn.IFS(AO801 &lt;= 3, "Recently[1-3]", AO801 &lt;= 6, "Due Soon[4-6]", AO801 &lt;= 10, "Overdue[7-10]", AO801 &lt;= 15, "Long Overdue[11-15]")</f>
        <v>Long Overdue[11-15]</v>
      </c>
      <c r="AQ801" s="9" t="str" cm="1">
        <f t="array" ref="AQ801">_xlfn.IFS(AR801 &lt;= 3, "New Relationship[1-3]", AR801 &lt;= 7, "Established Relationship[4-7]", AR801 &lt;= 12, "Long Term Relationship[8-12]", AR801 &lt;= 17, "Very Long Term Relationship[13-17]")</f>
        <v>Established Relationship[4-7]</v>
      </c>
      <c r="AR801" s="1">
        <v>7</v>
      </c>
    </row>
    <row r="802" spans="1:44" x14ac:dyDescent="0.25">
      <c r="A802" s="1">
        <v>28</v>
      </c>
      <c r="B802" s="8" t="str" cm="1">
        <f t="array" ref="B802">_xlfn.IFS(A802 &lt;= 25, "[18-25]", A802 &lt;= 35, "[26-35]", A802 &lt;=45, "[36-45]", A802 &lt;= 60, "[46- 60]")</f>
        <v>[26-35]</v>
      </c>
      <c r="C802" s="3" t="s">
        <v>35</v>
      </c>
      <c r="D802">
        <f t="shared" si="12"/>
        <v>1</v>
      </c>
      <c r="E802" t="s">
        <v>44</v>
      </c>
      <c r="F802" s="1">
        <v>1009</v>
      </c>
      <c r="G802" s="3" t="s">
        <v>45</v>
      </c>
      <c r="H802" s="1">
        <v>1</v>
      </c>
      <c r="I802" s="9" t="str" cm="1">
        <f t="array" ref="I802">_xlfn.IFS(H802 &lt;= 2, "[1-2] very close", H802 &lt;= 10, "[3-10] close", H802 &lt;= 20, "[11-20] moderate", H802 &lt;= 30, "[21-30] far")</f>
        <v>[1-2] very close</v>
      </c>
      <c r="J802" s="1">
        <v>3</v>
      </c>
      <c r="K802" s="3" t="s">
        <v>51</v>
      </c>
      <c r="L802" s="1">
        <v>1</v>
      </c>
      <c r="M802" s="1">
        <v>1111</v>
      </c>
      <c r="N802" s="1">
        <v>1</v>
      </c>
      <c r="O802" s="3" t="s">
        <v>46</v>
      </c>
      <c r="P802" s="1">
        <v>45</v>
      </c>
      <c r="Q802" s="1">
        <v>2</v>
      </c>
      <c r="R802" s="1">
        <v>1</v>
      </c>
      <c r="S802" s="3" t="s">
        <v>50</v>
      </c>
      <c r="T802" s="1">
        <v>2</v>
      </c>
      <c r="U802" s="3" t="s">
        <v>52</v>
      </c>
      <c r="V802" s="4">
        <v>2596</v>
      </c>
      <c r="W802" s="1">
        <v>7160</v>
      </c>
      <c r="X802" s="1">
        <v>1</v>
      </c>
      <c r="Y802" s="3" t="s">
        <v>42</v>
      </c>
      <c r="Z802" s="3" t="s">
        <v>43</v>
      </c>
      <c r="AA802" s="5">
        <v>0.15</v>
      </c>
      <c r="AB802" s="10" t="str" cm="1">
        <f t="array" ref="AB802">_xlfn.IFS(AA802 &lt;= 15%, "Low Hike[11-15%]", AA802 &lt;= 20%, "Moderate Hike[16-20%]", AA802 &lt;= 25%,"High Hike[21-25%]")</f>
        <v>Low Hike[11-15%]</v>
      </c>
      <c r="AC802" s="1">
        <v>3</v>
      </c>
      <c r="AD802" s="1">
        <v>1</v>
      </c>
      <c r="AE802" s="1">
        <v>80</v>
      </c>
      <c r="AF802" s="1">
        <v>2</v>
      </c>
      <c r="AG802" s="1">
        <v>1</v>
      </c>
      <c r="AH802" s="9" t="str" cm="1">
        <f t="array" ref="AH802">_xlfn.IFS(AG802 &lt;= 5, "New[1-5]", AG802 &lt;= 10, "Early Career[6-10]", AG802 &lt;= 20, "Established[11-20]", AG802 &lt;= 30, "Veteran[21-30]", AG802 &lt;= 40, "Late Career[31-40]")</f>
        <v>New[1-5]</v>
      </c>
      <c r="AI802" s="1">
        <v>2</v>
      </c>
      <c r="AJ802" s="1">
        <v>3</v>
      </c>
      <c r="AK802" s="1">
        <v>1</v>
      </c>
      <c r="AL802" s="9" t="str" cm="1">
        <f t="array" ref="AL802">_xlfn.IFS(AK802 &lt;= 5, "New[1-5]", AK802 &lt;= 10, "Early Career[6-10]", AK802 &lt;= 20, "Established[11-20]", AK802 &lt;= 30, "Veteran[21-30]", AK802 &lt;= 40, "Late Career[31-40]")</f>
        <v>New[1-5]</v>
      </c>
      <c r="AM802" s="1">
        <v>0</v>
      </c>
      <c r="AN802" s="9" t="str" cm="1">
        <f t="array" ref="AN802">_xlfn.IFS(AM802 &lt;= 3, "New to Role[1-3]", AM802 &lt;= 7, "Settled[4-7]", AM802 &lt;= 12, "Experienced[[8-12]", AM802 &lt;= 18, "Long Tenured[13-18]")</f>
        <v>New to Role[1-3]</v>
      </c>
      <c r="AO802" s="1">
        <v>0</v>
      </c>
      <c r="AP802" s="9" t="str" cm="1">
        <f t="array" ref="AP802">_xlfn.IFS(AO802 &lt;= 3, "Recently[1-3]", AO802 &lt;= 6, "Due Soon[4-6]", AO802 &lt;= 10, "Overdue[7-10]", AO802 &lt;= 15, "Long Overdue[11-15]")</f>
        <v>Recently[1-3]</v>
      </c>
      <c r="AQ802" s="9" t="str" cm="1">
        <f t="array" ref="AQ802">_xlfn.IFS(AR802 &lt;= 3, "New Relationship[1-3]", AR802 &lt;= 7, "Established Relationship[4-7]", AR802 &lt;= 12, "Long Term Relationship[8-12]", AR802 &lt;= 17, "Very Long Term Relationship[13-17]")</f>
        <v>New Relationship[1-3]</v>
      </c>
      <c r="AR802" s="1">
        <v>0</v>
      </c>
    </row>
    <row r="803" spans="1:44" x14ac:dyDescent="0.25">
      <c r="A803" s="1">
        <v>50</v>
      </c>
      <c r="B803" s="8" t="str" cm="1">
        <f t="array" ref="B803">_xlfn.IFS(A803 &lt;= 25, "[18-25]", A803 &lt;= 35, "[26-35]", A803 &lt;=45, "[36-45]", A803 &lt;= 60, "[46- 60]")</f>
        <v>[46- 60]</v>
      </c>
      <c r="C803" s="3" t="s">
        <v>35</v>
      </c>
      <c r="D803">
        <f t="shared" si="12"/>
        <v>1</v>
      </c>
      <c r="E803" t="s">
        <v>44</v>
      </c>
      <c r="F803" s="1">
        <v>959</v>
      </c>
      <c r="G803" s="3" t="s">
        <v>37</v>
      </c>
      <c r="H803" s="1">
        <v>1</v>
      </c>
      <c r="I803" s="9" t="str" cm="1">
        <f t="array" ref="I803">_xlfn.IFS(H803 &lt;= 2, "[1-2] very close", H803 &lt;= 10, "[3-10] close", H803 &lt;= 20, "[11-20] moderate", H803 &lt;= 30, "[21-30] far")</f>
        <v>[1-2] very close</v>
      </c>
      <c r="J803" s="1">
        <v>4</v>
      </c>
      <c r="K803" s="3" t="s">
        <v>49</v>
      </c>
      <c r="L803" s="1">
        <v>1</v>
      </c>
      <c r="M803" s="1">
        <v>1113</v>
      </c>
      <c r="N803" s="1">
        <v>4</v>
      </c>
      <c r="O803" s="3" t="s">
        <v>46</v>
      </c>
      <c r="P803" s="1">
        <v>81</v>
      </c>
      <c r="Q803" s="1">
        <v>3</v>
      </c>
      <c r="R803" s="1">
        <v>2</v>
      </c>
      <c r="S803" s="3" t="s">
        <v>40</v>
      </c>
      <c r="T803" s="1">
        <v>3</v>
      </c>
      <c r="U803" s="3" t="s">
        <v>41</v>
      </c>
      <c r="V803" s="4">
        <v>4728</v>
      </c>
      <c r="W803" s="1">
        <v>17251</v>
      </c>
      <c r="X803" s="1">
        <v>3</v>
      </c>
      <c r="Y803" s="3" t="s">
        <v>42</v>
      </c>
      <c r="Z803" s="3" t="s">
        <v>35</v>
      </c>
      <c r="AA803" s="5">
        <v>0.14000000000000001</v>
      </c>
      <c r="AB803" s="10" t="str" cm="1">
        <f t="array" ref="AB803">_xlfn.IFS(AA803 &lt;= 15%, "Low Hike[11-15%]", AA803 &lt;= 20%, "Moderate Hike[16-20%]", AA803 &lt;= 25%,"High Hike[21-25%]")</f>
        <v>Low Hike[11-15%]</v>
      </c>
      <c r="AC803" s="1">
        <v>3</v>
      </c>
      <c r="AD803" s="1">
        <v>4</v>
      </c>
      <c r="AE803" s="1">
        <v>80</v>
      </c>
      <c r="AF803" s="1">
        <v>0</v>
      </c>
      <c r="AG803" s="1">
        <v>5</v>
      </c>
      <c r="AH803" s="9" t="str" cm="1">
        <f t="array" ref="AH803">_xlfn.IFS(AG803 &lt;= 5, "New[1-5]", AG803 &lt;= 10, "Early Career[6-10]", AG803 &lt;= 20, "Established[11-20]", AG803 &lt;= 30, "Veteran[21-30]", AG803 &lt;= 40, "Late Career[31-40]")</f>
        <v>New[1-5]</v>
      </c>
      <c r="AI803" s="1">
        <v>4</v>
      </c>
      <c r="AJ803" s="1">
        <v>3</v>
      </c>
      <c r="AK803" s="1">
        <v>0</v>
      </c>
      <c r="AL803" s="9" t="str" cm="1">
        <f t="array" ref="AL803">_xlfn.IFS(AK803 &lt;= 5, "New[1-5]", AK803 &lt;= 10, "Early Career[6-10]", AK803 &lt;= 20, "Established[11-20]", AK803 &lt;= 30, "Veteran[21-30]", AK803 &lt;= 40, "Late Career[31-40]")</f>
        <v>New[1-5]</v>
      </c>
      <c r="AM803" s="1">
        <v>0</v>
      </c>
      <c r="AN803" s="9" t="str" cm="1">
        <f t="array" ref="AN803">_xlfn.IFS(AM803 &lt;= 3, "New to Role[1-3]", AM803 &lt;= 7, "Settled[4-7]", AM803 &lt;= 12, "Experienced[[8-12]", AM803 &lt;= 18, "Long Tenured[13-18]")</f>
        <v>New to Role[1-3]</v>
      </c>
      <c r="AO803" s="1">
        <v>0</v>
      </c>
      <c r="AP803" s="9" t="str" cm="1">
        <f t="array" ref="AP803">_xlfn.IFS(AO803 &lt;= 3, "Recently[1-3]", AO803 &lt;= 6, "Due Soon[4-6]", AO803 &lt;= 10, "Overdue[7-10]", AO803 &lt;= 15, "Long Overdue[11-15]")</f>
        <v>Recently[1-3]</v>
      </c>
      <c r="AQ803" s="9" t="str" cm="1">
        <f t="array" ref="AQ803">_xlfn.IFS(AR803 &lt;= 3, "New Relationship[1-3]", AR803 &lt;= 7, "Established Relationship[4-7]", AR803 &lt;= 12, "Long Term Relationship[8-12]", AR803 &lt;= 17, "Very Long Term Relationship[13-17]")</f>
        <v>New Relationship[1-3]</v>
      </c>
      <c r="AR803" s="1">
        <v>0</v>
      </c>
    </row>
    <row r="804" spans="1:44" x14ac:dyDescent="0.25">
      <c r="A804" s="1">
        <v>33</v>
      </c>
      <c r="B804" s="8" t="str" cm="1">
        <f t="array" ref="B804">_xlfn.IFS(A804 &lt;= 25, "[18-25]", A804 &lt;= 35, "[26-35]", A804 &lt;=45, "[36-45]", A804 &lt;= 60, "[46- 60]")</f>
        <v>[26-35]</v>
      </c>
      <c r="C804" s="3" t="s">
        <v>43</v>
      </c>
      <c r="D804">
        <f t="shared" si="12"/>
        <v>0</v>
      </c>
      <c r="E804" t="s">
        <v>44</v>
      </c>
      <c r="F804" s="1">
        <v>970</v>
      </c>
      <c r="G804" s="3" t="s">
        <v>37</v>
      </c>
      <c r="H804" s="1">
        <v>7</v>
      </c>
      <c r="I804" s="9" t="str" cm="1">
        <f t="array" ref="I804">_xlfn.IFS(H804 &lt;= 2, "[1-2] very close", H804 &lt;= 10, "[3-10] close", H804 &lt;= 20, "[11-20] moderate", H804 &lt;= 30, "[21-30] far")</f>
        <v>[3-10] close</v>
      </c>
      <c r="J804" s="1">
        <v>3</v>
      </c>
      <c r="K804" s="3" t="s">
        <v>38</v>
      </c>
      <c r="L804" s="1">
        <v>1</v>
      </c>
      <c r="M804" s="1">
        <v>1114</v>
      </c>
      <c r="N804" s="1">
        <v>4</v>
      </c>
      <c r="O804" s="3" t="s">
        <v>39</v>
      </c>
      <c r="P804" s="1">
        <v>30</v>
      </c>
      <c r="Q804" s="1">
        <v>3</v>
      </c>
      <c r="R804" s="1">
        <v>2</v>
      </c>
      <c r="S804" s="3" t="s">
        <v>40</v>
      </c>
      <c r="T804" s="1">
        <v>2</v>
      </c>
      <c r="U804" s="3" t="s">
        <v>48</v>
      </c>
      <c r="V804" s="4">
        <v>4302</v>
      </c>
      <c r="W804" s="1">
        <v>13401</v>
      </c>
      <c r="X804" s="1">
        <v>0</v>
      </c>
      <c r="Y804" s="3" t="s">
        <v>42</v>
      </c>
      <c r="Z804" s="3" t="s">
        <v>43</v>
      </c>
      <c r="AA804" s="5">
        <v>0.17</v>
      </c>
      <c r="AB804" s="10" t="str" cm="1">
        <f t="array" ref="AB804">_xlfn.IFS(AA804 &lt;= 15%, "Low Hike[11-15%]", AA804 &lt;= 20%, "Moderate Hike[16-20%]", AA804 &lt;= 25%,"High Hike[21-25%]")</f>
        <v>Moderate Hike[16-20%]</v>
      </c>
      <c r="AC804" s="1">
        <v>3</v>
      </c>
      <c r="AD804" s="1">
        <v>3</v>
      </c>
      <c r="AE804" s="1">
        <v>80</v>
      </c>
      <c r="AF804" s="1">
        <v>1</v>
      </c>
      <c r="AG804" s="1">
        <v>4</v>
      </c>
      <c r="AH804" s="9" t="str" cm="1">
        <f t="array" ref="AH804">_xlfn.IFS(AG804 &lt;= 5, "New[1-5]", AG804 &lt;= 10, "Early Career[6-10]", AG804 &lt;= 20, "Established[11-20]", AG804 &lt;= 30, "Veteran[21-30]", AG804 &lt;= 40, "Late Career[31-40]")</f>
        <v>New[1-5]</v>
      </c>
      <c r="AI804" s="1">
        <v>3</v>
      </c>
      <c r="AJ804" s="1">
        <v>3</v>
      </c>
      <c r="AK804" s="1">
        <v>3</v>
      </c>
      <c r="AL804" s="9" t="str" cm="1">
        <f t="array" ref="AL804">_xlfn.IFS(AK804 &lt;= 5, "New[1-5]", AK804 &lt;= 10, "Early Career[6-10]", AK804 &lt;= 20, "Established[11-20]", AK804 &lt;= 30, "Veteran[21-30]", AK804 &lt;= 40, "Late Career[31-40]")</f>
        <v>New[1-5]</v>
      </c>
      <c r="AM804" s="1">
        <v>2</v>
      </c>
      <c r="AN804" s="9" t="str" cm="1">
        <f t="array" ref="AN804">_xlfn.IFS(AM804 &lt;= 3, "New to Role[1-3]", AM804 &lt;= 7, "Settled[4-7]", AM804 &lt;= 12, "Experienced[[8-12]", AM804 &lt;= 18, "Long Tenured[13-18]")</f>
        <v>New to Role[1-3]</v>
      </c>
      <c r="AO804" s="1">
        <v>0</v>
      </c>
      <c r="AP804" s="9" t="str" cm="1">
        <f t="array" ref="AP804">_xlfn.IFS(AO804 &lt;= 3, "Recently[1-3]", AO804 &lt;= 6, "Due Soon[4-6]", AO804 &lt;= 10, "Overdue[7-10]", AO804 &lt;= 15, "Long Overdue[11-15]")</f>
        <v>Recently[1-3]</v>
      </c>
      <c r="AQ804" s="9" t="str" cm="1">
        <f t="array" ref="AQ804">_xlfn.IFS(AR804 &lt;= 3, "New Relationship[1-3]", AR804 &lt;= 7, "Established Relationship[4-7]", AR804 &lt;= 12, "Long Term Relationship[8-12]", AR804 &lt;= 17, "Very Long Term Relationship[13-17]")</f>
        <v>New Relationship[1-3]</v>
      </c>
      <c r="AR804" s="1">
        <v>2</v>
      </c>
    </row>
    <row r="805" spans="1:44" x14ac:dyDescent="0.25">
      <c r="A805" s="1">
        <v>34</v>
      </c>
      <c r="B805" s="8" t="str" cm="1">
        <f t="array" ref="B805">_xlfn.IFS(A805 &lt;= 25, "[18-25]", A805 &lt;= 35, "[26-35]", A805 &lt;=45, "[36-45]", A805 &lt;= 60, "[46- 60]")</f>
        <v>[26-35]</v>
      </c>
      <c r="C805" s="3" t="s">
        <v>43</v>
      </c>
      <c r="D805">
        <f t="shared" si="12"/>
        <v>0</v>
      </c>
      <c r="E805" t="s">
        <v>62</v>
      </c>
      <c r="F805" s="1">
        <v>697</v>
      </c>
      <c r="G805" s="3" t="s">
        <v>45</v>
      </c>
      <c r="H805" s="1">
        <v>3</v>
      </c>
      <c r="I805" s="9" t="str" cm="1">
        <f t="array" ref="I805">_xlfn.IFS(H805 &lt;= 2, "[1-2] very close", H805 &lt;= 10, "[3-10] close", H805 &lt;= 20, "[11-20] moderate", H805 &lt;= 30, "[21-30] far")</f>
        <v>[3-10] close</v>
      </c>
      <c r="J805" s="1">
        <v>4</v>
      </c>
      <c r="K805" s="3" t="s">
        <v>38</v>
      </c>
      <c r="L805" s="1">
        <v>1</v>
      </c>
      <c r="M805" s="1">
        <v>1115</v>
      </c>
      <c r="N805" s="1">
        <v>3</v>
      </c>
      <c r="O805" s="3" t="s">
        <v>46</v>
      </c>
      <c r="P805" s="1">
        <v>40</v>
      </c>
      <c r="Q805" s="1">
        <v>2</v>
      </c>
      <c r="R805" s="1">
        <v>1</v>
      </c>
      <c r="S805" s="3" t="s">
        <v>47</v>
      </c>
      <c r="T805" s="1">
        <v>4</v>
      </c>
      <c r="U805" s="3" t="s">
        <v>48</v>
      </c>
      <c r="V805" s="4">
        <v>2979</v>
      </c>
      <c r="W805" s="1">
        <v>22478</v>
      </c>
      <c r="X805" s="1">
        <v>3</v>
      </c>
      <c r="Y805" s="3" t="s">
        <v>42</v>
      </c>
      <c r="Z805" s="3" t="s">
        <v>43</v>
      </c>
      <c r="AA805" s="5">
        <v>0.17</v>
      </c>
      <c r="AB805" s="10" t="str" cm="1">
        <f t="array" ref="AB805">_xlfn.IFS(AA805 &lt;= 15%, "Low Hike[11-15%]", AA805 &lt;= 20%, "Moderate Hike[16-20%]", AA805 &lt;= 25%,"High Hike[21-25%]")</f>
        <v>Moderate Hike[16-20%]</v>
      </c>
      <c r="AC805" s="1">
        <v>3</v>
      </c>
      <c r="AD805" s="1">
        <v>4</v>
      </c>
      <c r="AE805" s="1">
        <v>80</v>
      </c>
      <c r="AF805" s="1">
        <v>3</v>
      </c>
      <c r="AG805" s="1">
        <v>6</v>
      </c>
      <c r="AH805" s="9" t="str" cm="1">
        <f t="array" ref="AH805">_xlfn.IFS(AG805 &lt;= 5, "New[1-5]", AG805 &lt;= 10, "Early Career[6-10]", AG805 &lt;= 20, "Established[11-20]", AG805 &lt;= 30, "Veteran[21-30]", AG805 &lt;= 40, "Late Career[31-40]")</f>
        <v>Early Career[6-10]</v>
      </c>
      <c r="AI805" s="1">
        <v>2</v>
      </c>
      <c r="AJ805" s="1">
        <v>3</v>
      </c>
      <c r="AK805" s="1">
        <v>0</v>
      </c>
      <c r="AL805" s="9" t="str" cm="1">
        <f t="array" ref="AL805">_xlfn.IFS(AK805 &lt;= 5, "New[1-5]", AK805 &lt;= 10, "Early Career[6-10]", AK805 &lt;= 20, "Established[11-20]", AK805 &lt;= 30, "Veteran[21-30]", AK805 &lt;= 40, "Late Career[31-40]")</f>
        <v>New[1-5]</v>
      </c>
      <c r="AM805" s="1">
        <v>0</v>
      </c>
      <c r="AN805" s="9" t="str" cm="1">
        <f t="array" ref="AN805">_xlfn.IFS(AM805 &lt;= 3, "New to Role[1-3]", AM805 &lt;= 7, "Settled[4-7]", AM805 &lt;= 12, "Experienced[[8-12]", AM805 &lt;= 18, "Long Tenured[13-18]")</f>
        <v>New to Role[1-3]</v>
      </c>
      <c r="AO805" s="1">
        <v>0</v>
      </c>
      <c r="AP805" s="9" t="str" cm="1">
        <f t="array" ref="AP805">_xlfn.IFS(AO805 &lt;= 3, "Recently[1-3]", AO805 &lt;= 6, "Due Soon[4-6]", AO805 &lt;= 10, "Overdue[7-10]", AO805 &lt;= 15, "Long Overdue[11-15]")</f>
        <v>Recently[1-3]</v>
      </c>
      <c r="AQ805" s="9" t="str" cm="1">
        <f t="array" ref="AQ805">_xlfn.IFS(AR805 &lt;= 3, "New Relationship[1-3]", AR805 &lt;= 7, "Established Relationship[4-7]", AR805 &lt;= 12, "Long Term Relationship[8-12]", AR805 &lt;= 17, "Very Long Term Relationship[13-17]")</f>
        <v>New Relationship[1-3]</v>
      </c>
      <c r="AR805" s="1">
        <v>0</v>
      </c>
    </row>
    <row r="806" spans="1:44" x14ac:dyDescent="0.25">
      <c r="A806" s="1">
        <v>48</v>
      </c>
      <c r="B806" s="8" t="str" cm="1">
        <f t="array" ref="B806">_xlfn.IFS(A806 &lt;= 25, "[18-25]", A806 &lt;= 35, "[26-35]", A806 &lt;=45, "[36-45]", A806 &lt;= 60, "[46- 60]")</f>
        <v>[46- 60]</v>
      </c>
      <c r="C806" s="3" t="s">
        <v>43</v>
      </c>
      <c r="D806">
        <f t="shared" si="12"/>
        <v>0</v>
      </c>
      <c r="E806" t="s">
        <v>62</v>
      </c>
      <c r="F806" s="1">
        <v>1262</v>
      </c>
      <c r="G806" s="3" t="s">
        <v>45</v>
      </c>
      <c r="H806" s="1">
        <v>1</v>
      </c>
      <c r="I806" s="9" t="str" cm="1">
        <f t="array" ref="I806">_xlfn.IFS(H806 &lt;= 2, "[1-2] very close", H806 &lt;= 10, "[3-10] close", H806 &lt;= 20, "[11-20] moderate", H806 &lt;= 30, "[21-30] far")</f>
        <v>[1-2] very close</v>
      </c>
      <c r="J806" s="1">
        <v>4</v>
      </c>
      <c r="K806" s="3" t="s">
        <v>51</v>
      </c>
      <c r="L806" s="1">
        <v>1</v>
      </c>
      <c r="M806" s="1">
        <v>1116</v>
      </c>
      <c r="N806" s="1">
        <v>1</v>
      </c>
      <c r="O806" s="3" t="s">
        <v>46</v>
      </c>
      <c r="P806" s="1">
        <v>35</v>
      </c>
      <c r="Q806" s="1">
        <v>4</v>
      </c>
      <c r="R806" s="1">
        <v>4</v>
      </c>
      <c r="S806" s="3" t="s">
        <v>56</v>
      </c>
      <c r="T806" s="1">
        <v>4</v>
      </c>
      <c r="U806" s="3" t="s">
        <v>41</v>
      </c>
      <c r="V806" s="4">
        <v>16885</v>
      </c>
      <c r="W806" s="1">
        <v>16154</v>
      </c>
      <c r="X806" s="1">
        <v>2</v>
      </c>
      <c r="Y806" s="3" t="s">
        <v>42</v>
      </c>
      <c r="Z806" s="3" t="s">
        <v>43</v>
      </c>
      <c r="AA806" s="5">
        <v>0.22</v>
      </c>
      <c r="AB806" s="10" t="str" cm="1">
        <f t="array" ref="AB806">_xlfn.IFS(AA806 &lt;= 15%, "Low Hike[11-15%]", AA806 &lt;= 20%, "Moderate Hike[16-20%]", AA806 &lt;= 25%,"High Hike[21-25%]")</f>
        <v>High Hike[21-25%]</v>
      </c>
      <c r="AC806" s="1">
        <v>4</v>
      </c>
      <c r="AD806" s="1">
        <v>3</v>
      </c>
      <c r="AE806" s="1">
        <v>80</v>
      </c>
      <c r="AF806" s="1">
        <v>0</v>
      </c>
      <c r="AG806" s="1">
        <v>27</v>
      </c>
      <c r="AH806" s="9" t="str" cm="1">
        <f t="array" ref="AH806">_xlfn.IFS(AG806 &lt;= 5, "New[1-5]", AG806 &lt;= 10, "Early Career[6-10]", AG806 &lt;= 20, "Established[11-20]", AG806 &lt;= 30, "Veteran[21-30]", AG806 &lt;= 40, "Late Career[31-40]")</f>
        <v>Veteran[21-30]</v>
      </c>
      <c r="AI806" s="1">
        <v>3</v>
      </c>
      <c r="AJ806" s="1">
        <v>2</v>
      </c>
      <c r="AK806" s="1">
        <v>5</v>
      </c>
      <c r="AL806" s="9" t="str" cm="1">
        <f t="array" ref="AL806">_xlfn.IFS(AK806 &lt;= 5, "New[1-5]", AK806 &lt;= 10, "Early Career[6-10]", AK806 &lt;= 20, "Established[11-20]", AK806 &lt;= 30, "Veteran[21-30]", AK806 &lt;= 40, "Late Career[31-40]")</f>
        <v>New[1-5]</v>
      </c>
      <c r="AM806" s="1">
        <v>4</v>
      </c>
      <c r="AN806" s="9" t="str" cm="1">
        <f t="array" ref="AN806">_xlfn.IFS(AM806 &lt;= 3, "New to Role[1-3]", AM806 &lt;= 7, "Settled[4-7]", AM806 &lt;= 12, "Experienced[[8-12]", AM806 &lt;= 18, "Long Tenured[13-18]")</f>
        <v>Settled[4-7]</v>
      </c>
      <c r="AO806" s="1">
        <v>2</v>
      </c>
      <c r="AP806" s="9" t="str" cm="1">
        <f t="array" ref="AP806">_xlfn.IFS(AO806 &lt;= 3, "Recently[1-3]", AO806 &lt;= 6, "Due Soon[4-6]", AO806 &lt;= 10, "Overdue[7-10]", AO806 &lt;= 15, "Long Overdue[11-15]")</f>
        <v>Recently[1-3]</v>
      </c>
      <c r="AQ806" s="9" t="str" cm="1">
        <f t="array" ref="AQ806">_xlfn.IFS(AR806 &lt;= 3, "New Relationship[1-3]", AR806 &lt;= 7, "Established Relationship[4-7]", AR806 &lt;= 12, "Long Term Relationship[8-12]", AR806 &lt;= 17, "Very Long Term Relationship[13-17]")</f>
        <v>New Relationship[1-3]</v>
      </c>
      <c r="AR806" s="1">
        <v>1</v>
      </c>
    </row>
    <row r="807" spans="1:44" x14ac:dyDescent="0.25">
      <c r="A807" s="1">
        <v>45</v>
      </c>
      <c r="B807" s="8" t="str" cm="1">
        <f t="array" ref="B807">_xlfn.IFS(A807 &lt;= 25, "[18-25]", A807 &lt;= 35, "[26-35]", A807 &lt;=45, "[36-45]", A807 &lt;= 60, "[46- 60]")</f>
        <v>[36-45]</v>
      </c>
      <c r="C807" s="3" t="s">
        <v>43</v>
      </c>
      <c r="D807">
        <f t="shared" si="12"/>
        <v>0</v>
      </c>
      <c r="E807" t="s">
        <v>62</v>
      </c>
      <c r="F807" s="1">
        <v>1050</v>
      </c>
      <c r="G807" s="3" t="s">
        <v>37</v>
      </c>
      <c r="H807" s="1">
        <v>9</v>
      </c>
      <c r="I807" s="9" t="str" cm="1">
        <f t="array" ref="I807">_xlfn.IFS(H807 &lt;= 2, "[1-2] very close", H807 &lt;= 10, "[3-10] close", H807 &lt;= 20, "[11-20] moderate", H807 &lt;= 30, "[21-30] far")</f>
        <v>[3-10] close</v>
      </c>
      <c r="J807" s="1">
        <v>4</v>
      </c>
      <c r="K807" s="3" t="s">
        <v>38</v>
      </c>
      <c r="L807" s="1">
        <v>1</v>
      </c>
      <c r="M807" s="1">
        <v>1117</v>
      </c>
      <c r="N807" s="1">
        <v>2</v>
      </c>
      <c r="O807" s="3" t="s">
        <v>39</v>
      </c>
      <c r="P807" s="1">
        <v>65</v>
      </c>
      <c r="Q807" s="1">
        <v>2</v>
      </c>
      <c r="R807" s="1">
        <v>2</v>
      </c>
      <c r="S807" s="3" t="s">
        <v>40</v>
      </c>
      <c r="T807" s="1">
        <v>3</v>
      </c>
      <c r="U807" s="3" t="s">
        <v>48</v>
      </c>
      <c r="V807" s="4">
        <v>5593</v>
      </c>
      <c r="W807" s="1">
        <v>17970</v>
      </c>
      <c r="X807" s="1">
        <v>1</v>
      </c>
      <c r="Y807" s="3" t="s">
        <v>42</v>
      </c>
      <c r="Z807" s="3" t="s">
        <v>43</v>
      </c>
      <c r="AA807" s="5">
        <v>0.13</v>
      </c>
      <c r="AB807" s="10" t="str" cm="1">
        <f t="array" ref="AB807">_xlfn.IFS(AA807 &lt;= 15%, "Low Hike[11-15%]", AA807 &lt;= 20%, "Moderate Hike[16-20%]", AA807 &lt;= 25%,"High Hike[21-25%]")</f>
        <v>Low Hike[11-15%]</v>
      </c>
      <c r="AC807" s="1">
        <v>3</v>
      </c>
      <c r="AD807" s="1">
        <v>4</v>
      </c>
      <c r="AE807" s="1">
        <v>80</v>
      </c>
      <c r="AF807" s="1">
        <v>1</v>
      </c>
      <c r="AG807" s="1">
        <v>15</v>
      </c>
      <c r="AH807" s="9" t="str" cm="1">
        <f t="array" ref="AH807">_xlfn.IFS(AG807 &lt;= 5, "New[1-5]", AG807 &lt;= 10, "Early Career[6-10]", AG807 &lt;= 20, "Established[11-20]", AG807 &lt;= 30, "Veteran[21-30]", AG807 &lt;= 40, "Late Career[31-40]")</f>
        <v>Established[11-20]</v>
      </c>
      <c r="AI807" s="1">
        <v>2</v>
      </c>
      <c r="AJ807" s="1">
        <v>3</v>
      </c>
      <c r="AK807" s="1">
        <v>15</v>
      </c>
      <c r="AL807" s="9" t="str" cm="1">
        <f t="array" ref="AL807">_xlfn.IFS(AK807 &lt;= 5, "New[1-5]", AK807 &lt;= 10, "Early Career[6-10]", AK807 &lt;= 20, "Established[11-20]", AK807 &lt;= 30, "Veteran[21-30]", AK807 &lt;= 40, "Late Career[31-40]")</f>
        <v>Established[11-20]</v>
      </c>
      <c r="AM807" s="1">
        <v>10</v>
      </c>
      <c r="AN807" s="9" t="str" cm="1">
        <f t="array" ref="AN807">_xlfn.IFS(AM807 &lt;= 3, "New to Role[1-3]", AM807 &lt;= 7, "Settled[4-7]", AM807 &lt;= 12, "Experienced[[8-12]", AM807 &lt;= 18, "Long Tenured[13-18]")</f>
        <v>Experienced[[8-12]</v>
      </c>
      <c r="AO807" s="1">
        <v>4</v>
      </c>
      <c r="AP807" s="9" t="str" cm="1">
        <f t="array" ref="AP807">_xlfn.IFS(AO807 &lt;= 3, "Recently[1-3]", AO807 &lt;= 6, "Due Soon[4-6]", AO807 &lt;= 10, "Overdue[7-10]", AO807 &lt;= 15, "Long Overdue[11-15]")</f>
        <v>Due Soon[4-6]</v>
      </c>
      <c r="AQ807" s="9" t="str" cm="1">
        <f t="array" ref="AQ807">_xlfn.IFS(AR807 &lt;= 3, "New Relationship[1-3]", AR807 &lt;= 7, "Established Relationship[4-7]", AR807 &lt;= 12, "Long Term Relationship[8-12]", AR807 &lt;= 17, "Very Long Term Relationship[13-17]")</f>
        <v>Long Term Relationship[8-12]</v>
      </c>
      <c r="AR807" s="1">
        <v>12</v>
      </c>
    </row>
    <row r="808" spans="1:44" x14ac:dyDescent="0.25">
      <c r="A808" s="1">
        <v>52</v>
      </c>
      <c r="B808" s="8" t="str" cm="1">
        <f t="array" ref="B808">_xlfn.IFS(A808 &lt;= 25, "[18-25]", A808 &lt;= 35, "[26-35]", A808 &lt;=45, "[36-45]", A808 &lt;= 60, "[46- 60]")</f>
        <v>[46- 60]</v>
      </c>
      <c r="C808" s="3" t="s">
        <v>43</v>
      </c>
      <c r="D808">
        <f t="shared" si="12"/>
        <v>0</v>
      </c>
      <c r="E808" t="s">
        <v>36</v>
      </c>
      <c r="F808" s="1">
        <v>994</v>
      </c>
      <c r="G808" s="3" t="s">
        <v>45</v>
      </c>
      <c r="H808" s="1">
        <v>7</v>
      </c>
      <c r="I808" s="9" t="str" cm="1">
        <f t="array" ref="I808">_xlfn.IFS(H808 &lt;= 2, "[1-2] very close", H808 &lt;= 10, "[3-10] close", H808 &lt;= 20, "[11-20] moderate", H808 &lt;= 30, "[21-30] far")</f>
        <v>[3-10] close</v>
      </c>
      <c r="J808" s="1">
        <v>4</v>
      </c>
      <c r="K808" s="3" t="s">
        <v>38</v>
      </c>
      <c r="L808" s="1">
        <v>1</v>
      </c>
      <c r="M808" s="1">
        <v>1118</v>
      </c>
      <c r="N808" s="1">
        <v>2</v>
      </c>
      <c r="O808" s="3" t="s">
        <v>46</v>
      </c>
      <c r="P808" s="1">
        <v>87</v>
      </c>
      <c r="Q808" s="1">
        <v>3</v>
      </c>
      <c r="R808" s="1">
        <v>3</v>
      </c>
      <c r="S808" s="3" t="s">
        <v>54</v>
      </c>
      <c r="T808" s="1">
        <v>2</v>
      </c>
      <c r="U808" s="3" t="s">
        <v>41</v>
      </c>
      <c r="V808" s="4">
        <v>10445</v>
      </c>
      <c r="W808" s="1">
        <v>15322</v>
      </c>
      <c r="X808" s="1">
        <v>7</v>
      </c>
      <c r="Y808" s="3" t="s">
        <v>42</v>
      </c>
      <c r="Z808" s="3" t="s">
        <v>43</v>
      </c>
      <c r="AA808" s="5">
        <v>0.19</v>
      </c>
      <c r="AB808" s="10" t="str" cm="1">
        <f t="array" ref="AB808">_xlfn.IFS(AA808 &lt;= 15%, "Low Hike[11-15%]", AA808 &lt;= 20%, "Moderate Hike[16-20%]", AA808 &lt;= 25%,"High Hike[21-25%]")</f>
        <v>Moderate Hike[16-20%]</v>
      </c>
      <c r="AC808" s="1">
        <v>3</v>
      </c>
      <c r="AD808" s="1">
        <v>4</v>
      </c>
      <c r="AE808" s="1">
        <v>80</v>
      </c>
      <c r="AF808" s="1">
        <v>0</v>
      </c>
      <c r="AG808" s="1">
        <v>18</v>
      </c>
      <c r="AH808" s="9" t="str" cm="1">
        <f t="array" ref="AH808">_xlfn.IFS(AG808 &lt;= 5, "New[1-5]", AG808 &lt;= 10, "Early Career[6-10]", AG808 &lt;= 20, "Established[11-20]", AG808 &lt;= 30, "Veteran[21-30]", AG808 &lt;= 40, "Late Career[31-40]")</f>
        <v>Established[11-20]</v>
      </c>
      <c r="AI808" s="1">
        <v>4</v>
      </c>
      <c r="AJ808" s="1">
        <v>3</v>
      </c>
      <c r="AK808" s="1">
        <v>8</v>
      </c>
      <c r="AL808" s="9" t="str" cm="1">
        <f t="array" ref="AL808">_xlfn.IFS(AK808 &lt;= 5, "New[1-5]", AK808 &lt;= 10, "Early Career[6-10]", AK808 &lt;= 20, "Established[11-20]", AK808 &lt;= 30, "Veteran[21-30]", AK808 &lt;= 40, "Late Career[31-40]")</f>
        <v>Early Career[6-10]</v>
      </c>
      <c r="AM808" s="1">
        <v>6</v>
      </c>
      <c r="AN808" s="9" t="str" cm="1">
        <f t="array" ref="AN808">_xlfn.IFS(AM808 &lt;= 3, "New to Role[1-3]", AM808 &lt;= 7, "Settled[4-7]", AM808 &lt;= 12, "Experienced[[8-12]", AM808 &lt;= 18, "Long Tenured[13-18]")</f>
        <v>Settled[4-7]</v>
      </c>
      <c r="AO808" s="1">
        <v>4</v>
      </c>
      <c r="AP808" s="9" t="str" cm="1">
        <f t="array" ref="AP808">_xlfn.IFS(AO808 &lt;= 3, "Recently[1-3]", AO808 &lt;= 6, "Due Soon[4-6]", AO808 &lt;= 10, "Overdue[7-10]", AO808 &lt;= 15, "Long Overdue[11-15]")</f>
        <v>Due Soon[4-6]</v>
      </c>
      <c r="AQ808" s="9" t="str" cm="1">
        <f t="array" ref="AQ808">_xlfn.IFS(AR808 &lt;= 3, "New Relationship[1-3]", AR808 &lt;= 7, "Established Relationship[4-7]", AR808 &lt;= 12, "Long Term Relationship[8-12]", AR808 &lt;= 17, "Very Long Term Relationship[13-17]")</f>
        <v>New Relationship[1-3]</v>
      </c>
      <c r="AR808" s="1">
        <v>0</v>
      </c>
    </row>
    <row r="809" spans="1:44" x14ac:dyDescent="0.25">
      <c r="A809" s="1">
        <v>38</v>
      </c>
      <c r="B809" s="8" t="str" cm="1">
        <f t="array" ref="B809">_xlfn.IFS(A809 &lt;= 25, "[18-25]", A809 &lt;= 35, "[26-35]", A809 &lt;=45, "[36-45]", A809 &lt;= 60, "[46- 60]")</f>
        <v>[36-45]</v>
      </c>
      <c r="C809" s="3" t="s">
        <v>43</v>
      </c>
      <c r="D809">
        <f t="shared" si="12"/>
        <v>0</v>
      </c>
      <c r="E809" t="s">
        <v>36</v>
      </c>
      <c r="F809" s="1">
        <v>770</v>
      </c>
      <c r="G809" s="3" t="s">
        <v>37</v>
      </c>
      <c r="H809" s="1">
        <v>10</v>
      </c>
      <c r="I809" s="9" t="str" cm="1">
        <f t="array" ref="I809">_xlfn.IFS(H809 &lt;= 2, "[1-2] very close", H809 &lt;= 10, "[3-10] close", H809 &lt;= 20, "[11-20] moderate", H809 &lt;= 30, "[21-30] far")</f>
        <v>[3-10] close</v>
      </c>
      <c r="J809" s="1">
        <v>4</v>
      </c>
      <c r="K809" s="3" t="s">
        <v>59</v>
      </c>
      <c r="L809" s="1">
        <v>1</v>
      </c>
      <c r="M809" s="1">
        <v>1119</v>
      </c>
      <c r="N809" s="1">
        <v>3</v>
      </c>
      <c r="O809" s="3" t="s">
        <v>46</v>
      </c>
      <c r="P809" s="1">
        <v>73</v>
      </c>
      <c r="Q809" s="1">
        <v>2</v>
      </c>
      <c r="R809" s="1">
        <v>3</v>
      </c>
      <c r="S809" s="3" t="s">
        <v>40</v>
      </c>
      <c r="T809" s="1">
        <v>3</v>
      </c>
      <c r="U809" s="3" t="s">
        <v>52</v>
      </c>
      <c r="V809" s="4">
        <v>8740</v>
      </c>
      <c r="W809" s="1">
        <v>5569</v>
      </c>
      <c r="X809" s="1">
        <v>0</v>
      </c>
      <c r="Y809" s="3" t="s">
        <v>42</v>
      </c>
      <c r="Z809" s="3" t="s">
        <v>35</v>
      </c>
      <c r="AA809" s="5">
        <v>0.14000000000000001</v>
      </c>
      <c r="AB809" s="10" t="str" cm="1">
        <f t="array" ref="AB809">_xlfn.IFS(AA809 &lt;= 15%, "Low Hike[11-15%]", AA809 &lt;= 20%, "Moderate Hike[16-20%]", AA809 &lt;= 25%,"High Hike[21-25%]")</f>
        <v>Low Hike[11-15%]</v>
      </c>
      <c r="AC809" s="1">
        <v>3</v>
      </c>
      <c r="AD809" s="1">
        <v>2</v>
      </c>
      <c r="AE809" s="1">
        <v>80</v>
      </c>
      <c r="AF809" s="1">
        <v>2</v>
      </c>
      <c r="AG809" s="1">
        <v>9</v>
      </c>
      <c r="AH809" s="9" t="str" cm="1">
        <f t="array" ref="AH809">_xlfn.IFS(AG809 &lt;= 5, "New[1-5]", AG809 &lt;= 10, "Early Career[6-10]", AG809 &lt;= 20, "Established[11-20]", AG809 &lt;= 30, "Veteran[21-30]", AG809 &lt;= 40, "Late Career[31-40]")</f>
        <v>Early Career[6-10]</v>
      </c>
      <c r="AI809" s="1">
        <v>2</v>
      </c>
      <c r="AJ809" s="1">
        <v>3</v>
      </c>
      <c r="AK809" s="1">
        <v>8</v>
      </c>
      <c r="AL809" s="9" t="str" cm="1">
        <f t="array" ref="AL809">_xlfn.IFS(AK809 &lt;= 5, "New[1-5]", AK809 &lt;= 10, "Early Career[6-10]", AK809 &lt;= 20, "Established[11-20]", AK809 &lt;= 30, "Veteran[21-30]", AK809 &lt;= 40, "Late Career[31-40]")</f>
        <v>Early Career[6-10]</v>
      </c>
      <c r="AM809" s="1">
        <v>7</v>
      </c>
      <c r="AN809" s="9" t="str" cm="1">
        <f t="array" ref="AN809">_xlfn.IFS(AM809 &lt;= 3, "New to Role[1-3]", AM809 &lt;= 7, "Settled[4-7]", AM809 &lt;= 12, "Experienced[[8-12]", AM809 &lt;= 18, "Long Tenured[13-18]")</f>
        <v>Settled[4-7]</v>
      </c>
      <c r="AO809" s="1">
        <v>2</v>
      </c>
      <c r="AP809" s="9" t="str" cm="1">
        <f t="array" ref="AP809">_xlfn.IFS(AO809 &lt;= 3, "Recently[1-3]", AO809 &lt;= 6, "Due Soon[4-6]", AO809 &lt;= 10, "Overdue[7-10]", AO809 &lt;= 15, "Long Overdue[11-15]")</f>
        <v>Recently[1-3]</v>
      </c>
      <c r="AQ809" s="9" t="str" cm="1">
        <f t="array" ref="AQ809">_xlfn.IFS(AR809 &lt;= 3, "New Relationship[1-3]", AR809 &lt;= 7, "Established Relationship[4-7]", AR809 &lt;= 12, "Long Term Relationship[8-12]", AR809 &lt;= 17, "Very Long Term Relationship[13-17]")</f>
        <v>Established Relationship[4-7]</v>
      </c>
      <c r="AR809" s="1">
        <v>7</v>
      </c>
    </row>
    <row r="810" spans="1:44" x14ac:dyDescent="0.25">
      <c r="A810" s="1">
        <v>29</v>
      </c>
      <c r="B810" s="8" t="str" cm="1">
        <f t="array" ref="B810">_xlfn.IFS(A810 &lt;= 25, "[18-25]", A810 &lt;= 35, "[26-35]", A810 &lt;=45, "[36-45]", A810 &lt;= 60, "[46- 60]")</f>
        <v>[26-35]</v>
      </c>
      <c r="C810" s="3" t="s">
        <v>43</v>
      </c>
      <c r="D810">
        <f t="shared" si="12"/>
        <v>0</v>
      </c>
      <c r="E810" t="s">
        <v>36</v>
      </c>
      <c r="F810" s="1">
        <v>1107</v>
      </c>
      <c r="G810" s="3" t="s">
        <v>45</v>
      </c>
      <c r="H810" s="1">
        <v>28</v>
      </c>
      <c r="I810" s="9" t="str" cm="1">
        <f t="array" ref="I810">_xlfn.IFS(H810 &lt;= 2, "[1-2] very close", H810 &lt;= 10, "[3-10] close", H810 &lt;= 20, "[11-20] moderate", H810 &lt;= 30, "[21-30] far")</f>
        <v>[21-30] far</v>
      </c>
      <c r="J810" s="1">
        <v>4</v>
      </c>
      <c r="K810" s="3" t="s">
        <v>38</v>
      </c>
      <c r="L810" s="1">
        <v>1</v>
      </c>
      <c r="M810" s="1">
        <v>1120</v>
      </c>
      <c r="N810" s="1">
        <v>3</v>
      </c>
      <c r="O810" s="3" t="s">
        <v>39</v>
      </c>
      <c r="P810" s="1">
        <v>93</v>
      </c>
      <c r="Q810" s="1">
        <v>3</v>
      </c>
      <c r="R810" s="1">
        <v>1</v>
      </c>
      <c r="S810" s="3" t="s">
        <v>47</v>
      </c>
      <c r="T810" s="1">
        <v>4</v>
      </c>
      <c r="U810" s="3" t="s">
        <v>52</v>
      </c>
      <c r="V810" s="4">
        <v>2514</v>
      </c>
      <c r="W810" s="1">
        <v>26968</v>
      </c>
      <c r="X810" s="1">
        <v>4</v>
      </c>
      <c r="Y810" s="3" t="s">
        <v>42</v>
      </c>
      <c r="Z810" s="3" t="s">
        <v>43</v>
      </c>
      <c r="AA810" s="5">
        <v>0.22</v>
      </c>
      <c r="AB810" s="10" t="str" cm="1">
        <f t="array" ref="AB810">_xlfn.IFS(AA810 &lt;= 15%, "Low Hike[11-15%]", AA810 &lt;= 20%, "Moderate Hike[16-20%]", AA810 &lt;= 25%,"High Hike[21-25%]")</f>
        <v>High Hike[21-25%]</v>
      </c>
      <c r="AC810" s="1">
        <v>4</v>
      </c>
      <c r="AD810" s="1">
        <v>1</v>
      </c>
      <c r="AE810" s="1">
        <v>80</v>
      </c>
      <c r="AF810" s="1">
        <v>1</v>
      </c>
      <c r="AG810" s="1">
        <v>11</v>
      </c>
      <c r="AH810" s="9" t="str" cm="1">
        <f t="array" ref="AH810">_xlfn.IFS(AG810 &lt;= 5, "New[1-5]", AG810 &lt;= 10, "Early Career[6-10]", AG810 &lt;= 20, "Established[11-20]", AG810 &lt;= 30, "Veteran[21-30]", AG810 &lt;= 40, "Late Career[31-40]")</f>
        <v>Established[11-20]</v>
      </c>
      <c r="AI810" s="1">
        <v>1</v>
      </c>
      <c r="AJ810" s="1">
        <v>3</v>
      </c>
      <c r="AK810" s="1">
        <v>7</v>
      </c>
      <c r="AL810" s="9" t="str" cm="1">
        <f t="array" ref="AL810">_xlfn.IFS(AK810 &lt;= 5, "New[1-5]", AK810 &lt;= 10, "Early Career[6-10]", AK810 &lt;= 20, "Established[11-20]", AK810 &lt;= 30, "Veteran[21-30]", AK810 &lt;= 40, "Late Career[31-40]")</f>
        <v>Early Career[6-10]</v>
      </c>
      <c r="AM810" s="1">
        <v>5</v>
      </c>
      <c r="AN810" s="9" t="str" cm="1">
        <f t="array" ref="AN810">_xlfn.IFS(AM810 &lt;= 3, "New to Role[1-3]", AM810 &lt;= 7, "Settled[4-7]", AM810 &lt;= 12, "Experienced[[8-12]", AM810 &lt;= 18, "Long Tenured[13-18]")</f>
        <v>Settled[4-7]</v>
      </c>
      <c r="AO810" s="1">
        <v>1</v>
      </c>
      <c r="AP810" s="9" t="str" cm="1">
        <f t="array" ref="AP810">_xlfn.IFS(AO810 &lt;= 3, "Recently[1-3]", AO810 &lt;= 6, "Due Soon[4-6]", AO810 &lt;= 10, "Overdue[7-10]", AO810 &lt;= 15, "Long Overdue[11-15]")</f>
        <v>Recently[1-3]</v>
      </c>
      <c r="AQ810" s="9" t="str" cm="1">
        <f t="array" ref="AQ810">_xlfn.IFS(AR810 &lt;= 3, "New Relationship[1-3]", AR810 &lt;= 7, "Established Relationship[4-7]", AR810 &lt;= 12, "Long Term Relationship[8-12]", AR810 &lt;= 17, "Very Long Term Relationship[13-17]")</f>
        <v>Established Relationship[4-7]</v>
      </c>
      <c r="AR810" s="1">
        <v>7</v>
      </c>
    </row>
    <row r="811" spans="1:44" x14ac:dyDescent="0.25">
      <c r="A811" s="1">
        <v>28</v>
      </c>
      <c r="B811" s="8" t="str" cm="1">
        <f t="array" ref="B811">_xlfn.IFS(A811 &lt;= 25, "[18-25]", A811 &lt;= 35, "[26-35]", A811 &lt;=45, "[36-45]", A811 &lt;= 60, "[46- 60]")</f>
        <v>[26-35]</v>
      </c>
      <c r="C811" s="3" t="s">
        <v>43</v>
      </c>
      <c r="D811">
        <f t="shared" si="12"/>
        <v>0</v>
      </c>
      <c r="E811" t="s">
        <v>36</v>
      </c>
      <c r="F811" s="1">
        <v>950</v>
      </c>
      <c r="G811" s="3" t="s">
        <v>45</v>
      </c>
      <c r="H811" s="1">
        <v>3</v>
      </c>
      <c r="I811" s="9" t="str" cm="1">
        <f t="array" ref="I811">_xlfn.IFS(H811 &lt;= 2, "[1-2] very close", H811 &lt;= 10, "[3-10] close", H811 &lt;= 20, "[11-20] moderate", H811 &lt;= 30, "[21-30] far")</f>
        <v>[3-10] close</v>
      </c>
      <c r="J811" s="1">
        <v>3</v>
      </c>
      <c r="K811" s="3" t="s">
        <v>51</v>
      </c>
      <c r="L811" s="1">
        <v>1</v>
      </c>
      <c r="M811" s="1">
        <v>1121</v>
      </c>
      <c r="N811" s="1">
        <v>4</v>
      </c>
      <c r="O811" s="3" t="s">
        <v>39</v>
      </c>
      <c r="P811" s="1">
        <v>93</v>
      </c>
      <c r="Q811" s="1">
        <v>3</v>
      </c>
      <c r="R811" s="1">
        <v>3</v>
      </c>
      <c r="S811" s="3" t="s">
        <v>53</v>
      </c>
      <c r="T811" s="1">
        <v>2</v>
      </c>
      <c r="U811" s="3" t="s">
        <v>52</v>
      </c>
      <c r="V811" s="4">
        <v>7655</v>
      </c>
      <c r="W811" s="1">
        <v>8039</v>
      </c>
      <c r="X811" s="1">
        <v>0</v>
      </c>
      <c r="Y811" s="3" t="s">
        <v>42</v>
      </c>
      <c r="Z811" s="3" t="s">
        <v>43</v>
      </c>
      <c r="AA811" s="5">
        <v>0.17</v>
      </c>
      <c r="AB811" s="10" t="str" cm="1">
        <f t="array" ref="AB811">_xlfn.IFS(AA811 &lt;= 15%, "Low Hike[11-15%]", AA811 &lt;= 20%, "Moderate Hike[16-20%]", AA811 &lt;= 25%,"High Hike[21-25%]")</f>
        <v>Moderate Hike[16-20%]</v>
      </c>
      <c r="AC811" s="1">
        <v>3</v>
      </c>
      <c r="AD811" s="1">
        <v>2</v>
      </c>
      <c r="AE811" s="1">
        <v>80</v>
      </c>
      <c r="AF811" s="1">
        <v>3</v>
      </c>
      <c r="AG811" s="1">
        <v>10</v>
      </c>
      <c r="AH811" s="9" t="str" cm="1">
        <f t="array" ref="AH811">_xlfn.IFS(AG811 &lt;= 5, "New[1-5]", AG811 &lt;= 10, "Early Career[6-10]", AG811 &lt;= 20, "Established[11-20]", AG811 &lt;= 30, "Veteran[21-30]", AG811 &lt;= 40, "Late Career[31-40]")</f>
        <v>Early Career[6-10]</v>
      </c>
      <c r="AI811" s="1">
        <v>3</v>
      </c>
      <c r="AJ811" s="1">
        <v>2</v>
      </c>
      <c r="AK811" s="1">
        <v>9</v>
      </c>
      <c r="AL811" s="9" t="str" cm="1">
        <f t="array" ref="AL811">_xlfn.IFS(AK811 &lt;= 5, "New[1-5]", AK811 &lt;= 10, "Early Career[6-10]", AK811 &lt;= 20, "Established[11-20]", AK811 &lt;= 30, "Veteran[21-30]", AK811 &lt;= 40, "Late Career[31-40]")</f>
        <v>Early Career[6-10]</v>
      </c>
      <c r="AM811" s="1">
        <v>7</v>
      </c>
      <c r="AN811" s="9" t="str" cm="1">
        <f t="array" ref="AN811">_xlfn.IFS(AM811 &lt;= 3, "New to Role[1-3]", AM811 &lt;= 7, "Settled[4-7]", AM811 &lt;= 12, "Experienced[[8-12]", AM811 &lt;= 18, "Long Tenured[13-18]")</f>
        <v>Settled[4-7]</v>
      </c>
      <c r="AO811" s="1">
        <v>1</v>
      </c>
      <c r="AP811" s="9" t="str" cm="1">
        <f t="array" ref="AP811">_xlfn.IFS(AO811 &lt;= 3, "Recently[1-3]", AO811 &lt;= 6, "Due Soon[4-6]", AO811 &lt;= 10, "Overdue[7-10]", AO811 &lt;= 15, "Long Overdue[11-15]")</f>
        <v>Recently[1-3]</v>
      </c>
      <c r="AQ811" s="9" t="str" cm="1">
        <f t="array" ref="AQ811">_xlfn.IFS(AR811 &lt;= 3, "New Relationship[1-3]", AR811 &lt;= 7, "Established Relationship[4-7]", AR811 &lt;= 12, "Long Term Relationship[8-12]", AR811 &lt;= 17, "Very Long Term Relationship[13-17]")</f>
        <v>Established Relationship[4-7]</v>
      </c>
      <c r="AR811" s="1">
        <v>7</v>
      </c>
    </row>
    <row r="812" spans="1:44" x14ac:dyDescent="0.25">
      <c r="A812" s="1">
        <v>46</v>
      </c>
      <c r="B812" s="8" t="str" cm="1">
        <f t="array" ref="B812">_xlfn.IFS(A812 &lt;= 25, "[18-25]", A812 &lt;= 35, "[26-35]", A812 &lt;=45, "[36-45]", A812 &lt;= 60, "[46- 60]")</f>
        <v>[46- 60]</v>
      </c>
      <c r="C812" s="3" t="s">
        <v>43</v>
      </c>
      <c r="D812">
        <f t="shared" si="12"/>
        <v>0</v>
      </c>
      <c r="E812" t="s">
        <v>36</v>
      </c>
      <c r="F812" s="1">
        <v>406</v>
      </c>
      <c r="G812" s="3" t="s">
        <v>37</v>
      </c>
      <c r="H812" s="1">
        <v>3</v>
      </c>
      <c r="I812" s="9" t="str" cm="1">
        <f t="array" ref="I812">_xlfn.IFS(H812 &lt;= 2, "[1-2] very close", H812 &lt;= 10, "[3-10] close", H812 &lt;= 20, "[11-20] moderate", H812 &lt;= 30, "[21-30] far")</f>
        <v>[3-10] close</v>
      </c>
      <c r="J812" s="1">
        <v>1</v>
      </c>
      <c r="K812" s="3" t="s">
        <v>59</v>
      </c>
      <c r="L812" s="1">
        <v>1</v>
      </c>
      <c r="M812" s="1">
        <v>1124</v>
      </c>
      <c r="N812" s="1">
        <v>1</v>
      </c>
      <c r="O812" s="3" t="s">
        <v>46</v>
      </c>
      <c r="P812" s="1">
        <v>52</v>
      </c>
      <c r="Q812" s="1">
        <v>3</v>
      </c>
      <c r="R812" s="1">
        <v>4</v>
      </c>
      <c r="S812" s="3" t="s">
        <v>56</v>
      </c>
      <c r="T812" s="1">
        <v>3</v>
      </c>
      <c r="U812" s="3" t="s">
        <v>48</v>
      </c>
      <c r="V812" s="4">
        <v>17465</v>
      </c>
      <c r="W812" s="1">
        <v>15596</v>
      </c>
      <c r="X812" s="1">
        <v>3</v>
      </c>
      <c r="Y812" s="3" t="s">
        <v>42</v>
      </c>
      <c r="Z812" s="3" t="s">
        <v>43</v>
      </c>
      <c r="AA812" s="5">
        <v>0.12</v>
      </c>
      <c r="AB812" s="10" t="str" cm="1">
        <f t="array" ref="AB812">_xlfn.IFS(AA812 &lt;= 15%, "Low Hike[11-15%]", AA812 &lt;= 20%, "Moderate Hike[16-20%]", AA812 &lt;= 25%,"High Hike[21-25%]")</f>
        <v>Low Hike[11-15%]</v>
      </c>
      <c r="AC812" s="1">
        <v>3</v>
      </c>
      <c r="AD812" s="1">
        <v>4</v>
      </c>
      <c r="AE812" s="1">
        <v>80</v>
      </c>
      <c r="AF812" s="1">
        <v>1</v>
      </c>
      <c r="AG812" s="1">
        <v>23</v>
      </c>
      <c r="AH812" s="9" t="str" cm="1">
        <f t="array" ref="AH812">_xlfn.IFS(AG812 &lt;= 5, "New[1-5]", AG812 &lt;= 10, "Early Career[6-10]", AG812 &lt;= 20, "Established[11-20]", AG812 &lt;= 30, "Veteran[21-30]", AG812 &lt;= 40, "Late Career[31-40]")</f>
        <v>Veteran[21-30]</v>
      </c>
      <c r="AI812" s="1">
        <v>3</v>
      </c>
      <c r="AJ812" s="1">
        <v>3</v>
      </c>
      <c r="AK812" s="1">
        <v>12</v>
      </c>
      <c r="AL812" s="9" t="str" cm="1">
        <f t="array" ref="AL812">_xlfn.IFS(AK812 &lt;= 5, "New[1-5]", AK812 &lt;= 10, "Early Career[6-10]", AK812 &lt;= 20, "Established[11-20]", AK812 &lt;= 30, "Veteran[21-30]", AK812 &lt;= 40, "Late Career[31-40]")</f>
        <v>Established[11-20]</v>
      </c>
      <c r="AM812" s="1">
        <v>9</v>
      </c>
      <c r="AN812" s="9" t="str" cm="1">
        <f t="array" ref="AN812">_xlfn.IFS(AM812 &lt;= 3, "New to Role[1-3]", AM812 &lt;= 7, "Settled[4-7]", AM812 &lt;= 12, "Experienced[[8-12]", AM812 &lt;= 18, "Long Tenured[13-18]")</f>
        <v>Experienced[[8-12]</v>
      </c>
      <c r="AO812" s="1">
        <v>4</v>
      </c>
      <c r="AP812" s="9" t="str" cm="1">
        <f t="array" ref="AP812">_xlfn.IFS(AO812 &lt;= 3, "Recently[1-3]", AO812 &lt;= 6, "Due Soon[4-6]", AO812 &lt;= 10, "Overdue[7-10]", AO812 &lt;= 15, "Long Overdue[11-15]")</f>
        <v>Due Soon[4-6]</v>
      </c>
      <c r="AQ812" s="9" t="str" cm="1">
        <f t="array" ref="AQ812">_xlfn.IFS(AR812 &lt;= 3, "New Relationship[1-3]", AR812 &lt;= 7, "Established Relationship[4-7]", AR812 &lt;= 12, "Long Term Relationship[8-12]", AR812 &lt;= 17, "Very Long Term Relationship[13-17]")</f>
        <v>Long Term Relationship[8-12]</v>
      </c>
      <c r="AR812" s="1">
        <v>9</v>
      </c>
    </row>
    <row r="813" spans="1:44" x14ac:dyDescent="0.25">
      <c r="A813" s="1">
        <v>38</v>
      </c>
      <c r="B813" s="8" t="str" cm="1">
        <f t="array" ref="B813">_xlfn.IFS(A813 &lt;= 25, "[18-25]", A813 &lt;= 35, "[26-35]", A813 &lt;=45, "[36-45]", A813 &lt;= 60, "[46- 60]")</f>
        <v>[36-45]</v>
      </c>
      <c r="C813" s="3" t="s">
        <v>43</v>
      </c>
      <c r="D813">
        <f t="shared" si="12"/>
        <v>0</v>
      </c>
      <c r="E813" t="s">
        <v>36</v>
      </c>
      <c r="F813" s="1">
        <v>130</v>
      </c>
      <c r="G813" s="3" t="s">
        <v>37</v>
      </c>
      <c r="H813" s="1">
        <v>2</v>
      </c>
      <c r="I813" s="9" t="str" cm="1">
        <f t="array" ref="I813">_xlfn.IFS(H813 &lt;= 2, "[1-2] very close", H813 &lt;= 10, "[3-10] close", H813 &lt;= 20, "[11-20] moderate", H813 &lt;= 30, "[21-30] far")</f>
        <v>[1-2] very close</v>
      </c>
      <c r="J813" s="1">
        <v>2</v>
      </c>
      <c r="K813" s="3" t="s">
        <v>59</v>
      </c>
      <c r="L813" s="1">
        <v>1</v>
      </c>
      <c r="M813" s="1">
        <v>1125</v>
      </c>
      <c r="N813" s="1">
        <v>4</v>
      </c>
      <c r="O813" s="3" t="s">
        <v>46</v>
      </c>
      <c r="P813" s="1">
        <v>32</v>
      </c>
      <c r="Q813" s="1">
        <v>3</v>
      </c>
      <c r="R813" s="1">
        <v>3</v>
      </c>
      <c r="S813" s="3" t="s">
        <v>40</v>
      </c>
      <c r="T813" s="1">
        <v>2</v>
      </c>
      <c r="U813" s="3" t="s">
        <v>41</v>
      </c>
      <c r="V813" s="4">
        <v>7351</v>
      </c>
      <c r="W813" s="1">
        <v>20619</v>
      </c>
      <c r="X813" s="1">
        <v>7</v>
      </c>
      <c r="Y813" s="3" t="s">
        <v>42</v>
      </c>
      <c r="Z813" s="3" t="s">
        <v>43</v>
      </c>
      <c r="AA813" s="5">
        <v>0.16</v>
      </c>
      <c r="AB813" s="10" t="str" cm="1">
        <f t="array" ref="AB813">_xlfn.IFS(AA813 &lt;= 15%, "Low Hike[11-15%]", AA813 &lt;= 20%, "Moderate Hike[16-20%]", AA813 &lt;= 25%,"High Hike[21-25%]")</f>
        <v>Moderate Hike[16-20%]</v>
      </c>
      <c r="AC813" s="1">
        <v>3</v>
      </c>
      <c r="AD813" s="1">
        <v>3</v>
      </c>
      <c r="AE813" s="1">
        <v>80</v>
      </c>
      <c r="AF813" s="1">
        <v>0</v>
      </c>
      <c r="AG813" s="1">
        <v>10</v>
      </c>
      <c r="AH813" s="9" t="str" cm="1">
        <f t="array" ref="AH813">_xlfn.IFS(AG813 &lt;= 5, "New[1-5]", AG813 &lt;= 10, "Early Career[6-10]", AG813 &lt;= 20, "Established[11-20]", AG813 &lt;= 30, "Veteran[21-30]", AG813 &lt;= 40, "Late Career[31-40]")</f>
        <v>Early Career[6-10]</v>
      </c>
      <c r="AI813" s="1">
        <v>2</v>
      </c>
      <c r="AJ813" s="1">
        <v>3</v>
      </c>
      <c r="AK813" s="1">
        <v>1</v>
      </c>
      <c r="AL813" s="9" t="str" cm="1">
        <f t="array" ref="AL813">_xlfn.IFS(AK813 &lt;= 5, "New[1-5]", AK813 &lt;= 10, "Early Career[6-10]", AK813 &lt;= 20, "Established[11-20]", AK813 &lt;= 30, "Veteran[21-30]", AK813 &lt;= 40, "Late Career[31-40]")</f>
        <v>New[1-5]</v>
      </c>
      <c r="AM813" s="1">
        <v>0</v>
      </c>
      <c r="AN813" s="9" t="str" cm="1">
        <f t="array" ref="AN813">_xlfn.IFS(AM813 &lt;= 3, "New to Role[1-3]", AM813 &lt;= 7, "Settled[4-7]", AM813 &lt;= 12, "Experienced[[8-12]", AM813 &lt;= 18, "Long Tenured[13-18]")</f>
        <v>New to Role[1-3]</v>
      </c>
      <c r="AO813" s="1">
        <v>0</v>
      </c>
      <c r="AP813" s="9" t="str" cm="1">
        <f t="array" ref="AP813">_xlfn.IFS(AO813 &lt;= 3, "Recently[1-3]", AO813 &lt;= 6, "Due Soon[4-6]", AO813 &lt;= 10, "Overdue[7-10]", AO813 &lt;= 15, "Long Overdue[11-15]")</f>
        <v>Recently[1-3]</v>
      </c>
      <c r="AQ813" s="9" t="str" cm="1">
        <f t="array" ref="AQ813">_xlfn.IFS(AR813 &lt;= 3, "New Relationship[1-3]", AR813 &lt;= 7, "Established Relationship[4-7]", AR813 &lt;= 12, "Long Term Relationship[8-12]", AR813 &lt;= 17, "Very Long Term Relationship[13-17]")</f>
        <v>New Relationship[1-3]</v>
      </c>
      <c r="AR813" s="1">
        <v>0</v>
      </c>
    </row>
    <row r="814" spans="1:44" x14ac:dyDescent="0.25">
      <c r="A814" s="1">
        <v>43</v>
      </c>
      <c r="B814" s="8" t="str" cm="1">
        <f t="array" ref="B814">_xlfn.IFS(A814 &lt;= 25, "[18-25]", A814 &lt;= 35, "[26-35]", A814 &lt;=45, "[36-45]", A814 &lt;= 60, "[46- 60]")</f>
        <v>[36-45]</v>
      </c>
      <c r="C814" s="3" t="s">
        <v>43</v>
      </c>
      <c r="D814">
        <f t="shared" si="12"/>
        <v>0</v>
      </c>
      <c r="E814" t="s">
        <v>44</v>
      </c>
      <c r="F814" s="1">
        <v>1082</v>
      </c>
      <c r="G814" s="3" t="s">
        <v>45</v>
      </c>
      <c r="H814" s="1">
        <v>27</v>
      </c>
      <c r="I814" s="9" t="str" cm="1">
        <f t="array" ref="I814">_xlfn.IFS(H814 &lt;= 2, "[1-2] very close", H814 &lt;= 10, "[3-10] close", H814 &lt;= 20, "[11-20] moderate", H814 &lt;= 30, "[21-30] far")</f>
        <v>[21-30] far</v>
      </c>
      <c r="J814" s="1">
        <v>3</v>
      </c>
      <c r="K814" s="3" t="s">
        <v>38</v>
      </c>
      <c r="L814" s="1">
        <v>1</v>
      </c>
      <c r="M814" s="1">
        <v>1126</v>
      </c>
      <c r="N814" s="1">
        <v>3</v>
      </c>
      <c r="O814" s="3" t="s">
        <v>39</v>
      </c>
      <c r="P814" s="1">
        <v>83</v>
      </c>
      <c r="Q814" s="1">
        <v>3</v>
      </c>
      <c r="R814" s="1">
        <v>3</v>
      </c>
      <c r="S814" s="3" t="s">
        <v>53</v>
      </c>
      <c r="T814" s="1">
        <v>1</v>
      </c>
      <c r="U814" s="3" t="s">
        <v>48</v>
      </c>
      <c r="V814" s="4">
        <v>10820</v>
      </c>
      <c r="W814" s="1">
        <v>11535</v>
      </c>
      <c r="X814" s="1">
        <v>8</v>
      </c>
      <c r="Y814" s="3" t="s">
        <v>42</v>
      </c>
      <c r="Z814" s="3" t="s">
        <v>43</v>
      </c>
      <c r="AA814" s="5">
        <v>0.11</v>
      </c>
      <c r="AB814" s="10" t="str" cm="1">
        <f t="array" ref="AB814">_xlfn.IFS(AA814 &lt;= 15%, "Low Hike[11-15%]", AA814 &lt;= 20%, "Moderate Hike[16-20%]", AA814 &lt;= 25%,"High Hike[21-25%]")</f>
        <v>Low Hike[11-15%]</v>
      </c>
      <c r="AC814" s="1">
        <v>3</v>
      </c>
      <c r="AD814" s="1">
        <v>3</v>
      </c>
      <c r="AE814" s="1">
        <v>80</v>
      </c>
      <c r="AF814" s="1">
        <v>1</v>
      </c>
      <c r="AG814" s="1">
        <v>18</v>
      </c>
      <c r="AH814" s="9" t="str" cm="1">
        <f t="array" ref="AH814">_xlfn.IFS(AG814 &lt;= 5, "New[1-5]", AG814 &lt;= 10, "Early Career[6-10]", AG814 &lt;= 20, "Established[11-20]", AG814 &lt;= 30, "Veteran[21-30]", AG814 &lt;= 40, "Late Career[31-40]")</f>
        <v>Established[11-20]</v>
      </c>
      <c r="AI814" s="1">
        <v>1</v>
      </c>
      <c r="AJ814" s="1">
        <v>3</v>
      </c>
      <c r="AK814" s="1">
        <v>8</v>
      </c>
      <c r="AL814" s="9" t="str" cm="1">
        <f t="array" ref="AL814">_xlfn.IFS(AK814 &lt;= 5, "New[1-5]", AK814 &lt;= 10, "Early Career[6-10]", AK814 &lt;= 20, "Established[11-20]", AK814 &lt;= 30, "Veteran[21-30]", AK814 &lt;= 40, "Late Career[31-40]")</f>
        <v>Early Career[6-10]</v>
      </c>
      <c r="AM814" s="1">
        <v>7</v>
      </c>
      <c r="AN814" s="9" t="str" cm="1">
        <f t="array" ref="AN814">_xlfn.IFS(AM814 &lt;= 3, "New to Role[1-3]", AM814 &lt;= 7, "Settled[4-7]", AM814 &lt;= 12, "Experienced[[8-12]", AM814 &lt;= 18, "Long Tenured[13-18]")</f>
        <v>Settled[4-7]</v>
      </c>
      <c r="AO814" s="1">
        <v>0</v>
      </c>
      <c r="AP814" s="9" t="str" cm="1">
        <f t="array" ref="AP814">_xlfn.IFS(AO814 &lt;= 3, "Recently[1-3]", AO814 &lt;= 6, "Due Soon[4-6]", AO814 &lt;= 10, "Overdue[7-10]", AO814 &lt;= 15, "Long Overdue[11-15]")</f>
        <v>Recently[1-3]</v>
      </c>
      <c r="AQ814" s="9" t="str" cm="1">
        <f t="array" ref="AQ814">_xlfn.IFS(AR814 &lt;= 3, "New Relationship[1-3]", AR814 &lt;= 7, "Established Relationship[4-7]", AR814 &lt;= 12, "Long Term Relationship[8-12]", AR814 &lt;= 17, "Very Long Term Relationship[13-17]")</f>
        <v>New Relationship[1-3]</v>
      </c>
      <c r="AR814" s="1">
        <v>1</v>
      </c>
    </row>
    <row r="815" spans="1:44" x14ac:dyDescent="0.25">
      <c r="A815" s="1">
        <v>39</v>
      </c>
      <c r="B815" s="8" t="str" cm="1">
        <f t="array" ref="B815">_xlfn.IFS(A815 &lt;= 25, "[18-25]", A815 &lt;= 35, "[26-35]", A815 &lt;=45, "[36-45]", A815 &lt;= 60, "[46- 60]")</f>
        <v>[36-45]</v>
      </c>
      <c r="C815" s="3" t="s">
        <v>35</v>
      </c>
      <c r="D815">
        <f t="shared" si="12"/>
        <v>1</v>
      </c>
      <c r="E815" t="s">
        <v>44</v>
      </c>
      <c r="F815" s="1">
        <v>203</v>
      </c>
      <c r="G815" s="3" t="s">
        <v>45</v>
      </c>
      <c r="H815" s="1">
        <v>2</v>
      </c>
      <c r="I815" s="9" t="str" cm="1">
        <f t="array" ref="I815">_xlfn.IFS(H815 &lt;= 2, "[1-2] very close", H815 &lt;= 10, "[3-10] close", H815 &lt;= 20, "[11-20] moderate", H815 &lt;= 30, "[21-30] far")</f>
        <v>[1-2] very close</v>
      </c>
      <c r="J815" s="1">
        <v>3</v>
      </c>
      <c r="K815" s="3" t="s">
        <v>38</v>
      </c>
      <c r="L815" s="1">
        <v>1</v>
      </c>
      <c r="M815" s="1">
        <v>1127</v>
      </c>
      <c r="N815" s="1">
        <v>1</v>
      </c>
      <c r="O815" s="3" t="s">
        <v>46</v>
      </c>
      <c r="P815" s="1">
        <v>84</v>
      </c>
      <c r="Q815" s="1">
        <v>3</v>
      </c>
      <c r="R815" s="1">
        <v>4</v>
      </c>
      <c r="S815" s="3" t="s">
        <v>54</v>
      </c>
      <c r="T815" s="1">
        <v>4</v>
      </c>
      <c r="U815" s="3" t="s">
        <v>52</v>
      </c>
      <c r="V815" s="4">
        <v>12169</v>
      </c>
      <c r="W815" s="1">
        <v>13547</v>
      </c>
      <c r="X815" s="1">
        <v>7</v>
      </c>
      <c r="Y815" s="3" t="s">
        <v>42</v>
      </c>
      <c r="Z815" s="3" t="s">
        <v>43</v>
      </c>
      <c r="AA815" s="5">
        <v>0.11</v>
      </c>
      <c r="AB815" s="10" t="str" cm="1">
        <f t="array" ref="AB815">_xlfn.IFS(AA815 &lt;= 15%, "Low Hike[11-15%]", AA815 &lt;= 20%, "Moderate Hike[16-20%]", AA815 &lt;= 25%,"High Hike[21-25%]")</f>
        <v>Low Hike[11-15%]</v>
      </c>
      <c r="AC815" s="1">
        <v>3</v>
      </c>
      <c r="AD815" s="1">
        <v>4</v>
      </c>
      <c r="AE815" s="1">
        <v>80</v>
      </c>
      <c r="AF815" s="1">
        <v>3</v>
      </c>
      <c r="AG815" s="1">
        <v>21</v>
      </c>
      <c r="AH815" s="9" t="str" cm="1">
        <f t="array" ref="AH815">_xlfn.IFS(AG815 &lt;= 5, "New[1-5]", AG815 &lt;= 10, "Early Career[6-10]", AG815 &lt;= 20, "Established[11-20]", AG815 &lt;= 30, "Veteran[21-30]", AG815 &lt;= 40, "Late Career[31-40]")</f>
        <v>Veteran[21-30]</v>
      </c>
      <c r="AI815" s="1">
        <v>4</v>
      </c>
      <c r="AJ815" s="1">
        <v>3</v>
      </c>
      <c r="AK815" s="1">
        <v>18</v>
      </c>
      <c r="AL815" s="9" t="str" cm="1">
        <f t="array" ref="AL815">_xlfn.IFS(AK815 &lt;= 5, "New[1-5]", AK815 &lt;= 10, "Early Career[6-10]", AK815 &lt;= 20, "Established[11-20]", AK815 &lt;= 30, "Veteran[21-30]", AK815 &lt;= 40, "Late Career[31-40]")</f>
        <v>Established[11-20]</v>
      </c>
      <c r="AM815" s="1">
        <v>7</v>
      </c>
      <c r="AN815" s="9" t="str" cm="1">
        <f t="array" ref="AN815">_xlfn.IFS(AM815 &lt;= 3, "New to Role[1-3]", AM815 &lt;= 7, "Settled[4-7]", AM815 &lt;= 12, "Experienced[[8-12]", AM815 &lt;= 18, "Long Tenured[13-18]")</f>
        <v>Settled[4-7]</v>
      </c>
      <c r="AO815" s="1">
        <v>11</v>
      </c>
      <c r="AP815" s="9" t="str" cm="1">
        <f t="array" ref="AP815">_xlfn.IFS(AO815 &lt;= 3, "Recently[1-3]", AO815 &lt;= 6, "Due Soon[4-6]", AO815 &lt;= 10, "Overdue[7-10]", AO815 &lt;= 15, "Long Overdue[11-15]")</f>
        <v>Long Overdue[11-15]</v>
      </c>
      <c r="AQ815" s="9" t="str" cm="1">
        <f t="array" ref="AQ815">_xlfn.IFS(AR815 &lt;= 3, "New Relationship[1-3]", AR815 &lt;= 7, "Established Relationship[4-7]", AR815 &lt;= 12, "Long Term Relationship[8-12]", AR815 &lt;= 17, "Very Long Term Relationship[13-17]")</f>
        <v>Established Relationship[4-7]</v>
      </c>
      <c r="AR815" s="1">
        <v>5</v>
      </c>
    </row>
    <row r="816" spans="1:44" x14ac:dyDescent="0.25">
      <c r="A816" s="1">
        <v>40</v>
      </c>
      <c r="B816" s="8" t="str" cm="1">
        <f t="array" ref="B816">_xlfn.IFS(A816 &lt;= 25, "[18-25]", A816 &lt;= 35, "[26-35]", A816 &lt;=45, "[36-45]", A816 &lt;= 60, "[46- 60]")</f>
        <v>[36-45]</v>
      </c>
      <c r="C816" s="3" t="s">
        <v>43</v>
      </c>
      <c r="D816">
        <f t="shared" si="12"/>
        <v>0</v>
      </c>
      <c r="E816" t="s">
        <v>36</v>
      </c>
      <c r="F816" s="1">
        <v>1308</v>
      </c>
      <c r="G816" s="3" t="s">
        <v>45</v>
      </c>
      <c r="H816" s="1">
        <v>14</v>
      </c>
      <c r="I816" s="9" t="str" cm="1">
        <f t="array" ref="I816">_xlfn.IFS(H816 &lt;= 2, "[1-2] very close", H816 &lt;= 10, "[3-10] close", H816 &lt;= 20, "[11-20] moderate", H816 &lt;= 30, "[21-30] far")</f>
        <v>[11-20] moderate</v>
      </c>
      <c r="J816" s="1">
        <v>3</v>
      </c>
      <c r="K816" s="3" t="s">
        <v>51</v>
      </c>
      <c r="L816" s="1">
        <v>1</v>
      </c>
      <c r="M816" s="1">
        <v>1128</v>
      </c>
      <c r="N816" s="1">
        <v>3</v>
      </c>
      <c r="O816" s="3" t="s">
        <v>46</v>
      </c>
      <c r="P816" s="1">
        <v>44</v>
      </c>
      <c r="Q816" s="1">
        <v>2</v>
      </c>
      <c r="R816" s="1">
        <v>5</v>
      </c>
      <c r="S816" s="3" t="s">
        <v>58</v>
      </c>
      <c r="T816" s="1">
        <v>3</v>
      </c>
      <c r="U816" s="3" t="s">
        <v>41</v>
      </c>
      <c r="V816" s="4">
        <v>19626</v>
      </c>
      <c r="W816" s="1">
        <v>17544</v>
      </c>
      <c r="X816" s="1">
        <v>1</v>
      </c>
      <c r="Y816" s="3" t="s">
        <v>42</v>
      </c>
      <c r="Z816" s="3" t="s">
        <v>43</v>
      </c>
      <c r="AA816" s="5">
        <v>0.14000000000000001</v>
      </c>
      <c r="AB816" s="10" t="str" cm="1">
        <f t="array" ref="AB816">_xlfn.IFS(AA816 &lt;= 15%, "Low Hike[11-15%]", AA816 &lt;= 20%, "Moderate Hike[16-20%]", AA816 &lt;= 25%,"High Hike[21-25%]")</f>
        <v>Low Hike[11-15%]</v>
      </c>
      <c r="AC816" s="1">
        <v>3</v>
      </c>
      <c r="AD816" s="1">
        <v>1</v>
      </c>
      <c r="AE816" s="1">
        <v>80</v>
      </c>
      <c r="AF816" s="1">
        <v>0</v>
      </c>
      <c r="AG816" s="1">
        <v>21</v>
      </c>
      <c r="AH816" s="9" t="str" cm="1">
        <f t="array" ref="AH816">_xlfn.IFS(AG816 &lt;= 5, "New[1-5]", AG816 &lt;= 10, "Early Career[6-10]", AG816 &lt;= 20, "Established[11-20]", AG816 &lt;= 30, "Veteran[21-30]", AG816 &lt;= 40, "Late Career[31-40]")</f>
        <v>Veteran[21-30]</v>
      </c>
      <c r="AI816" s="1">
        <v>2</v>
      </c>
      <c r="AJ816" s="1">
        <v>4</v>
      </c>
      <c r="AK816" s="1">
        <v>20</v>
      </c>
      <c r="AL816" s="9" t="str" cm="1">
        <f t="array" ref="AL816">_xlfn.IFS(AK816 &lt;= 5, "New[1-5]", AK816 &lt;= 10, "Early Career[6-10]", AK816 &lt;= 20, "Established[11-20]", AK816 &lt;= 30, "Veteran[21-30]", AK816 &lt;= 40, "Late Career[31-40]")</f>
        <v>Established[11-20]</v>
      </c>
      <c r="AM816" s="1">
        <v>7</v>
      </c>
      <c r="AN816" s="9" t="str" cm="1">
        <f t="array" ref="AN816">_xlfn.IFS(AM816 &lt;= 3, "New to Role[1-3]", AM816 &lt;= 7, "Settled[4-7]", AM816 &lt;= 12, "Experienced[[8-12]", AM816 &lt;= 18, "Long Tenured[13-18]")</f>
        <v>Settled[4-7]</v>
      </c>
      <c r="AO816" s="1">
        <v>4</v>
      </c>
      <c r="AP816" s="9" t="str" cm="1">
        <f t="array" ref="AP816">_xlfn.IFS(AO816 &lt;= 3, "Recently[1-3]", AO816 &lt;= 6, "Due Soon[4-6]", AO816 &lt;= 10, "Overdue[7-10]", AO816 &lt;= 15, "Long Overdue[11-15]")</f>
        <v>Due Soon[4-6]</v>
      </c>
      <c r="AQ816" s="9" t="str" cm="1">
        <f t="array" ref="AQ816">_xlfn.IFS(AR816 &lt;= 3, "New Relationship[1-3]", AR816 &lt;= 7, "Established Relationship[4-7]", AR816 &lt;= 12, "Long Term Relationship[8-12]", AR816 &lt;= 17, "Very Long Term Relationship[13-17]")</f>
        <v>Long Term Relationship[8-12]</v>
      </c>
      <c r="AR816" s="1">
        <v>9</v>
      </c>
    </row>
    <row r="817" spans="1:44" x14ac:dyDescent="0.25">
      <c r="A817" s="1">
        <v>21</v>
      </c>
      <c r="B817" s="8" t="str" cm="1">
        <f t="array" ref="B817">_xlfn.IFS(A817 &lt;= 25, "[18-25]", A817 &lt;= 35, "[26-35]", A817 &lt;=45, "[36-45]", A817 &lt;= 60, "[46- 60]")</f>
        <v>[18-25]</v>
      </c>
      <c r="C817" s="3" t="s">
        <v>43</v>
      </c>
      <c r="D817">
        <f t="shared" si="12"/>
        <v>0</v>
      </c>
      <c r="E817" t="s">
        <v>36</v>
      </c>
      <c r="F817" s="1">
        <v>984</v>
      </c>
      <c r="G817" s="3" t="s">
        <v>45</v>
      </c>
      <c r="H817" s="1">
        <v>1</v>
      </c>
      <c r="I817" s="9" t="str" cm="1">
        <f t="array" ref="I817">_xlfn.IFS(H817 &lt;= 2, "[1-2] very close", H817 &lt;= 10, "[3-10] close", H817 &lt;= 20, "[11-20] moderate", H817 &lt;= 30, "[21-30] far")</f>
        <v>[1-2] very close</v>
      </c>
      <c r="J817" s="1">
        <v>1</v>
      </c>
      <c r="K817" s="3" t="s">
        <v>60</v>
      </c>
      <c r="L817" s="1">
        <v>1</v>
      </c>
      <c r="M817" s="1">
        <v>1131</v>
      </c>
      <c r="N817" s="1">
        <v>4</v>
      </c>
      <c r="O817" s="3" t="s">
        <v>39</v>
      </c>
      <c r="P817" s="1">
        <v>70</v>
      </c>
      <c r="Q817" s="1">
        <v>2</v>
      </c>
      <c r="R817" s="1">
        <v>1</v>
      </c>
      <c r="S817" s="3" t="s">
        <v>47</v>
      </c>
      <c r="T817" s="1">
        <v>2</v>
      </c>
      <c r="U817" s="3" t="s">
        <v>41</v>
      </c>
      <c r="V817" s="4">
        <v>2070</v>
      </c>
      <c r="W817" s="1">
        <v>25326</v>
      </c>
      <c r="X817" s="1">
        <v>1</v>
      </c>
      <c r="Y817" s="3" t="s">
        <v>42</v>
      </c>
      <c r="Z817" s="3" t="s">
        <v>35</v>
      </c>
      <c r="AA817" s="5">
        <v>0.11</v>
      </c>
      <c r="AB817" s="10" t="str" cm="1">
        <f t="array" ref="AB817">_xlfn.IFS(AA817 &lt;= 15%, "Low Hike[11-15%]", AA817 &lt;= 20%, "Moderate Hike[16-20%]", AA817 &lt;= 25%,"High Hike[21-25%]")</f>
        <v>Low Hike[11-15%]</v>
      </c>
      <c r="AC817" s="1">
        <v>3</v>
      </c>
      <c r="AD817" s="1">
        <v>3</v>
      </c>
      <c r="AE817" s="1">
        <v>80</v>
      </c>
      <c r="AF817" s="1">
        <v>0</v>
      </c>
      <c r="AG817" s="1">
        <v>2</v>
      </c>
      <c r="AH817" s="9" t="str" cm="1">
        <f t="array" ref="AH817">_xlfn.IFS(AG817 &lt;= 5, "New[1-5]", AG817 &lt;= 10, "Early Career[6-10]", AG817 &lt;= 20, "Established[11-20]", AG817 &lt;= 30, "Veteran[21-30]", AG817 &lt;= 40, "Late Career[31-40]")</f>
        <v>New[1-5]</v>
      </c>
      <c r="AI817" s="1">
        <v>6</v>
      </c>
      <c r="AJ817" s="1">
        <v>4</v>
      </c>
      <c r="AK817" s="1">
        <v>2</v>
      </c>
      <c r="AL817" s="9" t="str" cm="1">
        <f t="array" ref="AL817">_xlfn.IFS(AK817 &lt;= 5, "New[1-5]", AK817 &lt;= 10, "Early Career[6-10]", AK817 &lt;= 20, "Established[11-20]", AK817 &lt;= 30, "Veteran[21-30]", AK817 &lt;= 40, "Late Career[31-40]")</f>
        <v>New[1-5]</v>
      </c>
      <c r="AM817" s="1">
        <v>2</v>
      </c>
      <c r="AN817" s="9" t="str" cm="1">
        <f t="array" ref="AN817">_xlfn.IFS(AM817 &lt;= 3, "New to Role[1-3]", AM817 &lt;= 7, "Settled[4-7]", AM817 &lt;= 12, "Experienced[[8-12]", AM817 &lt;= 18, "Long Tenured[13-18]")</f>
        <v>New to Role[1-3]</v>
      </c>
      <c r="AO817" s="1">
        <v>2</v>
      </c>
      <c r="AP817" s="9" t="str" cm="1">
        <f t="array" ref="AP817">_xlfn.IFS(AO817 &lt;= 3, "Recently[1-3]", AO817 &lt;= 6, "Due Soon[4-6]", AO817 &lt;= 10, "Overdue[7-10]", AO817 &lt;= 15, "Long Overdue[11-15]")</f>
        <v>Recently[1-3]</v>
      </c>
      <c r="AQ817" s="9" t="str" cm="1">
        <f t="array" ref="AQ817">_xlfn.IFS(AR817 &lt;= 3, "New Relationship[1-3]", AR817 &lt;= 7, "Established Relationship[4-7]", AR817 &lt;= 12, "Long Term Relationship[8-12]", AR817 &lt;= 17, "Very Long Term Relationship[13-17]")</f>
        <v>New Relationship[1-3]</v>
      </c>
      <c r="AR817" s="1">
        <v>2</v>
      </c>
    </row>
    <row r="818" spans="1:44" x14ac:dyDescent="0.25">
      <c r="A818" s="1">
        <v>39</v>
      </c>
      <c r="B818" s="8" t="str" cm="1">
        <f t="array" ref="B818">_xlfn.IFS(A818 &lt;= 25, "[18-25]", A818 &lt;= 35, "[26-35]", A818 &lt;=45, "[36-45]", A818 &lt;= 60, "[46- 60]")</f>
        <v>[36-45]</v>
      </c>
      <c r="C818" s="3" t="s">
        <v>43</v>
      </c>
      <c r="D818">
        <f t="shared" si="12"/>
        <v>0</v>
      </c>
      <c r="E818" t="s">
        <v>62</v>
      </c>
      <c r="F818" s="1">
        <v>439</v>
      </c>
      <c r="G818" s="3" t="s">
        <v>45</v>
      </c>
      <c r="H818" s="1">
        <v>9</v>
      </c>
      <c r="I818" s="9" t="str" cm="1">
        <f t="array" ref="I818">_xlfn.IFS(H818 &lt;= 2, "[1-2] very close", H818 &lt;= 10, "[3-10] close", H818 &lt;= 20, "[11-20] moderate", H818 &lt;= 30, "[21-30] far")</f>
        <v>[3-10] close</v>
      </c>
      <c r="J818" s="1">
        <v>3</v>
      </c>
      <c r="K818" s="3" t="s">
        <v>38</v>
      </c>
      <c r="L818" s="1">
        <v>1</v>
      </c>
      <c r="M818" s="1">
        <v>1132</v>
      </c>
      <c r="N818" s="1">
        <v>3</v>
      </c>
      <c r="O818" s="3" t="s">
        <v>46</v>
      </c>
      <c r="P818" s="1">
        <v>70</v>
      </c>
      <c r="Q818" s="1">
        <v>3</v>
      </c>
      <c r="R818" s="1">
        <v>2</v>
      </c>
      <c r="S818" s="3" t="s">
        <v>50</v>
      </c>
      <c r="T818" s="1">
        <v>2</v>
      </c>
      <c r="U818" s="3" t="s">
        <v>41</v>
      </c>
      <c r="V818" s="4">
        <v>6782</v>
      </c>
      <c r="W818" s="1">
        <v>8770</v>
      </c>
      <c r="X818" s="1">
        <v>9</v>
      </c>
      <c r="Y818" s="3" t="s">
        <v>42</v>
      </c>
      <c r="Z818" s="3" t="s">
        <v>43</v>
      </c>
      <c r="AA818" s="5">
        <v>0.15</v>
      </c>
      <c r="AB818" s="10" t="str" cm="1">
        <f t="array" ref="AB818">_xlfn.IFS(AA818 &lt;= 15%, "Low Hike[11-15%]", AA818 &lt;= 20%, "Moderate Hike[16-20%]", AA818 &lt;= 25%,"High Hike[21-25%]")</f>
        <v>Low Hike[11-15%]</v>
      </c>
      <c r="AC818" s="1">
        <v>3</v>
      </c>
      <c r="AD818" s="1">
        <v>3</v>
      </c>
      <c r="AE818" s="1">
        <v>80</v>
      </c>
      <c r="AF818" s="1">
        <v>0</v>
      </c>
      <c r="AG818" s="1">
        <v>9</v>
      </c>
      <c r="AH818" s="9" t="str" cm="1">
        <f t="array" ref="AH818">_xlfn.IFS(AG818 &lt;= 5, "New[1-5]", AG818 &lt;= 10, "Early Career[6-10]", AG818 &lt;= 20, "Established[11-20]", AG818 &lt;= 30, "Veteran[21-30]", AG818 &lt;= 40, "Late Career[31-40]")</f>
        <v>Early Career[6-10]</v>
      </c>
      <c r="AI818" s="1">
        <v>2</v>
      </c>
      <c r="AJ818" s="1">
        <v>2</v>
      </c>
      <c r="AK818" s="1">
        <v>5</v>
      </c>
      <c r="AL818" s="9" t="str" cm="1">
        <f t="array" ref="AL818">_xlfn.IFS(AK818 &lt;= 5, "New[1-5]", AK818 &lt;= 10, "Early Career[6-10]", AK818 &lt;= 20, "Established[11-20]", AK818 &lt;= 30, "Veteran[21-30]", AK818 &lt;= 40, "Late Career[31-40]")</f>
        <v>New[1-5]</v>
      </c>
      <c r="AM818" s="1">
        <v>4</v>
      </c>
      <c r="AN818" s="9" t="str" cm="1">
        <f t="array" ref="AN818">_xlfn.IFS(AM818 &lt;= 3, "New to Role[1-3]", AM818 &lt;= 7, "Settled[4-7]", AM818 &lt;= 12, "Experienced[[8-12]", AM818 &lt;= 18, "Long Tenured[13-18]")</f>
        <v>Settled[4-7]</v>
      </c>
      <c r="AO818" s="1">
        <v>0</v>
      </c>
      <c r="AP818" s="9" t="str" cm="1">
        <f t="array" ref="AP818">_xlfn.IFS(AO818 &lt;= 3, "Recently[1-3]", AO818 &lt;= 6, "Due Soon[4-6]", AO818 &lt;= 10, "Overdue[7-10]", AO818 &lt;= 15, "Long Overdue[11-15]")</f>
        <v>Recently[1-3]</v>
      </c>
      <c r="AQ818" s="9" t="str" cm="1">
        <f t="array" ref="AQ818">_xlfn.IFS(AR818 &lt;= 3, "New Relationship[1-3]", AR818 &lt;= 7, "Established Relationship[4-7]", AR818 &lt;= 12, "Long Term Relationship[8-12]", AR818 &lt;= 17, "Very Long Term Relationship[13-17]")</f>
        <v>New Relationship[1-3]</v>
      </c>
      <c r="AR818" s="1">
        <v>3</v>
      </c>
    </row>
    <row r="819" spans="1:44" x14ac:dyDescent="0.25">
      <c r="A819" s="1">
        <v>36</v>
      </c>
      <c r="B819" s="8" t="str" cm="1">
        <f t="array" ref="B819">_xlfn.IFS(A819 &lt;= 25, "[18-25]", A819 &lt;= 35, "[26-35]", A819 &lt;=45, "[36-45]", A819 &lt;= 60, "[46- 60]")</f>
        <v>[36-45]</v>
      </c>
      <c r="C819" s="3" t="s">
        <v>43</v>
      </c>
      <c r="D819">
        <f t="shared" si="12"/>
        <v>0</v>
      </c>
      <c r="E819" t="s">
        <v>62</v>
      </c>
      <c r="F819" s="1">
        <v>217</v>
      </c>
      <c r="G819" s="3" t="s">
        <v>45</v>
      </c>
      <c r="H819" s="1">
        <v>18</v>
      </c>
      <c r="I819" s="9" t="str" cm="1">
        <f t="array" ref="I819">_xlfn.IFS(H819 &lt;= 2, "[1-2] very close", H819 &lt;= 10, "[3-10] close", H819 &lt;= 20, "[11-20] moderate", H819 &lt;= 30, "[21-30] far")</f>
        <v>[11-20] moderate</v>
      </c>
      <c r="J819" s="1">
        <v>4</v>
      </c>
      <c r="K819" s="3" t="s">
        <v>38</v>
      </c>
      <c r="L819" s="1">
        <v>1</v>
      </c>
      <c r="M819" s="1">
        <v>1133</v>
      </c>
      <c r="N819" s="1">
        <v>1</v>
      </c>
      <c r="O819" s="3" t="s">
        <v>46</v>
      </c>
      <c r="P819" s="1">
        <v>78</v>
      </c>
      <c r="Q819" s="1">
        <v>3</v>
      </c>
      <c r="R819" s="1">
        <v>2</v>
      </c>
      <c r="S819" s="3" t="s">
        <v>53</v>
      </c>
      <c r="T819" s="1">
        <v>4</v>
      </c>
      <c r="U819" s="3" t="s">
        <v>41</v>
      </c>
      <c r="V819" s="4">
        <v>7779</v>
      </c>
      <c r="W819" s="1">
        <v>23238</v>
      </c>
      <c r="X819" s="1">
        <v>2</v>
      </c>
      <c r="Y819" s="3" t="s">
        <v>42</v>
      </c>
      <c r="Z819" s="3" t="s">
        <v>43</v>
      </c>
      <c r="AA819" s="5">
        <v>0.2</v>
      </c>
      <c r="AB819" s="10" t="str" cm="1">
        <f t="array" ref="AB819">_xlfn.IFS(AA819 &lt;= 15%, "Low Hike[11-15%]", AA819 &lt;= 20%, "Moderate Hike[16-20%]", AA819 &lt;= 25%,"High Hike[21-25%]")</f>
        <v>Moderate Hike[16-20%]</v>
      </c>
      <c r="AC819" s="1">
        <v>4</v>
      </c>
      <c r="AD819" s="1">
        <v>1</v>
      </c>
      <c r="AE819" s="1">
        <v>80</v>
      </c>
      <c r="AF819" s="1">
        <v>0</v>
      </c>
      <c r="AG819" s="1">
        <v>18</v>
      </c>
      <c r="AH819" s="9" t="str" cm="1">
        <f t="array" ref="AH819">_xlfn.IFS(AG819 &lt;= 5, "New[1-5]", AG819 &lt;= 10, "Early Career[6-10]", AG819 &lt;= 20, "Established[11-20]", AG819 &lt;= 30, "Veteran[21-30]", AG819 &lt;= 40, "Late Career[31-40]")</f>
        <v>Established[11-20]</v>
      </c>
      <c r="AI819" s="1">
        <v>0</v>
      </c>
      <c r="AJ819" s="1">
        <v>3</v>
      </c>
      <c r="AK819" s="1">
        <v>11</v>
      </c>
      <c r="AL819" s="9" t="str" cm="1">
        <f t="array" ref="AL819">_xlfn.IFS(AK819 &lt;= 5, "New[1-5]", AK819 &lt;= 10, "Early Career[6-10]", AK819 &lt;= 20, "Established[11-20]", AK819 &lt;= 30, "Veteran[21-30]", AK819 &lt;= 40, "Late Career[31-40]")</f>
        <v>Established[11-20]</v>
      </c>
      <c r="AM819" s="1">
        <v>9</v>
      </c>
      <c r="AN819" s="9" t="str" cm="1">
        <f t="array" ref="AN819">_xlfn.IFS(AM819 &lt;= 3, "New to Role[1-3]", AM819 &lt;= 7, "Settled[4-7]", AM819 &lt;= 12, "Experienced[[8-12]", AM819 &lt;= 18, "Long Tenured[13-18]")</f>
        <v>Experienced[[8-12]</v>
      </c>
      <c r="AO819" s="1">
        <v>0</v>
      </c>
      <c r="AP819" s="9" t="str" cm="1">
        <f t="array" ref="AP819">_xlfn.IFS(AO819 &lt;= 3, "Recently[1-3]", AO819 &lt;= 6, "Due Soon[4-6]", AO819 &lt;= 10, "Overdue[7-10]", AO819 &lt;= 15, "Long Overdue[11-15]")</f>
        <v>Recently[1-3]</v>
      </c>
      <c r="AQ819" s="9" t="str" cm="1">
        <f t="array" ref="AQ819">_xlfn.IFS(AR819 &lt;= 3, "New Relationship[1-3]", AR819 &lt;= 7, "Established Relationship[4-7]", AR819 &lt;= 12, "Long Term Relationship[8-12]", AR819 &lt;= 17, "Very Long Term Relationship[13-17]")</f>
        <v>Long Term Relationship[8-12]</v>
      </c>
      <c r="AR819" s="1">
        <v>9</v>
      </c>
    </row>
    <row r="820" spans="1:44" x14ac:dyDescent="0.25">
      <c r="A820" s="1">
        <v>31</v>
      </c>
      <c r="B820" s="8" t="str" cm="1">
        <f t="array" ref="B820">_xlfn.IFS(A820 &lt;= 25, "[18-25]", A820 &lt;= 35, "[26-35]", A820 &lt;=45, "[36-45]", A820 &lt;= 60, "[46- 60]")</f>
        <v>[26-35]</v>
      </c>
      <c r="C820" s="3" t="s">
        <v>43</v>
      </c>
      <c r="D820">
        <f t="shared" si="12"/>
        <v>0</v>
      </c>
      <c r="E820" t="s">
        <v>44</v>
      </c>
      <c r="F820" s="1">
        <v>793</v>
      </c>
      <c r="G820" s="3" t="s">
        <v>37</v>
      </c>
      <c r="H820" s="1">
        <v>20</v>
      </c>
      <c r="I820" s="9" t="str" cm="1">
        <f t="array" ref="I820">_xlfn.IFS(H820 &lt;= 2, "[1-2] very close", H820 &lt;= 10, "[3-10] close", H820 &lt;= 20, "[11-20] moderate", H820 &lt;= 30, "[21-30] far")</f>
        <v>[11-20] moderate</v>
      </c>
      <c r="J820" s="1">
        <v>3</v>
      </c>
      <c r="K820" s="3" t="s">
        <v>38</v>
      </c>
      <c r="L820" s="1">
        <v>1</v>
      </c>
      <c r="M820" s="1">
        <v>1135</v>
      </c>
      <c r="N820" s="1">
        <v>3</v>
      </c>
      <c r="O820" s="3" t="s">
        <v>46</v>
      </c>
      <c r="P820" s="1">
        <v>67</v>
      </c>
      <c r="Q820" s="1">
        <v>4</v>
      </c>
      <c r="R820" s="1">
        <v>1</v>
      </c>
      <c r="S820" s="3" t="s">
        <v>57</v>
      </c>
      <c r="T820" s="1">
        <v>4</v>
      </c>
      <c r="U820" s="3" t="s">
        <v>48</v>
      </c>
      <c r="V820" s="4">
        <v>2791</v>
      </c>
      <c r="W820" s="1">
        <v>21981</v>
      </c>
      <c r="X820" s="1">
        <v>0</v>
      </c>
      <c r="Y820" s="3" t="s">
        <v>42</v>
      </c>
      <c r="Z820" s="3" t="s">
        <v>43</v>
      </c>
      <c r="AA820" s="5">
        <v>0.12</v>
      </c>
      <c r="AB820" s="10" t="str" cm="1">
        <f t="array" ref="AB820">_xlfn.IFS(AA820 &lt;= 15%, "Low Hike[11-15%]", AA820 &lt;= 20%, "Moderate Hike[16-20%]", AA820 &lt;= 25%,"High Hike[21-25%]")</f>
        <v>Low Hike[11-15%]</v>
      </c>
      <c r="AC820" s="1">
        <v>3</v>
      </c>
      <c r="AD820" s="1">
        <v>1</v>
      </c>
      <c r="AE820" s="1">
        <v>80</v>
      </c>
      <c r="AF820" s="1">
        <v>1</v>
      </c>
      <c r="AG820" s="1">
        <v>3</v>
      </c>
      <c r="AH820" s="9" t="str" cm="1">
        <f t="array" ref="AH820">_xlfn.IFS(AG820 &lt;= 5, "New[1-5]", AG820 &lt;= 10, "Early Career[6-10]", AG820 &lt;= 20, "Established[11-20]", AG820 &lt;= 30, "Veteran[21-30]", AG820 &lt;= 40, "Late Career[31-40]")</f>
        <v>New[1-5]</v>
      </c>
      <c r="AI820" s="1">
        <v>4</v>
      </c>
      <c r="AJ820" s="1">
        <v>3</v>
      </c>
      <c r="AK820" s="1">
        <v>2</v>
      </c>
      <c r="AL820" s="9" t="str" cm="1">
        <f t="array" ref="AL820">_xlfn.IFS(AK820 &lt;= 5, "New[1-5]", AK820 &lt;= 10, "Early Career[6-10]", AK820 &lt;= 20, "Established[11-20]", AK820 &lt;= 30, "Veteran[21-30]", AK820 &lt;= 40, "Late Career[31-40]")</f>
        <v>New[1-5]</v>
      </c>
      <c r="AM820" s="1">
        <v>2</v>
      </c>
      <c r="AN820" s="9" t="str" cm="1">
        <f t="array" ref="AN820">_xlfn.IFS(AM820 &lt;= 3, "New to Role[1-3]", AM820 &lt;= 7, "Settled[4-7]", AM820 &lt;= 12, "Experienced[[8-12]", AM820 &lt;= 18, "Long Tenured[13-18]")</f>
        <v>New to Role[1-3]</v>
      </c>
      <c r="AO820" s="1">
        <v>2</v>
      </c>
      <c r="AP820" s="9" t="str" cm="1">
        <f t="array" ref="AP820">_xlfn.IFS(AO820 &lt;= 3, "Recently[1-3]", AO820 &lt;= 6, "Due Soon[4-6]", AO820 &lt;= 10, "Overdue[7-10]", AO820 &lt;= 15, "Long Overdue[11-15]")</f>
        <v>Recently[1-3]</v>
      </c>
      <c r="AQ820" s="9" t="str" cm="1">
        <f t="array" ref="AQ820">_xlfn.IFS(AR820 &lt;= 3, "New Relationship[1-3]", AR820 &lt;= 7, "Established Relationship[4-7]", AR820 &lt;= 12, "Long Term Relationship[8-12]", AR820 &lt;= 17, "Very Long Term Relationship[13-17]")</f>
        <v>New Relationship[1-3]</v>
      </c>
      <c r="AR820" s="1">
        <v>2</v>
      </c>
    </row>
    <row r="821" spans="1:44" x14ac:dyDescent="0.25">
      <c r="A821" s="1">
        <v>28</v>
      </c>
      <c r="B821" s="8" t="str" cm="1">
        <f t="array" ref="B821">_xlfn.IFS(A821 &lt;= 25, "[18-25]", A821 &lt;= 35, "[26-35]", A821 &lt;=45, "[36-45]", A821 &lt;= 60, "[46- 60]")</f>
        <v>[26-35]</v>
      </c>
      <c r="C821" s="3" t="s">
        <v>43</v>
      </c>
      <c r="D821">
        <f t="shared" si="12"/>
        <v>0</v>
      </c>
      <c r="E821" t="s">
        <v>36</v>
      </c>
      <c r="F821" s="1">
        <v>1451</v>
      </c>
      <c r="G821" s="3" t="s">
        <v>45</v>
      </c>
      <c r="H821" s="1">
        <v>2</v>
      </c>
      <c r="I821" s="9" t="str" cm="1">
        <f t="array" ref="I821">_xlfn.IFS(H821 &lt;= 2, "[1-2] very close", H821 &lt;= 10, "[3-10] close", H821 &lt;= 20, "[11-20] moderate", H821 &lt;= 30, "[21-30] far")</f>
        <v>[1-2] very close</v>
      </c>
      <c r="J821" s="1">
        <v>1</v>
      </c>
      <c r="K821" s="3" t="s">
        <v>38</v>
      </c>
      <c r="L821" s="1">
        <v>1</v>
      </c>
      <c r="M821" s="1">
        <v>1136</v>
      </c>
      <c r="N821" s="1">
        <v>1</v>
      </c>
      <c r="O821" s="3" t="s">
        <v>46</v>
      </c>
      <c r="P821" s="1">
        <v>67</v>
      </c>
      <c r="Q821" s="1">
        <v>2</v>
      </c>
      <c r="R821" s="1">
        <v>1</v>
      </c>
      <c r="S821" s="3" t="s">
        <v>47</v>
      </c>
      <c r="T821" s="1">
        <v>2</v>
      </c>
      <c r="U821" s="3" t="s">
        <v>48</v>
      </c>
      <c r="V821" s="4">
        <v>3201</v>
      </c>
      <c r="W821" s="1">
        <v>19911</v>
      </c>
      <c r="X821" s="1">
        <v>0</v>
      </c>
      <c r="Y821" s="3" t="s">
        <v>42</v>
      </c>
      <c r="Z821" s="3" t="s">
        <v>43</v>
      </c>
      <c r="AA821" s="5">
        <v>0.17</v>
      </c>
      <c r="AB821" s="10" t="str" cm="1">
        <f t="array" ref="AB821">_xlfn.IFS(AA821 &lt;= 15%, "Low Hike[11-15%]", AA821 &lt;= 20%, "Moderate Hike[16-20%]", AA821 &lt;= 25%,"High Hike[21-25%]")</f>
        <v>Moderate Hike[16-20%]</v>
      </c>
      <c r="AC821" s="1">
        <v>3</v>
      </c>
      <c r="AD821" s="1">
        <v>1</v>
      </c>
      <c r="AE821" s="1">
        <v>80</v>
      </c>
      <c r="AF821" s="1">
        <v>0</v>
      </c>
      <c r="AG821" s="1">
        <v>6</v>
      </c>
      <c r="AH821" s="9" t="str" cm="1">
        <f t="array" ref="AH821">_xlfn.IFS(AG821 &lt;= 5, "New[1-5]", AG821 &lt;= 10, "Early Career[6-10]", AG821 &lt;= 20, "Established[11-20]", AG821 &lt;= 30, "Veteran[21-30]", AG821 &lt;= 40, "Late Career[31-40]")</f>
        <v>Early Career[6-10]</v>
      </c>
      <c r="AI821" s="1">
        <v>2</v>
      </c>
      <c r="AJ821" s="1">
        <v>1</v>
      </c>
      <c r="AK821" s="1">
        <v>5</v>
      </c>
      <c r="AL821" s="9" t="str" cm="1">
        <f t="array" ref="AL821">_xlfn.IFS(AK821 &lt;= 5, "New[1-5]", AK821 &lt;= 10, "Early Career[6-10]", AK821 &lt;= 20, "Established[11-20]", AK821 &lt;= 30, "Veteran[21-30]", AK821 &lt;= 40, "Late Career[31-40]")</f>
        <v>New[1-5]</v>
      </c>
      <c r="AM821" s="1">
        <v>3</v>
      </c>
      <c r="AN821" s="9" t="str" cm="1">
        <f t="array" ref="AN821">_xlfn.IFS(AM821 &lt;= 3, "New to Role[1-3]", AM821 &lt;= 7, "Settled[4-7]", AM821 &lt;= 12, "Experienced[[8-12]", AM821 &lt;= 18, "Long Tenured[13-18]")</f>
        <v>New to Role[1-3]</v>
      </c>
      <c r="AO821" s="1">
        <v>0</v>
      </c>
      <c r="AP821" s="9" t="str" cm="1">
        <f t="array" ref="AP821">_xlfn.IFS(AO821 &lt;= 3, "Recently[1-3]", AO821 &lt;= 6, "Due Soon[4-6]", AO821 &lt;= 10, "Overdue[7-10]", AO821 &lt;= 15, "Long Overdue[11-15]")</f>
        <v>Recently[1-3]</v>
      </c>
      <c r="AQ821" s="9" t="str" cm="1">
        <f t="array" ref="AQ821">_xlfn.IFS(AR821 &lt;= 3, "New Relationship[1-3]", AR821 &lt;= 7, "Established Relationship[4-7]", AR821 &lt;= 12, "Long Term Relationship[8-12]", AR821 &lt;= 17, "Very Long Term Relationship[13-17]")</f>
        <v>Established Relationship[4-7]</v>
      </c>
      <c r="AR821" s="1">
        <v>4</v>
      </c>
    </row>
    <row r="822" spans="1:44" x14ac:dyDescent="0.25">
      <c r="A822" s="1">
        <v>35</v>
      </c>
      <c r="B822" s="8" t="str" cm="1">
        <f t="array" ref="B822">_xlfn.IFS(A822 &lt;= 25, "[18-25]", A822 &lt;= 35, "[26-35]", A822 &lt;=45, "[36-45]", A822 &lt;= 60, "[46- 60]")</f>
        <v>[26-35]</v>
      </c>
      <c r="C822" s="3" t="s">
        <v>43</v>
      </c>
      <c r="D822">
        <f t="shared" si="12"/>
        <v>0</v>
      </c>
      <c r="E822" t="s">
        <v>44</v>
      </c>
      <c r="F822" s="1">
        <v>1182</v>
      </c>
      <c r="G822" s="3" t="s">
        <v>37</v>
      </c>
      <c r="H822" s="1">
        <v>11</v>
      </c>
      <c r="I822" s="9" t="str" cm="1">
        <f t="array" ref="I822">_xlfn.IFS(H822 &lt;= 2, "[1-2] very close", H822 &lt;= 10, "[3-10] close", H822 &lt;= 20, "[11-20] moderate", H822 &lt;= 30, "[21-30] far")</f>
        <v>[11-20] moderate</v>
      </c>
      <c r="J822" s="1">
        <v>2</v>
      </c>
      <c r="K822" s="3" t="s">
        <v>59</v>
      </c>
      <c r="L822" s="1">
        <v>1</v>
      </c>
      <c r="M822" s="1">
        <v>1137</v>
      </c>
      <c r="N822" s="1">
        <v>4</v>
      </c>
      <c r="O822" s="3" t="s">
        <v>46</v>
      </c>
      <c r="P822" s="1">
        <v>54</v>
      </c>
      <c r="Q822" s="1">
        <v>3</v>
      </c>
      <c r="R822" s="1">
        <v>2</v>
      </c>
      <c r="S822" s="3" t="s">
        <v>40</v>
      </c>
      <c r="T822" s="1">
        <v>4</v>
      </c>
      <c r="U822" s="3" t="s">
        <v>52</v>
      </c>
      <c r="V822" s="4">
        <v>4968</v>
      </c>
      <c r="W822" s="1">
        <v>18500</v>
      </c>
      <c r="X822" s="1">
        <v>1</v>
      </c>
      <c r="Y822" s="3" t="s">
        <v>42</v>
      </c>
      <c r="Z822" s="3" t="s">
        <v>43</v>
      </c>
      <c r="AA822" s="5">
        <v>0.11</v>
      </c>
      <c r="AB822" s="10" t="str" cm="1">
        <f t="array" ref="AB822">_xlfn.IFS(AA822 &lt;= 15%, "Low Hike[11-15%]", AA822 &lt;= 20%, "Moderate Hike[16-20%]", AA822 &lt;= 25%,"High Hike[21-25%]")</f>
        <v>Low Hike[11-15%]</v>
      </c>
      <c r="AC822" s="1">
        <v>3</v>
      </c>
      <c r="AD822" s="1">
        <v>4</v>
      </c>
      <c r="AE822" s="1">
        <v>80</v>
      </c>
      <c r="AF822" s="1">
        <v>1</v>
      </c>
      <c r="AG822" s="1">
        <v>5</v>
      </c>
      <c r="AH822" s="9" t="str" cm="1">
        <f t="array" ref="AH822">_xlfn.IFS(AG822 &lt;= 5, "New[1-5]", AG822 &lt;= 10, "Early Career[6-10]", AG822 &lt;= 20, "Established[11-20]", AG822 &lt;= 30, "Veteran[21-30]", AG822 &lt;= 40, "Late Career[31-40]")</f>
        <v>New[1-5]</v>
      </c>
      <c r="AI822" s="1">
        <v>3</v>
      </c>
      <c r="AJ822" s="1">
        <v>3</v>
      </c>
      <c r="AK822" s="1">
        <v>5</v>
      </c>
      <c r="AL822" s="9" t="str" cm="1">
        <f t="array" ref="AL822">_xlfn.IFS(AK822 &lt;= 5, "New[1-5]", AK822 &lt;= 10, "Early Career[6-10]", AK822 &lt;= 20, "Established[11-20]", AK822 &lt;= 30, "Veteran[21-30]", AK822 &lt;= 40, "Late Career[31-40]")</f>
        <v>New[1-5]</v>
      </c>
      <c r="AM822" s="1">
        <v>2</v>
      </c>
      <c r="AN822" s="9" t="str" cm="1">
        <f t="array" ref="AN822">_xlfn.IFS(AM822 &lt;= 3, "New to Role[1-3]", AM822 &lt;= 7, "Settled[4-7]", AM822 &lt;= 12, "Experienced[[8-12]", AM822 &lt;= 18, "Long Tenured[13-18]")</f>
        <v>New to Role[1-3]</v>
      </c>
      <c r="AO822" s="1">
        <v>0</v>
      </c>
      <c r="AP822" s="9" t="str" cm="1">
        <f t="array" ref="AP822">_xlfn.IFS(AO822 &lt;= 3, "Recently[1-3]", AO822 &lt;= 6, "Due Soon[4-6]", AO822 &lt;= 10, "Overdue[7-10]", AO822 &lt;= 15, "Long Overdue[11-15]")</f>
        <v>Recently[1-3]</v>
      </c>
      <c r="AQ822" s="9" t="str" cm="1">
        <f t="array" ref="AQ822">_xlfn.IFS(AR822 &lt;= 3, "New Relationship[1-3]", AR822 &lt;= 7, "Established Relationship[4-7]", AR822 &lt;= 12, "Long Term Relationship[8-12]", AR822 &lt;= 17, "Very Long Term Relationship[13-17]")</f>
        <v>New Relationship[1-3]</v>
      </c>
      <c r="AR822" s="1">
        <v>2</v>
      </c>
    </row>
    <row r="823" spans="1:44" x14ac:dyDescent="0.25">
      <c r="A823" s="1">
        <v>49</v>
      </c>
      <c r="B823" s="8" t="str" cm="1">
        <f t="array" ref="B823">_xlfn.IFS(A823 &lt;= 25, "[18-25]", A823 &lt;= 35, "[26-35]", A823 &lt;=45, "[36-45]", A823 &lt;= 60, "[46- 60]")</f>
        <v>[46- 60]</v>
      </c>
      <c r="C823" s="3" t="s">
        <v>43</v>
      </c>
      <c r="D823">
        <f t="shared" si="12"/>
        <v>0</v>
      </c>
      <c r="E823" t="s">
        <v>36</v>
      </c>
      <c r="F823" s="1">
        <v>174</v>
      </c>
      <c r="G823" s="3" t="s">
        <v>37</v>
      </c>
      <c r="H823" s="1">
        <v>8</v>
      </c>
      <c r="I823" s="9" t="str" cm="1">
        <f t="array" ref="I823">_xlfn.IFS(H823 &lt;= 2, "[1-2] very close", H823 &lt;= 10, "[3-10] close", H823 &lt;= 20, "[11-20] moderate", H823 &lt;= 30, "[21-30] far")</f>
        <v>[3-10] close</v>
      </c>
      <c r="J823" s="1">
        <v>4</v>
      </c>
      <c r="K823" s="3" t="s">
        <v>60</v>
      </c>
      <c r="L823" s="1">
        <v>1</v>
      </c>
      <c r="M823" s="1">
        <v>1138</v>
      </c>
      <c r="N823" s="1">
        <v>4</v>
      </c>
      <c r="O823" s="3" t="s">
        <v>46</v>
      </c>
      <c r="P823" s="1">
        <v>56</v>
      </c>
      <c r="Q823" s="1">
        <v>2</v>
      </c>
      <c r="R823" s="1">
        <v>4</v>
      </c>
      <c r="S823" s="3" t="s">
        <v>40</v>
      </c>
      <c r="T823" s="1">
        <v>2</v>
      </c>
      <c r="U823" s="3" t="s">
        <v>48</v>
      </c>
      <c r="V823" s="4">
        <v>13120</v>
      </c>
      <c r="W823" s="1">
        <v>11879</v>
      </c>
      <c r="X823" s="1">
        <v>6</v>
      </c>
      <c r="Y823" s="3" t="s">
        <v>42</v>
      </c>
      <c r="Z823" s="3" t="s">
        <v>43</v>
      </c>
      <c r="AA823" s="5">
        <v>0.17</v>
      </c>
      <c r="AB823" s="10" t="str" cm="1">
        <f t="array" ref="AB823">_xlfn.IFS(AA823 &lt;= 15%, "Low Hike[11-15%]", AA823 &lt;= 20%, "Moderate Hike[16-20%]", AA823 &lt;= 25%,"High Hike[21-25%]")</f>
        <v>Moderate Hike[16-20%]</v>
      </c>
      <c r="AC823" s="1">
        <v>3</v>
      </c>
      <c r="AD823" s="1">
        <v>2</v>
      </c>
      <c r="AE823" s="1">
        <v>80</v>
      </c>
      <c r="AF823" s="1">
        <v>1</v>
      </c>
      <c r="AG823" s="1">
        <v>22</v>
      </c>
      <c r="AH823" s="9" t="str" cm="1">
        <f t="array" ref="AH823">_xlfn.IFS(AG823 &lt;= 5, "New[1-5]", AG823 &lt;= 10, "Early Career[6-10]", AG823 &lt;= 20, "Established[11-20]", AG823 &lt;= 30, "Veteran[21-30]", AG823 &lt;= 40, "Late Career[31-40]")</f>
        <v>Veteran[21-30]</v>
      </c>
      <c r="AI823" s="1">
        <v>3</v>
      </c>
      <c r="AJ823" s="1">
        <v>3</v>
      </c>
      <c r="AK823" s="1">
        <v>9</v>
      </c>
      <c r="AL823" s="9" t="str" cm="1">
        <f t="array" ref="AL823">_xlfn.IFS(AK823 &lt;= 5, "New[1-5]", AK823 &lt;= 10, "Early Career[6-10]", AK823 &lt;= 20, "Established[11-20]", AK823 &lt;= 30, "Veteran[21-30]", AK823 &lt;= 40, "Late Career[31-40]")</f>
        <v>Early Career[6-10]</v>
      </c>
      <c r="AM823" s="1">
        <v>8</v>
      </c>
      <c r="AN823" s="9" t="str" cm="1">
        <f t="array" ref="AN823">_xlfn.IFS(AM823 &lt;= 3, "New to Role[1-3]", AM823 &lt;= 7, "Settled[4-7]", AM823 &lt;= 12, "Experienced[[8-12]", AM823 &lt;= 18, "Long Tenured[13-18]")</f>
        <v>Experienced[[8-12]</v>
      </c>
      <c r="AO823" s="1">
        <v>2</v>
      </c>
      <c r="AP823" s="9" t="str" cm="1">
        <f t="array" ref="AP823">_xlfn.IFS(AO823 &lt;= 3, "Recently[1-3]", AO823 &lt;= 6, "Due Soon[4-6]", AO823 &lt;= 10, "Overdue[7-10]", AO823 &lt;= 15, "Long Overdue[11-15]")</f>
        <v>Recently[1-3]</v>
      </c>
      <c r="AQ823" s="9" t="str" cm="1">
        <f t="array" ref="AQ823">_xlfn.IFS(AR823 &lt;= 3, "New Relationship[1-3]", AR823 &lt;= 7, "Established Relationship[4-7]", AR823 &lt;= 12, "Long Term Relationship[8-12]", AR823 &lt;= 17, "Very Long Term Relationship[13-17]")</f>
        <v>New Relationship[1-3]</v>
      </c>
      <c r="AR823" s="1">
        <v>3</v>
      </c>
    </row>
    <row r="824" spans="1:44" x14ac:dyDescent="0.25">
      <c r="A824" s="1">
        <v>34</v>
      </c>
      <c r="B824" s="8" t="str" cm="1">
        <f t="array" ref="B824">_xlfn.IFS(A824 &lt;= 25, "[18-25]", A824 &lt;= 35, "[26-35]", A824 &lt;=45, "[36-45]", A824 &lt;= 60, "[46- 60]")</f>
        <v>[26-35]</v>
      </c>
      <c r="C824" s="3" t="s">
        <v>43</v>
      </c>
      <c r="D824">
        <f t="shared" si="12"/>
        <v>0</v>
      </c>
      <c r="E824" t="s">
        <v>44</v>
      </c>
      <c r="F824" s="1">
        <v>1003</v>
      </c>
      <c r="G824" s="3" t="s">
        <v>45</v>
      </c>
      <c r="H824" s="1">
        <v>2</v>
      </c>
      <c r="I824" s="9" t="str" cm="1">
        <f t="array" ref="I824">_xlfn.IFS(H824 &lt;= 2, "[1-2] very close", H824 &lt;= 10, "[3-10] close", H824 &lt;= 20, "[11-20] moderate", H824 &lt;= 30, "[21-30] far")</f>
        <v>[1-2] very close</v>
      </c>
      <c r="J824" s="1">
        <v>2</v>
      </c>
      <c r="K824" s="3" t="s">
        <v>38</v>
      </c>
      <c r="L824" s="1">
        <v>1</v>
      </c>
      <c r="M824" s="1">
        <v>1140</v>
      </c>
      <c r="N824" s="1">
        <v>4</v>
      </c>
      <c r="O824" s="3" t="s">
        <v>46</v>
      </c>
      <c r="P824" s="1">
        <v>95</v>
      </c>
      <c r="Q824" s="1">
        <v>3</v>
      </c>
      <c r="R824" s="1">
        <v>2</v>
      </c>
      <c r="S824" s="3" t="s">
        <v>53</v>
      </c>
      <c r="T824" s="1">
        <v>3</v>
      </c>
      <c r="U824" s="3" t="s">
        <v>41</v>
      </c>
      <c r="V824" s="4">
        <v>4033</v>
      </c>
      <c r="W824" s="1">
        <v>15834</v>
      </c>
      <c r="X824" s="1">
        <v>2</v>
      </c>
      <c r="Y824" s="3" t="s">
        <v>42</v>
      </c>
      <c r="Z824" s="3" t="s">
        <v>43</v>
      </c>
      <c r="AA824" s="5">
        <v>0.11</v>
      </c>
      <c r="AB824" s="10" t="str" cm="1">
        <f t="array" ref="AB824">_xlfn.IFS(AA824 &lt;= 15%, "Low Hike[11-15%]", AA824 &lt;= 20%, "Moderate Hike[16-20%]", AA824 &lt;= 25%,"High Hike[21-25%]")</f>
        <v>Low Hike[11-15%]</v>
      </c>
      <c r="AC824" s="1">
        <v>3</v>
      </c>
      <c r="AD824" s="1">
        <v>4</v>
      </c>
      <c r="AE824" s="1">
        <v>80</v>
      </c>
      <c r="AF824" s="1">
        <v>0</v>
      </c>
      <c r="AG824" s="1">
        <v>5</v>
      </c>
      <c r="AH824" s="9" t="str" cm="1">
        <f t="array" ref="AH824">_xlfn.IFS(AG824 &lt;= 5, "New[1-5]", AG824 &lt;= 10, "Early Career[6-10]", AG824 &lt;= 20, "Established[11-20]", AG824 &lt;= 30, "Veteran[21-30]", AG824 &lt;= 40, "Late Career[31-40]")</f>
        <v>New[1-5]</v>
      </c>
      <c r="AI824" s="1">
        <v>3</v>
      </c>
      <c r="AJ824" s="1">
        <v>2</v>
      </c>
      <c r="AK824" s="1">
        <v>3</v>
      </c>
      <c r="AL824" s="9" t="str" cm="1">
        <f t="array" ref="AL824">_xlfn.IFS(AK824 &lt;= 5, "New[1-5]", AK824 &lt;= 10, "Early Career[6-10]", AK824 &lt;= 20, "Established[11-20]", AK824 &lt;= 30, "Veteran[21-30]", AK824 &lt;= 40, "Late Career[31-40]")</f>
        <v>New[1-5]</v>
      </c>
      <c r="AM824" s="1">
        <v>2</v>
      </c>
      <c r="AN824" s="9" t="str" cm="1">
        <f t="array" ref="AN824">_xlfn.IFS(AM824 &lt;= 3, "New to Role[1-3]", AM824 &lt;= 7, "Settled[4-7]", AM824 &lt;= 12, "Experienced[[8-12]", AM824 &lt;= 18, "Long Tenured[13-18]")</f>
        <v>New to Role[1-3]</v>
      </c>
      <c r="AO824" s="1">
        <v>0</v>
      </c>
      <c r="AP824" s="9" t="str" cm="1">
        <f t="array" ref="AP824">_xlfn.IFS(AO824 &lt;= 3, "Recently[1-3]", AO824 &lt;= 6, "Due Soon[4-6]", AO824 &lt;= 10, "Overdue[7-10]", AO824 &lt;= 15, "Long Overdue[11-15]")</f>
        <v>Recently[1-3]</v>
      </c>
      <c r="AQ824" s="9" t="str" cm="1">
        <f t="array" ref="AQ824">_xlfn.IFS(AR824 &lt;= 3, "New Relationship[1-3]", AR824 &lt;= 7, "Established Relationship[4-7]", AR824 &lt;= 12, "Long Term Relationship[8-12]", AR824 &lt;= 17, "Very Long Term Relationship[13-17]")</f>
        <v>New Relationship[1-3]</v>
      </c>
      <c r="AR824" s="1">
        <v>2</v>
      </c>
    </row>
    <row r="825" spans="1:44" x14ac:dyDescent="0.25">
      <c r="A825" s="1">
        <v>29</v>
      </c>
      <c r="B825" s="8" t="str" cm="1">
        <f t="array" ref="B825">_xlfn.IFS(A825 &lt;= 25, "[18-25]", A825 &lt;= 35, "[26-35]", A825 &lt;=45, "[36-45]", A825 &lt;= 60, "[46- 60]")</f>
        <v>[26-35]</v>
      </c>
      <c r="C825" s="3" t="s">
        <v>43</v>
      </c>
      <c r="D825">
        <f t="shared" si="12"/>
        <v>0</v>
      </c>
      <c r="E825" t="s">
        <v>44</v>
      </c>
      <c r="F825" s="1">
        <v>490</v>
      </c>
      <c r="G825" s="3" t="s">
        <v>45</v>
      </c>
      <c r="H825" s="1">
        <v>10</v>
      </c>
      <c r="I825" s="9" t="str" cm="1">
        <f t="array" ref="I825">_xlfn.IFS(H825 &lt;= 2, "[1-2] very close", H825 &lt;= 10, "[3-10] close", H825 &lt;= 20, "[11-20] moderate", H825 &lt;= 30, "[21-30] far")</f>
        <v>[3-10] close</v>
      </c>
      <c r="J825" s="1">
        <v>3</v>
      </c>
      <c r="K825" s="3" t="s">
        <v>38</v>
      </c>
      <c r="L825" s="1">
        <v>1</v>
      </c>
      <c r="M825" s="1">
        <v>1143</v>
      </c>
      <c r="N825" s="1">
        <v>4</v>
      </c>
      <c r="O825" s="3" t="s">
        <v>39</v>
      </c>
      <c r="P825" s="1">
        <v>61</v>
      </c>
      <c r="Q825" s="1">
        <v>3</v>
      </c>
      <c r="R825" s="1">
        <v>1</v>
      </c>
      <c r="S825" s="3" t="s">
        <v>47</v>
      </c>
      <c r="T825" s="1">
        <v>2</v>
      </c>
      <c r="U825" s="3" t="s">
        <v>52</v>
      </c>
      <c r="V825" s="4">
        <v>3291</v>
      </c>
      <c r="W825" s="1">
        <v>17940</v>
      </c>
      <c r="X825" s="1">
        <v>0</v>
      </c>
      <c r="Y825" s="3" t="s">
        <v>42</v>
      </c>
      <c r="Z825" s="3" t="s">
        <v>43</v>
      </c>
      <c r="AA825" s="5">
        <v>0.14000000000000001</v>
      </c>
      <c r="AB825" s="10" t="str" cm="1">
        <f t="array" ref="AB825">_xlfn.IFS(AA825 &lt;= 15%, "Low Hike[11-15%]", AA825 &lt;= 20%, "Moderate Hike[16-20%]", AA825 &lt;= 25%,"High Hike[21-25%]")</f>
        <v>Low Hike[11-15%]</v>
      </c>
      <c r="AC825" s="1">
        <v>3</v>
      </c>
      <c r="AD825" s="1">
        <v>4</v>
      </c>
      <c r="AE825" s="1">
        <v>80</v>
      </c>
      <c r="AF825" s="1">
        <v>2</v>
      </c>
      <c r="AG825" s="1">
        <v>8</v>
      </c>
      <c r="AH825" s="9" t="str" cm="1">
        <f t="array" ref="AH825">_xlfn.IFS(AG825 &lt;= 5, "New[1-5]", AG825 &lt;= 10, "Early Career[6-10]", AG825 &lt;= 20, "Established[11-20]", AG825 &lt;= 30, "Veteran[21-30]", AG825 &lt;= 40, "Late Career[31-40]")</f>
        <v>Early Career[6-10]</v>
      </c>
      <c r="AI825" s="1">
        <v>2</v>
      </c>
      <c r="AJ825" s="1">
        <v>2</v>
      </c>
      <c r="AK825" s="1">
        <v>7</v>
      </c>
      <c r="AL825" s="9" t="str" cm="1">
        <f t="array" ref="AL825">_xlfn.IFS(AK825 &lt;= 5, "New[1-5]", AK825 &lt;= 10, "Early Career[6-10]", AK825 &lt;= 20, "Established[11-20]", AK825 &lt;= 30, "Veteran[21-30]", AK825 &lt;= 40, "Late Career[31-40]")</f>
        <v>Early Career[6-10]</v>
      </c>
      <c r="AM825" s="1">
        <v>5</v>
      </c>
      <c r="AN825" s="9" t="str" cm="1">
        <f t="array" ref="AN825">_xlfn.IFS(AM825 &lt;= 3, "New to Role[1-3]", AM825 &lt;= 7, "Settled[4-7]", AM825 &lt;= 12, "Experienced[[8-12]", AM825 &lt;= 18, "Long Tenured[13-18]")</f>
        <v>Settled[4-7]</v>
      </c>
      <c r="AO825" s="1">
        <v>1</v>
      </c>
      <c r="AP825" s="9" t="str" cm="1">
        <f t="array" ref="AP825">_xlfn.IFS(AO825 &lt;= 3, "Recently[1-3]", AO825 &lt;= 6, "Due Soon[4-6]", AO825 &lt;= 10, "Overdue[7-10]", AO825 &lt;= 15, "Long Overdue[11-15]")</f>
        <v>Recently[1-3]</v>
      </c>
      <c r="AQ825" s="9" t="str" cm="1">
        <f t="array" ref="AQ825">_xlfn.IFS(AR825 &lt;= 3, "New Relationship[1-3]", AR825 &lt;= 7, "Established Relationship[4-7]", AR825 &lt;= 12, "Long Term Relationship[8-12]", AR825 &lt;= 17, "Very Long Term Relationship[13-17]")</f>
        <v>New Relationship[1-3]</v>
      </c>
      <c r="AR825" s="1">
        <v>1</v>
      </c>
    </row>
    <row r="826" spans="1:44" x14ac:dyDescent="0.25">
      <c r="A826" s="1">
        <v>42</v>
      </c>
      <c r="B826" s="8" t="str" cm="1">
        <f t="array" ref="B826">_xlfn.IFS(A826 &lt;= 25, "[18-25]", A826 &lt;= 35, "[26-35]", A826 &lt;=45, "[36-45]", A826 &lt;= 60, "[46- 60]")</f>
        <v>[36-45]</v>
      </c>
      <c r="C826" s="3" t="s">
        <v>43</v>
      </c>
      <c r="D826">
        <f t="shared" si="12"/>
        <v>0</v>
      </c>
      <c r="E826" t="s">
        <v>36</v>
      </c>
      <c r="F826" s="1">
        <v>188</v>
      </c>
      <c r="G826" s="3" t="s">
        <v>45</v>
      </c>
      <c r="H826" s="1">
        <v>29</v>
      </c>
      <c r="I826" s="9" t="str" cm="1">
        <f t="array" ref="I826">_xlfn.IFS(H826 &lt;= 2, "[1-2] very close", H826 &lt;= 10, "[3-10] close", H826 &lt;= 20, "[11-20] moderate", H826 &lt;= 30, "[21-30] far")</f>
        <v>[21-30] far</v>
      </c>
      <c r="J826" s="1">
        <v>3</v>
      </c>
      <c r="K826" s="3" t="s">
        <v>51</v>
      </c>
      <c r="L826" s="1">
        <v>1</v>
      </c>
      <c r="M826" s="1">
        <v>1148</v>
      </c>
      <c r="N826" s="1">
        <v>2</v>
      </c>
      <c r="O826" s="3" t="s">
        <v>46</v>
      </c>
      <c r="P826" s="1">
        <v>56</v>
      </c>
      <c r="Q826" s="1">
        <v>1</v>
      </c>
      <c r="R826" s="1">
        <v>2</v>
      </c>
      <c r="S826" s="3" t="s">
        <v>50</v>
      </c>
      <c r="T826" s="1">
        <v>4</v>
      </c>
      <c r="U826" s="3" t="s">
        <v>41</v>
      </c>
      <c r="V826" s="4">
        <v>4272</v>
      </c>
      <c r="W826" s="1">
        <v>9558</v>
      </c>
      <c r="X826" s="1">
        <v>4</v>
      </c>
      <c r="Y826" s="3" t="s">
        <v>42</v>
      </c>
      <c r="Z826" s="3" t="s">
        <v>43</v>
      </c>
      <c r="AA826" s="5">
        <v>0.19</v>
      </c>
      <c r="AB826" s="10" t="str" cm="1">
        <f t="array" ref="AB826">_xlfn.IFS(AA826 &lt;= 15%, "Low Hike[11-15%]", AA826 &lt;= 20%, "Moderate Hike[16-20%]", AA826 &lt;= 25%,"High Hike[21-25%]")</f>
        <v>Moderate Hike[16-20%]</v>
      </c>
      <c r="AC826" s="1">
        <v>3</v>
      </c>
      <c r="AD826" s="1">
        <v>1</v>
      </c>
      <c r="AE826" s="1">
        <v>80</v>
      </c>
      <c r="AF826" s="1">
        <v>0</v>
      </c>
      <c r="AG826" s="1">
        <v>16</v>
      </c>
      <c r="AH826" s="9" t="str" cm="1">
        <f t="array" ref="AH826">_xlfn.IFS(AG826 &lt;= 5, "New[1-5]", AG826 &lt;= 10, "Early Career[6-10]", AG826 &lt;= 20, "Established[11-20]", AG826 &lt;= 30, "Veteran[21-30]", AG826 &lt;= 40, "Late Career[31-40]")</f>
        <v>Established[11-20]</v>
      </c>
      <c r="AI826" s="1">
        <v>3</v>
      </c>
      <c r="AJ826" s="1">
        <v>3</v>
      </c>
      <c r="AK826" s="1">
        <v>1</v>
      </c>
      <c r="AL826" s="9" t="str" cm="1">
        <f t="array" ref="AL826">_xlfn.IFS(AK826 &lt;= 5, "New[1-5]", AK826 &lt;= 10, "Early Career[6-10]", AK826 &lt;= 20, "Established[11-20]", AK826 &lt;= 30, "Veteran[21-30]", AK826 &lt;= 40, "Late Career[31-40]")</f>
        <v>New[1-5]</v>
      </c>
      <c r="AM826" s="1">
        <v>0</v>
      </c>
      <c r="AN826" s="9" t="str" cm="1">
        <f t="array" ref="AN826">_xlfn.IFS(AM826 &lt;= 3, "New to Role[1-3]", AM826 &lt;= 7, "Settled[4-7]", AM826 &lt;= 12, "Experienced[[8-12]", AM826 &lt;= 18, "Long Tenured[13-18]")</f>
        <v>New to Role[1-3]</v>
      </c>
      <c r="AO826" s="1">
        <v>0</v>
      </c>
      <c r="AP826" s="9" t="str" cm="1">
        <f t="array" ref="AP826">_xlfn.IFS(AO826 &lt;= 3, "Recently[1-3]", AO826 &lt;= 6, "Due Soon[4-6]", AO826 &lt;= 10, "Overdue[7-10]", AO826 &lt;= 15, "Long Overdue[11-15]")</f>
        <v>Recently[1-3]</v>
      </c>
      <c r="AQ826" s="9" t="str" cm="1">
        <f t="array" ref="AQ826">_xlfn.IFS(AR826 &lt;= 3, "New Relationship[1-3]", AR826 &lt;= 7, "Established Relationship[4-7]", AR826 &lt;= 12, "Long Term Relationship[8-12]", AR826 &lt;= 17, "Very Long Term Relationship[13-17]")</f>
        <v>New Relationship[1-3]</v>
      </c>
      <c r="AR826" s="1">
        <v>0</v>
      </c>
    </row>
    <row r="827" spans="1:44" x14ac:dyDescent="0.25">
      <c r="A827" s="1">
        <v>29</v>
      </c>
      <c r="B827" s="8" t="str" cm="1">
        <f t="array" ref="B827">_xlfn.IFS(A827 &lt;= 25, "[18-25]", A827 &lt;= 35, "[26-35]", A827 &lt;=45, "[36-45]", A827 &lt;= 60, "[46- 60]")</f>
        <v>[26-35]</v>
      </c>
      <c r="C827" s="3" t="s">
        <v>43</v>
      </c>
      <c r="D827">
        <f t="shared" si="12"/>
        <v>0</v>
      </c>
      <c r="E827" t="s">
        <v>36</v>
      </c>
      <c r="F827" s="1">
        <v>718</v>
      </c>
      <c r="G827" s="3" t="s">
        <v>45</v>
      </c>
      <c r="H827" s="1">
        <v>8</v>
      </c>
      <c r="I827" s="9" t="str" cm="1">
        <f t="array" ref="I827">_xlfn.IFS(H827 &lt;= 2, "[1-2] very close", H827 &lt;= 10, "[3-10] close", H827 &lt;= 20, "[11-20] moderate", H827 &lt;= 30, "[21-30] far")</f>
        <v>[3-10] close</v>
      </c>
      <c r="J827" s="1">
        <v>1</v>
      </c>
      <c r="K827" s="3" t="s">
        <v>51</v>
      </c>
      <c r="L827" s="1">
        <v>1</v>
      </c>
      <c r="M827" s="1">
        <v>1150</v>
      </c>
      <c r="N827" s="1">
        <v>2</v>
      </c>
      <c r="O827" s="3" t="s">
        <v>46</v>
      </c>
      <c r="P827" s="1">
        <v>79</v>
      </c>
      <c r="Q827" s="1">
        <v>2</v>
      </c>
      <c r="R827" s="1">
        <v>2</v>
      </c>
      <c r="S827" s="3" t="s">
        <v>53</v>
      </c>
      <c r="T827" s="1">
        <v>4</v>
      </c>
      <c r="U827" s="3" t="s">
        <v>48</v>
      </c>
      <c r="V827" s="4">
        <v>5056</v>
      </c>
      <c r="W827" s="1">
        <v>17689</v>
      </c>
      <c r="X827" s="1">
        <v>1</v>
      </c>
      <c r="Y827" s="3" t="s">
        <v>42</v>
      </c>
      <c r="Z827" s="3" t="s">
        <v>35</v>
      </c>
      <c r="AA827" s="5">
        <v>0.15</v>
      </c>
      <c r="AB827" s="10" t="str" cm="1">
        <f t="array" ref="AB827">_xlfn.IFS(AA827 &lt;= 15%, "Low Hike[11-15%]", AA827 &lt;= 20%, "Moderate Hike[16-20%]", AA827 &lt;= 25%,"High Hike[21-25%]")</f>
        <v>Low Hike[11-15%]</v>
      </c>
      <c r="AC827" s="1">
        <v>3</v>
      </c>
      <c r="AD827" s="1">
        <v>3</v>
      </c>
      <c r="AE827" s="1">
        <v>80</v>
      </c>
      <c r="AF827" s="1">
        <v>1</v>
      </c>
      <c r="AG827" s="1">
        <v>10</v>
      </c>
      <c r="AH827" s="9" t="str" cm="1">
        <f t="array" ref="AH827">_xlfn.IFS(AG827 &lt;= 5, "New[1-5]", AG827 &lt;= 10, "Early Career[6-10]", AG827 &lt;= 20, "Established[11-20]", AG827 &lt;= 30, "Veteran[21-30]", AG827 &lt;= 40, "Late Career[31-40]")</f>
        <v>Early Career[6-10]</v>
      </c>
      <c r="AI827" s="1">
        <v>2</v>
      </c>
      <c r="AJ827" s="1">
        <v>2</v>
      </c>
      <c r="AK827" s="1">
        <v>10</v>
      </c>
      <c r="AL827" s="9" t="str" cm="1">
        <f t="array" ref="AL827">_xlfn.IFS(AK827 &lt;= 5, "New[1-5]", AK827 &lt;= 10, "Early Career[6-10]", AK827 &lt;= 20, "Established[11-20]", AK827 &lt;= 30, "Veteran[21-30]", AK827 &lt;= 40, "Late Career[31-40]")</f>
        <v>Early Career[6-10]</v>
      </c>
      <c r="AM827" s="1">
        <v>7</v>
      </c>
      <c r="AN827" s="9" t="str" cm="1">
        <f t="array" ref="AN827">_xlfn.IFS(AM827 &lt;= 3, "New to Role[1-3]", AM827 &lt;= 7, "Settled[4-7]", AM827 &lt;= 12, "Experienced[[8-12]", AM827 &lt;= 18, "Long Tenured[13-18]")</f>
        <v>Settled[4-7]</v>
      </c>
      <c r="AO827" s="1">
        <v>1</v>
      </c>
      <c r="AP827" s="9" t="str" cm="1">
        <f t="array" ref="AP827">_xlfn.IFS(AO827 &lt;= 3, "Recently[1-3]", AO827 &lt;= 6, "Due Soon[4-6]", AO827 &lt;= 10, "Overdue[7-10]", AO827 &lt;= 15, "Long Overdue[11-15]")</f>
        <v>Recently[1-3]</v>
      </c>
      <c r="AQ827" s="9" t="str" cm="1">
        <f t="array" ref="AQ827">_xlfn.IFS(AR827 &lt;= 3, "New Relationship[1-3]", AR827 &lt;= 7, "Established Relationship[4-7]", AR827 &lt;= 12, "Long Term Relationship[8-12]", AR827 &lt;= 17, "Very Long Term Relationship[13-17]")</f>
        <v>New Relationship[1-3]</v>
      </c>
      <c r="AR827" s="1">
        <v>2</v>
      </c>
    </row>
    <row r="828" spans="1:44" x14ac:dyDescent="0.25">
      <c r="A828" s="1">
        <v>38</v>
      </c>
      <c r="B828" s="8" t="str" cm="1">
        <f t="array" ref="B828">_xlfn.IFS(A828 &lt;= 25, "[18-25]", A828 &lt;= 35, "[26-35]", A828 &lt;=45, "[36-45]", A828 &lt;= 60, "[46- 60]")</f>
        <v>[36-45]</v>
      </c>
      <c r="C828" s="3" t="s">
        <v>43</v>
      </c>
      <c r="D828">
        <f t="shared" si="12"/>
        <v>0</v>
      </c>
      <c r="E828" t="s">
        <v>36</v>
      </c>
      <c r="F828" s="1">
        <v>433</v>
      </c>
      <c r="G828" s="3" t="s">
        <v>61</v>
      </c>
      <c r="H828" s="1">
        <v>1</v>
      </c>
      <c r="I828" s="9" t="str" cm="1">
        <f t="array" ref="I828">_xlfn.IFS(H828 &lt;= 2, "[1-2] very close", H828 &lt;= 10, "[3-10] close", H828 &lt;= 20, "[11-20] moderate", H828 &lt;= 30, "[21-30] far")</f>
        <v>[1-2] very close</v>
      </c>
      <c r="J828" s="1">
        <v>3</v>
      </c>
      <c r="K828" s="3" t="s">
        <v>61</v>
      </c>
      <c r="L828" s="1">
        <v>1</v>
      </c>
      <c r="M828" s="1">
        <v>1152</v>
      </c>
      <c r="N828" s="1">
        <v>3</v>
      </c>
      <c r="O828" s="3" t="s">
        <v>46</v>
      </c>
      <c r="P828" s="1">
        <v>37</v>
      </c>
      <c r="Q828" s="1">
        <v>4</v>
      </c>
      <c r="R828" s="1">
        <v>1</v>
      </c>
      <c r="S828" s="3" t="s">
        <v>61</v>
      </c>
      <c r="T828" s="1">
        <v>3</v>
      </c>
      <c r="U828" s="3" t="s">
        <v>48</v>
      </c>
      <c r="V828" s="4">
        <v>2844</v>
      </c>
      <c r="W828" s="1">
        <v>6004</v>
      </c>
      <c r="X828" s="1">
        <v>1</v>
      </c>
      <c r="Y828" s="3" t="s">
        <v>42</v>
      </c>
      <c r="Z828" s="3" t="s">
        <v>43</v>
      </c>
      <c r="AA828" s="5">
        <v>0.13</v>
      </c>
      <c r="AB828" s="10" t="str" cm="1">
        <f t="array" ref="AB828">_xlfn.IFS(AA828 &lt;= 15%, "Low Hike[11-15%]", AA828 &lt;= 20%, "Moderate Hike[16-20%]", AA828 &lt;= 25%,"High Hike[21-25%]")</f>
        <v>Low Hike[11-15%]</v>
      </c>
      <c r="AC828" s="1">
        <v>3</v>
      </c>
      <c r="AD828" s="1">
        <v>4</v>
      </c>
      <c r="AE828" s="1">
        <v>80</v>
      </c>
      <c r="AF828" s="1">
        <v>1</v>
      </c>
      <c r="AG828" s="1">
        <v>7</v>
      </c>
      <c r="AH828" s="9" t="str" cm="1">
        <f t="array" ref="AH828">_xlfn.IFS(AG828 &lt;= 5, "New[1-5]", AG828 &lt;= 10, "Early Career[6-10]", AG828 &lt;= 20, "Established[11-20]", AG828 &lt;= 30, "Veteran[21-30]", AG828 &lt;= 40, "Late Career[31-40]")</f>
        <v>Early Career[6-10]</v>
      </c>
      <c r="AI828" s="1">
        <v>2</v>
      </c>
      <c r="AJ828" s="1">
        <v>4</v>
      </c>
      <c r="AK828" s="1">
        <v>7</v>
      </c>
      <c r="AL828" s="9" t="str" cm="1">
        <f t="array" ref="AL828">_xlfn.IFS(AK828 &lt;= 5, "New[1-5]", AK828 &lt;= 10, "Early Career[6-10]", AK828 &lt;= 20, "Established[11-20]", AK828 &lt;= 30, "Veteran[21-30]", AK828 &lt;= 40, "Late Career[31-40]")</f>
        <v>Early Career[6-10]</v>
      </c>
      <c r="AM828" s="1">
        <v>6</v>
      </c>
      <c r="AN828" s="9" t="str" cm="1">
        <f t="array" ref="AN828">_xlfn.IFS(AM828 &lt;= 3, "New to Role[1-3]", AM828 &lt;= 7, "Settled[4-7]", AM828 &lt;= 12, "Experienced[[8-12]", AM828 &lt;= 18, "Long Tenured[13-18]")</f>
        <v>Settled[4-7]</v>
      </c>
      <c r="AO828" s="1">
        <v>5</v>
      </c>
      <c r="AP828" s="9" t="str" cm="1">
        <f t="array" ref="AP828">_xlfn.IFS(AO828 &lt;= 3, "Recently[1-3]", AO828 &lt;= 6, "Due Soon[4-6]", AO828 &lt;= 10, "Overdue[7-10]", AO828 &lt;= 15, "Long Overdue[11-15]")</f>
        <v>Due Soon[4-6]</v>
      </c>
      <c r="AQ828" s="9" t="str" cm="1">
        <f t="array" ref="AQ828">_xlfn.IFS(AR828 &lt;= 3, "New Relationship[1-3]", AR828 &lt;= 7, "Established Relationship[4-7]", AR828 &lt;= 12, "Long Term Relationship[8-12]", AR828 &lt;= 17, "Very Long Term Relationship[13-17]")</f>
        <v>New Relationship[1-3]</v>
      </c>
      <c r="AR828" s="1">
        <v>0</v>
      </c>
    </row>
    <row r="829" spans="1:44" x14ac:dyDescent="0.25">
      <c r="A829" s="1">
        <v>28</v>
      </c>
      <c r="B829" s="8" t="str" cm="1">
        <f t="array" ref="B829">_xlfn.IFS(A829 &lt;= 25, "[18-25]", A829 &lt;= 35, "[26-35]", A829 &lt;=45, "[36-45]", A829 &lt;= 60, "[46- 60]")</f>
        <v>[26-35]</v>
      </c>
      <c r="C829" s="3" t="s">
        <v>43</v>
      </c>
      <c r="D829">
        <f t="shared" si="12"/>
        <v>0</v>
      </c>
      <c r="E829" t="s">
        <v>44</v>
      </c>
      <c r="F829" s="1">
        <v>773</v>
      </c>
      <c r="G829" s="3" t="s">
        <v>45</v>
      </c>
      <c r="H829" s="1">
        <v>6</v>
      </c>
      <c r="I829" s="9" t="str" cm="1">
        <f t="array" ref="I829">_xlfn.IFS(H829 &lt;= 2, "[1-2] very close", H829 &lt;= 10, "[3-10] close", H829 &lt;= 20, "[11-20] moderate", H829 &lt;= 30, "[21-30] far")</f>
        <v>[3-10] close</v>
      </c>
      <c r="J829" s="1">
        <v>3</v>
      </c>
      <c r="K829" s="3" t="s">
        <v>38</v>
      </c>
      <c r="L829" s="1">
        <v>1</v>
      </c>
      <c r="M829" s="1">
        <v>1154</v>
      </c>
      <c r="N829" s="1">
        <v>3</v>
      </c>
      <c r="O829" s="3" t="s">
        <v>46</v>
      </c>
      <c r="P829" s="1">
        <v>39</v>
      </c>
      <c r="Q829" s="1">
        <v>2</v>
      </c>
      <c r="R829" s="1">
        <v>1</v>
      </c>
      <c r="S829" s="3" t="s">
        <v>47</v>
      </c>
      <c r="T829" s="1">
        <v>3</v>
      </c>
      <c r="U829" s="3" t="s">
        <v>52</v>
      </c>
      <c r="V829" s="4">
        <v>2703</v>
      </c>
      <c r="W829" s="1">
        <v>22088</v>
      </c>
      <c r="X829" s="1">
        <v>1</v>
      </c>
      <c r="Y829" s="3" t="s">
        <v>42</v>
      </c>
      <c r="Z829" s="3" t="s">
        <v>35</v>
      </c>
      <c r="AA829" s="5">
        <v>0.14000000000000001</v>
      </c>
      <c r="AB829" s="10" t="str" cm="1">
        <f t="array" ref="AB829">_xlfn.IFS(AA829 &lt;= 15%, "Low Hike[11-15%]", AA829 &lt;= 20%, "Moderate Hike[16-20%]", AA829 &lt;= 25%,"High Hike[21-25%]")</f>
        <v>Low Hike[11-15%]</v>
      </c>
      <c r="AC829" s="1">
        <v>3</v>
      </c>
      <c r="AD829" s="1">
        <v>4</v>
      </c>
      <c r="AE829" s="1">
        <v>80</v>
      </c>
      <c r="AF829" s="1">
        <v>1</v>
      </c>
      <c r="AG829" s="1">
        <v>3</v>
      </c>
      <c r="AH829" s="9" t="str" cm="1">
        <f t="array" ref="AH829">_xlfn.IFS(AG829 &lt;= 5, "New[1-5]", AG829 &lt;= 10, "Early Career[6-10]", AG829 &lt;= 20, "Established[11-20]", AG829 &lt;= 30, "Veteran[21-30]", AG829 &lt;= 40, "Late Career[31-40]")</f>
        <v>New[1-5]</v>
      </c>
      <c r="AI829" s="1">
        <v>2</v>
      </c>
      <c r="AJ829" s="1">
        <v>3</v>
      </c>
      <c r="AK829" s="1">
        <v>3</v>
      </c>
      <c r="AL829" s="9" t="str" cm="1">
        <f t="array" ref="AL829">_xlfn.IFS(AK829 &lt;= 5, "New[1-5]", AK829 &lt;= 10, "Early Career[6-10]", AK829 &lt;= 20, "Established[11-20]", AK829 &lt;= 30, "Veteran[21-30]", AK829 &lt;= 40, "Late Career[31-40]")</f>
        <v>New[1-5]</v>
      </c>
      <c r="AM829" s="1">
        <v>1</v>
      </c>
      <c r="AN829" s="9" t="str" cm="1">
        <f t="array" ref="AN829">_xlfn.IFS(AM829 &lt;= 3, "New to Role[1-3]", AM829 &lt;= 7, "Settled[4-7]", AM829 &lt;= 12, "Experienced[[8-12]", AM829 &lt;= 18, "Long Tenured[13-18]")</f>
        <v>New to Role[1-3]</v>
      </c>
      <c r="AO829" s="1">
        <v>0</v>
      </c>
      <c r="AP829" s="9" t="str" cm="1">
        <f t="array" ref="AP829">_xlfn.IFS(AO829 &lt;= 3, "Recently[1-3]", AO829 &lt;= 6, "Due Soon[4-6]", AO829 &lt;= 10, "Overdue[7-10]", AO829 &lt;= 15, "Long Overdue[11-15]")</f>
        <v>Recently[1-3]</v>
      </c>
      <c r="AQ829" s="9" t="str" cm="1">
        <f t="array" ref="AQ829">_xlfn.IFS(AR829 &lt;= 3, "New Relationship[1-3]", AR829 &lt;= 7, "Established Relationship[4-7]", AR829 &lt;= 12, "Long Term Relationship[8-12]", AR829 &lt;= 17, "Very Long Term Relationship[13-17]")</f>
        <v>New Relationship[1-3]</v>
      </c>
      <c r="AR829" s="1">
        <v>2</v>
      </c>
    </row>
    <row r="830" spans="1:44" x14ac:dyDescent="0.25">
      <c r="A830" s="1">
        <v>18</v>
      </c>
      <c r="B830" s="8" t="str" cm="1">
        <f t="array" ref="B830">_xlfn.IFS(A830 &lt;= 25, "[18-25]", A830 &lt;= 35, "[26-35]", A830 &lt;=45, "[36-45]", A830 &lt;= 60, "[46- 60]")</f>
        <v>[18-25]</v>
      </c>
      <c r="C830" s="3" t="s">
        <v>35</v>
      </c>
      <c r="D830">
        <f t="shared" si="12"/>
        <v>1</v>
      </c>
      <c r="E830" t="s">
        <v>62</v>
      </c>
      <c r="F830" s="1">
        <v>247</v>
      </c>
      <c r="G830" s="3" t="s">
        <v>45</v>
      </c>
      <c r="H830" s="1">
        <v>8</v>
      </c>
      <c r="I830" s="9" t="str" cm="1">
        <f t="array" ref="I830">_xlfn.IFS(H830 &lt;= 2, "[1-2] very close", H830 &lt;= 10, "[3-10] close", H830 &lt;= 20, "[11-20] moderate", H830 &lt;= 30, "[21-30] far")</f>
        <v>[3-10] close</v>
      </c>
      <c r="J830" s="1">
        <v>1</v>
      </c>
      <c r="K830" s="3" t="s">
        <v>51</v>
      </c>
      <c r="L830" s="1">
        <v>1</v>
      </c>
      <c r="M830" s="1">
        <v>1156</v>
      </c>
      <c r="N830" s="1">
        <v>3</v>
      </c>
      <c r="O830" s="3" t="s">
        <v>46</v>
      </c>
      <c r="P830" s="1">
        <v>80</v>
      </c>
      <c r="Q830" s="1">
        <v>3</v>
      </c>
      <c r="R830" s="1">
        <v>1</v>
      </c>
      <c r="S830" s="3" t="s">
        <v>50</v>
      </c>
      <c r="T830" s="1">
        <v>3</v>
      </c>
      <c r="U830" s="3" t="s">
        <v>41</v>
      </c>
      <c r="V830" s="4">
        <v>1904</v>
      </c>
      <c r="W830" s="1">
        <v>13556</v>
      </c>
      <c r="X830" s="1">
        <v>1</v>
      </c>
      <c r="Y830" s="3" t="s">
        <v>42</v>
      </c>
      <c r="Z830" s="3" t="s">
        <v>43</v>
      </c>
      <c r="AA830" s="5">
        <v>0.12</v>
      </c>
      <c r="AB830" s="10" t="str" cm="1">
        <f t="array" ref="AB830">_xlfn.IFS(AA830 &lt;= 15%, "Low Hike[11-15%]", AA830 &lt;= 20%, "Moderate Hike[16-20%]", AA830 &lt;= 25%,"High Hike[21-25%]")</f>
        <v>Low Hike[11-15%]</v>
      </c>
      <c r="AC830" s="1">
        <v>3</v>
      </c>
      <c r="AD830" s="1">
        <v>4</v>
      </c>
      <c r="AE830" s="1">
        <v>80</v>
      </c>
      <c r="AF830" s="1">
        <v>0</v>
      </c>
      <c r="AG830" s="1">
        <v>0</v>
      </c>
      <c r="AH830" s="9" t="str" cm="1">
        <f t="array" ref="AH830">_xlfn.IFS(AG830 &lt;= 5, "New[1-5]", AG830 &lt;= 10, "Early Career[6-10]", AG830 &lt;= 20, "Established[11-20]", AG830 &lt;= 30, "Veteran[21-30]", AG830 &lt;= 40, "Late Career[31-40]")</f>
        <v>New[1-5]</v>
      </c>
      <c r="AI830" s="1">
        <v>0</v>
      </c>
      <c r="AJ830" s="1">
        <v>3</v>
      </c>
      <c r="AK830" s="1">
        <v>0</v>
      </c>
      <c r="AL830" s="9" t="str" cm="1">
        <f t="array" ref="AL830">_xlfn.IFS(AK830 &lt;= 5, "New[1-5]", AK830 &lt;= 10, "Early Career[6-10]", AK830 &lt;= 20, "Established[11-20]", AK830 &lt;= 30, "Veteran[21-30]", AK830 &lt;= 40, "Late Career[31-40]")</f>
        <v>New[1-5]</v>
      </c>
      <c r="AM830" s="1">
        <v>0</v>
      </c>
      <c r="AN830" s="9" t="str" cm="1">
        <f t="array" ref="AN830">_xlfn.IFS(AM830 &lt;= 3, "New to Role[1-3]", AM830 &lt;= 7, "Settled[4-7]", AM830 &lt;= 12, "Experienced[[8-12]", AM830 &lt;= 18, "Long Tenured[13-18]")</f>
        <v>New to Role[1-3]</v>
      </c>
      <c r="AO830" s="1">
        <v>0</v>
      </c>
      <c r="AP830" s="9" t="str" cm="1">
        <f t="array" ref="AP830">_xlfn.IFS(AO830 &lt;= 3, "Recently[1-3]", AO830 &lt;= 6, "Due Soon[4-6]", AO830 &lt;= 10, "Overdue[7-10]", AO830 &lt;= 15, "Long Overdue[11-15]")</f>
        <v>Recently[1-3]</v>
      </c>
      <c r="AQ830" s="9" t="str" cm="1">
        <f t="array" ref="AQ830">_xlfn.IFS(AR830 &lt;= 3, "New Relationship[1-3]", AR830 &lt;= 7, "Established Relationship[4-7]", AR830 &lt;= 12, "Long Term Relationship[8-12]", AR830 &lt;= 17, "Very Long Term Relationship[13-17]")</f>
        <v>New Relationship[1-3]</v>
      </c>
      <c r="AR830" s="1">
        <v>0</v>
      </c>
    </row>
    <row r="831" spans="1:44" x14ac:dyDescent="0.25">
      <c r="A831" s="1">
        <v>33</v>
      </c>
      <c r="B831" s="8" t="str" cm="1">
        <f t="array" ref="B831">_xlfn.IFS(A831 &lt;= 25, "[18-25]", A831 &lt;= 35, "[26-35]", A831 &lt;=45, "[36-45]", A831 &lt;= 60, "[46- 60]")</f>
        <v>[26-35]</v>
      </c>
      <c r="C831" s="3" t="s">
        <v>35</v>
      </c>
      <c r="D831">
        <f t="shared" si="12"/>
        <v>1</v>
      </c>
      <c r="E831" t="s">
        <v>36</v>
      </c>
      <c r="F831" s="1">
        <v>603</v>
      </c>
      <c r="G831" s="3" t="s">
        <v>37</v>
      </c>
      <c r="H831" s="1">
        <v>9</v>
      </c>
      <c r="I831" s="9" t="str" cm="1">
        <f t="array" ref="I831">_xlfn.IFS(H831 &lt;= 2, "[1-2] very close", H831 &lt;= 10, "[3-10] close", H831 &lt;= 20, "[11-20] moderate", H831 &lt;= 30, "[21-30] far")</f>
        <v>[3-10] close</v>
      </c>
      <c r="J831" s="1">
        <v>4</v>
      </c>
      <c r="K831" s="3" t="s">
        <v>59</v>
      </c>
      <c r="L831" s="1">
        <v>1</v>
      </c>
      <c r="M831" s="1">
        <v>1157</v>
      </c>
      <c r="N831" s="1">
        <v>1</v>
      </c>
      <c r="O831" s="3" t="s">
        <v>39</v>
      </c>
      <c r="P831" s="1">
        <v>77</v>
      </c>
      <c r="Q831" s="1">
        <v>3</v>
      </c>
      <c r="R831" s="1">
        <v>2</v>
      </c>
      <c r="S831" s="3" t="s">
        <v>40</v>
      </c>
      <c r="T831" s="1">
        <v>1</v>
      </c>
      <c r="U831" s="3" t="s">
        <v>41</v>
      </c>
      <c r="V831" s="4">
        <v>8224</v>
      </c>
      <c r="W831" s="1">
        <v>18385</v>
      </c>
      <c r="X831" s="1">
        <v>0</v>
      </c>
      <c r="Y831" s="3" t="s">
        <v>42</v>
      </c>
      <c r="Z831" s="3" t="s">
        <v>35</v>
      </c>
      <c r="AA831" s="5">
        <v>0.17</v>
      </c>
      <c r="AB831" s="10" t="str" cm="1">
        <f t="array" ref="AB831">_xlfn.IFS(AA831 &lt;= 15%, "Low Hike[11-15%]", AA831 &lt;= 20%, "Moderate Hike[16-20%]", AA831 &lt;= 25%,"High Hike[21-25%]")</f>
        <v>Moderate Hike[16-20%]</v>
      </c>
      <c r="AC831" s="1">
        <v>3</v>
      </c>
      <c r="AD831" s="1">
        <v>1</v>
      </c>
      <c r="AE831" s="1">
        <v>80</v>
      </c>
      <c r="AF831" s="1">
        <v>0</v>
      </c>
      <c r="AG831" s="1">
        <v>6</v>
      </c>
      <c r="AH831" s="9" t="str" cm="1">
        <f t="array" ref="AH831">_xlfn.IFS(AG831 &lt;= 5, "New[1-5]", AG831 &lt;= 10, "Early Career[6-10]", AG831 &lt;= 20, "Established[11-20]", AG831 &lt;= 30, "Veteran[21-30]", AG831 &lt;= 40, "Late Career[31-40]")</f>
        <v>Early Career[6-10]</v>
      </c>
      <c r="AI831" s="1">
        <v>3</v>
      </c>
      <c r="AJ831" s="1">
        <v>3</v>
      </c>
      <c r="AK831" s="1">
        <v>5</v>
      </c>
      <c r="AL831" s="9" t="str" cm="1">
        <f t="array" ref="AL831">_xlfn.IFS(AK831 &lt;= 5, "New[1-5]", AK831 &lt;= 10, "Early Career[6-10]", AK831 &lt;= 20, "Established[11-20]", AK831 &lt;= 30, "Veteran[21-30]", AK831 &lt;= 40, "Late Career[31-40]")</f>
        <v>New[1-5]</v>
      </c>
      <c r="AM831" s="1">
        <v>2</v>
      </c>
      <c r="AN831" s="9" t="str" cm="1">
        <f t="array" ref="AN831">_xlfn.IFS(AM831 &lt;= 3, "New to Role[1-3]", AM831 &lt;= 7, "Settled[4-7]", AM831 &lt;= 12, "Experienced[[8-12]", AM831 &lt;= 18, "Long Tenured[13-18]")</f>
        <v>New to Role[1-3]</v>
      </c>
      <c r="AO831" s="1">
        <v>0</v>
      </c>
      <c r="AP831" s="9" t="str" cm="1">
        <f t="array" ref="AP831">_xlfn.IFS(AO831 &lt;= 3, "Recently[1-3]", AO831 &lt;= 6, "Due Soon[4-6]", AO831 &lt;= 10, "Overdue[7-10]", AO831 &lt;= 15, "Long Overdue[11-15]")</f>
        <v>Recently[1-3]</v>
      </c>
      <c r="AQ831" s="9" t="str" cm="1">
        <f t="array" ref="AQ831">_xlfn.IFS(AR831 &lt;= 3, "New Relationship[1-3]", AR831 &lt;= 7, "Established Relationship[4-7]", AR831 &lt;= 12, "Long Term Relationship[8-12]", AR831 &lt;= 17, "Very Long Term Relationship[13-17]")</f>
        <v>New Relationship[1-3]</v>
      </c>
      <c r="AR831" s="1">
        <v>3</v>
      </c>
    </row>
    <row r="832" spans="1:44" x14ac:dyDescent="0.25">
      <c r="A832" s="1">
        <v>41</v>
      </c>
      <c r="B832" s="8" t="str" cm="1">
        <f t="array" ref="B832">_xlfn.IFS(A832 &lt;= 25, "[18-25]", A832 &lt;= 35, "[26-35]", A832 &lt;=45, "[36-45]", A832 &lt;= 60, "[46- 60]")</f>
        <v>[36-45]</v>
      </c>
      <c r="C832" s="3" t="s">
        <v>43</v>
      </c>
      <c r="D832">
        <f t="shared" si="12"/>
        <v>0</v>
      </c>
      <c r="E832" t="s">
        <v>36</v>
      </c>
      <c r="F832" s="1">
        <v>167</v>
      </c>
      <c r="G832" s="3" t="s">
        <v>45</v>
      </c>
      <c r="H832" s="1">
        <v>12</v>
      </c>
      <c r="I832" s="9" t="str" cm="1">
        <f t="array" ref="I832">_xlfn.IFS(H832 &lt;= 2, "[1-2] very close", H832 &lt;= 10, "[3-10] close", H832 &lt;= 20, "[11-20] moderate", H832 &lt;= 30, "[21-30] far")</f>
        <v>[11-20] moderate</v>
      </c>
      <c r="J832" s="1">
        <v>4</v>
      </c>
      <c r="K832" s="3" t="s">
        <v>38</v>
      </c>
      <c r="L832" s="1">
        <v>1</v>
      </c>
      <c r="M832" s="1">
        <v>1158</v>
      </c>
      <c r="N832" s="1">
        <v>2</v>
      </c>
      <c r="O832" s="3" t="s">
        <v>46</v>
      </c>
      <c r="P832" s="1">
        <v>46</v>
      </c>
      <c r="Q832" s="1">
        <v>3</v>
      </c>
      <c r="R832" s="1">
        <v>1</v>
      </c>
      <c r="S832" s="3" t="s">
        <v>50</v>
      </c>
      <c r="T832" s="1">
        <v>4</v>
      </c>
      <c r="U832" s="3" t="s">
        <v>48</v>
      </c>
      <c r="V832" s="4">
        <v>4766</v>
      </c>
      <c r="W832" s="1">
        <v>9051</v>
      </c>
      <c r="X832" s="1">
        <v>3</v>
      </c>
      <c r="Y832" s="3" t="s">
        <v>42</v>
      </c>
      <c r="Z832" s="3" t="s">
        <v>35</v>
      </c>
      <c r="AA832" s="5">
        <v>0.11</v>
      </c>
      <c r="AB832" s="10" t="str" cm="1">
        <f t="array" ref="AB832">_xlfn.IFS(AA832 &lt;= 15%, "Low Hike[11-15%]", AA832 &lt;= 20%, "Moderate Hike[16-20%]", AA832 &lt;= 25%,"High Hike[21-25%]")</f>
        <v>Low Hike[11-15%]</v>
      </c>
      <c r="AC832" s="1">
        <v>3</v>
      </c>
      <c r="AD832" s="1">
        <v>1</v>
      </c>
      <c r="AE832" s="1">
        <v>80</v>
      </c>
      <c r="AF832" s="1">
        <v>1</v>
      </c>
      <c r="AG832" s="1">
        <v>6</v>
      </c>
      <c r="AH832" s="9" t="str" cm="1">
        <f t="array" ref="AH832">_xlfn.IFS(AG832 &lt;= 5, "New[1-5]", AG832 &lt;= 10, "Early Career[6-10]", AG832 &lt;= 20, "Established[11-20]", AG832 &lt;= 30, "Veteran[21-30]", AG832 &lt;= 40, "Late Career[31-40]")</f>
        <v>Early Career[6-10]</v>
      </c>
      <c r="AI832" s="1">
        <v>4</v>
      </c>
      <c r="AJ832" s="1">
        <v>3</v>
      </c>
      <c r="AK832" s="1">
        <v>1</v>
      </c>
      <c r="AL832" s="9" t="str" cm="1">
        <f t="array" ref="AL832">_xlfn.IFS(AK832 &lt;= 5, "New[1-5]", AK832 &lt;= 10, "Early Career[6-10]", AK832 &lt;= 20, "Established[11-20]", AK832 &lt;= 30, "Veteran[21-30]", AK832 &lt;= 40, "Late Career[31-40]")</f>
        <v>New[1-5]</v>
      </c>
      <c r="AM832" s="1">
        <v>0</v>
      </c>
      <c r="AN832" s="9" t="str" cm="1">
        <f t="array" ref="AN832">_xlfn.IFS(AM832 &lt;= 3, "New to Role[1-3]", AM832 &lt;= 7, "Settled[4-7]", AM832 &lt;= 12, "Experienced[[8-12]", AM832 &lt;= 18, "Long Tenured[13-18]")</f>
        <v>New to Role[1-3]</v>
      </c>
      <c r="AO832" s="1">
        <v>0</v>
      </c>
      <c r="AP832" s="9" t="str" cm="1">
        <f t="array" ref="AP832">_xlfn.IFS(AO832 &lt;= 3, "Recently[1-3]", AO832 &lt;= 6, "Due Soon[4-6]", AO832 &lt;= 10, "Overdue[7-10]", AO832 &lt;= 15, "Long Overdue[11-15]")</f>
        <v>Recently[1-3]</v>
      </c>
      <c r="AQ832" s="9" t="str" cm="1">
        <f t="array" ref="AQ832">_xlfn.IFS(AR832 &lt;= 3, "New Relationship[1-3]", AR832 &lt;= 7, "Established Relationship[4-7]", AR832 &lt;= 12, "Long Term Relationship[8-12]", AR832 &lt;= 17, "Very Long Term Relationship[13-17]")</f>
        <v>New Relationship[1-3]</v>
      </c>
      <c r="AR832" s="1">
        <v>0</v>
      </c>
    </row>
    <row r="833" spans="1:44" x14ac:dyDescent="0.25">
      <c r="A833" s="1">
        <v>31</v>
      </c>
      <c r="B833" s="8" t="str" cm="1">
        <f t="array" ref="B833">_xlfn.IFS(A833 &lt;= 25, "[18-25]", A833 &lt;= 35, "[26-35]", A833 &lt;=45, "[36-45]", A833 &lt;= 60, "[46- 60]")</f>
        <v>[26-35]</v>
      </c>
      <c r="C833" s="3" t="s">
        <v>35</v>
      </c>
      <c r="D833">
        <f t="shared" si="12"/>
        <v>1</v>
      </c>
      <c r="E833" t="s">
        <v>44</v>
      </c>
      <c r="F833" s="1">
        <v>874</v>
      </c>
      <c r="G833" s="3" t="s">
        <v>45</v>
      </c>
      <c r="H833" s="1">
        <v>15</v>
      </c>
      <c r="I833" s="9" t="str" cm="1">
        <f t="array" ref="I833">_xlfn.IFS(H833 &lt;= 2, "[1-2] very close", H833 &lt;= 10, "[3-10] close", H833 &lt;= 20, "[11-20] moderate", H833 &lt;= 30, "[21-30] far")</f>
        <v>[11-20] moderate</v>
      </c>
      <c r="J833" s="1">
        <v>3</v>
      </c>
      <c r="K833" s="3" t="s">
        <v>51</v>
      </c>
      <c r="L833" s="1">
        <v>1</v>
      </c>
      <c r="M833" s="1">
        <v>1160</v>
      </c>
      <c r="N833" s="1">
        <v>3</v>
      </c>
      <c r="O833" s="3" t="s">
        <v>46</v>
      </c>
      <c r="P833" s="1">
        <v>72</v>
      </c>
      <c r="Q833" s="1">
        <v>3</v>
      </c>
      <c r="R833" s="1">
        <v>1</v>
      </c>
      <c r="S833" s="3" t="s">
        <v>50</v>
      </c>
      <c r="T833" s="1">
        <v>3</v>
      </c>
      <c r="U833" s="3" t="s">
        <v>48</v>
      </c>
      <c r="V833" s="4">
        <v>2610</v>
      </c>
      <c r="W833" s="1">
        <v>6233</v>
      </c>
      <c r="X833" s="1">
        <v>1</v>
      </c>
      <c r="Y833" s="3" t="s">
        <v>42</v>
      </c>
      <c r="Z833" s="3" t="s">
        <v>43</v>
      </c>
      <c r="AA833" s="5">
        <v>0.12</v>
      </c>
      <c r="AB833" s="10" t="str" cm="1">
        <f t="array" ref="AB833">_xlfn.IFS(AA833 &lt;= 15%, "Low Hike[11-15%]", AA833 &lt;= 20%, "Moderate Hike[16-20%]", AA833 &lt;= 25%,"High Hike[21-25%]")</f>
        <v>Low Hike[11-15%]</v>
      </c>
      <c r="AC833" s="1">
        <v>3</v>
      </c>
      <c r="AD833" s="1">
        <v>3</v>
      </c>
      <c r="AE833" s="1">
        <v>80</v>
      </c>
      <c r="AF833" s="1">
        <v>1</v>
      </c>
      <c r="AG833" s="1">
        <v>2</v>
      </c>
      <c r="AH833" s="9" t="str" cm="1">
        <f t="array" ref="AH833">_xlfn.IFS(AG833 &lt;= 5, "New[1-5]", AG833 &lt;= 10, "Early Career[6-10]", AG833 &lt;= 20, "Established[11-20]", AG833 &lt;= 30, "Veteran[21-30]", AG833 &lt;= 40, "Late Career[31-40]")</f>
        <v>New[1-5]</v>
      </c>
      <c r="AI833" s="1">
        <v>5</v>
      </c>
      <c r="AJ833" s="1">
        <v>2</v>
      </c>
      <c r="AK833" s="1">
        <v>2</v>
      </c>
      <c r="AL833" s="9" t="str" cm="1">
        <f t="array" ref="AL833">_xlfn.IFS(AK833 &lt;= 5, "New[1-5]", AK833 &lt;= 10, "Early Career[6-10]", AK833 &lt;= 20, "Established[11-20]", AK833 &lt;= 30, "Veteran[21-30]", AK833 &lt;= 40, "Late Career[31-40]")</f>
        <v>New[1-5]</v>
      </c>
      <c r="AM833" s="1">
        <v>2</v>
      </c>
      <c r="AN833" s="9" t="str" cm="1">
        <f t="array" ref="AN833">_xlfn.IFS(AM833 &lt;= 3, "New to Role[1-3]", AM833 &lt;= 7, "Settled[4-7]", AM833 &lt;= 12, "Experienced[[8-12]", AM833 &lt;= 18, "Long Tenured[13-18]")</f>
        <v>New to Role[1-3]</v>
      </c>
      <c r="AO833" s="1">
        <v>2</v>
      </c>
      <c r="AP833" s="9" t="str" cm="1">
        <f t="array" ref="AP833">_xlfn.IFS(AO833 &lt;= 3, "Recently[1-3]", AO833 &lt;= 6, "Due Soon[4-6]", AO833 &lt;= 10, "Overdue[7-10]", AO833 &lt;= 15, "Long Overdue[11-15]")</f>
        <v>Recently[1-3]</v>
      </c>
      <c r="AQ833" s="9" t="str" cm="1">
        <f t="array" ref="AQ833">_xlfn.IFS(AR833 &lt;= 3, "New Relationship[1-3]", AR833 &lt;= 7, "Established Relationship[4-7]", AR833 &lt;= 12, "Long Term Relationship[8-12]", AR833 &lt;= 17, "Very Long Term Relationship[13-17]")</f>
        <v>New Relationship[1-3]</v>
      </c>
      <c r="AR833" s="1">
        <v>2</v>
      </c>
    </row>
    <row r="834" spans="1:44" x14ac:dyDescent="0.25">
      <c r="A834" s="1">
        <v>37</v>
      </c>
      <c r="B834" s="8" t="str" cm="1">
        <f t="array" ref="B834">_xlfn.IFS(A834 &lt;= 25, "[18-25]", A834 &lt;= 35, "[26-35]", A834 &lt;=45, "[36-45]", A834 &lt;= 60, "[46- 60]")</f>
        <v>[36-45]</v>
      </c>
      <c r="C834" s="3" t="s">
        <v>43</v>
      </c>
      <c r="D834">
        <f t="shared" ref="D834:D897" si="13">IF(C834 = "Yes",1, 0)</f>
        <v>0</v>
      </c>
      <c r="E834" t="s">
        <v>36</v>
      </c>
      <c r="F834" s="1">
        <v>367</v>
      </c>
      <c r="G834" s="3" t="s">
        <v>45</v>
      </c>
      <c r="H834" s="1">
        <v>25</v>
      </c>
      <c r="I834" s="9" t="str" cm="1">
        <f t="array" ref="I834">_xlfn.IFS(H834 &lt;= 2, "[1-2] very close", H834 &lt;= 10, "[3-10] close", H834 &lt;= 20, "[11-20] moderate", H834 &lt;= 30, "[21-30] far")</f>
        <v>[21-30] far</v>
      </c>
      <c r="J834" s="1">
        <v>2</v>
      </c>
      <c r="K834" s="3" t="s">
        <v>51</v>
      </c>
      <c r="L834" s="1">
        <v>1</v>
      </c>
      <c r="M834" s="1">
        <v>1161</v>
      </c>
      <c r="N834" s="1">
        <v>3</v>
      </c>
      <c r="O834" s="3" t="s">
        <v>39</v>
      </c>
      <c r="P834" s="1">
        <v>52</v>
      </c>
      <c r="Q834" s="1">
        <v>2</v>
      </c>
      <c r="R834" s="1">
        <v>2</v>
      </c>
      <c r="S834" s="3" t="s">
        <v>54</v>
      </c>
      <c r="T834" s="1">
        <v>4</v>
      </c>
      <c r="U834" s="3" t="s">
        <v>52</v>
      </c>
      <c r="V834" s="4">
        <v>5731</v>
      </c>
      <c r="W834" s="1">
        <v>17171</v>
      </c>
      <c r="X834" s="1">
        <v>7</v>
      </c>
      <c r="Y834" s="3" t="s">
        <v>42</v>
      </c>
      <c r="Z834" s="3" t="s">
        <v>43</v>
      </c>
      <c r="AA834" s="5">
        <v>0.13</v>
      </c>
      <c r="AB834" s="10" t="str" cm="1">
        <f t="array" ref="AB834">_xlfn.IFS(AA834 &lt;= 15%, "Low Hike[11-15%]", AA834 &lt;= 20%, "Moderate Hike[16-20%]", AA834 &lt;= 25%,"High Hike[21-25%]")</f>
        <v>Low Hike[11-15%]</v>
      </c>
      <c r="AC834" s="1">
        <v>3</v>
      </c>
      <c r="AD834" s="1">
        <v>3</v>
      </c>
      <c r="AE834" s="1">
        <v>80</v>
      </c>
      <c r="AF834" s="1">
        <v>2</v>
      </c>
      <c r="AG834" s="1">
        <v>9</v>
      </c>
      <c r="AH834" s="9" t="str" cm="1">
        <f t="array" ref="AH834">_xlfn.IFS(AG834 &lt;= 5, "New[1-5]", AG834 &lt;= 10, "Early Career[6-10]", AG834 &lt;= 20, "Established[11-20]", AG834 &lt;= 30, "Veteran[21-30]", AG834 &lt;= 40, "Late Career[31-40]")</f>
        <v>Early Career[6-10]</v>
      </c>
      <c r="AI834" s="1">
        <v>2</v>
      </c>
      <c r="AJ834" s="1">
        <v>3</v>
      </c>
      <c r="AK834" s="1">
        <v>6</v>
      </c>
      <c r="AL834" s="9" t="str" cm="1">
        <f t="array" ref="AL834">_xlfn.IFS(AK834 &lt;= 5, "New[1-5]", AK834 &lt;= 10, "Early Career[6-10]", AK834 &lt;= 20, "Established[11-20]", AK834 &lt;= 30, "Veteran[21-30]", AK834 &lt;= 40, "Late Career[31-40]")</f>
        <v>Early Career[6-10]</v>
      </c>
      <c r="AM834" s="1">
        <v>2</v>
      </c>
      <c r="AN834" s="9" t="str" cm="1">
        <f t="array" ref="AN834">_xlfn.IFS(AM834 &lt;= 3, "New to Role[1-3]", AM834 &lt;= 7, "Settled[4-7]", AM834 &lt;= 12, "Experienced[[8-12]", AM834 &lt;= 18, "Long Tenured[13-18]")</f>
        <v>New to Role[1-3]</v>
      </c>
      <c r="AO834" s="1">
        <v>1</v>
      </c>
      <c r="AP834" s="9" t="str" cm="1">
        <f t="array" ref="AP834">_xlfn.IFS(AO834 &lt;= 3, "Recently[1-3]", AO834 &lt;= 6, "Due Soon[4-6]", AO834 &lt;= 10, "Overdue[7-10]", AO834 &lt;= 15, "Long Overdue[11-15]")</f>
        <v>Recently[1-3]</v>
      </c>
      <c r="AQ834" s="9" t="str" cm="1">
        <f t="array" ref="AQ834">_xlfn.IFS(AR834 &lt;= 3, "New Relationship[1-3]", AR834 &lt;= 7, "Established Relationship[4-7]", AR834 &lt;= 12, "Long Term Relationship[8-12]", AR834 &lt;= 17, "Very Long Term Relationship[13-17]")</f>
        <v>New Relationship[1-3]</v>
      </c>
      <c r="AR834" s="1">
        <v>3</v>
      </c>
    </row>
    <row r="835" spans="1:44" x14ac:dyDescent="0.25">
      <c r="A835" s="1">
        <v>27</v>
      </c>
      <c r="B835" s="8" t="str" cm="1">
        <f t="array" ref="B835">_xlfn.IFS(A835 &lt;= 25, "[18-25]", A835 &lt;= 35, "[26-35]", A835 &lt;=45, "[36-45]", A835 &lt;= 60, "[46- 60]")</f>
        <v>[26-35]</v>
      </c>
      <c r="C835" s="3" t="s">
        <v>43</v>
      </c>
      <c r="D835">
        <f t="shared" si="13"/>
        <v>0</v>
      </c>
      <c r="E835" t="s">
        <v>36</v>
      </c>
      <c r="F835" s="1">
        <v>199</v>
      </c>
      <c r="G835" s="3" t="s">
        <v>45</v>
      </c>
      <c r="H835" s="1">
        <v>6</v>
      </c>
      <c r="I835" s="9" t="str" cm="1">
        <f t="array" ref="I835">_xlfn.IFS(H835 &lt;= 2, "[1-2] very close", H835 &lt;= 10, "[3-10] close", H835 &lt;= 20, "[11-20] moderate", H835 &lt;= 30, "[21-30] far")</f>
        <v>[3-10] close</v>
      </c>
      <c r="J835" s="1">
        <v>3</v>
      </c>
      <c r="K835" s="3" t="s">
        <v>38</v>
      </c>
      <c r="L835" s="1">
        <v>1</v>
      </c>
      <c r="M835" s="1">
        <v>1162</v>
      </c>
      <c r="N835" s="1">
        <v>4</v>
      </c>
      <c r="O835" s="3" t="s">
        <v>46</v>
      </c>
      <c r="P835" s="1">
        <v>55</v>
      </c>
      <c r="Q835" s="1">
        <v>2</v>
      </c>
      <c r="R835" s="1">
        <v>1</v>
      </c>
      <c r="S835" s="3" t="s">
        <v>47</v>
      </c>
      <c r="T835" s="1">
        <v>3</v>
      </c>
      <c r="U835" s="3" t="s">
        <v>48</v>
      </c>
      <c r="V835" s="4">
        <v>2539</v>
      </c>
      <c r="W835" s="1">
        <v>7950</v>
      </c>
      <c r="X835" s="1">
        <v>1</v>
      </c>
      <c r="Y835" s="3" t="s">
        <v>42</v>
      </c>
      <c r="Z835" s="3" t="s">
        <v>43</v>
      </c>
      <c r="AA835" s="5">
        <v>0.13</v>
      </c>
      <c r="AB835" s="10" t="str" cm="1">
        <f t="array" ref="AB835">_xlfn.IFS(AA835 &lt;= 15%, "Low Hike[11-15%]", AA835 &lt;= 20%, "Moderate Hike[16-20%]", AA835 &lt;= 25%,"High Hike[21-25%]")</f>
        <v>Low Hike[11-15%]</v>
      </c>
      <c r="AC835" s="1">
        <v>3</v>
      </c>
      <c r="AD835" s="1">
        <v>3</v>
      </c>
      <c r="AE835" s="1">
        <v>80</v>
      </c>
      <c r="AF835" s="1">
        <v>1</v>
      </c>
      <c r="AG835" s="1">
        <v>4</v>
      </c>
      <c r="AH835" s="9" t="str" cm="1">
        <f t="array" ref="AH835">_xlfn.IFS(AG835 &lt;= 5, "New[1-5]", AG835 &lt;= 10, "Early Career[6-10]", AG835 &lt;= 20, "Established[11-20]", AG835 &lt;= 30, "Veteran[21-30]", AG835 &lt;= 40, "Late Career[31-40]")</f>
        <v>New[1-5]</v>
      </c>
      <c r="AI835" s="1">
        <v>0</v>
      </c>
      <c r="AJ835" s="1">
        <v>3</v>
      </c>
      <c r="AK835" s="1">
        <v>4</v>
      </c>
      <c r="AL835" s="9" t="str" cm="1">
        <f t="array" ref="AL835">_xlfn.IFS(AK835 &lt;= 5, "New[1-5]", AK835 &lt;= 10, "Early Career[6-10]", AK835 &lt;= 20, "Established[11-20]", AK835 &lt;= 30, "Veteran[21-30]", AK835 &lt;= 40, "Late Career[31-40]")</f>
        <v>New[1-5]</v>
      </c>
      <c r="AM835" s="1">
        <v>2</v>
      </c>
      <c r="AN835" s="9" t="str" cm="1">
        <f t="array" ref="AN835">_xlfn.IFS(AM835 &lt;= 3, "New to Role[1-3]", AM835 &lt;= 7, "Settled[4-7]", AM835 &lt;= 12, "Experienced[[8-12]", AM835 &lt;= 18, "Long Tenured[13-18]")</f>
        <v>New to Role[1-3]</v>
      </c>
      <c r="AO835" s="1">
        <v>2</v>
      </c>
      <c r="AP835" s="9" t="str" cm="1">
        <f t="array" ref="AP835">_xlfn.IFS(AO835 &lt;= 3, "Recently[1-3]", AO835 &lt;= 6, "Due Soon[4-6]", AO835 &lt;= 10, "Overdue[7-10]", AO835 &lt;= 15, "Long Overdue[11-15]")</f>
        <v>Recently[1-3]</v>
      </c>
      <c r="AQ835" s="9" t="str" cm="1">
        <f t="array" ref="AQ835">_xlfn.IFS(AR835 &lt;= 3, "New Relationship[1-3]", AR835 &lt;= 7, "Established Relationship[4-7]", AR835 &lt;= 12, "Long Term Relationship[8-12]", AR835 &lt;= 17, "Very Long Term Relationship[13-17]")</f>
        <v>New Relationship[1-3]</v>
      </c>
      <c r="AR835" s="1">
        <v>2</v>
      </c>
    </row>
    <row r="836" spans="1:44" x14ac:dyDescent="0.25">
      <c r="A836" s="1">
        <v>34</v>
      </c>
      <c r="B836" s="8" t="str" cm="1">
        <f t="array" ref="B836">_xlfn.IFS(A836 &lt;= 25, "[18-25]", A836 &lt;= 35, "[26-35]", A836 &lt;=45, "[36-45]", A836 &lt;= 60, "[46- 60]")</f>
        <v>[26-35]</v>
      </c>
      <c r="C836" s="3" t="s">
        <v>43</v>
      </c>
      <c r="D836">
        <f t="shared" si="13"/>
        <v>0</v>
      </c>
      <c r="E836" t="s">
        <v>36</v>
      </c>
      <c r="F836" s="1">
        <v>1400</v>
      </c>
      <c r="G836" s="3" t="s">
        <v>37</v>
      </c>
      <c r="H836" s="1">
        <v>9</v>
      </c>
      <c r="I836" s="9" t="str" cm="1">
        <f t="array" ref="I836">_xlfn.IFS(H836 &lt;= 2, "[1-2] very close", H836 &lt;= 10, "[3-10] close", H836 &lt;= 20, "[11-20] moderate", H836 &lt;= 30, "[21-30] far")</f>
        <v>[3-10] close</v>
      </c>
      <c r="J836" s="1">
        <v>1</v>
      </c>
      <c r="K836" s="3" t="s">
        <v>38</v>
      </c>
      <c r="L836" s="1">
        <v>1</v>
      </c>
      <c r="M836" s="1">
        <v>1163</v>
      </c>
      <c r="N836" s="1">
        <v>2</v>
      </c>
      <c r="O836" s="3" t="s">
        <v>39</v>
      </c>
      <c r="P836" s="1">
        <v>70</v>
      </c>
      <c r="Q836" s="1">
        <v>3</v>
      </c>
      <c r="R836" s="1">
        <v>2</v>
      </c>
      <c r="S836" s="3" t="s">
        <v>40</v>
      </c>
      <c r="T836" s="1">
        <v>3</v>
      </c>
      <c r="U836" s="3" t="s">
        <v>48</v>
      </c>
      <c r="V836" s="4">
        <v>5714</v>
      </c>
      <c r="W836" s="1">
        <v>5829</v>
      </c>
      <c r="X836" s="1">
        <v>1</v>
      </c>
      <c r="Y836" s="3" t="s">
        <v>42</v>
      </c>
      <c r="Z836" s="3" t="s">
        <v>43</v>
      </c>
      <c r="AA836" s="5">
        <v>0.2</v>
      </c>
      <c r="AB836" s="10" t="str" cm="1">
        <f t="array" ref="AB836">_xlfn.IFS(AA836 &lt;= 15%, "Low Hike[11-15%]", AA836 &lt;= 20%, "Moderate Hike[16-20%]", AA836 &lt;= 25%,"High Hike[21-25%]")</f>
        <v>Moderate Hike[16-20%]</v>
      </c>
      <c r="AC836" s="1">
        <v>4</v>
      </c>
      <c r="AD836" s="1">
        <v>1</v>
      </c>
      <c r="AE836" s="1">
        <v>80</v>
      </c>
      <c r="AF836" s="1">
        <v>0</v>
      </c>
      <c r="AG836" s="1">
        <v>6</v>
      </c>
      <c r="AH836" s="9" t="str" cm="1">
        <f t="array" ref="AH836">_xlfn.IFS(AG836 &lt;= 5, "New[1-5]", AG836 &lt;= 10, "Early Career[6-10]", AG836 &lt;= 20, "Established[11-20]", AG836 &lt;= 30, "Veteran[21-30]", AG836 &lt;= 40, "Late Career[31-40]")</f>
        <v>Early Career[6-10]</v>
      </c>
      <c r="AI836" s="1">
        <v>3</v>
      </c>
      <c r="AJ836" s="1">
        <v>2</v>
      </c>
      <c r="AK836" s="1">
        <v>6</v>
      </c>
      <c r="AL836" s="9" t="str" cm="1">
        <f t="array" ref="AL836">_xlfn.IFS(AK836 &lt;= 5, "New[1-5]", AK836 &lt;= 10, "Early Career[6-10]", AK836 &lt;= 20, "Established[11-20]", AK836 &lt;= 30, "Veteran[21-30]", AK836 &lt;= 40, "Late Career[31-40]")</f>
        <v>Early Career[6-10]</v>
      </c>
      <c r="AM836" s="1">
        <v>5</v>
      </c>
      <c r="AN836" s="9" t="str" cm="1">
        <f t="array" ref="AN836">_xlfn.IFS(AM836 &lt;= 3, "New to Role[1-3]", AM836 &lt;= 7, "Settled[4-7]", AM836 &lt;= 12, "Experienced[[8-12]", AM836 &lt;= 18, "Long Tenured[13-18]")</f>
        <v>Settled[4-7]</v>
      </c>
      <c r="AO836" s="1">
        <v>1</v>
      </c>
      <c r="AP836" s="9" t="str" cm="1">
        <f t="array" ref="AP836">_xlfn.IFS(AO836 &lt;= 3, "Recently[1-3]", AO836 &lt;= 6, "Due Soon[4-6]", AO836 &lt;= 10, "Overdue[7-10]", AO836 &lt;= 15, "Long Overdue[11-15]")</f>
        <v>Recently[1-3]</v>
      </c>
      <c r="AQ836" s="9" t="str" cm="1">
        <f t="array" ref="AQ836">_xlfn.IFS(AR836 &lt;= 3, "New Relationship[1-3]", AR836 &lt;= 7, "Established Relationship[4-7]", AR836 &lt;= 12, "Long Term Relationship[8-12]", AR836 &lt;= 17, "Very Long Term Relationship[13-17]")</f>
        <v>New Relationship[1-3]</v>
      </c>
      <c r="AR836" s="1">
        <v>3</v>
      </c>
    </row>
    <row r="837" spans="1:44" x14ac:dyDescent="0.25">
      <c r="A837" s="1">
        <v>35</v>
      </c>
      <c r="B837" s="8" t="str" cm="1">
        <f t="array" ref="B837">_xlfn.IFS(A837 &lt;= 25, "[18-25]", A837 &lt;= 35, "[26-35]", A837 &lt;=45, "[36-45]", A837 &lt;= 60, "[46- 60]")</f>
        <v>[26-35]</v>
      </c>
      <c r="C837" s="3" t="s">
        <v>43</v>
      </c>
      <c r="D837">
        <f t="shared" si="13"/>
        <v>0</v>
      </c>
      <c r="E837" t="s">
        <v>36</v>
      </c>
      <c r="F837" s="1">
        <v>528</v>
      </c>
      <c r="G837" s="3" t="s">
        <v>61</v>
      </c>
      <c r="H837" s="1">
        <v>8</v>
      </c>
      <c r="I837" s="9" t="str" cm="1">
        <f t="array" ref="I837">_xlfn.IFS(H837 &lt;= 2, "[1-2] very close", H837 &lt;= 10, "[3-10] close", H837 &lt;= 20, "[11-20] moderate", H837 &lt;= 30, "[21-30] far")</f>
        <v>[3-10] close</v>
      </c>
      <c r="J837" s="1">
        <v>4</v>
      </c>
      <c r="K837" s="3" t="s">
        <v>60</v>
      </c>
      <c r="L837" s="1">
        <v>1</v>
      </c>
      <c r="M837" s="1">
        <v>1164</v>
      </c>
      <c r="N837" s="1">
        <v>3</v>
      </c>
      <c r="O837" s="3" t="s">
        <v>46</v>
      </c>
      <c r="P837" s="1">
        <v>100</v>
      </c>
      <c r="Q837" s="1">
        <v>3</v>
      </c>
      <c r="R837" s="1">
        <v>1</v>
      </c>
      <c r="S837" s="3" t="s">
        <v>61</v>
      </c>
      <c r="T837" s="1">
        <v>3</v>
      </c>
      <c r="U837" s="3" t="s">
        <v>41</v>
      </c>
      <c r="V837" s="4">
        <v>4323</v>
      </c>
      <c r="W837" s="1">
        <v>7108</v>
      </c>
      <c r="X837" s="1">
        <v>1</v>
      </c>
      <c r="Y837" s="3" t="s">
        <v>42</v>
      </c>
      <c r="Z837" s="3" t="s">
        <v>43</v>
      </c>
      <c r="AA837" s="5">
        <v>0.17</v>
      </c>
      <c r="AB837" s="10" t="str" cm="1">
        <f t="array" ref="AB837">_xlfn.IFS(AA837 &lt;= 15%, "Low Hike[11-15%]", AA837 &lt;= 20%, "Moderate Hike[16-20%]", AA837 &lt;= 25%,"High Hike[21-25%]")</f>
        <v>Moderate Hike[16-20%]</v>
      </c>
      <c r="AC837" s="1">
        <v>3</v>
      </c>
      <c r="AD837" s="1">
        <v>2</v>
      </c>
      <c r="AE837" s="1">
        <v>80</v>
      </c>
      <c r="AF837" s="1">
        <v>0</v>
      </c>
      <c r="AG837" s="1">
        <v>6</v>
      </c>
      <c r="AH837" s="9" t="str" cm="1">
        <f t="array" ref="AH837">_xlfn.IFS(AG837 &lt;= 5, "New[1-5]", AG837 &lt;= 10, "Early Career[6-10]", AG837 &lt;= 20, "Established[11-20]", AG837 &lt;= 30, "Veteran[21-30]", AG837 &lt;= 40, "Late Career[31-40]")</f>
        <v>Early Career[6-10]</v>
      </c>
      <c r="AI837" s="1">
        <v>2</v>
      </c>
      <c r="AJ837" s="1">
        <v>1</v>
      </c>
      <c r="AK837" s="1">
        <v>5</v>
      </c>
      <c r="AL837" s="9" t="str" cm="1">
        <f t="array" ref="AL837">_xlfn.IFS(AK837 &lt;= 5, "New[1-5]", AK837 &lt;= 10, "Early Career[6-10]", AK837 &lt;= 20, "Established[11-20]", AK837 &lt;= 30, "Veteran[21-30]", AK837 &lt;= 40, "Late Career[31-40]")</f>
        <v>New[1-5]</v>
      </c>
      <c r="AM837" s="1">
        <v>4</v>
      </c>
      <c r="AN837" s="9" t="str" cm="1">
        <f t="array" ref="AN837">_xlfn.IFS(AM837 &lt;= 3, "New to Role[1-3]", AM837 &lt;= 7, "Settled[4-7]", AM837 &lt;= 12, "Experienced[[8-12]", AM837 &lt;= 18, "Long Tenured[13-18]")</f>
        <v>Settled[4-7]</v>
      </c>
      <c r="AO837" s="1">
        <v>1</v>
      </c>
      <c r="AP837" s="9" t="str" cm="1">
        <f t="array" ref="AP837">_xlfn.IFS(AO837 &lt;= 3, "Recently[1-3]", AO837 &lt;= 6, "Due Soon[4-6]", AO837 &lt;= 10, "Overdue[7-10]", AO837 &lt;= 15, "Long Overdue[11-15]")</f>
        <v>Recently[1-3]</v>
      </c>
      <c r="AQ837" s="9" t="str" cm="1">
        <f t="array" ref="AQ837">_xlfn.IFS(AR837 &lt;= 3, "New Relationship[1-3]", AR837 &lt;= 7, "Established Relationship[4-7]", AR837 &lt;= 12, "Long Term Relationship[8-12]", AR837 &lt;= 17, "Very Long Term Relationship[13-17]")</f>
        <v>Established Relationship[4-7]</v>
      </c>
      <c r="AR837" s="1">
        <v>4</v>
      </c>
    </row>
    <row r="838" spans="1:44" x14ac:dyDescent="0.25">
      <c r="A838" s="1">
        <v>29</v>
      </c>
      <c r="B838" s="8" t="str" cm="1">
        <f t="array" ref="B838">_xlfn.IFS(A838 &lt;= 25, "[18-25]", A838 &lt;= 35, "[26-35]", A838 &lt;=45, "[36-45]", A838 &lt;= 60, "[46- 60]")</f>
        <v>[26-35]</v>
      </c>
      <c r="C838" s="3" t="s">
        <v>35</v>
      </c>
      <c r="D838">
        <f t="shared" si="13"/>
        <v>1</v>
      </c>
      <c r="E838" t="s">
        <v>36</v>
      </c>
      <c r="F838" s="1">
        <v>408</v>
      </c>
      <c r="G838" s="3" t="s">
        <v>37</v>
      </c>
      <c r="H838" s="1">
        <v>23</v>
      </c>
      <c r="I838" s="9" t="str" cm="1">
        <f t="array" ref="I838">_xlfn.IFS(H838 &lt;= 2, "[1-2] very close", H838 &lt;= 10, "[3-10] close", H838 &lt;= 20, "[11-20] moderate", H838 &lt;= 30, "[21-30] far")</f>
        <v>[21-30] far</v>
      </c>
      <c r="J838" s="1">
        <v>1</v>
      </c>
      <c r="K838" s="3" t="s">
        <v>38</v>
      </c>
      <c r="L838" s="1">
        <v>1</v>
      </c>
      <c r="M838" s="1">
        <v>1165</v>
      </c>
      <c r="N838" s="1">
        <v>4</v>
      </c>
      <c r="O838" s="3" t="s">
        <v>39</v>
      </c>
      <c r="P838" s="1">
        <v>45</v>
      </c>
      <c r="Q838" s="1">
        <v>2</v>
      </c>
      <c r="R838" s="1">
        <v>3</v>
      </c>
      <c r="S838" s="3" t="s">
        <v>40</v>
      </c>
      <c r="T838" s="1">
        <v>1</v>
      </c>
      <c r="U838" s="3" t="s">
        <v>48</v>
      </c>
      <c r="V838" s="4">
        <v>7336</v>
      </c>
      <c r="W838" s="1">
        <v>11162</v>
      </c>
      <c r="X838" s="1">
        <v>1</v>
      </c>
      <c r="Y838" s="3" t="s">
        <v>42</v>
      </c>
      <c r="Z838" s="3" t="s">
        <v>43</v>
      </c>
      <c r="AA838" s="5">
        <v>0.13</v>
      </c>
      <c r="AB838" s="10" t="str" cm="1">
        <f t="array" ref="AB838">_xlfn.IFS(AA838 &lt;= 15%, "Low Hike[11-15%]", AA838 &lt;= 20%, "Moderate Hike[16-20%]", AA838 &lt;= 25%,"High Hike[21-25%]")</f>
        <v>Low Hike[11-15%]</v>
      </c>
      <c r="AC838" s="1">
        <v>3</v>
      </c>
      <c r="AD838" s="1">
        <v>1</v>
      </c>
      <c r="AE838" s="1">
        <v>80</v>
      </c>
      <c r="AF838" s="1">
        <v>1</v>
      </c>
      <c r="AG838" s="1">
        <v>11</v>
      </c>
      <c r="AH838" s="9" t="str" cm="1">
        <f t="array" ref="AH838">_xlfn.IFS(AG838 &lt;= 5, "New[1-5]", AG838 &lt;= 10, "Early Career[6-10]", AG838 &lt;= 20, "Established[11-20]", AG838 &lt;= 30, "Veteran[21-30]", AG838 &lt;= 40, "Late Career[31-40]")</f>
        <v>Established[11-20]</v>
      </c>
      <c r="AI838" s="1">
        <v>3</v>
      </c>
      <c r="AJ838" s="1">
        <v>1</v>
      </c>
      <c r="AK838" s="1">
        <v>11</v>
      </c>
      <c r="AL838" s="9" t="str" cm="1">
        <f t="array" ref="AL838">_xlfn.IFS(AK838 &lt;= 5, "New[1-5]", AK838 &lt;= 10, "Early Career[6-10]", AK838 &lt;= 20, "Established[11-20]", AK838 &lt;= 30, "Veteran[21-30]", AK838 &lt;= 40, "Late Career[31-40]")</f>
        <v>Established[11-20]</v>
      </c>
      <c r="AM838" s="1">
        <v>8</v>
      </c>
      <c r="AN838" s="9" t="str" cm="1">
        <f t="array" ref="AN838">_xlfn.IFS(AM838 &lt;= 3, "New to Role[1-3]", AM838 &lt;= 7, "Settled[4-7]", AM838 &lt;= 12, "Experienced[[8-12]", AM838 &lt;= 18, "Long Tenured[13-18]")</f>
        <v>Experienced[[8-12]</v>
      </c>
      <c r="AO838" s="1">
        <v>3</v>
      </c>
      <c r="AP838" s="9" t="str" cm="1">
        <f t="array" ref="AP838">_xlfn.IFS(AO838 &lt;= 3, "Recently[1-3]", AO838 &lt;= 6, "Due Soon[4-6]", AO838 &lt;= 10, "Overdue[7-10]", AO838 &lt;= 15, "Long Overdue[11-15]")</f>
        <v>Recently[1-3]</v>
      </c>
      <c r="AQ838" s="9" t="str" cm="1">
        <f t="array" ref="AQ838">_xlfn.IFS(AR838 &lt;= 3, "New Relationship[1-3]", AR838 &lt;= 7, "Established Relationship[4-7]", AR838 &lt;= 12, "Long Term Relationship[8-12]", AR838 &lt;= 17, "Very Long Term Relationship[13-17]")</f>
        <v>Long Term Relationship[8-12]</v>
      </c>
      <c r="AR838" s="1">
        <v>10</v>
      </c>
    </row>
    <row r="839" spans="1:44" x14ac:dyDescent="0.25">
      <c r="A839" s="1">
        <v>40</v>
      </c>
      <c r="B839" s="8" t="str" cm="1">
        <f t="array" ref="B839">_xlfn.IFS(A839 &lt;= 25, "[18-25]", A839 &lt;= 35, "[26-35]", A839 &lt;=45, "[36-45]", A839 &lt;= 60, "[46- 60]")</f>
        <v>[36-45]</v>
      </c>
      <c r="C839" s="3" t="s">
        <v>43</v>
      </c>
      <c r="D839">
        <f t="shared" si="13"/>
        <v>0</v>
      </c>
      <c r="E839" t="s">
        <v>44</v>
      </c>
      <c r="F839" s="1">
        <v>593</v>
      </c>
      <c r="G839" s="3" t="s">
        <v>45</v>
      </c>
      <c r="H839" s="1">
        <v>9</v>
      </c>
      <c r="I839" s="9" t="str" cm="1">
        <f t="array" ref="I839">_xlfn.IFS(H839 &lt;= 2, "[1-2] very close", H839 &lt;= 10, "[3-10] close", H839 &lt;= 20, "[11-20] moderate", H839 &lt;= 30, "[21-30] far")</f>
        <v>[3-10] close</v>
      </c>
      <c r="J839" s="1">
        <v>4</v>
      </c>
      <c r="K839" s="3" t="s">
        <v>51</v>
      </c>
      <c r="L839" s="1">
        <v>1</v>
      </c>
      <c r="M839" s="1">
        <v>1166</v>
      </c>
      <c r="N839" s="1">
        <v>2</v>
      </c>
      <c r="O839" s="3" t="s">
        <v>39</v>
      </c>
      <c r="P839" s="1">
        <v>88</v>
      </c>
      <c r="Q839" s="1">
        <v>3</v>
      </c>
      <c r="R839" s="1">
        <v>3</v>
      </c>
      <c r="S839" s="3" t="s">
        <v>58</v>
      </c>
      <c r="T839" s="1">
        <v>3</v>
      </c>
      <c r="U839" s="3" t="s">
        <v>41</v>
      </c>
      <c r="V839" s="4">
        <v>13499</v>
      </c>
      <c r="W839" s="1">
        <v>13782</v>
      </c>
      <c r="X839" s="1">
        <v>9</v>
      </c>
      <c r="Y839" s="3" t="s">
        <v>42</v>
      </c>
      <c r="Z839" s="3" t="s">
        <v>43</v>
      </c>
      <c r="AA839" s="5">
        <v>0.17</v>
      </c>
      <c r="AB839" s="10" t="str" cm="1">
        <f t="array" ref="AB839">_xlfn.IFS(AA839 &lt;= 15%, "Low Hike[11-15%]", AA839 &lt;= 20%, "Moderate Hike[16-20%]", AA839 &lt;= 25%,"High Hike[21-25%]")</f>
        <v>Moderate Hike[16-20%]</v>
      </c>
      <c r="AC839" s="1">
        <v>3</v>
      </c>
      <c r="AD839" s="1">
        <v>3</v>
      </c>
      <c r="AE839" s="1">
        <v>80</v>
      </c>
      <c r="AF839" s="1">
        <v>0</v>
      </c>
      <c r="AG839" s="1">
        <v>20</v>
      </c>
      <c r="AH839" s="9" t="str" cm="1">
        <f t="array" ref="AH839">_xlfn.IFS(AG839 &lt;= 5, "New[1-5]", AG839 &lt;= 10, "Early Career[6-10]", AG839 &lt;= 20, "Established[11-20]", AG839 &lt;= 30, "Veteran[21-30]", AG839 &lt;= 40, "Late Career[31-40]")</f>
        <v>Established[11-20]</v>
      </c>
      <c r="AI839" s="1">
        <v>3</v>
      </c>
      <c r="AJ839" s="1">
        <v>2</v>
      </c>
      <c r="AK839" s="1">
        <v>18</v>
      </c>
      <c r="AL839" s="9" t="str" cm="1">
        <f t="array" ref="AL839">_xlfn.IFS(AK839 &lt;= 5, "New[1-5]", AK839 &lt;= 10, "Early Career[6-10]", AK839 &lt;= 20, "Established[11-20]", AK839 &lt;= 30, "Veteran[21-30]", AK839 &lt;= 40, "Late Career[31-40]")</f>
        <v>Established[11-20]</v>
      </c>
      <c r="AM839" s="1">
        <v>7</v>
      </c>
      <c r="AN839" s="9" t="str" cm="1">
        <f t="array" ref="AN839">_xlfn.IFS(AM839 &lt;= 3, "New to Role[1-3]", AM839 &lt;= 7, "Settled[4-7]", AM839 &lt;= 12, "Experienced[[8-12]", AM839 &lt;= 18, "Long Tenured[13-18]")</f>
        <v>Settled[4-7]</v>
      </c>
      <c r="AO839" s="1">
        <v>2</v>
      </c>
      <c r="AP839" s="9" t="str" cm="1">
        <f t="array" ref="AP839">_xlfn.IFS(AO839 &lt;= 3, "Recently[1-3]", AO839 &lt;= 6, "Due Soon[4-6]", AO839 &lt;= 10, "Overdue[7-10]", AO839 &lt;= 15, "Long Overdue[11-15]")</f>
        <v>Recently[1-3]</v>
      </c>
      <c r="AQ839" s="9" t="str" cm="1">
        <f t="array" ref="AQ839">_xlfn.IFS(AR839 &lt;= 3, "New Relationship[1-3]", AR839 &lt;= 7, "Established Relationship[4-7]", AR839 &lt;= 12, "Long Term Relationship[8-12]", AR839 &lt;= 17, "Very Long Term Relationship[13-17]")</f>
        <v>Very Long Term Relationship[13-17]</v>
      </c>
      <c r="AR839" s="1">
        <v>13</v>
      </c>
    </row>
    <row r="840" spans="1:44" x14ac:dyDescent="0.25">
      <c r="A840" s="1">
        <v>42</v>
      </c>
      <c r="B840" s="8" t="str" cm="1">
        <f t="array" ref="B840">_xlfn.IFS(A840 &lt;= 25, "[18-25]", A840 &lt;= 35, "[26-35]", A840 &lt;=45, "[36-45]", A840 &lt;= 60, "[46- 60]")</f>
        <v>[36-45]</v>
      </c>
      <c r="C840" s="3" t="s">
        <v>35</v>
      </c>
      <c r="D840">
        <f t="shared" si="13"/>
        <v>1</v>
      </c>
      <c r="E840" t="s">
        <v>44</v>
      </c>
      <c r="F840" s="1">
        <v>481</v>
      </c>
      <c r="G840" s="3" t="s">
        <v>37</v>
      </c>
      <c r="H840" s="1">
        <v>12</v>
      </c>
      <c r="I840" s="9" t="str" cm="1">
        <f t="array" ref="I840">_xlfn.IFS(H840 &lt;= 2, "[1-2] very close", H840 &lt;= 10, "[3-10] close", H840 &lt;= 20, "[11-20] moderate", H840 &lt;= 30, "[21-30] far")</f>
        <v>[11-20] moderate</v>
      </c>
      <c r="J840" s="1">
        <v>3</v>
      </c>
      <c r="K840" s="3" t="s">
        <v>38</v>
      </c>
      <c r="L840" s="1">
        <v>1</v>
      </c>
      <c r="M840" s="1">
        <v>1167</v>
      </c>
      <c r="N840" s="1">
        <v>3</v>
      </c>
      <c r="O840" s="3" t="s">
        <v>46</v>
      </c>
      <c r="P840" s="1">
        <v>44</v>
      </c>
      <c r="Q840" s="1">
        <v>3</v>
      </c>
      <c r="R840" s="1">
        <v>4</v>
      </c>
      <c r="S840" s="3" t="s">
        <v>40</v>
      </c>
      <c r="T840" s="1">
        <v>1</v>
      </c>
      <c r="U840" s="3" t="s">
        <v>41</v>
      </c>
      <c r="V840" s="4">
        <v>13758</v>
      </c>
      <c r="W840" s="1">
        <v>2447</v>
      </c>
      <c r="X840" s="1">
        <v>0</v>
      </c>
      <c r="Y840" s="3" t="s">
        <v>42</v>
      </c>
      <c r="Z840" s="3" t="s">
        <v>35</v>
      </c>
      <c r="AA840" s="5">
        <v>0.12</v>
      </c>
      <c r="AB840" s="10" t="str" cm="1">
        <f t="array" ref="AB840">_xlfn.IFS(AA840 &lt;= 15%, "Low Hike[11-15%]", AA840 &lt;= 20%, "Moderate Hike[16-20%]", AA840 &lt;= 25%,"High Hike[21-25%]")</f>
        <v>Low Hike[11-15%]</v>
      </c>
      <c r="AC840" s="1">
        <v>3</v>
      </c>
      <c r="AD840" s="1">
        <v>2</v>
      </c>
      <c r="AE840" s="1">
        <v>80</v>
      </c>
      <c r="AF840" s="1">
        <v>0</v>
      </c>
      <c r="AG840" s="1">
        <v>22</v>
      </c>
      <c r="AH840" s="9" t="str" cm="1">
        <f t="array" ref="AH840">_xlfn.IFS(AG840 &lt;= 5, "New[1-5]", AG840 &lt;= 10, "Early Career[6-10]", AG840 &lt;= 20, "Established[11-20]", AG840 &lt;= 30, "Veteran[21-30]", AG840 &lt;= 40, "Late Career[31-40]")</f>
        <v>Veteran[21-30]</v>
      </c>
      <c r="AI840" s="1">
        <v>2</v>
      </c>
      <c r="AJ840" s="1">
        <v>2</v>
      </c>
      <c r="AK840" s="1">
        <v>21</v>
      </c>
      <c r="AL840" s="9" t="str" cm="1">
        <f t="array" ref="AL840">_xlfn.IFS(AK840 &lt;= 5, "New[1-5]", AK840 &lt;= 10, "Early Career[6-10]", AK840 &lt;= 20, "Established[11-20]", AK840 &lt;= 30, "Veteran[21-30]", AK840 &lt;= 40, "Late Career[31-40]")</f>
        <v>Veteran[21-30]</v>
      </c>
      <c r="AM840" s="1">
        <v>9</v>
      </c>
      <c r="AN840" s="9" t="str" cm="1">
        <f t="array" ref="AN840">_xlfn.IFS(AM840 &lt;= 3, "New to Role[1-3]", AM840 &lt;= 7, "Settled[4-7]", AM840 &lt;= 12, "Experienced[[8-12]", AM840 &lt;= 18, "Long Tenured[13-18]")</f>
        <v>Experienced[[8-12]</v>
      </c>
      <c r="AO840" s="1">
        <v>13</v>
      </c>
      <c r="AP840" s="9" t="str" cm="1">
        <f t="array" ref="AP840">_xlfn.IFS(AO840 &lt;= 3, "Recently[1-3]", AO840 &lt;= 6, "Due Soon[4-6]", AO840 &lt;= 10, "Overdue[7-10]", AO840 &lt;= 15, "Long Overdue[11-15]")</f>
        <v>Long Overdue[11-15]</v>
      </c>
      <c r="AQ840" s="9" t="str" cm="1">
        <f t="array" ref="AQ840">_xlfn.IFS(AR840 &lt;= 3, "New Relationship[1-3]", AR840 &lt;= 7, "Established Relationship[4-7]", AR840 &lt;= 12, "Long Term Relationship[8-12]", AR840 &lt;= 17, "Very Long Term Relationship[13-17]")</f>
        <v>Very Long Term Relationship[13-17]</v>
      </c>
      <c r="AR840" s="1">
        <v>14</v>
      </c>
    </row>
    <row r="841" spans="1:44" x14ac:dyDescent="0.25">
      <c r="A841" s="1">
        <v>42</v>
      </c>
      <c r="B841" s="8" t="str" cm="1">
        <f t="array" ref="B841">_xlfn.IFS(A841 &lt;= 25, "[18-25]", A841 &lt;= 35, "[26-35]", A841 &lt;=45, "[36-45]", A841 &lt;= 60, "[46- 60]")</f>
        <v>[36-45]</v>
      </c>
      <c r="C841" s="3" t="s">
        <v>43</v>
      </c>
      <c r="D841">
        <f t="shared" si="13"/>
        <v>0</v>
      </c>
      <c r="E841" t="s">
        <v>36</v>
      </c>
      <c r="F841" s="1">
        <v>647</v>
      </c>
      <c r="G841" s="3" t="s">
        <v>37</v>
      </c>
      <c r="H841" s="1">
        <v>4</v>
      </c>
      <c r="I841" s="9" t="str" cm="1">
        <f t="array" ref="I841">_xlfn.IFS(H841 &lt;= 2, "[1-2] very close", H841 &lt;= 10, "[3-10] close", H841 &lt;= 20, "[11-20] moderate", H841 &lt;= 30, "[21-30] far")</f>
        <v>[3-10] close</v>
      </c>
      <c r="J841" s="1">
        <v>4</v>
      </c>
      <c r="K841" s="3" t="s">
        <v>59</v>
      </c>
      <c r="L841" s="1">
        <v>1</v>
      </c>
      <c r="M841" s="1">
        <v>1171</v>
      </c>
      <c r="N841" s="1">
        <v>2</v>
      </c>
      <c r="O841" s="3" t="s">
        <v>46</v>
      </c>
      <c r="P841" s="1">
        <v>45</v>
      </c>
      <c r="Q841" s="1">
        <v>3</v>
      </c>
      <c r="R841" s="1">
        <v>2</v>
      </c>
      <c r="S841" s="3" t="s">
        <v>40</v>
      </c>
      <c r="T841" s="1">
        <v>1</v>
      </c>
      <c r="U841" s="3" t="s">
        <v>41</v>
      </c>
      <c r="V841" s="4">
        <v>5155</v>
      </c>
      <c r="W841" s="1">
        <v>2253</v>
      </c>
      <c r="X841" s="1">
        <v>7</v>
      </c>
      <c r="Y841" s="3" t="s">
        <v>42</v>
      </c>
      <c r="Z841" s="3" t="s">
        <v>43</v>
      </c>
      <c r="AA841" s="5">
        <v>0.13</v>
      </c>
      <c r="AB841" s="10" t="str" cm="1">
        <f t="array" ref="AB841">_xlfn.IFS(AA841 &lt;= 15%, "Low Hike[11-15%]", AA841 &lt;= 20%, "Moderate Hike[16-20%]", AA841 &lt;= 25%,"High Hike[21-25%]")</f>
        <v>Low Hike[11-15%]</v>
      </c>
      <c r="AC841" s="1">
        <v>3</v>
      </c>
      <c r="AD841" s="1">
        <v>4</v>
      </c>
      <c r="AE841" s="1">
        <v>80</v>
      </c>
      <c r="AF841" s="1">
        <v>0</v>
      </c>
      <c r="AG841" s="1">
        <v>9</v>
      </c>
      <c r="AH841" s="9" t="str" cm="1">
        <f t="array" ref="AH841">_xlfn.IFS(AG841 &lt;= 5, "New[1-5]", AG841 &lt;= 10, "Early Career[6-10]", AG841 &lt;= 20, "Established[11-20]", AG841 &lt;= 30, "Veteran[21-30]", AG841 &lt;= 40, "Late Career[31-40]")</f>
        <v>Early Career[6-10]</v>
      </c>
      <c r="AI841" s="1">
        <v>3</v>
      </c>
      <c r="AJ841" s="1">
        <v>4</v>
      </c>
      <c r="AK841" s="1">
        <v>6</v>
      </c>
      <c r="AL841" s="9" t="str" cm="1">
        <f t="array" ref="AL841">_xlfn.IFS(AK841 &lt;= 5, "New[1-5]", AK841 &lt;= 10, "Early Career[6-10]", AK841 &lt;= 20, "Established[11-20]", AK841 &lt;= 30, "Veteran[21-30]", AK841 &lt;= 40, "Late Career[31-40]")</f>
        <v>Early Career[6-10]</v>
      </c>
      <c r="AM841" s="1">
        <v>4</v>
      </c>
      <c r="AN841" s="9" t="str" cm="1">
        <f t="array" ref="AN841">_xlfn.IFS(AM841 &lt;= 3, "New to Role[1-3]", AM841 &lt;= 7, "Settled[4-7]", AM841 &lt;= 12, "Experienced[[8-12]", AM841 &lt;= 18, "Long Tenured[13-18]")</f>
        <v>Settled[4-7]</v>
      </c>
      <c r="AO841" s="1">
        <v>1</v>
      </c>
      <c r="AP841" s="9" t="str" cm="1">
        <f t="array" ref="AP841">_xlfn.IFS(AO841 &lt;= 3, "Recently[1-3]", AO841 &lt;= 6, "Due Soon[4-6]", AO841 &lt;= 10, "Overdue[7-10]", AO841 &lt;= 15, "Long Overdue[11-15]")</f>
        <v>Recently[1-3]</v>
      </c>
      <c r="AQ841" s="9" t="str" cm="1">
        <f t="array" ref="AQ841">_xlfn.IFS(AR841 &lt;= 3, "New Relationship[1-3]", AR841 &lt;= 7, "Established Relationship[4-7]", AR841 &lt;= 12, "Long Term Relationship[8-12]", AR841 &lt;= 17, "Very Long Term Relationship[13-17]")</f>
        <v>Established Relationship[4-7]</v>
      </c>
      <c r="AR841" s="1">
        <v>5</v>
      </c>
    </row>
    <row r="842" spans="1:44" x14ac:dyDescent="0.25">
      <c r="A842" s="1">
        <v>35</v>
      </c>
      <c r="B842" s="8" t="str" cm="1">
        <f t="array" ref="B842">_xlfn.IFS(A842 &lt;= 25, "[18-25]", A842 &lt;= 35, "[26-35]", A842 &lt;=45, "[36-45]", A842 &lt;= 60, "[46- 60]")</f>
        <v>[26-35]</v>
      </c>
      <c r="C842" s="3" t="s">
        <v>43</v>
      </c>
      <c r="D842">
        <f t="shared" si="13"/>
        <v>0</v>
      </c>
      <c r="E842" t="s">
        <v>36</v>
      </c>
      <c r="F842" s="1">
        <v>982</v>
      </c>
      <c r="G842" s="3" t="s">
        <v>45</v>
      </c>
      <c r="H842" s="1">
        <v>1</v>
      </c>
      <c r="I842" s="9" t="str" cm="1">
        <f t="array" ref="I842">_xlfn.IFS(H842 &lt;= 2, "[1-2] very close", H842 &lt;= 10, "[3-10] close", H842 &lt;= 20, "[11-20] moderate", H842 &lt;= 30, "[21-30] far")</f>
        <v>[1-2] very close</v>
      </c>
      <c r="J842" s="1">
        <v>4</v>
      </c>
      <c r="K842" s="3" t="s">
        <v>51</v>
      </c>
      <c r="L842" s="1">
        <v>1</v>
      </c>
      <c r="M842" s="1">
        <v>1172</v>
      </c>
      <c r="N842" s="1">
        <v>4</v>
      </c>
      <c r="O842" s="3" t="s">
        <v>46</v>
      </c>
      <c r="P842" s="1">
        <v>58</v>
      </c>
      <c r="Q842" s="1">
        <v>2</v>
      </c>
      <c r="R842" s="1">
        <v>1</v>
      </c>
      <c r="S842" s="3" t="s">
        <v>50</v>
      </c>
      <c r="T842" s="1">
        <v>3</v>
      </c>
      <c r="U842" s="3" t="s">
        <v>48</v>
      </c>
      <c r="V842" s="4">
        <v>2258</v>
      </c>
      <c r="W842" s="1">
        <v>16340</v>
      </c>
      <c r="X842" s="1">
        <v>6</v>
      </c>
      <c r="Y842" s="3" t="s">
        <v>42</v>
      </c>
      <c r="Z842" s="3" t="s">
        <v>43</v>
      </c>
      <c r="AA842" s="5">
        <v>0.12</v>
      </c>
      <c r="AB842" s="10" t="str" cm="1">
        <f t="array" ref="AB842">_xlfn.IFS(AA842 &lt;= 15%, "Low Hike[11-15%]", AA842 &lt;= 20%, "Moderate Hike[16-20%]", AA842 &lt;= 25%,"High Hike[21-25%]")</f>
        <v>Low Hike[11-15%]</v>
      </c>
      <c r="AC842" s="1">
        <v>3</v>
      </c>
      <c r="AD842" s="1">
        <v>2</v>
      </c>
      <c r="AE842" s="1">
        <v>80</v>
      </c>
      <c r="AF842" s="1">
        <v>1</v>
      </c>
      <c r="AG842" s="1">
        <v>10</v>
      </c>
      <c r="AH842" s="9" t="str" cm="1">
        <f t="array" ref="AH842">_xlfn.IFS(AG842 &lt;= 5, "New[1-5]", AG842 &lt;= 10, "Early Career[6-10]", AG842 &lt;= 20, "Established[11-20]", AG842 &lt;= 30, "Veteran[21-30]", AG842 &lt;= 40, "Late Career[31-40]")</f>
        <v>Early Career[6-10]</v>
      </c>
      <c r="AI842" s="1">
        <v>2</v>
      </c>
      <c r="AJ842" s="1">
        <v>3</v>
      </c>
      <c r="AK842" s="1">
        <v>8</v>
      </c>
      <c r="AL842" s="9" t="str" cm="1">
        <f t="array" ref="AL842">_xlfn.IFS(AK842 &lt;= 5, "New[1-5]", AK842 &lt;= 10, "Early Career[6-10]", AK842 &lt;= 20, "Established[11-20]", AK842 &lt;= 30, "Veteran[21-30]", AK842 &lt;= 40, "Late Career[31-40]")</f>
        <v>Early Career[6-10]</v>
      </c>
      <c r="AM842" s="1">
        <v>0</v>
      </c>
      <c r="AN842" s="9" t="str" cm="1">
        <f t="array" ref="AN842">_xlfn.IFS(AM842 &lt;= 3, "New to Role[1-3]", AM842 &lt;= 7, "Settled[4-7]", AM842 &lt;= 12, "Experienced[[8-12]", AM842 &lt;= 18, "Long Tenured[13-18]")</f>
        <v>New to Role[1-3]</v>
      </c>
      <c r="AO842" s="1">
        <v>1</v>
      </c>
      <c r="AP842" s="9" t="str" cm="1">
        <f t="array" ref="AP842">_xlfn.IFS(AO842 &lt;= 3, "Recently[1-3]", AO842 &lt;= 6, "Due Soon[4-6]", AO842 &lt;= 10, "Overdue[7-10]", AO842 &lt;= 15, "Long Overdue[11-15]")</f>
        <v>Recently[1-3]</v>
      </c>
      <c r="AQ842" s="9" t="str" cm="1">
        <f t="array" ref="AQ842">_xlfn.IFS(AR842 &lt;= 3, "New Relationship[1-3]", AR842 &lt;= 7, "Established Relationship[4-7]", AR842 &lt;= 12, "Long Term Relationship[8-12]", AR842 &lt;= 17, "Very Long Term Relationship[13-17]")</f>
        <v>Established Relationship[4-7]</v>
      </c>
      <c r="AR842" s="1">
        <v>7</v>
      </c>
    </row>
    <row r="843" spans="1:44" x14ac:dyDescent="0.25">
      <c r="A843" s="1">
        <v>24</v>
      </c>
      <c r="B843" s="8" t="str" cm="1">
        <f t="array" ref="B843">_xlfn.IFS(A843 &lt;= 25, "[18-25]", A843 &lt;= 35, "[26-35]", A843 &lt;=45, "[36-45]", A843 &lt;= 60, "[46- 60]")</f>
        <v>[18-25]</v>
      </c>
      <c r="C843" s="3" t="s">
        <v>43</v>
      </c>
      <c r="D843">
        <f t="shared" si="13"/>
        <v>0</v>
      </c>
      <c r="E843" t="s">
        <v>36</v>
      </c>
      <c r="F843" s="1">
        <v>477</v>
      </c>
      <c r="G843" s="3" t="s">
        <v>45</v>
      </c>
      <c r="H843" s="1">
        <v>24</v>
      </c>
      <c r="I843" s="9" t="str" cm="1">
        <f t="array" ref="I843">_xlfn.IFS(H843 &lt;= 2, "[1-2] very close", H843 &lt;= 10, "[3-10] close", H843 &lt;= 20, "[11-20] moderate", H843 &lt;= 30, "[21-30] far")</f>
        <v>[21-30] far</v>
      </c>
      <c r="J843" s="1">
        <v>3</v>
      </c>
      <c r="K843" s="3" t="s">
        <v>51</v>
      </c>
      <c r="L843" s="1">
        <v>1</v>
      </c>
      <c r="M843" s="1">
        <v>1173</v>
      </c>
      <c r="N843" s="1">
        <v>4</v>
      </c>
      <c r="O843" s="3" t="s">
        <v>46</v>
      </c>
      <c r="P843" s="1">
        <v>49</v>
      </c>
      <c r="Q843" s="1">
        <v>3</v>
      </c>
      <c r="R843" s="1">
        <v>1</v>
      </c>
      <c r="S843" s="3" t="s">
        <v>50</v>
      </c>
      <c r="T843" s="1">
        <v>2</v>
      </c>
      <c r="U843" s="3" t="s">
        <v>41</v>
      </c>
      <c r="V843" s="4">
        <v>3597</v>
      </c>
      <c r="W843" s="1">
        <v>6409</v>
      </c>
      <c r="X843" s="1">
        <v>8</v>
      </c>
      <c r="Y843" s="3" t="s">
        <v>42</v>
      </c>
      <c r="Z843" s="3" t="s">
        <v>43</v>
      </c>
      <c r="AA843" s="5">
        <v>0.22</v>
      </c>
      <c r="AB843" s="10" t="str" cm="1">
        <f t="array" ref="AB843">_xlfn.IFS(AA843 &lt;= 15%, "Low Hike[11-15%]", AA843 &lt;= 20%, "Moderate Hike[16-20%]", AA843 &lt;= 25%,"High Hike[21-25%]")</f>
        <v>High Hike[21-25%]</v>
      </c>
      <c r="AC843" s="1">
        <v>4</v>
      </c>
      <c r="AD843" s="1">
        <v>4</v>
      </c>
      <c r="AE843" s="1">
        <v>80</v>
      </c>
      <c r="AF843" s="1">
        <v>0</v>
      </c>
      <c r="AG843" s="1">
        <v>6</v>
      </c>
      <c r="AH843" s="9" t="str" cm="1">
        <f t="array" ref="AH843">_xlfn.IFS(AG843 &lt;= 5, "New[1-5]", AG843 &lt;= 10, "Early Career[6-10]", AG843 &lt;= 20, "Established[11-20]", AG843 &lt;= 30, "Veteran[21-30]", AG843 &lt;= 40, "Late Career[31-40]")</f>
        <v>Early Career[6-10]</v>
      </c>
      <c r="AI843" s="1">
        <v>2</v>
      </c>
      <c r="AJ843" s="1">
        <v>3</v>
      </c>
      <c r="AK843" s="1">
        <v>4</v>
      </c>
      <c r="AL843" s="9" t="str" cm="1">
        <f t="array" ref="AL843">_xlfn.IFS(AK843 &lt;= 5, "New[1-5]", AK843 &lt;= 10, "Early Career[6-10]", AK843 &lt;= 20, "Established[11-20]", AK843 &lt;= 30, "Veteran[21-30]", AK843 &lt;= 40, "Late Career[31-40]")</f>
        <v>New[1-5]</v>
      </c>
      <c r="AM843" s="1">
        <v>3</v>
      </c>
      <c r="AN843" s="9" t="str" cm="1">
        <f t="array" ref="AN843">_xlfn.IFS(AM843 &lt;= 3, "New to Role[1-3]", AM843 &lt;= 7, "Settled[4-7]", AM843 &lt;= 12, "Experienced[[8-12]", AM843 &lt;= 18, "Long Tenured[13-18]")</f>
        <v>New to Role[1-3]</v>
      </c>
      <c r="AO843" s="1">
        <v>1</v>
      </c>
      <c r="AP843" s="9" t="str" cm="1">
        <f t="array" ref="AP843">_xlfn.IFS(AO843 &lt;= 3, "Recently[1-3]", AO843 &lt;= 6, "Due Soon[4-6]", AO843 &lt;= 10, "Overdue[7-10]", AO843 &lt;= 15, "Long Overdue[11-15]")</f>
        <v>Recently[1-3]</v>
      </c>
      <c r="AQ843" s="9" t="str" cm="1">
        <f t="array" ref="AQ843">_xlfn.IFS(AR843 &lt;= 3, "New Relationship[1-3]", AR843 &lt;= 7, "Established Relationship[4-7]", AR843 &lt;= 12, "Long Term Relationship[8-12]", AR843 &lt;= 17, "Very Long Term Relationship[13-17]")</f>
        <v>New Relationship[1-3]</v>
      </c>
      <c r="AR843" s="1">
        <v>2</v>
      </c>
    </row>
    <row r="844" spans="1:44" x14ac:dyDescent="0.25">
      <c r="A844" s="1">
        <v>28</v>
      </c>
      <c r="B844" s="8" t="str" cm="1">
        <f t="array" ref="B844">_xlfn.IFS(A844 &lt;= 25, "[18-25]", A844 &lt;= 35, "[26-35]", A844 &lt;=45, "[36-45]", A844 &lt;= 60, "[46- 60]")</f>
        <v>[26-35]</v>
      </c>
      <c r="C844" s="3" t="s">
        <v>35</v>
      </c>
      <c r="D844">
        <f t="shared" si="13"/>
        <v>1</v>
      </c>
      <c r="E844" t="s">
        <v>36</v>
      </c>
      <c r="F844" s="1">
        <v>1485</v>
      </c>
      <c r="G844" s="3" t="s">
        <v>45</v>
      </c>
      <c r="H844" s="1">
        <v>12</v>
      </c>
      <c r="I844" s="9" t="str" cm="1">
        <f t="array" ref="I844">_xlfn.IFS(H844 &lt;= 2, "[1-2] very close", H844 &lt;= 10, "[3-10] close", H844 &lt;= 20, "[11-20] moderate", H844 &lt;= 30, "[21-30] far")</f>
        <v>[11-20] moderate</v>
      </c>
      <c r="J844" s="1">
        <v>1</v>
      </c>
      <c r="K844" s="3" t="s">
        <v>38</v>
      </c>
      <c r="L844" s="1">
        <v>1</v>
      </c>
      <c r="M844" s="1">
        <v>1175</v>
      </c>
      <c r="N844" s="1">
        <v>3</v>
      </c>
      <c r="O844" s="3" t="s">
        <v>39</v>
      </c>
      <c r="P844" s="1">
        <v>79</v>
      </c>
      <c r="Q844" s="1">
        <v>3</v>
      </c>
      <c r="R844" s="1">
        <v>1</v>
      </c>
      <c r="S844" s="3" t="s">
        <v>50</v>
      </c>
      <c r="T844" s="1">
        <v>4</v>
      </c>
      <c r="U844" s="3" t="s">
        <v>48</v>
      </c>
      <c r="V844" s="4">
        <v>2515</v>
      </c>
      <c r="W844" s="1">
        <v>22955</v>
      </c>
      <c r="X844" s="1">
        <v>1</v>
      </c>
      <c r="Y844" s="3" t="s">
        <v>42</v>
      </c>
      <c r="Z844" s="3" t="s">
        <v>35</v>
      </c>
      <c r="AA844" s="5">
        <v>0.11</v>
      </c>
      <c r="AB844" s="10" t="str" cm="1">
        <f t="array" ref="AB844">_xlfn.IFS(AA844 &lt;= 15%, "Low Hike[11-15%]", AA844 &lt;= 20%, "Moderate Hike[16-20%]", AA844 &lt;= 25%,"High Hike[21-25%]")</f>
        <v>Low Hike[11-15%]</v>
      </c>
      <c r="AC844" s="1">
        <v>3</v>
      </c>
      <c r="AD844" s="1">
        <v>4</v>
      </c>
      <c r="AE844" s="1">
        <v>80</v>
      </c>
      <c r="AF844" s="1">
        <v>0</v>
      </c>
      <c r="AG844" s="1">
        <v>1</v>
      </c>
      <c r="AH844" s="9" t="str" cm="1">
        <f t="array" ref="AH844">_xlfn.IFS(AG844 &lt;= 5, "New[1-5]", AG844 &lt;= 10, "Early Career[6-10]", AG844 &lt;= 20, "Established[11-20]", AG844 &lt;= 30, "Veteran[21-30]", AG844 &lt;= 40, "Late Career[31-40]")</f>
        <v>New[1-5]</v>
      </c>
      <c r="AI844" s="1">
        <v>4</v>
      </c>
      <c r="AJ844" s="1">
        <v>2</v>
      </c>
      <c r="AK844" s="1">
        <v>1</v>
      </c>
      <c r="AL844" s="9" t="str" cm="1">
        <f t="array" ref="AL844">_xlfn.IFS(AK844 &lt;= 5, "New[1-5]", AK844 &lt;= 10, "Early Career[6-10]", AK844 &lt;= 20, "Established[11-20]", AK844 &lt;= 30, "Veteran[21-30]", AK844 &lt;= 40, "Late Career[31-40]")</f>
        <v>New[1-5]</v>
      </c>
      <c r="AM844" s="1">
        <v>1</v>
      </c>
      <c r="AN844" s="9" t="str" cm="1">
        <f t="array" ref="AN844">_xlfn.IFS(AM844 &lt;= 3, "New to Role[1-3]", AM844 &lt;= 7, "Settled[4-7]", AM844 &lt;= 12, "Experienced[[8-12]", AM844 &lt;= 18, "Long Tenured[13-18]")</f>
        <v>New to Role[1-3]</v>
      </c>
      <c r="AO844" s="1">
        <v>0</v>
      </c>
      <c r="AP844" s="9" t="str" cm="1">
        <f t="array" ref="AP844">_xlfn.IFS(AO844 &lt;= 3, "Recently[1-3]", AO844 &lt;= 6, "Due Soon[4-6]", AO844 &lt;= 10, "Overdue[7-10]", AO844 &lt;= 15, "Long Overdue[11-15]")</f>
        <v>Recently[1-3]</v>
      </c>
      <c r="AQ844" s="9" t="str" cm="1">
        <f t="array" ref="AQ844">_xlfn.IFS(AR844 &lt;= 3, "New Relationship[1-3]", AR844 &lt;= 7, "Established Relationship[4-7]", AR844 &lt;= 12, "Long Term Relationship[8-12]", AR844 &lt;= 17, "Very Long Term Relationship[13-17]")</f>
        <v>New Relationship[1-3]</v>
      </c>
      <c r="AR844" s="1">
        <v>0</v>
      </c>
    </row>
    <row r="845" spans="1:44" x14ac:dyDescent="0.25">
      <c r="A845" s="1">
        <v>26</v>
      </c>
      <c r="B845" s="8" t="str" cm="1">
        <f t="array" ref="B845">_xlfn.IFS(A845 &lt;= 25, "[18-25]", A845 &lt;= 35, "[26-35]", A845 &lt;=45, "[36-45]", A845 &lt;= 60, "[46- 60]")</f>
        <v>[26-35]</v>
      </c>
      <c r="C845" s="3" t="s">
        <v>43</v>
      </c>
      <c r="D845">
        <f t="shared" si="13"/>
        <v>0</v>
      </c>
      <c r="E845" t="s">
        <v>36</v>
      </c>
      <c r="F845" s="1">
        <v>1384</v>
      </c>
      <c r="G845" s="3" t="s">
        <v>45</v>
      </c>
      <c r="H845" s="1">
        <v>3</v>
      </c>
      <c r="I845" s="9" t="str" cm="1">
        <f t="array" ref="I845">_xlfn.IFS(H845 &lt;= 2, "[1-2] very close", H845 &lt;= 10, "[3-10] close", H845 &lt;= 20, "[11-20] moderate", H845 &lt;= 30, "[21-30] far")</f>
        <v>[3-10] close</v>
      </c>
      <c r="J845" s="1">
        <v>4</v>
      </c>
      <c r="K845" s="3" t="s">
        <v>51</v>
      </c>
      <c r="L845" s="1">
        <v>1</v>
      </c>
      <c r="M845" s="1">
        <v>1177</v>
      </c>
      <c r="N845" s="1">
        <v>1</v>
      </c>
      <c r="O845" s="3" t="s">
        <v>46</v>
      </c>
      <c r="P845" s="1">
        <v>82</v>
      </c>
      <c r="Q845" s="1">
        <v>4</v>
      </c>
      <c r="R845" s="1">
        <v>1</v>
      </c>
      <c r="S845" s="3" t="s">
        <v>50</v>
      </c>
      <c r="T845" s="1">
        <v>4</v>
      </c>
      <c r="U845" s="3" t="s">
        <v>48</v>
      </c>
      <c r="V845" s="4">
        <v>4420</v>
      </c>
      <c r="W845" s="1">
        <v>13421</v>
      </c>
      <c r="X845" s="1">
        <v>1</v>
      </c>
      <c r="Y845" s="3" t="s">
        <v>42</v>
      </c>
      <c r="Z845" s="3" t="s">
        <v>43</v>
      </c>
      <c r="AA845" s="5">
        <v>0.22</v>
      </c>
      <c r="AB845" s="10" t="str" cm="1">
        <f t="array" ref="AB845">_xlfn.IFS(AA845 &lt;= 15%, "Low Hike[11-15%]", AA845 &lt;= 20%, "Moderate Hike[16-20%]", AA845 &lt;= 25%,"High Hike[21-25%]")</f>
        <v>High Hike[21-25%]</v>
      </c>
      <c r="AC845" s="1">
        <v>4</v>
      </c>
      <c r="AD845" s="1">
        <v>2</v>
      </c>
      <c r="AE845" s="1">
        <v>80</v>
      </c>
      <c r="AF845" s="1">
        <v>1</v>
      </c>
      <c r="AG845" s="1">
        <v>8</v>
      </c>
      <c r="AH845" s="9" t="str" cm="1">
        <f t="array" ref="AH845">_xlfn.IFS(AG845 &lt;= 5, "New[1-5]", AG845 &lt;= 10, "Early Career[6-10]", AG845 &lt;= 20, "Established[11-20]", AG845 &lt;= 30, "Veteran[21-30]", AG845 &lt;= 40, "Late Career[31-40]")</f>
        <v>Early Career[6-10]</v>
      </c>
      <c r="AI845" s="1">
        <v>2</v>
      </c>
      <c r="AJ845" s="1">
        <v>3</v>
      </c>
      <c r="AK845" s="1">
        <v>8</v>
      </c>
      <c r="AL845" s="9" t="str" cm="1">
        <f t="array" ref="AL845">_xlfn.IFS(AK845 &lt;= 5, "New[1-5]", AK845 &lt;= 10, "Early Career[6-10]", AK845 &lt;= 20, "Established[11-20]", AK845 &lt;= 30, "Veteran[21-30]", AK845 &lt;= 40, "Late Career[31-40]")</f>
        <v>Early Career[6-10]</v>
      </c>
      <c r="AM845" s="1">
        <v>7</v>
      </c>
      <c r="AN845" s="9" t="str" cm="1">
        <f t="array" ref="AN845">_xlfn.IFS(AM845 &lt;= 3, "New to Role[1-3]", AM845 &lt;= 7, "Settled[4-7]", AM845 &lt;= 12, "Experienced[[8-12]", AM845 &lt;= 18, "Long Tenured[13-18]")</f>
        <v>Settled[4-7]</v>
      </c>
      <c r="AO845" s="1">
        <v>0</v>
      </c>
      <c r="AP845" s="9" t="str" cm="1">
        <f t="array" ref="AP845">_xlfn.IFS(AO845 &lt;= 3, "Recently[1-3]", AO845 &lt;= 6, "Due Soon[4-6]", AO845 &lt;= 10, "Overdue[7-10]", AO845 &lt;= 15, "Long Overdue[11-15]")</f>
        <v>Recently[1-3]</v>
      </c>
      <c r="AQ845" s="9" t="str" cm="1">
        <f t="array" ref="AQ845">_xlfn.IFS(AR845 &lt;= 3, "New Relationship[1-3]", AR845 &lt;= 7, "Established Relationship[4-7]", AR845 &lt;= 12, "Long Term Relationship[8-12]", AR845 &lt;= 17, "Very Long Term Relationship[13-17]")</f>
        <v>Established Relationship[4-7]</v>
      </c>
      <c r="AR845" s="1">
        <v>7</v>
      </c>
    </row>
    <row r="846" spans="1:44" x14ac:dyDescent="0.25">
      <c r="A846" s="1">
        <v>30</v>
      </c>
      <c r="B846" s="8" t="str" cm="1">
        <f t="array" ref="B846">_xlfn.IFS(A846 &lt;= 25, "[18-25]", A846 &lt;= 35, "[26-35]", A846 &lt;=45, "[36-45]", A846 &lt;= 60, "[46- 60]")</f>
        <v>[26-35]</v>
      </c>
      <c r="C846" s="3" t="s">
        <v>43</v>
      </c>
      <c r="D846">
        <f t="shared" si="13"/>
        <v>0</v>
      </c>
      <c r="E846" t="s">
        <v>36</v>
      </c>
      <c r="F846" s="1">
        <v>852</v>
      </c>
      <c r="G846" s="3" t="s">
        <v>37</v>
      </c>
      <c r="H846" s="1">
        <v>10</v>
      </c>
      <c r="I846" s="9" t="str" cm="1">
        <f t="array" ref="I846">_xlfn.IFS(H846 &lt;= 2, "[1-2] very close", H846 &lt;= 10, "[3-10] close", H846 &lt;= 20, "[11-20] moderate", H846 &lt;= 30, "[21-30] far")</f>
        <v>[3-10] close</v>
      </c>
      <c r="J846" s="1">
        <v>3</v>
      </c>
      <c r="K846" s="3" t="s">
        <v>59</v>
      </c>
      <c r="L846" s="1">
        <v>1</v>
      </c>
      <c r="M846" s="1">
        <v>1179</v>
      </c>
      <c r="N846" s="1">
        <v>3</v>
      </c>
      <c r="O846" s="3" t="s">
        <v>46</v>
      </c>
      <c r="P846" s="1">
        <v>72</v>
      </c>
      <c r="Q846" s="1">
        <v>2</v>
      </c>
      <c r="R846" s="1">
        <v>2</v>
      </c>
      <c r="S846" s="3" t="s">
        <v>40</v>
      </c>
      <c r="T846" s="1">
        <v>3</v>
      </c>
      <c r="U846" s="3" t="s">
        <v>48</v>
      </c>
      <c r="V846" s="4">
        <v>6578</v>
      </c>
      <c r="W846" s="1">
        <v>2706</v>
      </c>
      <c r="X846" s="1">
        <v>1</v>
      </c>
      <c r="Y846" s="3" t="s">
        <v>42</v>
      </c>
      <c r="Z846" s="3" t="s">
        <v>43</v>
      </c>
      <c r="AA846" s="5">
        <v>0.18</v>
      </c>
      <c r="AB846" s="10" t="str" cm="1">
        <f t="array" ref="AB846">_xlfn.IFS(AA846 &lt;= 15%, "Low Hike[11-15%]", AA846 &lt;= 20%, "Moderate Hike[16-20%]", AA846 &lt;= 25%,"High Hike[21-25%]")</f>
        <v>Moderate Hike[16-20%]</v>
      </c>
      <c r="AC846" s="1">
        <v>3</v>
      </c>
      <c r="AD846" s="1">
        <v>1</v>
      </c>
      <c r="AE846" s="1">
        <v>80</v>
      </c>
      <c r="AF846" s="1">
        <v>1</v>
      </c>
      <c r="AG846" s="1">
        <v>10</v>
      </c>
      <c r="AH846" s="9" t="str" cm="1">
        <f t="array" ref="AH846">_xlfn.IFS(AG846 &lt;= 5, "New[1-5]", AG846 &lt;= 10, "Early Career[6-10]", AG846 &lt;= 20, "Established[11-20]", AG846 &lt;= 30, "Veteran[21-30]", AG846 &lt;= 40, "Late Career[31-40]")</f>
        <v>Early Career[6-10]</v>
      </c>
      <c r="AI846" s="1">
        <v>3</v>
      </c>
      <c r="AJ846" s="1">
        <v>3</v>
      </c>
      <c r="AK846" s="1">
        <v>10</v>
      </c>
      <c r="AL846" s="9" t="str" cm="1">
        <f t="array" ref="AL846">_xlfn.IFS(AK846 &lt;= 5, "New[1-5]", AK846 &lt;= 10, "Early Career[6-10]", AK846 &lt;= 20, "Established[11-20]", AK846 &lt;= 30, "Veteran[21-30]", AK846 &lt;= 40, "Late Career[31-40]")</f>
        <v>Early Career[6-10]</v>
      </c>
      <c r="AM846" s="1">
        <v>3</v>
      </c>
      <c r="AN846" s="9" t="str" cm="1">
        <f t="array" ref="AN846">_xlfn.IFS(AM846 &lt;= 3, "New to Role[1-3]", AM846 &lt;= 7, "Settled[4-7]", AM846 &lt;= 12, "Experienced[[8-12]", AM846 &lt;= 18, "Long Tenured[13-18]")</f>
        <v>New to Role[1-3]</v>
      </c>
      <c r="AO846" s="1">
        <v>1</v>
      </c>
      <c r="AP846" s="9" t="str" cm="1">
        <f t="array" ref="AP846">_xlfn.IFS(AO846 &lt;= 3, "Recently[1-3]", AO846 &lt;= 6, "Due Soon[4-6]", AO846 &lt;= 10, "Overdue[7-10]", AO846 &lt;= 15, "Long Overdue[11-15]")</f>
        <v>Recently[1-3]</v>
      </c>
      <c r="AQ846" s="9" t="str" cm="1">
        <f t="array" ref="AQ846">_xlfn.IFS(AR846 &lt;= 3, "New Relationship[1-3]", AR846 &lt;= 7, "Established Relationship[4-7]", AR846 &lt;= 12, "Long Term Relationship[8-12]", AR846 &lt;= 17, "Very Long Term Relationship[13-17]")</f>
        <v>Established Relationship[4-7]</v>
      </c>
      <c r="AR846" s="1">
        <v>4</v>
      </c>
    </row>
    <row r="847" spans="1:44" x14ac:dyDescent="0.25">
      <c r="A847" s="1">
        <v>40</v>
      </c>
      <c r="B847" s="8" t="str" cm="1">
        <f t="array" ref="B847">_xlfn.IFS(A847 &lt;= 25, "[18-25]", A847 &lt;= 35, "[26-35]", A847 &lt;=45, "[36-45]", A847 &lt;= 60, "[46- 60]")</f>
        <v>[36-45]</v>
      </c>
      <c r="C847" s="3" t="s">
        <v>43</v>
      </c>
      <c r="D847">
        <f t="shared" si="13"/>
        <v>0</v>
      </c>
      <c r="E847" t="s">
        <v>44</v>
      </c>
      <c r="F847" s="1">
        <v>902</v>
      </c>
      <c r="G847" s="3" t="s">
        <v>45</v>
      </c>
      <c r="H847" s="1">
        <v>26</v>
      </c>
      <c r="I847" s="9" t="str" cm="1">
        <f t="array" ref="I847">_xlfn.IFS(H847 &lt;= 2, "[1-2] very close", H847 &lt;= 10, "[3-10] close", H847 &lt;= 20, "[11-20] moderate", H847 &lt;= 30, "[21-30] far")</f>
        <v>[21-30] far</v>
      </c>
      <c r="J847" s="1">
        <v>2</v>
      </c>
      <c r="K847" s="3" t="s">
        <v>51</v>
      </c>
      <c r="L847" s="1">
        <v>1</v>
      </c>
      <c r="M847" s="1">
        <v>1180</v>
      </c>
      <c r="N847" s="1">
        <v>3</v>
      </c>
      <c r="O847" s="3" t="s">
        <v>39</v>
      </c>
      <c r="P847" s="1">
        <v>92</v>
      </c>
      <c r="Q847" s="1">
        <v>2</v>
      </c>
      <c r="R847" s="1">
        <v>2</v>
      </c>
      <c r="S847" s="3" t="s">
        <v>47</v>
      </c>
      <c r="T847" s="1">
        <v>4</v>
      </c>
      <c r="U847" s="3" t="s">
        <v>48</v>
      </c>
      <c r="V847" s="4">
        <v>4422</v>
      </c>
      <c r="W847" s="1">
        <v>21203</v>
      </c>
      <c r="X847" s="1">
        <v>3</v>
      </c>
      <c r="Y847" s="3" t="s">
        <v>42</v>
      </c>
      <c r="Z847" s="3" t="s">
        <v>35</v>
      </c>
      <c r="AA847" s="5">
        <v>0.13</v>
      </c>
      <c r="AB847" s="10" t="str" cm="1">
        <f t="array" ref="AB847">_xlfn.IFS(AA847 &lt;= 15%, "Low Hike[11-15%]", AA847 &lt;= 20%, "Moderate Hike[16-20%]", AA847 &lt;= 25%,"High Hike[21-25%]")</f>
        <v>Low Hike[11-15%]</v>
      </c>
      <c r="AC847" s="1">
        <v>3</v>
      </c>
      <c r="AD847" s="1">
        <v>4</v>
      </c>
      <c r="AE847" s="1">
        <v>80</v>
      </c>
      <c r="AF847" s="1">
        <v>1</v>
      </c>
      <c r="AG847" s="1">
        <v>16</v>
      </c>
      <c r="AH847" s="9" t="str" cm="1">
        <f t="array" ref="AH847">_xlfn.IFS(AG847 &lt;= 5, "New[1-5]", AG847 &lt;= 10, "Early Career[6-10]", AG847 &lt;= 20, "Established[11-20]", AG847 &lt;= 30, "Veteran[21-30]", AG847 &lt;= 40, "Late Career[31-40]")</f>
        <v>Established[11-20]</v>
      </c>
      <c r="AI847" s="1">
        <v>3</v>
      </c>
      <c r="AJ847" s="1">
        <v>1</v>
      </c>
      <c r="AK847" s="1">
        <v>1</v>
      </c>
      <c r="AL847" s="9" t="str" cm="1">
        <f t="array" ref="AL847">_xlfn.IFS(AK847 &lt;= 5, "New[1-5]", AK847 &lt;= 10, "Early Career[6-10]", AK847 &lt;= 20, "Established[11-20]", AK847 &lt;= 30, "Veteran[21-30]", AK847 &lt;= 40, "Late Career[31-40]")</f>
        <v>New[1-5]</v>
      </c>
      <c r="AM847" s="1">
        <v>1</v>
      </c>
      <c r="AN847" s="9" t="str" cm="1">
        <f t="array" ref="AN847">_xlfn.IFS(AM847 &lt;= 3, "New to Role[1-3]", AM847 &lt;= 7, "Settled[4-7]", AM847 &lt;= 12, "Experienced[[8-12]", AM847 &lt;= 18, "Long Tenured[13-18]")</f>
        <v>New to Role[1-3]</v>
      </c>
      <c r="AO847" s="1">
        <v>0</v>
      </c>
      <c r="AP847" s="9" t="str" cm="1">
        <f t="array" ref="AP847">_xlfn.IFS(AO847 &lt;= 3, "Recently[1-3]", AO847 &lt;= 6, "Due Soon[4-6]", AO847 &lt;= 10, "Overdue[7-10]", AO847 &lt;= 15, "Long Overdue[11-15]")</f>
        <v>Recently[1-3]</v>
      </c>
      <c r="AQ847" s="9" t="str" cm="1">
        <f t="array" ref="AQ847">_xlfn.IFS(AR847 &lt;= 3, "New Relationship[1-3]", AR847 &lt;= 7, "Established Relationship[4-7]", AR847 &lt;= 12, "Long Term Relationship[8-12]", AR847 &lt;= 17, "Very Long Term Relationship[13-17]")</f>
        <v>New Relationship[1-3]</v>
      </c>
      <c r="AR847" s="1">
        <v>0</v>
      </c>
    </row>
    <row r="848" spans="1:44" x14ac:dyDescent="0.25">
      <c r="A848" s="1">
        <v>35</v>
      </c>
      <c r="B848" s="8" t="str" cm="1">
        <f t="array" ref="B848">_xlfn.IFS(A848 &lt;= 25, "[18-25]", A848 &lt;= 35, "[26-35]", A848 &lt;=45, "[36-45]", A848 &lt;= 60, "[46- 60]")</f>
        <v>[26-35]</v>
      </c>
      <c r="C848" s="3" t="s">
        <v>43</v>
      </c>
      <c r="D848">
        <f t="shared" si="13"/>
        <v>0</v>
      </c>
      <c r="E848" t="s">
        <v>36</v>
      </c>
      <c r="F848" s="1">
        <v>819</v>
      </c>
      <c r="G848" s="3" t="s">
        <v>45</v>
      </c>
      <c r="H848" s="1">
        <v>2</v>
      </c>
      <c r="I848" s="9" t="str" cm="1">
        <f t="array" ref="I848">_xlfn.IFS(H848 &lt;= 2, "[1-2] very close", H848 &lt;= 10, "[3-10] close", H848 &lt;= 20, "[11-20] moderate", H848 &lt;= 30, "[21-30] far")</f>
        <v>[1-2] very close</v>
      </c>
      <c r="J848" s="1">
        <v>3</v>
      </c>
      <c r="K848" s="3" t="s">
        <v>38</v>
      </c>
      <c r="L848" s="1">
        <v>1</v>
      </c>
      <c r="M848" s="1">
        <v>1182</v>
      </c>
      <c r="N848" s="1">
        <v>3</v>
      </c>
      <c r="O848" s="3" t="s">
        <v>46</v>
      </c>
      <c r="P848" s="1">
        <v>44</v>
      </c>
      <c r="Q848" s="1">
        <v>2</v>
      </c>
      <c r="R848" s="1">
        <v>3</v>
      </c>
      <c r="S848" s="3" t="s">
        <v>53</v>
      </c>
      <c r="T848" s="1">
        <v>2</v>
      </c>
      <c r="U848" s="3" t="s">
        <v>52</v>
      </c>
      <c r="V848" s="4">
        <v>10274</v>
      </c>
      <c r="W848" s="1">
        <v>19588</v>
      </c>
      <c r="X848" s="1">
        <v>2</v>
      </c>
      <c r="Y848" s="3" t="s">
        <v>42</v>
      </c>
      <c r="Z848" s="3" t="s">
        <v>43</v>
      </c>
      <c r="AA848" s="5">
        <v>0.18</v>
      </c>
      <c r="AB848" s="10" t="str" cm="1">
        <f t="array" ref="AB848">_xlfn.IFS(AA848 &lt;= 15%, "Low Hike[11-15%]", AA848 &lt;= 20%, "Moderate Hike[16-20%]", AA848 &lt;= 25%,"High Hike[21-25%]")</f>
        <v>Moderate Hike[16-20%]</v>
      </c>
      <c r="AC848" s="1">
        <v>3</v>
      </c>
      <c r="AD848" s="1">
        <v>2</v>
      </c>
      <c r="AE848" s="1">
        <v>80</v>
      </c>
      <c r="AF848" s="1">
        <v>1</v>
      </c>
      <c r="AG848" s="1">
        <v>15</v>
      </c>
      <c r="AH848" s="9" t="str" cm="1">
        <f t="array" ref="AH848">_xlfn.IFS(AG848 &lt;= 5, "New[1-5]", AG848 &lt;= 10, "Early Career[6-10]", AG848 &lt;= 20, "Established[11-20]", AG848 &lt;= 30, "Veteran[21-30]", AG848 &lt;= 40, "Late Career[31-40]")</f>
        <v>Established[11-20]</v>
      </c>
      <c r="AI848" s="1">
        <v>2</v>
      </c>
      <c r="AJ848" s="1">
        <v>4</v>
      </c>
      <c r="AK848" s="1">
        <v>7</v>
      </c>
      <c r="AL848" s="9" t="str" cm="1">
        <f t="array" ref="AL848">_xlfn.IFS(AK848 &lt;= 5, "New[1-5]", AK848 &lt;= 10, "Early Career[6-10]", AK848 &lt;= 20, "Established[11-20]", AK848 &lt;= 30, "Veteran[21-30]", AK848 &lt;= 40, "Late Career[31-40]")</f>
        <v>Early Career[6-10]</v>
      </c>
      <c r="AM848" s="1">
        <v>7</v>
      </c>
      <c r="AN848" s="9" t="str" cm="1">
        <f t="array" ref="AN848">_xlfn.IFS(AM848 &lt;= 3, "New to Role[1-3]", AM848 &lt;= 7, "Settled[4-7]", AM848 &lt;= 12, "Experienced[[8-12]", AM848 &lt;= 18, "Long Tenured[13-18]")</f>
        <v>Settled[4-7]</v>
      </c>
      <c r="AO848" s="1">
        <v>6</v>
      </c>
      <c r="AP848" s="9" t="str" cm="1">
        <f t="array" ref="AP848">_xlfn.IFS(AO848 &lt;= 3, "Recently[1-3]", AO848 &lt;= 6, "Due Soon[4-6]", AO848 &lt;= 10, "Overdue[7-10]", AO848 &lt;= 15, "Long Overdue[11-15]")</f>
        <v>Due Soon[4-6]</v>
      </c>
      <c r="AQ848" s="9" t="str" cm="1">
        <f t="array" ref="AQ848">_xlfn.IFS(AR848 &lt;= 3, "New Relationship[1-3]", AR848 &lt;= 7, "Established Relationship[4-7]", AR848 &lt;= 12, "Long Term Relationship[8-12]", AR848 &lt;= 17, "Very Long Term Relationship[13-17]")</f>
        <v>Established Relationship[4-7]</v>
      </c>
      <c r="AR848" s="1">
        <v>4</v>
      </c>
    </row>
    <row r="849" spans="1:44" x14ac:dyDescent="0.25">
      <c r="A849" s="1">
        <v>34</v>
      </c>
      <c r="B849" s="8" t="str" cm="1">
        <f t="array" ref="B849">_xlfn.IFS(A849 &lt;= 25, "[18-25]", A849 &lt;= 35, "[26-35]", A849 &lt;=45, "[36-45]", A849 &lt;= 60, "[46- 60]")</f>
        <v>[26-35]</v>
      </c>
      <c r="C849" s="3" t="s">
        <v>43</v>
      </c>
      <c r="D849">
        <f t="shared" si="13"/>
        <v>0</v>
      </c>
      <c r="E849" t="s">
        <v>44</v>
      </c>
      <c r="F849" s="1">
        <v>669</v>
      </c>
      <c r="G849" s="3" t="s">
        <v>45</v>
      </c>
      <c r="H849" s="1">
        <v>1</v>
      </c>
      <c r="I849" s="9" t="str" cm="1">
        <f t="array" ref="I849">_xlfn.IFS(H849 &lt;= 2, "[1-2] very close", H849 &lt;= 10, "[3-10] close", H849 &lt;= 20, "[11-20] moderate", H849 &lt;= 30, "[21-30] far")</f>
        <v>[1-2] very close</v>
      </c>
      <c r="J849" s="1">
        <v>3</v>
      </c>
      <c r="K849" s="3" t="s">
        <v>51</v>
      </c>
      <c r="L849" s="1">
        <v>1</v>
      </c>
      <c r="M849" s="1">
        <v>1184</v>
      </c>
      <c r="N849" s="1">
        <v>4</v>
      </c>
      <c r="O849" s="3" t="s">
        <v>46</v>
      </c>
      <c r="P849" s="1">
        <v>97</v>
      </c>
      <c r="Q849" s="1">
        <v>2</v>
      </c>
      <c r="R849" s="1">
        <v>2</v>
      </c>
      <c r="S849" s="3" t="s">
        <v>54</v>
      </c>
      <c r="T849" s="1">
        <v>1</v>
      </c>
      <c r="U849" s="3" t="s">
        <v>41</v>
      </c>
      <c r="V849" s="4">
        <v>5343</v>
      </c>
      <c r="W849" s="1">
        <v>25755</v>
      </c>
      <c r="X849" s="1">
        <v>0</v>
      </c>
      <c r="Y849" s="3" t="s">
        <v>42</v>
      </c>
      <c r="Z849" s="3" t="s">
        <v>43</v>
      </c>
      <c r="AA849" s="5">
        <v>0.2</v>
      </c>
      <c r="AB849" s="10" t="str" cm="1">
        <f t="array" ref="AB849">_xlfn.IFS(AA849 &lt;= 15%, "Low Hike[11-15%]", AA849 &lt;= 20%, "Moderate Hike[16-20%]", AA849 &lt;= 25%,"High Hike[21-25%]")</f>
        <v>Moderate Hike[16-20%]</v>
      </c>
      <c r="AC849" s="1">
        <v>4</v>
      </c>
      <c r="AD849" s="1">
        <v>3</v>
      </c>
      <c r="AE849" s="1">
        <v>80</v>
      </c>
      <c r="AF849" s="1">
        <v>0</v>
      </c>
      <c r="AG849" s="1">
        <v>14</v>
      </c>
      <c r="AH849" s="9" t="str" cm="1">
        <f t="array" ref="AH849">_xlfn.IFS(AG849 &lt;= 5, "New[1-5]", AG849 &lt;= 10, "Early Career[6-10]", AG849 &lt;= 20, "Established[11-20]", AG849 &lt;= 30, "Veteran[21-30]", AG849 &lt;= 40, "Late Career[31-40]")</f>
        <v>Established[11-20]</v>
      </c>
      <c r="AI849" s="1">
        <v>3</v>
      </c>
      <c r="AJ849" s="1">
        <v>3</v>
      </c>
      <c r="AK849" s="1">
        <v>13</v>
      </c>
      <c r="AL849" s="9" t="str" cm="1">
        <f t="array" ref="AL849">_xlfn.IFS(AK849 &lt;= 5, "New[1-5]", AK849 &lt;= 10, "Early Career[6-10]", AK849 &lt;= 20, "Established[11-20]", AK849 &lt;= 30, "Veteran[21-30]", AK849 &lt;= 40, "Late Career[31-40]")</f>
        <v>Established[11-20]</v>
      </c>
      <c r="AM849" s="1">
        <v>9</v>
      </c>
      <c r="AN849" s="9" t="str" cm="1">
        <f t="array" ref="AN849">_xlfn.IFS(AM849 &lt;= 3, "New to Role[1-3]", AM849 &lt;= 7, "Settled[4-7]", AM849 &lt;= 12, "Experienced[[8-12]", AM849 &lt;= 18, "Long Tenured[13-18]")</f>
        <v>Experienced[[8-12]</v>
      </c>
      <c r="AO849" s="1">
        <v>4</v>
      </c>
      <c r="AP849" s="9" t="str" cm="1">
        <f t="array" ref="AP849">_xlfn.IFS(AO849 &lt;= 3, "Recently[1-3]", AO849 &lt;= 6, "Due Soon[4-6]", AO849 &lt;= 10, "Overdue[7-10]", AO849 &lt;= 15, "Long Overdue[11-15]")</f>
        <v>Due Soon[4-6]</v>
      </c>
      <c r="AQ849" s="9" t="str" cm="1">
        <f t="array" ref="AQ849">_xlfn.IFS(AR849 &lt;= 3, "New Relationship[1-3]", AR849 &lt;= 7, "Established Relationship[4-7]", AR849 &lt;= 12, "Long Term Relationship[8-12]", AR849 &lt;= 17, "Very Long Term Relationship[13-17]")</f>
        <v>Long Term Relationship[8-12]</v>
      </c>
      <c r="AR849" s="1">
        <v>9</v>
      </c>
    </row>
    <row r="850" spans="1:44" x14ac:dyDescent="0.25">
      <c r="A850" s="1">
        <v>35</v>
      </c>
      <c r="B850" s="8" t="str" cm="1">
        <f t="array" ref="B850">_xlfn.IFS(A850 &lt;= 25, "[18-25]", A850 &lt;= 35, "[26-35]", A850 &lt;=45, "[36-45]", A850 &lt;= 60, "[46- 60]")</f>
        <v>[26-35]</v>
      </c>
      <c r="C850" s="3" t="s">
        <v>43</v>
      </c>
      <c r="D850">
        <f t="shared" si="13"/>
        <v>0</v>
      </c>
      <c r="E850" t="s">
        <v>44</v>
      </c>
      <c r="F850" s="1">
        <v>636</v>
      </c>
      <c r="G850" s="3" t="s">
        <v>45</v>
      </c>
      <c r="H850" s="1">
        <v>4</v>
      </c>
      <c r="I850" s="9" t="str" cm="1">
        <f t="array" ref="I850">_xlfn.IFS(H850 &lt;= 2, "[1-2] very close", H850 &lt;= 10, "[3-10] close", H850 &lt;= 20, "[11-20] moderate", H850 &lt;= 30, "[21-30] far")</f>
        <v>[3-10] close</v>
      </c>
      <c r="J850" s="1">
        <v>4</v>
      </c>
      <c r="K850" s="3" t="s">
        <v>49</v>
      </c>
      <c r="L850" s="1">
        <v>1</v>
      </c>
      <c r="M850" s="1">
        <v>1185</v>
      </c>
      <c r="N850" s="1">
        <v>4</v>
      </c>
      <c r="O850" s="3" t="s">
        <v>46</v>
      </c>
      <c r="P850" s="1">
        <v>47</v>
      </c>
      <c r="Q850" s="1">
        <v>2</v>
      </c>
      <c r="R850" s="1">
        <v>1</v>
      </c>
      <c r="S850" s="3" t="s">
        <v>50</v>
      </c>
      <c r="T850" s="1">
        <v>4</v>
      </c>
      <c r="U850" s="3" t="s">
        <v>48</v>
      </c>
      <c r="V850" s="4">
        <v>2376</v>
      </c>
      <c r="W850" s="1">
        <v>26537</v>
      </c>
      <c r="X850" s="1">
        <v>1</v>
      </c>
      <c r="Y850" s="3" t="s">
        <v>42</v>
      </c>
      <c r="Z850" s="3" t="s">
        <v>43</v>
      </c>
      <c r="AA850" s="5">
        <v>0.13</v>
      </c>
      <c r="AB850" s="10" t="str" cm="1">
        <f t="array" ref="AB850">_xlfn.IFS(AA850 &lt;= 15%, "Low Hike[11-15%]", AA850 &lt;= 20%, "Moderate Hike[16-20%]", AA850 &lt;= 25%,"High Hike[21-25%]")</f>
        <v>Low Hike[11-15%]</v>
      </c>
      <c r="AC850" s="1">
        <v>3</v>
      </c>
      <c r="AD850" s="1">
        <v>2</v>
      </c>
      <c r="AE850" s="1">
        <v>80</v>
      </c>
      <c r="AF850" s="1">
        <v>1</v>
      </c>
      <c r="AG850" s="1">
        <v>2</v>
      </c>
      <c r="AH850" s="9" t="str" cm="1">
        <f t="array" ref="AH850">_xlfn.IFS(AG850 &lt;= 5, "New[1-5]", AG850 &lt;= 10, "Early Career[6-10]", AG850 &lt;= 20, "Established[11-20]", AG850 &lt;= 30, "Veteran[21-30]", AG850 &lt;= 40, "Late Career[31-40]")</f>
        <v>New[1-5]</v>
      </c>
      <c r="AI850" s="1">
        <v>2</v>
      </c>
      <c r="AJ850" s="1">
        <v>4</v>
      </c>
      <c r="AK850" s="1">
        <v>2</v>
      </c>
      <c r="AL850" s="9" t="str" cm="1">
        <f t="array" ref="AL850">_xlfn.IFS(AK850 &lt;= 5, "New[1-5]", AK850 &lt;= 10, "Early Career[6-10]", AK850 &lt;= 20, "Established[11-20]", AK850 &lt;= 30, "Veteran[21-30]", AK850 &lt;= 40, "Late Career[31-40]")</f>
        <v>New[1-5]</v>
      </c>
      <c r="AM850" s="1">
        <v>2</v>
      </c>
      <c r="AN850" s="9" t="str" cm="1">
        <f t="array" ref="AN850">_xlfn.IFS(AM850 &lt;= 3, "New to Role[1-3]", AM850 &lt;= 7, "Settled[4-7]", AM850 &lt;= 12, "Experienced[[8-12]", AM850 &lt;= 18, "Long Tenured[13-18]")</f>
        <v>New to Role[1-3]</v>
      </c>
      <c r="AO850" s="1">
        <v>2</v>
      </c>
      <c r="AP850" s="9" t="str" cm="1">
        <f t="array" ref="AP850">_xlfn.IFS(AO850 &lt;= 3, "Recently[1-3]", AO850 &lt;= 6, "Due Soon[4-6]", AO850 &lt;= 10, "Overdue[7-10]", AO850 &lt;= 15, "Long Overdue[11-15]")</f>
        <v>Recently[1-3]</v>
      </c>
      <c r="AQ850" s="9" t="str" cm="1">
        <f t="array" ref="AQ850">_xlfn.IFS(AR850 &lt;= 3, "New Relationship[1-3]", AR850 &lt;= 7, "Established Relationship[4-7]", AR850 &lt;= 12, "Long Term Relationship[8-12]", AR850 &lt;= 17, "Very Long Term Relationship[13-17]")</f>
        <v>New Relationship[1-3]</v>
      </c>
      <c r="AR850" s="1">
        <v>2</v>
      </c>
    </row>
    <row r="851" spans="1:44" x14ac:dyDescent="0.25">
      <c r="A851" s="1">
        <v>43</v>
      </c>
      <c r="B851" s="8" t="str" cm="1">
        <f t="array" ref="B851">_xlfn.IFS(A851 &lt;= 25, "[18-25]", A851 &lt;= 35, "[26-35]", A851 &lt;=45, "[36-45]", A851 &lt;= 60, "[46- 60]")</f>
        <v>[36-45]</v>
      </c>
      <c r="C851" s="3" t="s">
        <v>35</v>
      </c>
      <c r="D851">
        <f t="shared" si="13"/>
        <v>1</v>
      </c>
      <c r="E851" t="s">
        <v>36</v>
      </c>
      <c r="F851" s="1">
        <v>1372</v>
      </c>
      <c r="G851" s="3" t="s">
        <v>37</v>
      </c>
      <c r="H851" s="1">
        <v>9</v>
      </c>
      <c r="I851" s="9" t="str" cm="1">
        <f t="array" ref="I851">_xlfn.IFS(H851 &lt;= 2, "[1-2] very close", H851 &lt;= 10, "[3-10] close", H851 &lt;= 20, "[11-20] moderate", H851 &lt;= 30, "[21-30] far")</f>
        <v>[3-10] close</v>
      </c>
      <c r="J851" s="1">
        <v>3</v>
      </c>
      <c r="K851" s="3" t="s">
        <v>59</v>
      </c>
      <c r="L851" s="1">
        <v>1</v>
      </c>
      <c r="M851" s="1">
        <v>1188</v>
      </c>
      <c r="N851" s="1">
        <v>1</v>
      </c>
      <c r="O851" s="3" t="s">
        <v>39</v>
      </c>
      <c r="P851" s="1">
        <v>85</v>
      </c>
      <c r="Q851" s="1">
        <v>1</v>
      </c>
      <c r="R851" s="1">
        <v>2</v>
      </c>
      <c r="S851" s="3" t="s">
        <v>40</v>
      </c>
      <c r="T851" s="1">
        <v>3</v>
      </c>
      <c r="U851" s="3" t="s">
        <v>41</v>
      </c>
      <c r="V851" s="4">
        <v>5346</v>
      </c>
      <c r="W851" s="1">
        <v>9489</v>
      </c>
      <c r="X851" s="1">
        <v>8</v>
      </c>
      <c r="Y851" s="3" t="s">
        <v>42</v>
      </c>
      <c r="Z851" s="3" t="s">
        <v>43</v>
      </c>
      <c r="AA851" s="5">
        <v>0.13</v>
      </c>
      <c r="AB851" s="10" t="str" cm="1">
        <f t="array" ref="AB851">_xlfn.IFS(AA851 &lt;= 15%, "Low Hike[11-15%]", AA851 &lt;= 20%, "Moderate Hike[16-20%]", AA851 &lt;= 25%,"High Hike[21-25%]")</f>
        <v>Low Hike[11-15%]</v>
      </c>
      <c r="AC851" s="1">
        <v>3</v>
      </c>
      <c r="AD851" s="1">
        <v>2</v>
      </c>
      <c r="AE851" s="1">
        <v>80</v>
      </c>
      <c r="AF851" s="1">
        <v>0</v>
      </c>
      <c r="AG851" s="1">
        <v>7</v>
      </c>
      <c r="AH851" s="9" t="str" cm="1">
        <f t="array" ref="AH851">_xlfn.IFS(AG851 &lt;= 5, "New[1-5]", AG851 &lt;= 10, "Early Career[6-10]", AG851 &lt;= 20, "Established[11-20]", AG851 &lt;= 30, "Veteran[21-30]", AG851 &lt;= 40, "Late Career[31-40]")</f>
        <v>Early Career[6-10]</v>
      </c>
      <c r="AI851" s="1">
        <v>2</v>
      </c>
      <c r="AJ851" s="1">
        <v>2</v>
      </c>
      <c r="AK851" s="1">
        <v>4</v>
      </c>
      <c r="AL851" s="9" t="str" cm="1">
        <f t="array" ref="AL851">_xlfn.IFS(AK851 &lt;= 5, "New[1-5]", AK851 &lt;= 10, "Early Career[6-10]", AK851 &lt;= 20, "Established[11-20]", AK851 &lt;= 30, "Veteran[21-30]", AK851 &lt;= 40, "Late Career[31-40]")</f>
        <v>New[1-5]</v>
      </c>
      <c r="AM851" s="1">
        <v>3</v>
      </c>
      <c r="AN851" s="9" t="str" cm="1">
        <f t="array" ref="AN851">_xlfn.IFS(AM851 &lt;= 3, "New to Role[1-3]", AM851 &lt;= 7, "Settled[4-7]", AM851 &lt;= 12, "Experienced[[8-12]", AM851 &lt;= 18, "Long Tenured[13-18]")</f>
        <v>New to Role[1-3]</v>
      </c>
      <c r="AO851" s="1">
        <v>1</v>
      </c>
      <c r="AP851" s="9" t="str" cm="1">
        <f t="array" ref="AP851">_xlfn.IFS(AO851 &lt;= 3, "Recently[1-3]", AO851 &lt;= 6, "Due Soon[4-6]", AO851 &lt;= 10, "Overdue[7-10]", AO851 &lt;= 15, "Long Overdue[11-15]")</f>
        <v>Recently[1-3]</v>
      </c>
      <c r="AQ851" s="9" t="str" cm="1">
        <f t="array" ref="AQ851">_xlfn.IFS(AR851 &lt;= 3, "New Relationship[1-3]", AR851 &lt;= 7, "Established Relationship[4-7]", AR851 &lt;= 12, "Long Term Relationship[8-12]", AR851 &lt;= 17, "Very Long Term Relationship[13-17]")</f>
        <v>New Relationship[1-3]</v>
      </c>
      <c r="AR851" s="1">
        <v>3</v>
      </c>
    </row>
    <row r="852" spans="1:44" x14ac:dyDescent="0.25">
      <c r="A852" s="1">
        <v>32</v>
      </c>
      <c r="B852" s="8" t="str" cm="1">
        <f t="array" ref="B852">_xlfn.IFS(A852 &lt;= 25, "[18-25]", A852 &lt;= 35, "[26-35]", A852 &lt;=45, "[36-45]", A852 &lt;= 60, "[46- 60]")</f>
        <v>[26-35]</v>
      </c>
      <c r="C852" s="3" t="s">
        <v>43</v>
      </c>
      <c r="D852">
        <f t="shared" si="13"/>
        <v>0</v>
      </c>
      <c r="E852" t="s">
        <v>62</v>
      </c>
      <c r="F852" s="1">
        <v>862</v>
      </c>
      <c r="G852" s="3" t="s">
        <v>37</v>
      </c>
      <c r="H852" s="1">
        <v>2</v>
      </c>
      <c r="I852" s="9" t="str" cm="1">
        <f t="array" ref="I852">_xlfn.IFS(H852 &lt;= 2, "[1-2] very close", H852 &lt;= 10, "[3-10] close", H852 &lt;= 20, "[11-20] moderate", H852 &lt;= 30, "[21-30] far")</f>
        <v>[1-2] very close</v>
      </c>
      <c r="J852" s="1">
        <v>1</v>
      </c>
      <c r="K852" s="3" t="s">
        <v>38</v>
      </c>
      <c r="L852" s="1">
        <v>1</v>
      </c>
      <c r="M852" s="1">
        <v>1190</v>
      </c>
      <c r="N852" s="1">
        <v>3</v>
      </c>
      <c r="O852" s="3" t="s">
        <v>39</v>
      </c>
      <c r="P852" s="1">
        <v>76</v>
      </c>
      <c r="Q852" s="1">
        <v>3</v>
      </c>
      <c r="R852" s="1">
        <v>1</v>
      </c>
      <c r="S852" s="3" t="s">
        <v>57</v>
      </c>
      <c r="T852" s="1">
        <v>1</v>
      </c>
      <c r="U852" s="3" t="s">
        <v>52</v>
      </c>
      <c r="V852" s="4">
        <v>2827</v>
      </c>
      <c r="W852" s="1">
        <v>14947</v>
      </c>
      <c r="X852" s="1">
        <v>1</v>
      </c>
      <c r="Y852" s="3" t="s">
        <v>42</v>
      </c>
      <c r="Z852" s="3" t="s">
        <v>43</v>
      </c>
      <c r="AA852" s="5">
        <v>0.12</v>
      </c>
      <c r="AB852" s="10" t="str" cm="1">
        <f t="array" ref="AB852">_xlfn.IFS(AA852 &lt;= 15%, "Low Hike[11-15%]", AA852 &lt;= 20%, "Moderate Hike[16-20%]", AA852 &lt;= 25%,"High Hike[21-25%]")</f>
        <v>Low Hike[11-15%]</v>
      </c>
      <c r="AC852" s="1">
        <v>3</v>
      </c>
      <c r="AD852" s="1">
        <v>3</v>
      </c>
      <c r="AE852" s="1">
        <v>80</v>
      </c>
      <c r="AF852" s="1">
        <v>3</v>
      </c>
      <c r="AG852" s="1">
        <v>1</v>
      </c>
      <c r="AH852" s="9" t="str" cm="1">
        <f t="array" ref="AH852">_xlfn.IFS(AG852 &lt;= 5, "New[1-5]", AG852 &lt;= 10, "Early Career[6-10]", AG852 &lt;= 20, "Established[11-20]", AG852 &lt;= 30, "Veteran[21-30]", AG852 &lt;= 40, "Late Career[31-40]")</f>
        <v>New[1-5]</v>
      </c>
      <c r="AI852" s="1">
        <v>3</v>
      </c>
      <c r="AJ852" s="1">
        <v>3</v>
      </c>
      <c r="AK852" s="1">
        <v>1</v>
      </c>
      <c r="AL852" s="9" t="str" cm="1">
        <f t="array" ref="AL852">_xlfn.IFS(AK852 &lt;= 5, "New[1-5]", AK852 &lt;= 10, "Early Career[6-10]", AK852 &lt;= 20, "Established[11-20]", AK852 &lt;= 30, "Veteran[21-30]", AK852 &lt;= 40, "Late Career[31-40]")</f>
        <v>New[1-5]</v>
      </c>
      <c r="AM852" s="1">
        <v>0</v>
      </c>
      <c r="AN852" s="9" t="str" cm="1">
        <f t="array" ref="AN852">_xlfn.IFS(AM852 &lt;= 3, "New to Role[1-3]", AM852 &lt;= 7, "Settled[4-7]", AM852 &lt;= 12, "Experienced[[8-12]", AM852 &lt;= 18, "Long Tenured[13-18]")</f>
        <v>New to Role[1-3]</v>
      </c>
      <c r="AO852" s="1">
        <v>0</v>
      </c>
      <c r="AP852" s="9" t="str" cm="1">
        <f t="array" ref="AP852">_xlfn.IFS(AO852 &lt;= 3, "Recently[1-3]", AO852 &lt;= 6, "Due Soon[4-6]", AO852 &lt;= 10, "Overdue[7-10]", AO852 &lt;= 15, "Long Overdue[11-15]")</f>
        <v>Recently[1-3]</v>
      </c>
      <c r="AQ852" s="9" t="str" cm="1">
        <f t="array" ref="AQ852">_xlfn.IFS(AR852 &lt;= 3, "New Relationship[1-3]", AR852 &lt;= 7, "Established Relationship[4-7]", AR852 &lt;= 12, "Long Term Relationship[8-12]", AR852 &lt;= 17, "Very Long Term Relationship[13-17]")</f>
        <v>New Relationship[1-3]</v>
      </c>
      <c r="AR852" s="1">
        <v>0</v>
      </c>
    </row>
    <row r="853" spans="1:44" x14ac:dyDescent="0.25">
      <c r="A853" s="1">
        <v>56</v>
      </c>
      <c r="B853" s="8" t="str" cm="1">
        <f t="array" ref="B853">_xlfn.IFS(A853 &lt;= 25, "[18-25]", A853 &lt;= 35, "[26-35]", A853 &lt;=45, "[36-45]", A853 &lt;= 60, "[46- 60]")</f>
        <v>[46- 60]</v>
      </c>
      <c r="C853" s="3" t="s">
        <v>43</v>
      </c>
      <c r="D853">
        <f t="shared" si="13"/>
        <v>0</v>
      </c>
      <c r="E853" t="s">
        <v>36</v>
      </c>
      <c r="F853" s="1">
        <v>718</v>
      </c>
      <c r="G853" s="3" t="s">
        <v>45</v>
      </c>
      <c r="H853" s="1">
        <v>4</v>
      </c>
      <c r="I853" s="9" t="str" cm="1">
        <f t="array" ref="I853">_xlfn.IFS(H853 &lt;= 2, "[1-2] very close", H853 &lt;= 10, "[3-10] close", H853 &lt;= 20, "[11-20] moderate", H853 &lt;= 30, "[21-30] far")</f>
        <v>[3-10] close</v>
      </c>
      <c r="J853" s="1">
        <v>4</v>
      </c>
      <c r="K853" s="3" t="s">
        <v>60</v>
      </c>
      <c r="L853" s="1">
        <v>1</v>
      </c>
      <c r="M853" s="1">
        <v>1191</v>
      </c>
      <c r="N853" s="1">
        <v>4</v>
      </c>
      <c r="O853" s="3" t="s">
        <v>39</v>
      </c>
      <c r="P853" s="1">
        <v>92</v>
      </c>
      <c r="Q853" s="1">
        <v>3</v>
      </c>
      <c r="R853" s="1">
        <v>5</v>
      </c>
      <c r="S853" s="3" t="s">
        <v>56</v>
      </c>
      <c r="T853" s="1">
        <v>1</v>
      </c>
      <c r="U853" s="3" t="s">
        <v>52</v>
      </c>
      <c r="V853" s="4">
        <v>19943</v>
      </c>
      <c r="W853" s="1">
        <v>18575</v>
      </c>
      <c r="X853" s="1">
        <v>4</v>
      </c>
      <c r="Y853" s="3" t="s">
        <v>42</v>
      </c>
      <c r="Z853" s="3" t="s">
        <v>43</v>
      </c>
      <c r="AA853" s="5">
        <v>0.13</v>
      </c>
      <c r="AB853" s="10" t="str" cm="1">
        <f t="array" ref="AB853">_xlfn.IFS(AA853 &lt;= 15%, "Low Hike[11-15%]", AA853 &lt;= 20%, "Moderate Hike[16-20%]", AA853 &lt;= 25%,"High Hike[21-25%]")</f>
        <v>Low Hike[11-15%]</v>
      </c>
      <c r="AC853" s="1">
        <v>3</v>
      </c>
      <c r="AD853" s="1">
        <v>4</v>
      </c>
      <c r="AE853" s="1">
        <v>80</v>
      </c>
      <c r="AF853" s="1">
        <v>1</v>
      </c>
      <c r="AG853" s="1">
        <v>28</v>
      </c>
      <c r="AH853" s="9" t="str" cm="1">
        <f t="array" ref="AH853">_xlfn.IFS(AG853 &lt;= 5, "New[1-5]", AG853 &lt;= 10, "Early Career[6-10]", AG853 &lt;= 20, "Established[11-20]", AG853 &lt;= 30, "Veteran[21-30]", AG853 &lt;= 40, "Late Career[31-40]")</f>
        <v>Veteran[21-30]</v>
      </c>
      <c r="AI853" s="1">
        <v>2</v>
      </c>
      <c r="AJ853" s="1">
        <v>3</v>
      </c>
      <c r="AK853" s="1">
        <v>5</v>
      </c>
      <c r="AL853" s="9" t="str" cm="1">
        <f t="array" ref="AL853">_xlfn.IFS(AK853 &lt;= 5, "New[1-5]", AK853 &lt;= 10, "Early Career[6-10]", AK853 &lt;= 20, "Established[11-20]", AK853 &lt;= 30, "Veteran[21-30]", AK853 &lt;= 40, "Late Career[31-40]")</f>
        <v>New[1-5]</v>
      </c>
      <c r="AM853" s="1">
        <v>2</v>
      </c>
      <c r="AN853" s="9" t="str" cm="1">
        <f t="array" ref="AN853">_xlfn.IFS(AM853 &lt;= 3, "New to Role[1-3]", AM853 &lt;= 7, "Settled[4-7]", AM853 &lt;= 12, "Experienced[[8-12]", AM853 &lt;= 18, "Long Tenured[13-18]")</f>
        <v>New to Role[1-3]</v>
      </c>
      <c r="AO853" s="1">
        <v>4</v>
      </c>
      <c r="AP853" s="9" t="str" cm="1">
        <f t="array" ref="AP853">_xlfn.IFS(AO853 &lt;= 3, "Recently[1-3]", AO853 &lt;= 6, "Due Soon[4-6]", AO853 &lt;= 10, "Overdue[7-10]", AO853 &lt;= 15, "Long Overdue[11-15]")</f>
        <v>Due Soon[4-6]</v>
      </c>
      <c r="AQ853" s="9" t="str" cm="1">
        <f t="array" ref="AQ853">_xlfn.IFS(AR853 &lt;= 3, "New Relationship[1-3]", AR853 &lt;= 7, "Established Relationship[4-7]", AR853 &lt;= 12, "Long Term Relationship[8-12]", AR853 &lt;= 17, "Very Long Term Relationship[13-17]")</f>
        <v>New Relationship[1-3]</v>
      </c>
      <c r="AR853" s="1">
        <v>2</v>
      </c>
    </row>
    <row r="854" spans="1:44" x14ac:dyDescent="0.25">
      <c r="A854" s="1">
        <v>29</v>
      </c>
      <c r="B854" s="8" t="str" cm="1">
        <f t="array" ref="B854">_xlfn.IFS(A854 &lt;= 25, "[18-25]", A854 &lt;= 35, "[26-35]", A854 &lt;=45, "[36-45]", A854 &lt;= 60, "[46- 60]")</f>
        <v>[26-35]</v>
      </c>
      <c r="C854" s="3" t="s">
        <v>43</v>
      </c>
      <c r="D854">
        <f t="shared" si="13"/>
        <v>0</v>
      </c>
      <c r="E854" t="s">
        <v>36</v>
      </c>
      <c r="F854" s="1">
        <v>1401</v>
      </c>
      <c r="G854" s="3" t="s">
        <v>45</v>
      </c>
      <c r="H854" s="1">
        <v>6</v>
      </c>
      <c r="I854" s="9" t="str" cm="1">
        <f t="array" ref="I854">_xlfn.IFS(H854 &lt;= 2, "[1-2] very close", H854 &lt;= 10, "[3-10] close", H854 &lt;= 20, "[11-20] moderate", H854 &lt;= 30, "[21-30] far")</f>
        <v>[3-10] close</v>
      </c>
      <c r="J854" s="1">
        <v>1</v>
      </c>
      <c r="K854" s="3" t="s">
        <v>51</v>
      </c>
      <c r="L854" s="1">
        <v>1</v>
      </c>
      <c r="M854" s="1">
        <v>1192</v>
      </c>
      <c r="N854" s="1">
        <v>2</v>
      </c>
      <c r="O854" s="3" t="s">
        <v>39</v>
      </c>
      <c r="P854" s="1">
        <v>54</v>
      </c>
      <c r="Q854" s="1">
        <v>3</v>
      </c>
      <c r="R854" s="1">
        <v>1</v>
      </c>
      <c r="S854" s="3" t="s">
        <v>50</v>
      </c>
      <c r="T854" s="1">
        <v>4</v>
      </c>
      <c r="U854" s="3" t="s">
        <v>48</v>
      </c>
      <c r="V854" s="4">
        <v>3131</v>
      </c>
      <c r="W854" s="1">
        <v>26342</v>
      </c>
      <c r="X854" s="1">
        <v>1</v>
      </c>
      <c r="Y854" s="3" t="s">
        <v>42</v>
      </c>
      <c r="Z854" s="3" t="s">
        <v>43</v>
      </c>
      <c r="AA854" s="5">
        <v>0.13</v>
      </c>
      <c r="AB854" s="10" t="str" cm="1">
        <f t="array" ref="AB854">_xlfn.IFS(AA854 &lt;= 15%, "Low Hike[11-15%]", AA854 &lt;= 20%, "Moderate Hike[16-20%]", AA854 &lt;= 25%,"High Hike[21-25%]")</f>
        <v>Low Hike[11-15%]</v>
      </c>
      <c r="AC854" s="1">
        <v>3</v>
      </c>
      <c r="AD854" s="1">
        <v>1</v>
      </c>
      <c r="AE854" s="1">
        <v>80</v>
      </c>
      <c r="AF854" s="1">
        <v>1</v>
      </c>
      <c r="AG854" s="1">
        <v>10</v>
      </c>
      <c r="AH854" s="9" t="str" cm="1">
        <f t="array" ref="AH854">_xlfn.IFS(AG854 &lt;= 5, "New[1-5]", AG854 &lt;= 10, "Early Career[6-10]", AG854 &lt;= 20, "Established[11-20]", AG854 &lt;= 30, "Veteran[21-30]", AG854 &lt;= 40, "Late Career[31-40]")</f>
        <v>Early Career[6-10]</v>
      </c>
      <c r="AI854" s="1">
        <v>5</v>
      </c>
      <c r="AJ854" s="1">
        <v>3</v>
      </c>
      <c r="AK854" s="1">
        <v>10</v>
      </c>
      <c r="AL854" s="9" t="str" cm="1">
        <f t="array" ref="AL854">_xlfn.IFS(AK854 &lt;= 5, "New[1-5]", AK854 &lt;= 10, "Early Career[6-10]", AK854 &lt;= 20, "Established[11-20]", AK854 &lt;= 30, "Veteran[21-30]", AK854 &lt;= 40, "Late Career[31-40]")</f>
        <v>Early Career[6-10]</v>
      </c>
      <c r="AM854" s="1">
        <v>8</v>
      </c>
      <c r="AN854" s="9" t="str" cm="1">
        <f t="array" ref="AN854">_xlfn.IFS(AM854 &lt;= 3, "New to Role[1-3]", AM854 &lt;= 7, "Settled[4-7]", AM854 &lt;= 12, "Experienced[[8-12]", AM854 &lt;= 18, "Long Tenured[13-18]")</f>
        <v>Experienced[[8-12]</v>
      </c>
      <c r="AO854" s="1">
        <v>0</v>
      </c>
      <c r="AP854" s="9" t="str" cm="1">
        <f t="array" ref="AP854">_xlfn.IFS(AO854 &lt;= 3, "Recently[1-3]", AO854 &lt;= 6, "Due Soon[4-6]", AO854 &lt;= 10, "Overdue[7-10]", AO854 &lt;= 15, "Long Overdue[11-15]")</f>
        <v>Recently[1-3]</v>
      </c>
      <c r="AQ854" s="9" t="str" cm="1">
        <f t="array" ref="AQ854">_xlfn.IFS(AR854 &lt;= 3, "New Relationship[1-3]", AR854 &lt;= 7, "Established Relationship[4-7]", AR854 &lt;= 12, "Long Term Relationship[8-12]", AR854 &lt;= 17, "Very Long Term Relationship[13-17]")</f>
        <v>Long Term Relationship[8-12]</v>
      </c>
      <c r="AR854" s="1">
        <v>8</v>
      </c>
    </row>
    <row r="855" spans="1:44" x14ac:dyDescent="0.25">
      <c r="A855" s="1">
        <v>19</v>
      </c>
      <c r="B855" s="8" t="str" cm="1">
        <f t="array" ref="B855">_xlfn.IFS(A855 &lt;= 25, "[18-25]", A855 &lt;= 35, "[26-35]", A855 &lt;=45, "[36-45]", A855 &lt;= 60, "[46- 60]")</f>
        <v>[18-25]</v>
      </c>
      <c r="C855" s="3" t="s">
        <v>43</v>
      </c>
      <c r="D855">
        <f t="shared" si="13"/>
        <v>0</v>
      </c>
      <c r="E855" t="s">
        <v>36</v>
      </c>
      <c r="F855" s="1">
        <v>645</v>
      </c>
      <c r="G855" s="3" t="s">
        <v>45</v>
      </c>
      <c r="H855" s="1">
        <v>9</v>
      </c>
      <c r="I855" s="9" t="str" cm="1">
        <f t="array" ref="I855">_xlfn.IFS(H855 &lt;= 2, "[1-2] very close", H855 &lt;= 10, "[3-10] close", H855 &lt;= 20, "[11-20] moderate", H855 &lt;= 30, "[21-30] far")</f>
        <v>[3-10] close</v>
      </c>
      <c r="J855" s="1">
        <v>2</v>
      </c>
      <c r="K855" s="3" t="s">
        <v>38</v>
      </c>
      <c r="L855" s="1">
        <v>1</v>
      </c>
      <c r="M855" s="1">
        <v>1193</v>
      </c>
      <c r="N855" s="1">
        <v>3</v>
      </c>
      <c r="O855" s="3" t="s">
        <v>46</v>
      </c>
      <c r="P855" s="1">
        <v>54</v>
      </c>
      <c r="Q855" s="1">
        <v>3</v>
      </c>
      <c r="R855" s="1">
        <v>1</v>
      </c>
      <c r="S855" s="3" t="s">
        <v>47</v>
      </c>
      <c r="T855" s="1">
        <v>1</v>
      </c>
      <c r="U855" s="3" t="s">
        <v>41</v>
      </c>
      <c r="V855" s="4">
        <v>2552</v>
      </c>
      <c r="W855" s="1">
        <v>7172</v>
      </c>
      <c r="X855" s="1">
        <v>1</v>
      </c>
      <c r="Y855" s="3" t="s">
        <v>42</v>
      </c>
      <c r="Z855" s="3" t="s">
        <v>43</v>
      </c>
      <c r="AA855" s="5">
        <v>0.25</v>
      </c>
      <c r="AB855" s="10" t="str" cm="1">
        <f t="array" ref="AB855">_xlfn.IFS(AA855 &lt;= 15%, "Low Hike[11-15%]", AA855 &lt;= 20%, "Moderate Hike[16-20%]", AA855 &lt;= 25%,"High Hike[21-25%]")</f>
        <v>High Hike[21-25%]</v>
      </c>
      <c r="AC855" s="1">
        <v>4</v>
      </c>
      <c r="AD855" s="1">
        <v>3</v>
      </c>
      <c r="AE855" s="1">
        <v>80</v>
      </c>
      <c r="AF855" s="1">
        <v>0</v>
      </c>
      <c r="AG855" s="1">
        <v>1</v>
      </c>
      <c r="AH855" s="9" t="str" cm="1">
        <f t="array" ref="AH855">_xlfn.IFS(AG855 &lt;= 5, "New[1-5]", AG855 &lt;= 10, "Early Career[6-10]", AG855 &lt;= 20, "Established[11-20]", AG855 &lt;= 30, "Veteran[21-30]", AG855 &lt;= 40, "Late Career[31-40]")</f>
        <v>New[1-5]</v>
      </c>
      <c r="AI855" s="1">
        <v>4</v>
      </c>
      <c r="AJ855" s="1">
        <v>3</v>
      </c>
      <c r="AK855" s="1">
        <v>1</v>
      </c>
      <c r="AL855" s="9" t="str" cm="1">
        <f t="array" ref="AL855">_xlfn.IFS(AK855 &lt;= 5, "New[1-5]", AK855 &lt;= 10, "Early Career[6-10]", AK855 &lt;= 20, "Established[11-20]", AK855 &lt;= 30, "Veteran[21-30]", AK855 &lt;= 40, "Late Career[31-40]")</f>
        <v>New[1-5]</v>
      </c>
      <c r="AM855" s="1">
        <v>1</v>
      </c>
      <c r="AN855" s="9" t="str" cm="1">
        <f t="array" ref="AN855">_xlfn.IFS(AM855 &lt;= 3, "New to Role[1-3]", AM855 &lt;= 7, "Settled[4-7]", AM855 &lt;= 12, "Experienced[[8-12]", AM855 &lt;= 18, "Long Tenured[13-18]")</f>
        <v>New to Role[1-3]</v>
      </c>
      <c r="AO855" s="1">
        <v>0</v>
      </c>
      <c r="AP855" s="9" t="str" cm="1">
        <f t="array" ref="AP855">_xlfn.IFS(AO855 &lt;= 3, "Recently[1-3]", AO855 &lt;= 6, "Due Soon[4-6]", AO855 &lt;= 10, "Overdue[7-10]", AO855 &lt;= 15, "Long Overdue[11-15]")</f>
        <v>Recently[1-3]</v>
      </c>
      <c r="AQ855" s="9" t="str" cm="1">
        <f t="array" ref="AQ855">_xlfn.IFS(AR855 &lt;= 3, "New Relationship[1-3]", AR855 &lt;= 7, "Established Relationship[4-7]", AR855 &lt;= 12, "Long Term Relationship[8-12]", AR855 &lt;= 17, "Very Long Term Relationship[13-17]")</f>
        <v>New Relationship[1-3]</v>
      </c>
      <c r="AR855" s="1">
        <v>0</v>
      </c>
    </row>
    <row r="856" spans="1:44" x14ac:dyDescent="0.25">
      <c r="A856" s="1">
        <v>45</v>
      </c>
      <c r="B856" s="8" t="str" cm="1">
        <f t="array" ref="B856">_xlfn.IFS(A856 &lt;= 25, "[18-25]", A856 &lt;= 35, "[26-35]", A856 &lt;=45, "[36-45]", A856 &lt;= 60, "[46- 60]")</f>
        <v>[36-45]</v>
      </c>
      <c r="C856" s="3" t="s">
        <v>43</v>
      </c>
      <c r="D856">
        <f t="shared" si="13"/>
        <v>0</v>
      </c>
      <c r="E856" t="s">
        <v>36</v>
      </c>
      <c r="F856" s="1">
        <v>1457</v>
      </c>
      <c r="G856" s="3" t="s">
        <v>45</v>
      </c>
      <c r="H856" s="1">
        <v>7</v>
      </c>
      <c r="I856" s="9" t="str" cm="1">
        <f t="array" ref="I856">_xlfn.IFS(H856 &lt;= 2, "[1-2] very close", H856 &lt;= 10, "[3-10] close", H856 &lt;= 20, "[11-20] moderate", H856 &lt;= 30, "[21-30] far")</f>
        <v>[3-10] close</v>
      </c>
      <c r="J856" s="1">
        <v>3</v>
      </c>
      <c r="K856" s="3" t="s">
        <v>51</v>
      </c>
      <c r="L856" s="1">
        <v>1</v>
      </c>
      <c r="M856" s="1">
        <v>1195</v>
      </c>
      <c r="N856" s="1">
        <v>1</v>
      </c>
      <c r="O856" s="3" t="s">
        <v>39</v>
      </c>
      <c r="P856" s="1">
        <v>83</v>
      </c>
      <c r="Q856" s="1">
        <v>3</v>
      </c>
      <c r="R856" s="1">
        <v>1</v>
      </c>
      <c r="S856" s="3" t="s">
        <v>47</v>
      </c>
      <c r="T856" s="1">
        <v>3</v>
      </c>
      <c r="U856" s="3" t="s">
        <v>48</v>
      </c>
      <c r="V856" s="4">
        <v>4477</v>
      </c>
      <c r="W856" s="1">
        <v>20100</v>
      </c>
      <c r="X856" s="1">
        <v>4</v>
      </c>
      <c r="Y856" s="3" t="s">
        <v>42</v>
      </c>
      <c r="Z856" s="3" t="s">
        <v>35</v>
      </c>
      <c r="AA856" s="5">
        <v>0.19</v>
      </c>
      <c r="AB856" s="10" t="str" cm="1">
        <f t="array" ref="AB856">_xlfn.IFS(AA856 &lt;= 15%, "Low Hike[11-15%]", AA856 &lt;= 20%, "Moderate Hike[16-20%]", AA856 &lt;= 25%,"High Hike[21-25%]")</f>
        <v>Moderate Hike[16-20%]</v>
      </c>
      <c r="AC856" s="1">
        <v>3</v>
      </c>
      <c r="AD856" s="1">
        <v>3</v>
      </c>
      <c r="AE856" s="1">
        <v>80</v>
      </c>
      <c r="AF856" s="1">
        <v>1</v>
      </c>
      <c r="AG856" s="1">
        <v>7</v>
      </c>
      <c r="AH856" s="9" t="str" cm="1">
        <f t="array" ref="AH856">_xlfn.IFS(AG856 &lt;= 5, "New[1-5]", AG856 &lt;= 10, "Early Career[6-10]", AG856 &lt;= 20, "Established[11-20]", AG856 &lt;= 30, "Veteran[21-30]", AG856 &lt;= 40, "Late Career[31-40]")</f>
        <v>Early Career[6-10]</v>
      </c>
      <c r="AI856" s="1">
        <v>2</v>
      </c>
      <c r="AJ856" s="1">
        <v>2</v>
      </c>
      <c r="AK856" s="1">
        <v>3</v>
      </c>
      <c r="AL856" s="9" t="str" cm="1">
        <f t="array" ref="AL856">_xlfn.IFS(AK856 &lt;= 5, "New[1-5]", AK856 &lt;= 10, "Early Career[6-10]", AK856 &lt;= 20, "Established[11-20]", AK856 &lt;= 30, "Veteran[21-30]", AK856 &lt;= 40, "Late Career[31-40]")</f>
        <v>New[1-5]</v>
      </c>
      <c r="AM856" s="1">
        <v>2</v>
      </c>
      <c r="AN856" s="9" t="str" cm="1">
        <f t="array" ref="AN856">_xlfn.IFS(AM856 &lt;= 3, "New to Role[1-3]", AM856 &lt;= 7, "Settled[4-7]", AM856 &lt;= 12, "Experienced[[8-12]", AM856 &lt;= 18, "Long Tenured[13-18]")</f>
        <v>New to Role[1-3]</v>
      </c>
      <c r="AO856" s="1">
        <v>0</v>
      </c>
      <c r="AP856" s="9" t="str" cm="1">
        <f t="array" ref="AP856">_xlfn.IFS(AO856 &lt;= 3, "Recently[1-3]", AO856 &lt;= 6, "Due Soon[4-6]", AO856 &lt;= 10, "Overdue[7-10]", AO856 &lt;= 15, "Long Overdue[11-15]")</f>
        <v>Recently[1-3]</v>
      </c>
      <c r="AQ856" s="9" t="str" cm="1">
        <f t="array" ref="AQ856">_xlfn.IFS(AR856 &lt;= 3, "New Relationship[1-3]", AR856 &lt;= 7, "Established Relationship[4-7]", AR856 &lt;= 12, "Long Term Relationship[8-12]", AR856 &lt;= 17, "Very Long Term Relationship[13-17]")</f>
        <v>New Relationship[1-3]</v>
      </c>
      <c r="AR856" s="1">
        <v>2</v>
      </c>
    </row>
    <row r="857" spans="1:44" x14ac:dyDescent="0.25">
      <c r="A857" s="1">
        <v>37</v>
      </c>
      <c r="B857" s="8" t="str" cm="1">
        <f t="array" ref="B857">_xlfn.IFS(A857 &lt;= 25, "[18-25]", A857 &lt;= 35, "[26-35]", A857 &lt;=45, "[36-45]", A857 &lt;= 60, "[46- 60]")</f>
        <v>[36-45]</v>
      </c>
      <c r="C857" s="3" t="s">
        <v>43</v>
      </c>
      <c r="D857">
        <f t="shared" si="13"/>
        <v>0</v>
      </c>
      <c r="E857" t="s">
        <v>36</v>
      </c>
      <c r="F857" s="1">
        <v>977</v>
      </c>
      <c r="G857" s="3" t="s">
        <v>45</v>
      </c>
      <c r="H857" s="1">
        <v>1</v>
      </c>
      <c r="I857" s="9" t="str" cm="1">
        <f t="array" ref="I857">_xlfn.IFS(H857 &lt;= 2, "[1-2] very close", H857 &lt;= 10, "[3-10] close", H857 &lt;= 20, "[11-20] moderate", H857 &lt;= 30, "[21-30] far")</f>
        <v>[1-2] very close</v>
      </c>
      <c r="J857" s="1">
        <v>3</v>
      </c>
      <c r="K857" s="3" t="s">
        <v>38</v>
      </c>
      <c r="L857" s="1">
        <v>1</v>
      </c>
      <c r="M857" s="1">
        <v>1196</v>
      </c>
      <c r="N857" s="1">
        <v>4</v>
      </c>
      <c r="O857" s="3" t="s">
        <v>39</v>
      </c>
      <c r="P857" s="1">
        <v>56</v>
      </c>
      <c r="Q857" s="1">
        <v>2</v>
      </c>
      <c r="R857" s="1">
        <v>2</v>
      </c>
      <c r="S857" s="3" t="s">
        <v>53</v>
      </c>
      <c r="T857" s="1">
        <v>4</v>
      </c>
      <c r="U857" s="3" t="s">
        <v>48</v>
      </c>
      <c r="V857" s="4">
        <v>6474</v>
      </c>
      <c r="W857" s="1">
        <v>9961</v>
      </c>
      <c r="X857" s="1">
        <v>1</v>
      </c>
      <c r="Y857" s="3" t="s">
        <v>42</v>
      </c>
      <c r="Z857" s="3" t="s">
        <v>43</v>
      </c>
      <c r="AA857" s="5">
        <v>0.13</v>
      </c>
      <c r="AB857" s="10" t="str" cm="1">
        <f t="array" ref="AB857">_xlfn.IFS(AA857 &lt;= 15%, "Low Hike[11-15%]", AA857 &lt;= 20%, "Moderate Hike[16-20%]", AA857 &lt;= 25%,"High Hike[21-25%]")</f>
        <v>Low Hike[11-15%]</v>
      </c>
      <c r="AC857" s="1">
        <v>3</v>
      </c>
      <c r="AD857" s="1">
        <v>2</v>
      </c>
      <c r="AE857" s="1">
        <v>80</v>
      </c>
      <c r="AF857" s="1">
        <v>1</v>
      </c>
      <c r="AG857" s="1">
        <v>14</v>
      </c>
      <c r="AH857" s="9" t="str" cm="1">
        <f t="array" ref="AH857">_xlfn.IFS(AG857 &lt;= 5, "New[1-5]", AG857 &lt;= 10, "Early Career[6-10]", AG857 &lt;= 20, "Established[11-20]", AG857 &lt;= 30, "Veteran[21-30]", AG857 &lt;= 40, "Late Career[31-40]")</f>
        <v>Established[11-20]</v>
      </c>
      <c r="AI857" s="1">
        <v>2</v>
      </c>
      <c r="AJ857" s="1">
        <v>2</v>
      </c>
      <c r="AK857" s="1">
        <v>14</v>
      </c>
      <c r="AL857" s="9" t="str" cm="1">
        <f t="array" ref="AL857">_xlfn.IFS(AK857 &lt;= 5, "New[1-5]", AK857 &lt;= 10, "Early Career[6-10]", AK857 &lt;= 20, "Established[11-20]", AK857 &lt;= 30, "Veteran[21-30]", AK857 &lt;= 40, "Late Career[31-40]")</f>
        <v>Established[11-20]</v>
      </c>
      <c r="AM857" s="1">
        <v>8</v>
      </c>
      <c r="AN857" s="9" t="str" cm="1">
        <f t="array" ref="AN857">_xlfn.IFS(AM857 &lt;= 3, "New to Role[1-3]", AM857 &lt;= 7, "Settled[4-7]", AM857 &lt;= 12, "Experienced[[8-12]", AM857 &lt;= 18, "Long Tenured[13-18]")</f>
        <v>Experienced[[8-12]</v>
      </c>
      <c r="AO857" s="1">
        <v>3</v>
      </c>
      <c r="AP857" s="9" t="str" cm="1">
        <f t="array" ref="AP857">_xlfn.IFS(AO857 &lt;= 3, "Recently[1-3]", AO857 &lt;= 6, "Due Soon[4-6]", AO857 &lt;= 10, "Overdue[7-10]", AO857 &lt;= 15, "Long Overdue[11-15]")</f>
        <v>Recently[1-3]</v>
      </c>
      <c r="AQ857" s="9" t="str" cm="1">
        <f t="array" ref="AQ857">_xlfn.IFS(AR857 &lt;= 3, "New Relationship[1-3]", AR857 &lt;= 7, "Established Relationship[4-7]", AR857 &lt;= 12, "Long Term Relationship[8-12]", AR857 &lt;= 17, "Very Long Term Relationship[13-17]")</f>
        <v>Long Term Relationship[8-12]</v>
      </c>
      <c r="AR857" s="1">
        <v>11</v>
      </c>
    </row>
    <row r="858" spans="1:44" x14ac:dyDescent="0.25">
      <c r="A858" s="1">
        <v>20</v>
      </c>
      <c r="B858" s="8" t="str" cm="1">
        <f t="array" ref="B858">_xlfn.IFS(A858 &lt;= 25, "[18-25]", A858 &lt;= 35, "[26-35]", A858 &lt;=45, "[36-45]", A858 &lt;= 60, "[46- 60]")</f>
        <v>[18-25]</v>
      </c>
      <c r="C858" s="3" t="s">
        <v>43</v>
      </c>
      <c r="D858">
        <f t="shared" si="13"/>
        <v>0</v>
      </c>
      <c r="E858" t="s">
        <v>36</v>
      </c>
      <c r="F858" s="1">
        <v>805</v>
      </c>
      <c r="G858" s="3" t="s">
        <v>45</v>
      </c>
      <c r="H858" s="1">
        <v>3</v>
      </c>
      <c r="I858" s="9" t="str" cm="1">
        <f t="array" ref="I858">_xlfn.IFS(H858 &lt;= 2, "[1-2] very close", H858 &lt;= 10, "[3-10] close", H858 &lt;= 20, "[11-20] moderate", H858 &lt;= 30, "[21-30] far")</f>
        <v>[3-10] close</v>
      </c>
      <c r="J858" s="1">
        <v>3</v>
      </c>
      <c r="K858" s="3" t="s">
        <v>38</v>
      </c>
      <c r="L858" s="1">
        <v>1</v>
      </c>
      <c r="M858" s="1">
        <v>1198</v>
      </c>
      <c r="N858" s="1">
        <v>1</v>
      </c>
      <c r="O858" s="3" t="s">
        <v>46</v>
      </c>
      <c r="P858" s="1">
        <v>87</v>
      </c>
      <c r="Q858" s="1">
        <v>2</v>
      </c>
      <c r="R858" s="1">
        <v>1</v>
      </c>
      <c r="S858" s="3" t="s">
        <v>50</v>
      </c>
      <c r="T858" s="1">
        <v>3</v>
      </c>
      <c r="U858" s="3" t="s">
        <v>41</v>
      </c>
      <c r="V858" s="4">
        <v>3033</v>
      </c>
      <c r="W858" s="1">
        <v>12828</v>
      </c>
      <c r="X858" s="1">
        <v>1</v>
      </c>
      <c r="Y858" s="3" t="s">
        <v>42</v>
      </c>
      <c r="Z858" s="3" t="s">
        <v>43</v>
      </c>
      <c r="AA858" s="5">
        <v>0.12</v>
      </c>
      <c r="AB858" s="10" t="str" cm="1">
        <f t="array" ref="AB858">_xlfn.IFS(AA858 &lt;= 15%, "Low Hike[11-15%]", AA858 &lt;= 20%, "Moderate Hike[16-20%]", AA858 &lt;= 25%,"High Hike[21-25%]")</f>
        <v>Low Hike[11-15%]</v>
      </c>
      <c r="AC858" s="1">
        <v>3</v>
      </c>
      <c r="AD858" s="1">
        <v>1</v>
      </c>
      <c r="AE858" s="1">
        <v>80</v>
      </c>
      <c r="AF858" s="1">
        <v>0</v>
      </c>
      <c r="AG858" s="1">
        <v>2</v>
      </c>
      <c r="AH858" s="9" t="str" cm="1">
        <f t="array" ref="AH858">_xlfn.IFS(AG858 &lt;= 5, "New[1-5]", AG858 &lt;= 10, "Early Career[6-10]", AG858 &lt;= 20, "Established[11-20]", AG858 &lt;= 30, "Veteran[21-30]", AG858 &lt;= 40, "Late Career[31-40]")</f>
        <v>New[1-5]</v>
      </c>
      <c r="AI858" s="1">
        <v>2</v>
      </c>
      <c r="AJ858" s="1">
        <v>2</v>
      </c>
      <c r="AK858" s="1">
        <v>2</v>
      </c>
      <c r="AL858" s="9" t="str" cm="1">
        <f t="array" ref="AL858">_xlfn.IFS(AK858 &lt;= 5, "New[1-5]", AK858 &lt;= 10, "Early Career[6-10]", AK858 &lt;= 20, "Established[11-20]", AK858 &lt;= 30, "Veteran[21-30]", AK858 &lt;= 40, "Late Career[31-40]")</f>
        <v>New[1-5]</v>
      </c>
      <c r="AM858" s="1">
        <v>2</v>
      </c>
      <c r="AN858" s="9" t="str" cm="1">
        <f t="array" ref="AN858">_xlfn.IFS(AM858 &lt;= 3, "New to Role[1-3]", AM858 &lt;= 7, "Settled[4-7]", AM858 &lt;= 12, "Experienced[[8-12]", AM858 &lt;= 18, "Long Tenured[13-18]")</f>
        <v>New to Role[1-3]</v>
      </c>
      <c r="AO858" s="1">
        <v>1</v>
      </c>
      <c r="AP858" s="9" t="str" cm="1">
        <f t="array" ref="AP858">_xlfn.IFS(AO858 &lt;= 3, "Recently[1-3]", AO858 &lt;= 6, "Due Soon[4-6]", AO858 &lt;= 10, "Overdue[7-10]", AO858 &lt;= 15, "Long Overdue[11-15]")</f>
        <v>Recently[1-3]</v>
      </c>
      <c r="AQ858" s="9" t="str" cm="1">
        <f t="array" ref="AQ858">_xlfn.IFS(AR858 &lt;= 3, "New Relationship[1-3]", AR858 &lt;= 7, "Established Relationship[4-7]", AR858 &lt;= 12, "Long Term Relationship[8-12]", AR858 &lt;= 17, "Very Long Term Relationship[13-17]")</f>
        <v>New Relationship[1-3]</v>
      </c>
      <c r="AR858" s="1">
        <v>2</v>
      </c>
    </row>
    <row r="859" spans="1:44" x14ac:dyDescent="0.25">
      <c r="A859" s="1">
        <v>44</v>
      </c>
      <c r="B859" s="8" t="str" cm="1">
        <f t="array" ref="B859">_xlfn.IFS(A859 &lt;= 25, "[18-25]", A859 &lt;= 35, "[26-35]", A859 &lt;=45, "[36-45]", A859 &lt;= 60, "[46- 60]")</f>
        <v>[36-45]</v>
      </c>
      <c r="C859" s="3" t="s">
        <v>35</v>
      </c>
      <c r="D859">
        <f t="shared" si="13"/>
        <v>1</v>
      </c>
      <c r="E859" t="s">
        <v>36</v>
      </c>
      <c r="F859" s="1">
        <v>1097</v>
      </c>
      <c r="G859" s="3" t="s">
        <v>45</v>
      </c>
      <c r="H859" s="1">
        <v>10</v>
      </c>
      <c r="I859" s="9" t="str" cm="1">
        <f t="array" ref="I859">_xlfn.IFS(H859 &lt;= 2, "[1-2] very close", H859 &lt;= 10, "[3-10] close", H859 &lt;= 20, "[11-20] moderate", H859 &lt;= 30, "[21-30] far")</f>
        <v>[3-10] close</v>
      </c>
      <c r="J859" s="1">
        <v>4</v>
      </c>
      <c r="K859" s="3" t="s">
        <v>38</v>
      </c>
      <c r="L859" s="1">
        <v>1</v>
      </c>
      <c r="M859" s="1">
        <v>1200</v>
      </c>
      <c r="N859" s="1">
        <v>3</v>
      </c>
      <c r="O859" s="3" t="s">
        <v>46</v>
      </c>
      <c r="P859" s="1">
        <v>96</v>
      </c>
      <c r="Q859" s="1">
        <v>3</v>
      </c>
      <c r="R859" s="1">
        <v>1</v>
      </c>
      <c r="S859" s="3" t="s">
        <v>47</v>
      </c>
      <c r="T859" s="1">
        <v>3</v>
      </c>
      <c r="U859" s="3" t="s">
        <v>41</v>
      </c>
      <c r="V859" s="4">
        <v>2936</v>
      </c>
      <c r="W859" s="1">
        <v>10826</v>
      </c>
      <c r="X859" s="1">
        <v>1</v>
      </c>
      <c r="Y859" s="3" t="s">
        <v>42</v>
      </c>
      <c r="Z859" s="3" t="s">
        <v>35</v>
      </c>
      <c r="AA859" s="5">
        <v>0.11</v>
      </c>
      <c r="AB859" s="10" t="str" cm="1">
        <f t="array" ref="AB859">_xlfn.IFS(AA859 &lt;= 15%, "Low Hike[11-15%]", AA859 &lt;= 20%, "Moderate Hike[16-20%]", AA859 &lt;= 25%,"High Hike[21-25%]")</f>
        <v>Low Hike[11-15%]</v>
      </c>
      <c r="AC859" s="1">
        <v>3</v>
      </c>
      <c r="AD859" s="1">
        <v>3</v>
      </c>
      <c r="AE859" s="1">
        <v>80</v>
      </c>
      <c r="AF859" s="1">
        <v>0</v>
      </c>
      <c r="AG859" s="1">
        <v>6</v>
      </c>
      <c r="AH859" s="9" t="str" cm="1">
        <f t="array" ref="AH859">_xlfn.IFS(AG859 &lt;= 5, "New[1-5]", AG859 &lt;= 10, "Early Career[6-10]", AG859 &lt;= 20, "Established[11-20]", AG859 &lt;= 30, "Veteran[21-30]", AG859 &lt;= 40, "Late Career[31-40]")</f>
        <v>Early Career[6-10]</v>
      </c>
      <c r="AI859" s="1">
        <v>4</v>
      </c>
      <c r="AJ859" s="1">
        <v>3</v>
      </c>
      <c r="AK859" s="1">
        <v>6</v>
      </c>
      <c r="AL859" s="9" t="str" cm="1">
        <f t="array" ref="AL859">_xlfn.IFS(AK859 &lt;= 5, "New[1-5]", AK859 &lt;= 10, "Early Career[6-10]", AK859 &lt;= 20, "Established[11-20]", AK859 &lt;= 30, "Veteran[21-30]", AK859 &lt;= 40, "Late Career[31-40]")</f>
        <v>Early Career[6-10]</v>
      </c>
      <c r="AM859" s="1">
        <v>4</v>
      </c>
      <c r="AN859" s="9" t="str" cm="1">
        <f t="array" ref="AN859">_xlfn.IFS(AM859 &lt;= 3, "New to Role[1-3]", AM859 &lt;= 7, "Settled[4-7]", AM859 &lt;= 12, "Experienced[[8-12]", AM859 &lt;= 18, "Long Tenured[13-18]")</f>
        <v>Settled[4-7]</v>
      </c>
      <c r="AO859" s="1">
        <v>0</v>
      </c>
      <c r="AP859" s="9" t="str" cm="1">
        <f t="array" ref="AP859">_xlfn.IFS(AO859 &lt;= 3, "Recently[1-3]", AO859 &lt;= 6, "Due Soon[4-6]", AO859 &lt;= 10, "Overdue[7-10]", AO859 &lt;= 15, "Long Overdue[11-15]")</f>
        <v>Recently[1-3]</v>
      </c>
      <c r="AQ859" s="9" t="str" cm="1">
        <f t="array" ref="AQ859">_xlfn.IFS(AR859 &lt;= 3, "New Relationship[1-3]", AR859 &lt;= 7, "Established Relationship[4-7]", AR859 &lt;= 12, "Long Term Relationship[8-12]", AR859 &lt;= 17, "Very Long Term Relationship[13-17]")</f>
        <v>New Relationship[1-3]</v>
      </c>
      <c r="AR859" s="1">
        <v>2</v>
      </c>
    </row>
    <row r="860" spans="1:44" x14ac:dyDescent="0.25">
      <c r="A860" s="1">
        <v>53</v>
      </c>
      <c r="B860" s="8" t="str" cm="1">
        <f t="array" ref="B860">_xlfn.IFS(A860 &lt;= 25, "[18-25]", A860 &lt;= 35, "[26-35]", A860 &lt;=45, "[36-45]", A860 &lt;= 60, "[46- 60]")</f>
        <v>[46- 60]</v>
      </c>
      <c r="C860" s="3" t="s">
        <v>43</v>
      </c>
      <c r="D860">
        <f t="shared" si="13"/>
        <v>0</v>
      </c>
      <c r="E860" t="s">
        <v>36</v>
      </c>
      <c r="F860" s="1">
        <v>1223</v>
      </c>
      <c r="G860" s="3" t="s">
        <v>45</v>
      </c>
      <c r="H860" s="1">
        <v>7</v>
      </c>
      <c r="I860" s="9" t="str" cm="1">
        <f t="array" ref="I860">_xlfn.IFS(H860 &lt;= 2, "[1-2] very close", H860 &lt;= 10, "[3-10] close", H860 &lt;= 20, "[11-20] moderate", H860 &lt;= 30, "[21-30] far")</f>
        <v>[3-10] close</v>
      </c>
      <c r="J860" s="1">
        <v>2</v>
      </c>
      <c r="K860" s="3" t="s">
        <v>51</v>
      </c>
      <c r="L860" s="1">
        <v>1</v>
      </c>
      <c r="M860" s="1">
        <v>1201</v>
      </c>
      <c r="N860" s="1">
        <v>4</v>
      </c>
      <c r="O860" s="3" t="s">
        <v>39</v>
      </c>
      <c r="P860" s="1">
        <v>50</v>
      </c>
      <c r="Q860" s="1">
        <v>3</v>
      </c>
      <c r="R860" s="1">
        <v>5</v>
      </c>
      <c r="S860" s="3" t="s">
        <v>56</v>
      </c>
      <c r="T860" s="1">
        <v>3</v>
      </c>
      <c r="U860" s="3" t="s">
        <v>52</v>
      </c>
      <c r="V860" s="4">
        <v>18606</v>
      </c>
      <c r="W860" s="1">
        <v>18640</v>
      </c>
      <c r="X860" s="1">
        <v>3</v>
      </c>
      <c r="Y860" s="3" t="s">
        <v>42</v>
      </c>
      <c r="Z860" s="3" t="s">
        <v>43</v>
      </c>
      <c r="AA860" s="5">
        <v>0.18</v>
      </c>
      <c r="AB860" s="10" t="str" cm="1">
        <f t="array" ref="AB860">_xlfn.IFS(AA860 &lt;= 15%, "Low Hike[11-15%]", AA860 &lt;= 20%, "Moderate Hike[16-20%]", AA860 &lt;= 25%,"High Hike[21-25%]")</f>
        <v>Moderate Hike[16-20%]</v>
      </c>
      <c r="AC860" s="1">
        <v>3</v>
      </c>
      <c r="AD860" s="1">
        <v>2</v>
      </c>
      <c r="AE860" s="1">
        <v>80</v>
      </c>
      <c r="AF860" s="1">
        <v>1</v>
      </c>
      <c r="AG860" s="1">
        <v>26</v>
      </c>
      <c r="AH860" s="9" t="str" cm="1">
        <f t="array" ref="AH860">_xlfn.IFS(AG860 &lt;= 5, "New[1-5]", AG860 &lt;= 10, "Early Career[6-10]", AG860 &lt;= 20, "Established[11-20]", AG860 &lt;= 30, "Veteran[21-30]", AG860 &lt;= 40, "Late Career[31-40]")</f>
        <v>Veteran[21-30]</v>
      </c>
      <c r="AI860" s="1">
        <v>6</v>
      </c>
      <c r="AJ860" s="1">
        <v>3</v>
      </c>
      <c r="AK860" s="1">
        <v>7</v>
      </c>
      <c r="AL860" s="9" t="str" cm="1">
        <f t="array" ref="AL860">_xlfn.IFS(AK860 &lt;= 5, "New[1-5]", AK860 &lt;= 10, "Early Career[6-10]", AK860 &lt;= 20, "Established[11-20]", AK860 &lt;= 30, "Veteran[21-30]", AK860 &lt;= 40, "Late Career[31-40]")</f>
        <v>Early Career[6-10]</v>
      </c>
      <c r="AM860" s="1">
        <v>7</v>
      </c>
      <c r="AN860" s="9" t="str" cm="1">
        <f t="array" ref="AN860">_xlfn.IFS(AM860 &lt;= 3, "New to Role[1-3]", AM860 &lt;= 7, "Settled[4-7]", AM860 &lt;= 12, "Experienced[[8-12]", AM860 &lt;= 18, "Long Tenured[13-18]")</f>
        <v>Settled[4-7]</v>
      </c>
      <c r="AO860" s="1">
        <v>4</v>
      </c>
      <c r="AP860" s="9" t="str" cm="1">
        <f t="array" ref="AP860">_xlfn.IFS(AO860 &lt;= 3, "Recently[1-3]", AO860 &lt;= 6, "Due Soon[4-6]", AO860 &lt;= 10, "Overdue[7-10]", AO860 &lt;= 15, "Long Overdue[11-15]")</f>
        <v>Due Soon[4-6]</v>
      </c>
      <c r="AQ860" s="9" t="str" cm="1">
        <f t="array" ref="AQ860">_xlfn.IFS(AR860 &lt;= 3, "New Relationship[1-3]", AR860 &lt;= 7, "Established Relationship[4-7]", AR860 &lt;= 12, "Long Term Relationship[8-12]", AR860 &lt;= 17, "Very Long Term Relationship[13-17]")</f>
        <v>Established Relationship[4-7]</v>
      </c>
      <c r="AR860" s="1">
        <v>7</v>
      </c>
    </row>
    <row r="861" spans="1:44" x14ac:dyDescent="0.25">
      <c r="A861" s="1">
        <v>29</v>
      </c>
      <c r="B861" s="8" t="str" cm="1">
        <f t="array" ref="B861">_xlfn.IFS(A861 &lt;= 25, "[18-25]", A861 &lt;= 35, "[26-35]", A861 &lt;=45, "[36-45]", A861 &lt;= 60, "[46- 60]")</f>
        <v>[26-35]</v>
      </c>
      <c r="C861" s="3" t="s">
        <v>43</v>
      </c>
      <c r="D861">
        <f t="shared" si="13"/>
        <v>0</v>
      </c>
      <c r="E861" t="s">
        <v>36</v>
      </c>
      <c r="F861" s="1">
        <v>942</v>
      </c>
      <c r="G861" s="3" t="s">
        <v>45</v>
      </c>
      <c r="H861" s="1">
        <v>15</v>
      </c>
      <c r="I861" s="9" t="str" cm="1">
        <f t="array" ref="I861">_xlfn.IFS(H861 &lt;= 2, "[1-2] very close", H861 &lt;= 10, "[3-10] close", H861 &lt;= 20, "[11-20] moderate", H861 &lt;= 30, "[21-30] far")</f>
        <v>[11-20] moderate</v>
      </c>
      <c r="J861" s="1">
        <v>1</v>
      </c>
      <c r="K861" s="3" t="s">
        <v>38</v>
      </c>
      <c r="L861" s="1">
        <v>1</v>
      </c>
      <c r="M861" s="1">
        <v>1202</v>
      </c>
      <c r="N861" s="1">
        <v>2</v>
      </c>
      <c r="O861" s="3" t="s">
        <v>39</v>
      </c>
      <c r="P861" s="1">
        <v>69</v>
      </c>
      <c r="Q861" s="1">
        <v>1</v>
      </c>
      <c r="R861" s="1">
        <v>1</v>
      </c>
      <c r="S861" s="3" t="s">
        <v>47</v>
      </c>
      <c r="T861" s="1">
        <v>4</v>
      </c>
      <c r="U861" s="3" t="s">
        <v>48</v>
      </c>
      <c r="V861" s="4">
        <v>2168</v>
      </c>
      <c r="W861" s="1">
        <v>26933</v>
      </c>
      <c r="X861" s="1">
        <v>0</v>
      </c>
      <c r="Y861" s="3" t="s">
        <v>42</v>
      </c>
      <c r="Z861" s="3" t="s">
        <v>35</v>
      </c>
      <c r="AA861" s="5">
        <v>0.18</v>
      </c>
      <c r="AB861" s="10" t="str" cm="1">
        <f t="array" ref="AB861">_xlfn.IFS(AA861 &lt;= 15%, "Low Hike[11-15%]", AA861 &lt;= 20%, "Moderate Hike[16-20%]", AA861 &lt;= 25%,"High Hike[21-25%]")</f>
        <v>Moderate Hike[16-20%]</v>
      </c>
      <c r="AC861" s="1">
        <v>3</v>
      </c>
      <c r="AD861" s="1">
        <v>1</v>
      </c>
      <c r="AE861" s="1">
        <v>80</v>
      </c>
      <c r="AF861" s="1">
        <v>1</v>
      </c>
      <c r="AG861" s="1">
        <v>6</v>
      </c>
      <c r="AH861" s="9" t="str" cm="1">
        <f t="array" ref="AH861">_xlfn.IFS(AG861 &lt;= 5, "New[1-5]", AG861 &lt;= 10, "Early Career[6-10]", AG861 &lt;= 20, "Established[11-20]", AG861 &lt;= 30, "Veteran[21-30]", AG861 &lt;= 40, "Late Career[31-40]")</f>
        <v>Early Career[6-10]</v>
      </c>
      <c r="AI861" s="1">
        <v>2</v>
      </c>
      <c r="AJ861" s="1">
        <v>2</v>
      </c>
      <c r="AK861" s="1">
        <v>5</v>
      </c>
      <c r="AL861" s="9" t="str" cm="1">
        <f t="array" ref="AL861">_xlfn.IFS(AK861 &lt;= 5, "New[1-5]", AK861 &lt;= 10, "Early Career[6-10]", AK861 &lt;= 20, "Established[11-20]", AK861 &lt;= 30, "Veteran[21-30]", AK861 &lt;= 40, "Late Career[31-40]")</f>
        <v>New[1-5]</v>
      </c>
      <c r="AM861" s="1">
        <v>4</v>
      </c>
      <c r="AN861" s="9" t="str" cm="1">
        <f t="array" ref="AN861">_xlfn.IFS(AM861 &lt;= 3, "New to Role[1-3]", AM861 &lt;= 7, "Settled[4-7]", AM861 &lt;= 12, "Experienced[[8-12]", AM861 &lt;= 18, "Long Tenured[13-18]")</f>
        <v>Settled[4-7]</v>
      </c>
      <c r="AO861" s="1">
        <v>1</v>
      </c>
      <c r="AP861" s="9" t="str" cm="1">
        <f t="array" ref="AP861">_xlfn.IFS(AO861 &lt;= 3, "Recently[1-3]", AO861 &lt;= 6, "Due Soon[4-6]", AO861 &lt;= 10, "Overdue[7-10]", AO861 &lt;= 15, "Long Overdue[11-15]")</f>
        <v>Recently[1-3]</v>
      </c>
      <c r="AQ861" s="9" t="str" cm="1">
        <f t="array" ref="AQ861">_xlfn.IFS(AR861 &lt;= 3, "New Relationship[1-3]", AR861 &lt;= 7, "Established Relationship[4-7]", AR861 &lt;= 12, "Long Term Relationship[8-12]", AR861 &lt;= 17, "Very Long Term Relationship[13-17]")</f>
        <v>New Relationship[1-3]</v>
      </c>
      <c r="AR861" s="1">
        <v>3</v>
      </c>
    </row>
    <row r="862" spans="1:44" x14ac:dyDescent="0.25">
      <c r="A862" s="1">
        <v>22</v>
      </c>
      <c r="B862" s="8" t="str" cm="1">
        <f t="array" ref="B862">_xlfn.IFS(A862 &lt;= 25, "[18-25]", A862 &lt;= 35, "[26-35]", A862 &lt;=45, "[36-45]", A862 &lt;= 60, "[46- 60]")</f>
        <v>[18-25]</v>
      </c>
      <c r="C862" s="3" t="s">
        <v>35</v>
      </c>
      <c r="D862">
        <f t="shared" si="13"/>
        <v>1</v>
      </c>
      <c r="E862" t="s">
        <v>44</v>
      </c>
      <c r="F862" s="1">
        <v>1256</v>
      </c>
      <c r="G862" s="3" t="s">
        <v>45</v>
      </c>
      <c r="H862" s="1">
        <v>3</v>
      </c>
      <c r="I862" s="9" t="str" cm="1">
        <f t="array" ref="I862">_xlfn.IFS(H862 &lt;= 2, "[1-2] very close", H862 &lt;= 10, "[3-10] close", H862 &lt;= 20, "[11-20] moderate", H862 &lt;= 30, "[21-30] far")</f>
        <v>[3-10] close</v>
      </c>
      <c r="J862" s="1">
        <v>4</v>
      </c>
      <c r="K862" s="3" t="s">
        <v>38</v>
      </c>
      <c r="L862" s="1">
        <v>1</v>
      </c>
      <c r="M862" s="1">
        <v>1203</v>
      </c>
      <c r="N862" s="1">
        <v>3</v>
      </c>
      <c r="O862" s="3" t="s">
        <v>46</v>
      </c>
      <c r="P862" s="1">
        <v>48</v>
      </c>
      <c r="Q862" s="1">
        <v>2</v>
      </c>
      <c r="R862" s="1">
        <v>1</v>
      </c>
      <c r="S862" s="3" t="s">
        <v>47</v>
      </c>
      <c r="T862" s="1">
        <v>4</v>
      </c>
      <c r="U862" s="3" t="s">
        <v>48</v>
      </c>
      <c r="V862" s="4">
        <v>2853</v>
      </c>
      <c r="W862" s="1">
        <v>4223</v>
      </c>
      <c r="X862" s="1">
        <v>0</v>
      </c>
      <c r="Y862" s="3" t="s">
        <v>42</v>
      </c>
      <c r="Z862" s="3" t="s">
        <v>35</v>
      </c>
      <c r="AA862" s="5">
        <v>0.11</v>
      </c>
      <c r="AB862" s="10" t="str" cm="1">
        <f t="array" ref="AB862">_xlfn.IFS(AA862 &lt;= 15%, "Low Hike[11-15%]", AA862 &lt;= 20%, "Moderate Hike[16-20%]", AA862 &lt;= 25%,"High Hike[21-25%]")</f>
        <v>Low Hike[11-15%]</v>
      </c>
      <c r="AC862" s="1">
        <v>3</v>
      </c>
      <c r="AD862" s="1">
        <v>2</v>
      </c>
      <c r="AE862" s="1">
        <v>80</v>
      </c>
      <c r="AF862" s="1">
        <v>1</v>
      </c>
      <c r="AG862" s="1">
        <v>1</v>
      </c>
      <c r="AH862" s="9" t="str" cm="1">
        <f t="array" ref="AH862">_xlfn.IFS(AG862 &lt;= 5, "New[1-5]", AG862 &lt;= 10, "Early Career[6-10]", AG862 &lt;= 20, "Established[11-20]", AG862 &lt;= 30, "Veteran[21-30]", AG862 &lt;= 40, "Late Career[31-40]")</f>
        <v>New[1-5]</v>
      </c>
      <c r="AI862" s="1">
        <v>5</v>
      </c>
      <c r="AJ862" s="1">
        <v>3</v>
      </c>
      <c r="AK862" s="1">
        <v>0</v>
      </c>
      <c r="AL862" s="9" t="str" cm="1">
        <f t="array" ref="AL862">_xlfn.IFS(AK862 &lt;= 5, "New[1-5]", AK862 &lt;= 10, "Early Career[6-10]", AK862 &lt;= 20, "Established[11-20]", AK862 &lt;= 30, "Veteran[21-30]", AK862 &lt;= 40, "Late Career[31-40]")</f>
        <v>New[1-5]</v>
      </c>
      <c r="AM862" s="1">
        <v>0</v>
      </c>
      <c r="AN862" s="9" t="str" cm="1">
        <f t="array" ref="AN862">_xlfn.IFS(AM862 &lt;= 3, "New to Role[1-3]", AM862 &lt;= 7, "Settled[4-7]", AM862 &lt;= 12, "Experienced[[8-12]", AM862 &lt;= 18, "Long Tenured[13-18]")</f>
        <v>New to Role[1-3]</v>
      </c>
      <c r="AO862" s="1">
        <v>0</v>
      </c>
      <c r="AP862" s="9" t="str" cm="1">
        <f t="array" ref="AP862">_xlfn.IFS(AO862 &lt;= 3, "Recently[1-3]", AO862 &lt;= 6, "Due Soon[4-6]", AO862 &lt;= 10, "Overdue[7-10]", AO862 &lt;= 15, "Long Overdue[11-15]")</f>
        <v>Recently[1-3]</v>
      </c>
      <c r="AQ862" s="9" t="str" cm="1">
        <f t="array" ref="AQ862">_xlfn.IFS(AR862 &lt;= 3, "New Relationship[1-3]", AR862 &lt;= 7, "Established Relationship[4-7]", AR862 &lt;= 12, "Long Term Relationship[8-12]", AR862 &lt;= 17, "Very Long Term Relationship[13-17]")</f>
        <v>New Relationship[1-3]</v>
      </c>
      <c r="AR862" s="1">
        <v>0</v>
      </c>
    </row>
    <row r="863" spans="1:44" x14ac:dyDescent="0.25">
      <c r="A863" s="1">
        <v>46</v>
      </c>
      <c r="B863" s="8" t="str" cm="1">
        <f t="array" ref="B863">_xlfn.IFS(A863 &lt;= 25, "[18-25]", A863 &lt;= 35, "[26-35]", A863 &lt;=45, "[36-45]", A863 &lt;= 60, "[46- 60]")</f>
        <v>[46- 60]</v>
      </c>
      <c r="C863" s="3" t="s">
        <v>43</v>
      </c>
      <c r="D863">
        <f t="shared" si="13"/>
        <v>0</v>
      </c>
      <c r="E863" t="s">
        <v>36</v>
      </c>
      <c r="F863" s="1">
        <v>1402</v>
      </c>
      <c r="G863" s="3" t="s">
        <v>37</v>
      </c>
      <c r="H863" s="1">
        <v>2</v>
      </c>
      <c r="I863" s="9" t="str" cm="1">
        <f t="array" ref="I863">_xlfn.IFS(H863 &lt;= 2, "[1-2] very close", H863 &lt;= 10, "[3-10] close", H863 &lt;= 20, "[11-20] moderate", H863 &lt;= 30, "[21-30] far")</f>
        <v>[1-2] very close</v>
      </c>
      <c r="J863" s="1">
        <v>3</v>
      </c>
      <c r="K863" s="3" t="s">
        <v>59</v>
      </c>
      <c r="L863" s="1">
        <v>1</v>
      </c>
      <c r="M863" s="1">
        <v>1204</v>
      </c>
      <c r="N863" s="1">
        <v>3</v>
      </c>
      <c r="O863" s="3" t="s">
        <v>39</v>
      </c>
      <c r="P863" s="1">
        <v>69</v>
      </c>
      <c r="Q863" s="1">
        <v>3</v>
      </c>
      <c r="R863" s="1">
        <v>4</v>
      </c>
      <c r="S863" s="3" t="s">
        <v>56</v>
      </c>
      <c r="T863" s="1">
        <v>1</v>
      </c>
      <c r="U863" s="3" t="s">
        <v>48</v>
      </c>
      <c r="V863" s="4">
        <v>17048</v>
      </c>
      <c r="W863" s="1">
        <v>24097</v>
      </c>
      <c r="X863" s="1">
        <v>8</v>
      </c>
      <c r="Y863" s="3" t="s">
        <v>42</v>
      </c>
      <c r="Z863" s="3" t="s">
        <v>43</v>
      </c>
      <c r="AA863" s="5">
        <v>0.23</v>
      </c>
      <c r="AB863" s="10" t="str" cm="1">
        <f t="array" ref="AB863">_xlfn.IFS(AA863 &lt;= 15%, "Low Hike[11-15%]", AA863 &lt;= 20%, "Moderate Hike[16-20%]", AA863 &lt;= 25%,"High Hike[21-25%]")</f>
        <v>High Hike[21-25%]</v>
      </c>
      <c r="AC863" s="1">
        <v>4</v>
      </c>
      <c r="AD863" s="1">
        <v>1</v>
      </c>
      <c r="AE863" s="1">
        <v>80</v>
      </c>
      <c r="AF863" s="1">
        <v>0</v>
      </c>
      <c r="AG863" s="1">
        <v>28</v>
      </c>
      <c r="AH863" s="9" t="str" cm="1">
        <f t="array" ref="AH863">_xlfn.IFS(AG863 &lt;= 5, "New[1-5]", AG863 &lt;= 10, "Early Career[6-10]", AG863 &lt;= 20, "Established[11-20]", AG863 &lt;= 30, "Veteran[21-30]", AG863 &lt;= 40, "Late Career[31-40]")</f>
        <v>Veteran[21-30]</v>
      </c>
      <c r="AI863" s="1">
        <v>2</v>
      </c>
      <c r="AJ863" s="1">
        <v>3</v>
      </c>
      <c r="AK863" s="1">
        <v>26</v>
      </c>
      <c r="AL863" s="9" t="str" cm="1">
        <f t="array" ref="AL863">_xlfn.IFS(AK863 &lt;= 5, "New[1-5]", AK863 &lt;= 10, "Early Career[6-10]", AK863 &lt;= 20, "Established[11-20]", AK863 &lt;= 30, "Veteran[21-30]", AK863 &lt;= 40, "Late Career[31-40]")</f>
        <v>Veteran[21-30]</v>
      </c>
      <c r="AM863" s="1">
        <v>15</v>
      </c>
      <c r="AN863" s="9" t="str" cm="1">
        <f t="array" ref="AN863">_xlfn.IFS(AM863 &lt;= 3, "New to Role[1-3]", AM863 &lt;= 7, "Settled[4-7]", AM863 &lt;= 12, "Experienced[[8-12]", AM863 &lt;= 18, "Long Tenured[13-18]")</f>
        <v>Long Tenured[13-18]</v>
      </c>
      <c r="AO863" s="1">
        <v>15</v>
      </c>
      <c r="AP863" s="9" t="str" cm="1">
        <f t="array" ref="AP863">_xlfn.IFS(AO863 &lt;= 3, "Recently[1-3]", AO863 &lt;= 6, "Due Soon[4-6]", AO863 &lt;= 10, "Overdue[7-10]", AO863 &lt;= 15, "Long Overdue[11-15]")</f>
        <v>Long Overdue[11-15]</v>
      </c>
      <c r="AQ863" s="9" t="str" cm="1">
        <f t="array" ref="AQ863">_xlfn.IFS(AR863 &lt;= 3, "New Relationship[1-3]", AR863 &lt;= 7, "Established Relationship[4-7]", AR863 &lt;= 12, "Long Term Relationship[8-12]", AR863 &lt;= 17, "Very Long Term Relationship[13-17]")</f>
        <v>Long Term Relationship[8-12]</v>
      </c>
      <c r="AR863" s="1">
        <v>9</v>
      </c>
    </row>
    <row r="864" spans="1:44" x14ac:dyDescent="0.25">
      <c r="A864" s="1">
        <v>44</v>
      </c>
      <c r="B864" s="8" t="str" cm="1">
        <f t="array" ref="B864">_xlfn.IFS(A864 &lt;= 25, "[18-25]", A864 &lt;= 35, "[26-35]", A864 &lt;=45, "[36-45]", A864 &lt;= 60, "[46- 60]")</f>
        <v>[36-45]</v>
      </c>
      <c r="C864" s="3" t="s">
        <v>43</v>
      </c>
      <c r="D864">
        <f t="shared" si="13"/>
        <v>0</v>
      </c>
      <c r="E864" t="s">
        <v>62</v>
      </c>
      <c r="F864" s="1">
        <v>111</v>
      </c>
      <c r="G864" s="3" t="s">
        <v>45</v>
      </c>
      <c r="H864" s="1">
        <v>17</v>
      </c>
      <c r="I864" s="9" t="str" cm="1">
        <f t="array" ref="I864">_xlfn.IFS(H864 &lt;= 2, "[1-2] very close", H864 &lt;= 10, "[3-10] close", H864 &lt;= 20, "[11-20] moderate", H864 &lt;= 30, "[21-30] far")</f>
        <v>[11-20] moderate</v>
      </c>
      <c r="J864" s="1">
        <v>3</v>
      </c>
      <c r="K864" s="3" t="s">
        <v>38</v>
      </c>
      <c r="L864" s="1">
        <v>1</v>
      </c>
      <c r="M864" s="1">
        <v>1206</v>
      </c>
      <c r="N864" s="1">
        <v>4</v>
      </c>
      <c r="O864" s="3" t="s">
        <v>46</v>
      </c>
      <c r="P864" s="1">
        <v>74</v>
      </c>
      <c r="Q864" s="1">
        <v>1</v>
      </c>
      <c r="R864" s="1">
        <v>1</v>
      </c>
      <c r="S864" s="3" t="s">
        <v>47</v>
      </c>
      <c r="T864" s="1">
        <v>3</v>
      </c>
      <c r="U864" s="3" t="s">
        <v>41</v>
      </c>
      <c r="V864" s="4">
        <v>2290</v>
      </c>
      <c r="W864" s="1">
        <v>4279</v>
      </c>
      <c r="X864" s="1">
        <v>2</v>
      </c>
      <c r="Y864" s="3" t="s">
        <v>42</v>
      </c>
      <c r="Z864" s="3" t="s">
        <v>43</v>
      </c>
      <c r="AA864" s="5">
        <v>0.13</v>
      </c>
      <c r="AB864" s="10" t="str" cm="1">
        <f t="array" ref="AB864">_xlfn.IFS(AA864 &lt;= 15%, "Low Hike[11-15%]", AA864 &lt;= 20%, "Moderate Hike[16-20%]", AA864 &lt;= 25%,"High Hike[21-25%]")</f>
        <v>Low Hike[11-15%]</v>
      </c>
      <c r="AC864" s="1">
        <v>3</v>
      </c>
      <c r="AD864" s="1">
        <v>4</v>
      </c>
      <c r="AE864" s="1">
        <v>80</v>
      </c>
      <c r="AF864" s="1">
        <v>0</v>
      </c>
      <c r="AG864" s="1">
        <v>6</v>
      </c>
      <c r="AH864" s="9" t="str" cm="1">
        <f t="array" ref="AH864">_xlfn.IFS(AG864 &lt;= 5, "New[1-5]", AG864 &lt;= 10, "Early Career[6-10]", AG864 &lt;= 20, "Established[11-20]", AG864 &lt;= 30, "Veteran[21-30]", AG864 &lt;= 40, "Late Career[31-40]")</f>
        <v>Early Career[6-10]</v>
      </c>
      <c r="AI864" s="1">
        <v>3</v>
      </c>
      <c r="AJ864" s="1">
        <v>3</v>
      </c>
      <c r="AK864" s="1">
        <v>0</v>
      </c>
      <c r="AL864" s="9" t="str" cm="1">
        <f t="array" ref="AL864">_xlfn.IFS(AK864 &lt;= 5, "New[1-5]", AK864 &lt;= 10, "Early Career[6-10]", AK864 &lt;= 20, "Established[11-20]", AK864 &lt;= 30, "Veteran[21-30]", AK864 &lt;= 40, "Late Career[31-40]")</f>
        <v>New[1-5]</v>
      </c>
      <c r="AM864" s="1">
        <v>0</v>
      </c>
      <c r="AN864" s="9" t="str" cm="1">
        <f t="array" ref="AN864">_xlfn.IFS(AM864 &lt;= 3, "New to Role[1-3]", AM864 &lt;= 7, "Settled[4-7]", AM864 &lt;= 12, "Experienced[[8-12]", AM864 &lt;= 18, "Long Tenured[13-18]")</f>
        <v>New to Role[1-3]</v>
      </c>
      <c r="AO864" s="1">
        <v>0</v>
      </c>
      <c r="AP864" s="9" t="str" cm="1">
        <f t="array" ref="AP864">_xlfn.IFS(AO864 &lt;= 3, "Recently[1-3]", AO864 &lt;= 6, "Due Soon[4-6]", AO864 &lt;= 10, "Overdue[7-10]", AO864 &lt;= 15, "Long Overdue[11-15]")</f>
        <v>Recently[1-3]</v>
      </c>
      <c r="AQ864" s="9" t="str" cm="1">
        <f t="array" ref="AQ864">_xlfn.IFS(AR864 &lt;= 3, "New Relationship[1-3]", AR864 &lt;= 7, "Established Relationship[4-7]", AR864 &lt;= 12, "Long Term Relationship[8-12]", AR864 &lt;= 17, "Very Long Term Relationship[13-17]")</f>
        <v>New Relationship[1-3]</v>
      </c>
      <c r="AR864" s="1">
        <v>0</v>
      </c>
    </row>
    <row r="865" spans="1:44" x14ac:dyDescent="0.25">
      <c r="A865" s="1">
        <v>33</v>
      </c>
      <c r="B865" s="8" t="str" cm="1">
        <f t="array" ref="B865">_xlfn.IFS(A865 &lt;= 25, "[18-25]", A865 &lt;= 35, "[26-35]", A865 &lt;=45, "[36-45]", A865 &lt;= 60, "[46- 60]")</f>
        <v>[26-35]</v>
      </c>
      <c r="C865" s="3" t="s">
        <v>43</v>
      </c>
      <c r="D865">
        <f t="shared" si="13"/>
        <v>0</v>
      </c>
      <c r="E865" t="s">
        <v>36</v>
      </c>
      <c r="F865" s="1">
        <v>147</v>
      </c>
      <c r="G865" s="3" t="s">
        <v>61</v>
      </c>
      <c r="H865" s="1">
        <v>2</v>
      </c>
      <c r="I865" s="9" t="str" cm="1">
        <f t="array" ref="I865">_xlfn.IFS(H865 &lt;= 2, "[1-2] very close", H865 &lt;= 10, "[3-10] close", H865 &lt;= 20, "[11-20] moderate", H865 &lt;= 30, "[21-30] far")</f>
        <v>[1-2] very close</v>
      </c>
      <c r="J865" s="1">
        <v>3</v>
      </c>
      <c r="K865" s="3" t="s">
        <v>61</v>
      </c>
      <c r="L865" s="1">
        <v>1</v>
      </c>
      <c r="M865" s="1">
        <v>1207</v>
      </c>
      <c r="N865" s="1">
        <v>2</v>
      </c>
      <c r="O865" s="3" t="s">
        <v>46</v>
      </c>
      <c r="P865" s="1">
        <v>99</v>
      </c>
      <c r="Q865" s="1">
        <v>3</v>
      </c>
      <c r="R865" s="1">
        <v>1</v>
      </c>
      <c r="S865" s="3" t="s">
        <v>61</v>
      </c>
      <c r="T865" s="1">
        <v>3</v>
      </c>
      <c r="U865" s="3" t="s">
        <v>48</v>
      </c>
      <c r="V865" s="4">
        <v>3600</v>
      </c>
      <c r="W865" s="1">
        <v>8429</v>
      </c>
      <c r="X865" s="1">
        <v>1</v>
      </c>
      <c r="Y865" s="3" t="s">
        <v>42</v>
      </c>
      <c r="Z865" s="3" t="s">
        <v>43</v>
      </c>
      <c r="AA865" s="5">
        <v>0.13</v>
      </c>
      <c r="AB865" s="10" t="str" cm="1">
        <f t="array" ref="AB865">_xlfn.IFS(AA865 &lt;= 15%, "Low Hike[11-15%]", AA865 &lt;= 20%, "Moderate Hike[16-20%]", AA865 &lt;= 25%,"High Hike[21-25%]")</f>
        <v>Low Hike[11-15%]</v>
      </c>
      <c r="AC865" s="1">
        <v>3</v>
      </c>
      <c r="AD865" s="1">
        <v>4</v>
      </c>
      <c r="AE865" s="1">
        <v>80</v>
      </c>
      <c r="AF865" s="1">
        <v>1</v>
      </c>
      <c r="AG865" s="1">
        <v>5</v>
      </c>
      <c r="AH865" s="9" t="str" cm="1">
        <f t="array" ref="AH865">_xlfn.IFS(AG865 &lt;= 5, "New[1-5]", AG865 &lt;= 10, "Early Career[6-10]", AG865 &lt;= 20, "Established[11-20]", AG865 &lt;= 30, "Veteran[21-30]", AG865 &lt;= 40, "Late Career[31-40]")</f>
        <v>New[1-5]</v>
      </c>
      <c r="AI865" s="1">
        <v>2</v>
      </c>
      <c r="AJ865" s="1">
        <v>3</v>
      </c>
      <c r="AK865" s="1">
        <v>5</v>
      </c>
      <c r="AL865" s="9" t="str" cm="1">
        <f t="array" ref="AL865">_xlfn.IFS(AK865 &lt;= 5, "New[1-5]", AK865 &lt;= 10, "Early Career[6-10]", AK865 &lt;= 20, "Established[11-20]", AK865 &lt;= 30, "Veteran[21-30]", AK865 &lt;= 40, "Late Career[31-40]")</f>
        <v>New[1-5]</v>
      </c>
      <c r="AM865" s="1">
        <v>4</v>
      </c>
      <c r="AN865" s="9" t="str" cm="1">
        <f t="array" ref="AN865">_xlfn.IFS(AM865 &lt;= 3, "New to Role[1-3]", AM865 &lt;= 7, "Settled[4-7]", AM865 &lt;= 12, "Experienced[[8-12]", AM865 &lt;= 18, "Long Tenured[13-18]")</f>
        <v>Settled[4-7]</v>
      </c>
      <c r="AO865" s="1">
        <v>1</v>
      </c>
      <c r="AP865" s="9" t="str" cm="1">
        <f t="array" ref="AP865">_xlfn.IFS(AO865 &lt;= 3, "Recently[1-3]", AO865 &lt;= 6, "Due Soon[4-6]", AO865 &lt;= 10, "Overdue[7-10]", AO865 &lt;= 15, "Long Overdue[11-15]")</f>
        <v>Recently[1-3]</v>
      </c>
      <c r="AQ865" s="9" t="str" cm="1">
        <f t="array" ref="AQ865">_xlfn.IFS(AR865 &lt;= 3, "New Relationship[1-3]", AR865 &lt;= 7, "Established Relationship[4-7]", AR865 &lt;= 12, "Long Term Relationship[8-12]", AR865 &lt;= 17, "Very Long Term Relationship[13-17]")</f>
        <v>Established Relationship[4-7]</v>
      </c>
      <c r="AR865" s="1">
        <v>4</v>
      </c>
    </row>
    <row r="866" spans="1:44" x14ac:dyDescent="0.25">
      <c r="A866" s="1">
        <v>41</v>
      </c>
      <c r="B866" s="8" t="str" cm="1">
        <f t="array" ref="B866">_xlfn.IFS(A866 &lt;= 25, "[18-25]", A866 &lt;= 35, "[26-35]", A866 &lt;=45, "[36-45]", A866 &lt;= 60, "[46- 60]")</f>
        <v>[36-45]</v>
      </c>
      <c r="C866" s="3" t="s">
        <v>35</v>
      </c>
      <c r="D866">
        <f t="shared" si="13"/>
        <v>1</v>
      </c>
      <c r="E866" t="s">
        <v>62</v>
      </c>
      <c r="F866" s="1">
        <v>906</v>
      </c>
      <c r="G866" s="3" t="s">
        <v>45</v>
      </c>
      <c r="H866" s="1">
        <v>5</v>
      </c>
      <c r="I866" s="9" t="str" cm="1">
        <f t="array" ref="I866">_xlfn.IFS(H866 &lt;= 2, "[1-2] very close", H866 &lt;= 10, "[3-10] close", H866 &lt;= 20, "[11-20] moderate", H866 &lt;= 30, "[21-30] far")</f>
        <v>[3-10] close</v>
      </c>
      <c r="J866" s="1">
        <v>2</v>
      </c>
      <c r="K866" s="3" t="s">
        <v>38</v>
      </c>
      <c r="L866" s="1">
        <v>1</v>
      </c>
      <c r="M866" s="1">
        <v>1210</v>
      </c>
      <c r="N866" s="1">
        <v>1</v>
      </c>
      <c r="O866" s="3" t="s">
        <v>46</v>
      </c>
      <c r="P866" s="1">
        <v>95</v>
      </c>
      <c r="Q866" s="1">
        <v>2</v>
      </c>
      <c r="R866" s="1">
        <v>1</v>
      </c>
      <c r="S866" s="3" t="s">
        <v>47</v>
      </c>
      <c r="T866" s="1">
        <v>1</v>
      </c>
      <c r="U866" s="3" t="s">
        <v>52</v>
      </c>
      <c r="V866" s="4">
        <v>2107</v>
      </c>
      <c r="W866" s="1">
        <v>20293</v>
      </c>
      <c r="X866" s="1">
        <v>6</v>
      </c>
      <c r="Y866" s="3" t="s">
        <v>42</v>
      </c>
      <c r="Z866" s="3" t="s">
        <v>43</v>
      </c>
      <c r="AA866" s="5">
        <v>0.17</v>
      </c>
      <c r="AB866" s="10" t="str" cm="1">
        <f t="array" ref="AB866">_xlfn.IFS(AA866 &lt;= 15%, "Low Hike[11-15%]", AA866 &lt;= 20%, "Moderate Hike[16-20%]", AA866 &lt;= 25%,"High Hike[21-25%]")</f>
        <v>Moderate Hike[16-20%]</v>
      </c>
      <c r="AC866" s="1">
        <v>3</v>
      </c>
      <c r="AD866" s="1">
        <v>1</v>
      </c>
      <c r="AE866" s="1">
        <v>80</v>
      </c>
      <c r="AF866" s="1">
        <v>1</v>
      </c>
      <c r="AG866" s="1">
        <v>5</v>
      </c>
      <c r="AH866" s="9" t="str" cm="1">
        <f t="array" ref="AH866">_xlfn.IFS(AG866 &lt;= 5, "New[1-5]", AG866 &lt;= 10, "Early Career[6-10]", AG866 &lt;= 20, "Established[11-20]", AG866 &lt;= 30, "Veteran[21-30]", AG866 &lt;= 40, "Late Career[31-40]")</f>
        <v>New[1-5]</v>
      </c>
      <c r="AI866" s="1">
        <v>2</v>
      </c>
      <c r="AJ866" s="1">
        <v>1</v>
      </c>
      <c r="AK866" s="1">
        <v>1</v>
      </c>
      <c r="AL866" s="9" t="str" cm="1">
        <f t="array" ref="AL866">_xlfn.IFS(AK866 &lt;= 5, "New[1-5]", AK866 &lt;= 10, "Early Career[6-10]", AK866 &lt;= 20, "Established[11-20]", AK866 &lt;= 30, "Veteran[21-30]", AK866 &lt;= 40, "Late Career[31-40]")</f>
        <v>New[1-5]</v>
      </c>
      <c r="AM866" s="1">
        <v>0</v>
      </c>
      <c r="AN866" s="9" t="str" cm="1">
        <f t="array" ref="AN866">_xlfn.IFS(AM866 &lt;= 3, "New to Role[1-3]", AM866 &lt;= 7, "Settled[4-7]", AM866 &lt;= 12, "Experienced[[8-12]", AM866 &lt;= 18, "Long Tenured[13-18]")</f>
        <v>New to Role[1-3]</v>
      </c>
      <c r="AO866" s="1">
        <v>0</v>
      </c>
      <c r="AP866" s="9" t="str" cm="1">
        <f t="array" ref="AP866">_xlfn.IFS(AO866 &lt;= 3, "Recently[1-3]", AO866 &lt;= 6, "Due Soon[4-6]", AO866 &lt;= 10, "Overdue[7-10]", AO866 &lt;= 15, "Long Overdue[11-15]")</f>
        <v>Recently[1-3]</v>
      </c>
      <c r="AQ866" s="9" t="str" cm="1">
        <f t="array" ref="AQ866">_xlfn.IFS(AR866 &lt;= 3, "New Relationship[1-3]", AR866 &lt;= 7, "Established Relationship[4-7]", AR866 &lt;= 12, "Long Term Relationship[8-12]", AR866 &lt;= 17, "Very Long Term Relationship[13-17]")</f>
        <v>New Relationship[1-3]</v>
      </c>
      <c r="AR866" s="1">
        <v>0</v>
      </c>
    </row>
    <row r="867" spans="1:44" x14ac:dyDescent="0.25">
      <c r="A867" s="1">
        <v>30</v>
      </c>
      <c r="B867" s="8" t="str" cm="1">
        <f t="array" ref="B867">_xlfn.IFS(A867 &lt;= 25, "[18-25]", A867 &lt;= 35, "[26-35]", A867 &lt;=45, "[36-45]", A867 &lt;= 60, "[46- 60]")</f>
        <v>[26-35]</v>
      </c>
      <c r="C867" s="3" t="s">
        <v>43</v>
      </c>
      <c r="D867">
        <f t="shared" si="13"/>
        <v>0</v>
      </c>
      <c r="E867" t="s">
        <v>36</v>
      </c>
      <c r="F867" s="1">
        <v>1329</v>
      </c>
      <c r="G867" s="3" t="s">
        <v>37</v>
      </c>
      <c r="H867" s="1">
        <v>29</v>
      </c>
      <c r="I867" s="9" t="str" cm="1">
        <f t="array" ref="I867">_xlfn.IFS(H867 &lt;= 2, "[1-2] very close", H867 &lt;= 10, "[3-10] close", H867 &lt;= 20, "[11-20] moderate", H867 &lt;= 30, "[21-30] far")</f>
        <v>[21-30] far</v>
      </c>
      <c r="J867" s="1">
        <v>4</v>
      </c>
      <c r="K867" s="3" t="s">
        <v>38</v>
      </c>
      <c r="L867" s="1">
        <v>1</v>
      </c>
      <c r="M867" s="1">
        <v>1211</v>
      </c>
      <c r="N867" s="1">
        <v>3</v>
      </c>
      <c r="O867" s="3" t="s">
        <v>46</v>
      </c>
      <c r="P867" s="1">
        <v>61</v>
      </c>
      <c r="Q867" s="1">
        <v>3</v>
      </c>
      <c r="R867" s="1">
        <v>2</v>
      </c>
      <c r="S867" s="3" t="s">
        <v>40</v>
      </c>
      <c r="T867" s="1">
        <v>1</v>
      </c>
      <c r="U867" s="3" t="s">
        <v>52</v>
      </c>
      <c r="V867" s="4">
        <v>4115</v>
      </c>
      <c r="W867" s="1">
        <v>13192</v>
      </c>
      <c r="X867" s="1">
        <v>8</v>
      </c>
      <c r="Y867" s="3" t="s">
        <v>42</v>
      </c>
      <c r="Z867" s="3" t="s">
        <v>43</v>
      </c>
      <c r="AA867" s="5">
        <v>0.19</v>
      </c>
      <c r="AB867" s="10" t="str" cm="1">
        <f t="array" ref="AB867">_xlfn.IFS(AA867 &lt;= 15%, "Low Hike[11-15%]", AA867 &lt;= 20%, "Moderate Hike[16-20%]", AA867 &lt;= 25%,"High Hike[21-25%]")</f>
        <v>Moderate Hike[16-20%]</v>
      </c>
      <c r="AC867" s="1">
        <v>3</v>
      </c>
      <c r="AD867" s="1">
        <v>3</v>
      </c>
      <c r="AE867" s="1">
        <v>80</v>
      </c>
      <c r="AF867" s="1">
        <v>3</v>
      </c>
      <c r="AG867" s="1">
        <v>8</v>
      </c>
      <c r="AH867" s="9" t="str" cm="1">
        <f t="array" ref="AH867">_xlfn.IFS(AG867 &lt;= 5, "New[1-5]", AG867 &lt;= 10, "Early Career[6-10]", AG867 &lt;= 20, "Established[11-20]", AG867 &lt;= 30, "Veteran[21-30]", AG867 &lt;= 40, "Late Career[31-40]")</f>
        <v>Early Career[6-10]</v>
      </c>
      <c r="AI867" s="1">
        <v>3</v>
      </c>
      <c r="AJ867" s="1">
        <v>3</v>
      </c>
      <c r="AK867" s="1">
        <v>4</v>
      </c>
      <c r="AL867" s="9" t="str" cm="1">
        <f t="array" ref="AL867">_xlfn.IFS(AK867 &lt;= 5, "New[1-5]", AK867 &lt;= 10, "Early Career[6-10]", AK867 &lt;= 20, "Established[11-20]", AK867 &lt;= 30, "Veteran[21-30]", AK867 &lt;= 40, "Late Career[31-40]")</f>
        <v>New[1-5]</v>
      </c>
      <c r="AM867" s="1">
        <v>3</v>
      </c>
      <c r="AN867" s="9" t="str" cm="1">
        <f t="array" ref="AN867">_xlfn.IFS(AM867 &lt;= 3, "New to Role[1-3]", AM867 &lt;= 7, "Settled[4-7]", AM867 &lt;= 12, "Experienced[[8-12]", AM867 &lt;= 18, "Long Tenured[13-18]")</f>
        <v>New to Role[1-3]</v>
      </c>
      <c r="AO867" s="1">
        <v>0</v>
      </c>
      <c r="AP867" s="9" t="str" cm="1">
        <f t="array" ref="AP867">_xlfn.IFS(AO867 &lt;= 3, "Recently[1-3]", AO867 &lt;= 6, "Due Soon[4-6]", AO867 &lt;= 10, "Overdue[7-10]", AO867 &lt;= 15, "Long Overdue[11-15]")</f>
        <v>Recently[1-3]</v>
      </c>
      <c r="AQ867" s="9" t="str" cm="1">
        <f t="array" ref="AQ867">_xlfn.IFS(AR867 &lt;= 3, "New Relationship[1-3]", AR867 &lt;= 7, "Established Relationship[4-7]", AR867 &lt;= 12, "Long Term Relationship[8-12]", AR867 &lt;= 17, "Very Long Term Relationship[13-17]")</f>
        <v>New Relationship[1-3]</v>
      </c>
      <c r="AR867" s="1">
        <v>3</v>
      </c>
    </row>
    <row r="868" spans="1:44" x14ac:dyDescent="0.25">
      <c r="A868" s="1">
        <v>40</v>
      </c>
      <c r="B868" s="8" t="str" cm="1">
        <f t="array" ref="B868">_xlfn.IFS(A868 &lt;= 25, "[18-25]", A868 &lt;= 35, "[26-35]", A868 &lt;=45, "[36-45]", A868 &lt;= 60, "[46- 60]")</f>
        <v>[36-45]</v>
      </c>
      <c r="C868" s="3" t="s">
        <v>43</v>
      </c>
      <c r="D868">
        <f t="shared" si="13"/>
        <v>0</v>
      </c>
      <c r="E868" t="s">
        <v>44</v>
      </c>
      <c r="F868" s="1">
        <v>1184</v>
      </c>
      <c r="G868" s="3" t="s">
        <v>37</v>
      </c>
      <c r="H868" s="1">
        <v>2</v>
      </c>
      <c r="I868" s="9" t="str" cm="1">
        <f t="array" ref="I868">_xlfn.IFS(H868 &lt;= 2, "[1-2] very close", H868 &lt;= 10, "[3-10] close", H868 &lt;= 20, "[11-20] moderate", H868 &lt;= 30, "[21-30] far")</f>
        <v>[1-2] very close</v>
      </c>
      <c r="J868" s="1">
        <v>4</v>
      </c>
      <c r="K868" s="3" t="s">
        <v>51</v>
      </c>
      <c r="L868" s="1">
        <v>1</v>
      </c>
      <c r="M868" s="1">
        <v>1212</v>
      </c>
      <c r="N868" s="1">
        <v>2</v>
      </c>
      <c r="O868" s="3" t="s">
        <v>46</v>
      </c>
      <c r="P868" s="1">
        <v>62</v>
      </c>
      <c r="Q868" s="1">
        <v>3</v>
      </c>
      <c r="R868" s="1">
        <v>2</v>
      </c>
      <c r="S868" s="3" t="s">
        <v>40</v>
      </c>
      <c r="T868" s="1">
        <v>2</v>
      </c>
      <c r="U868" s="3" t="s">
        <v>48</v>
      </c>
      <c r="V868" s="4">
        <v>4327</v>
      </c>
      <c r="W868" s="1">
        <v>25440</v>
      </c>
      <c r="X868" s="1">
        <v>5</v>
      </c>
      <c r="Y868" s="3" t="s">
        <v>42</v>
      </c>
      <c r="Z868" s="3" t="s">
        <v>43</v>
      </c>
      <c r="AA868" s="5">
        <v>0.12</v>
      </c>
      <c r="AB868" s="10" t="str" cm="1">
        <f t="array" ref="AB868">_xlfn.IFS(AA868 &lt;= 15%, "Low Hike[11-15%]", AA868 &lt;= 20%, "Moderate Hike[16-20%]", AA868 &lt;= 25%,"High Hike[21-25%]")</f>
        <v>Low Hike[11-15%]</v>
      </c>
      <c r="AC868" s="1">
        <v>3</v>
      </c>
      <c r="AD868" s="1">
        <v>4</v>
      </c>
      <c r="AE868" s="1">
        <v>80</v>
      </c>
      <c r="AF868" s="1">
        <v>3</v>
      </c>
      <c r="AG868" s="1">
        <v>5</v>
      </c>
      <c r="AH868" s="9" t="str" cm="1">
        <f t="array" ref="AH868">_xlfn.IFS(AG868 &lt;= 5, "New[1-5]", AG868 &lt;= 10, "Early Career[6-10]", AG868 &lt;= 20, "Established[11-20]", AG868 &lt;= 30, "Veteran[21-30]", AG868 &lt;= 40, "Late Career[31-40]")</f>
        <v>New[1-5]</v>
      </c>
      <c r="AI868" s="1">
        <v>2</v>
      </c>
      <c r="AJ868" s="1">
        <v>3</v>
      </c>
      <c r="AK868" s="1">
        <v>0</v>
      </c>
      <c r="AL868" s="9" t="str" cm="1">
        <f t="array" ref="AL868">_xlfn.IFS(AK868 &lt;= 5, "New[1-5]", AK868 &lt;= 10, "Early Career[6-10]", AK868 &lt;= 20, "Established[11-20]", AK868 &lt;= 30, "Veteran[21-30]", AK868 &lt;= 40, "Late Career[31-40]")</f>
        <v>New[1-5]</v>
      </c>
      <c r="AM868" s="1">
        <v>0</v>
      </c>
      <c r="AN868" s="9" t="str" cm="1">
        <f t="array" ref="AN868">_xlfn.IFS(AM868 &lt;= 3, "New to Role[1-3]", AM868 &lt;= 7, "Settled[4-7]", AM868 &lt;= 12, "Experienced[[8-12]", AM868 &lt;= 18, "Long Tenured[13-18]")</f>
        <v>New to Role[1-3]</v>
      </c>
      <c r="AO868" s="1">
        <v>0</v>
      </c>
      <c r="AP868" s="9" t="str" cm="1">
        <f t="array" ref="AP868">_xlfn.IFS(AO868 &lt;= 3, "Recently[1-3]", AO868 &lt;= 6, "Due Soon[4-6]", AO868 &lt;= 10, "Overdue[7-10]", AO868 &lt;= 15, "Long Overdue[11-15]")</f>
        <v>Recently[1-3]</v>
      </c>
      <c r="AQ868" s="9" t="str" cm="1">
        <f t="array" ref="AQ868">_xlfn.IFS(AR868 &lt;= 3, "New Relationship[1-3]", AR868 &lt;= 7, "Established Relationship[4-7]", AR868 &lt;= 12, "Long Term Relationship[8-12]", AR868 &lt;= 17, "Very Long Term Relationship[13-17]")</f>
        <v>New Relationship[1-3]</v>
      </c>
      <c r="AR868" s="1">
        <v>0</v>
      </c>
    </row>
    <row r="869" spans="1:44" x14ac:dyDescent="0.25">
      <c r="A869" s="1">
        <v>50</v>
      </c>
      <c r="B869" s="8" t="str" cm="1">
        <f t="array" ref="B869">_xlfn.IFS(A869 &lt;= 25, "[18-25]", A869 &lt;= 35, "[26-35]", A869 &lt;=45, "[36-45]", A869 &lt;= 60, "[46- 60]")</f>
        <v>[46- 60]</v>
      </c>
      <c r="C869" s="3" t="s">
        <v>43</v>
      </c>
      <c r="D869">
        <f t="shared" si="13"/>
        <v>0</v>
      </c>
      <c r="E869" t="s">
        <v>44</v>
      </c>
      <c r="F869" s="1">
        <v>1421</v>
      </c>
      <c r="G869" s="3" t="s">
        <v>45</v>
      </c>
      <c r="H869" s="1">
        <v>2</v>
      </c>
      <c r="I869" s="9" t="str" cm="1">
        <f t="array" ref="I869">_xlfn.IFS(H869 &lt;= 2, "[1-2] very close", H869 &lt;= 10, "[3-10] close", H869 &lt;= 20, "[11-20] moderate", H869 &lt;= 30, "[21-30] far")</f>
        <v>[1-2] very close</v>
      </c>
      <c r="J869" s="1">
        <v>3</v>
      </c>
      <c r="K869" s="3" t="s">
        <v>51</v>
      </c>
      <c r="L869" s="1">
        <v>1</v>
      </c>
      <c r="M869" s="1">
        <v>1215</v>
      </c>
      <c r="N869" s="1">
        <v>4</v>
      </c>
      <c r="O869" s="3" t="s">
        <v>39</v>
      </c>
      <c r="P869" s="1">
        <v>30</v>
      </c>
      <c r="Q869" s="1">
        <v>3</v>
      </c>
      <c r="R869" s="1">
        <v>4</v>
      </c>
      <c r="S869" s="3" t="s">
        <v>56</v>
      </c>
      <c r="T869" s="1">
        <v>1</v>
      </c>
      <c r="U869" s="3" t="s">
        <v>48</v>
      </c>
      <c r="V869" s="4">
        <v>17856</v>
      </c>
      <c r="W869" s="1">
        <v>9490</v>
      </c>
      <c r="X869" s="1">
        <v>2</v>
      </c>
      <c r="Y869" s="3" t="s">
        <v>42</v>
      </c>
      <c r="Z869" s="3" t="s">
        <v>43</v>
      </c>
      <c r="AA869" s="5">
        <v>0.22</v>
      </c>
      <c r="AB869" s="10" t="str" cm="1">
        <f t="array" ref="AB869">_xlfn.IFS(AA869 &lt;= 15%, "Low Hike[11-15%]", AA869 &lt;= 20%, "Moderate Hike[16-20%]", AA869 &lt;= 25%,"High Hike[21-25%]")</f>
        <v>High Hike[21-25%]</v>
      </c>
      <c r="AC869" s="1">
        <v>4</v>
      </c>
      <c r="AD869" s="1">
        <v>3</v>
      </c>
      <c r="AE869" s="1">
        <v>80</v>
      </c>
      <c r="AF869" s="1">
        <v>1</v>
      </c>
      <c r="AG869" s="1">
        <v>32</v>
      </c>
      <c r="AH869" s="9" t="str" cm="1">
        <f t="array" ref="AH869">_xlfn.IFS(AG869 &lt;= 5, "New[1-5]", AG869 &lt;= 10, "Early Career[6-10]", AG869 &lt;= 20, "Established[11-20]", AG869 &lt;= 30, "Veteran[21-30]", AG869 &lt;= 40, "Late Career[31-40]")</f>
        <v>Late Career[31-40]</v>
      </c>
      <c r="AI869" s="1">
        <v>3</v>
      </c>
      <c r="AJ869" s="1">
        <v>3</v>
      </c>
      <c r="AK869" s="1">
        <v>2</v>
      </c>
      <c r="AL869" s="9" t="str" cm="1">
        <f t="array" ref="AL869">_xlfn.IFS(AK869 &lt;= 5, "New[1-5]", AK869 &lt;= 10, "Early Career[6-10]", AK869 &lt;= 20, "Established[11-20]", AK869 &lt;= 30, "Veteran[21-30]", AK869 &lt;= 40, "Late Career[31-40]")</f>
        <v>New[1-5]</v>
      </c>
      <c r="AM869" s="1">
        <v>2</v>
      </c>
      <c r="AN869" s="9" t="str" cm="1">
        <f t="array" ref="AN869">_xlfn.IFS(AM869 &lt;= 3, "New to Role[1-3]", AM869 &lt;= 7, "Settled[4-7]", AM869 &lt;= 12, "Experienced[[8-12]", AM869 &lt;= 18, "Long Tenured[13-18]")</f>
        <v>New to Role[1-3]</v>
      </c>
      <c r="AO869" s="1">
        <v>2</v>
      </c>
      <c r="AP869" s="9" t="str" cm="1">
        <f t="array" ref="AP869">_xlfn.IFS(AO869 &lt;= 3, "Recently[1-3]", AO869 &lt;= 6, "Due Soon[4-6]", AO869 &lt;= 10, "Overdue[7-10]", AO869 &lt;= 15, "Long Overdue[11-15]")</f>
        <v>Recently[1-3]</v>
      </c>
      <c r="AQ869" s="9" t="str" cm="1">
        <f t="array" ref="AQ869">_xlfn.IFS(AR869 &lt;= 3, "New Relationship[1-3]", AR869 &lt;= 7, "Established Relationship[4-7]", AR869 &lt;= 12, "Long Term Relationship[8-12]", AR869 &lt;= 17, "Very Long Term Relationship[13-17]")</f>
        <v>New Relationship[1-3]</v>
      </c>
      <c r="AR869" s="1">
        <v>2</v>
      </c>
    </row>
    <row r="870" spans="1:44" x14ac:dyDescent="0.25">
      <c r="A870" s="1">
        <v>28</v>
      </c>
      <c r="B870" s="8" t="str" cm="1">
        <f t="array" ref="B870">_xlfn.IFS(A870 &lt;= 25, "[18-25]", A870 &lt;= 35, "[26-35]", A870 &lt;=45, "[36-45]", A870 &lt;= 60, "[46- 60]")</f>
        <v>[26-35]</v>
      </c>
      <c r="C870" s="3" t="s">
        <v>43</v>
      </c>
      <c r="D870">
        <f t="shared" si="13"/>
        <v>0</v>
      </c>
      <c r="E870" t="s">
        <v>36</v>
      </c>
      <c r="F870" s="1">
        <v>1179</v>
      </c>
      <c r="G870" s="3" t="s">
        <v>45</v>
      </c>
      <c r="H870" s="1">
        <v>19</v>
      </c>
      <c r="I870" s="9" t="str" cm="1">
        <f t="array" ref="I870">_xlfn.IFS(H870 &lt;= 2, "[1-2] very close", H870 &lt;= 10, "[3-10] close", H870 &lt;= 20, "[11-20] moderate", H870 &lt;= 30, "[21-30] far")</f>
        <v>[11-20] moderate</v>
      </c>
      <c r="J870" s="1">
        <v>4</v>
      </c>
      <c r="K870" s="3" t="s">
        <v>51</v>
      </c>
      <c r="L870" s="1">
        <v>1</v>
      </c>
      <c r="M870" s="1">
        <v>1216</v>
      </c>
      <c r="N870" s="1">
        <v>4</v>
      </c>
      <c r="O870" s="3" t="s">
        <v>46</v>
      </c>
      <c r="P870" s="1">
        <v>78</v>
      </c>
      <c r="Q870" s="1">
        <v>2</v>
      </c>
      <c r="R870" s="1">
        <v>1</v>
      </c>
      <c r="S870" s="3" t="s">
        <v>50</v>
      </c>
      <c r="T870" s="1">
        <v>1</v>
      </c>
      <c r="U870" s="3" t="s">
        <v>48</v>
      </c>
      <c r="V870" s="4">
        <v>3196</v>
      </c>
      <c r="W870" s="1">
        <v>12449</v>
      </c>
      <c r="X870" s="1">
        <v>1</v>
      </c>
      <c r="Y870" s="3" t="s">
        <v>42</v>
      </c>
      <c r="Z870" s="3" t="s">
        <v>43</v>
      </c>
      <c r="AA870" s="5">
        <v>0.12</v>
      </c>
      <c r="AB870" s="10" t="str" cm="1">
        <f t="array" ref="AB870">_xlfn.IFS(AA870 &lt;= 15%, "Low Hike[11-15%]", AA870 &lt;= 20%, "Moderate Hike[16-20%]", AA870 &lt;= 25%,"High Hike[21-25%]")</f>
        <v>Low Hike[11-15%]</v>
      </c>
      <c r="AC870" s="1">
        <v>3</v>
      </c>
      <c r="AD870" s="1">
        <v>3</v>
      </c>
      <c r="AE870" s="1">
        <v>80</v>
      </c>
      <c r="AF870" s="1">
        <v>3</v>
      </c>
      <c r="AG870" s="1">
        <v>6</v>
      </c>
      <c r="AH870" s="9" t="str" cm="1">
        <f t="array" ref="AH870">_xlfn.IFS(AG870 &lt;= 5, "New[1-5]", AG870 &lt;= 10, "Early Career[6-10]", AG870 &lt;= 20, "Established[11-20]", AG870 &lt;= 30, "Veteran[21-30]", AG870 &lt;= 40, "Late Career[31-40]")</f>
        <v>Early Career[6-10]</v>
      </c>
      <c r="AI870" s="1">
        <v>2</v>
      </c>
      <c r="AJ870" s="1">
        <v>3</v>
      </c>
      <c r="AK870" s="1">
        <v>6</v>
      </c>
      <c r="AL870" s="9" t="str" cm="1">
        <f t="array" ref="AL870">_xlfn.IFS(AK870 &lt;= 5, "New[1-5]", AK870 &lt;= 10, "Early Career[6-10]", AK870 &lt;= 20, "Established[11-20]", AK870 &lt;= 30, "Veteran[21-30]", AK870 &lt;= 40, "Late Career[31-40]")</f>
        <v>Early Career[6-10]</v>
      </c>
      <c r="AM870" s="1">
        <v>5</v>
      </c>
      <c r="AN870" s="9" t="str" cm="1">
        <f t="array" ref="AN870">_xlfn.IFS(AM870 &lt;= 3, "New to Role[1-3]", AM870 &lt;= 7, "Settled[4-7]", AM870 &lt;= 12, "Experienced[[8-12]", AM870 &lt;= 18, "Long Tenured[13-18]")</f>
        <v>Settled[4-7]</v>
      </c>
      <c r="AO870" s="1">
        <v>3</v>
      </c>
      <c r="AP870" s="9" t="str" cm="1">
        <f t="array" ref="AP870">_xlfn.IFS(AO870 &lt;= 3, "Recently[1-3]", AO870 &lt;= 6, "Due Soon[4-6]", AO870 &lt;= 10, "Overdue[7-10]", AO870 &lt;= 15, "Long Overdue[11-15]")</f>
        <v>Recently[1-3]</v>
      </c>
      <c r="AQ870" s="9" t="str" cm="1">
        <f t="array" ref="AQ870">_xlfn.IFS(AR870 &lt;= 3, "New Relationship[1-3]", AR870 &lt;= 7, "Established Relationship[4-7]", AR870 &lt;= 12, "Long Term Relationship[8-12]", AR870 &lt;= 17, "Very Long Term Relationship[13-17]")</f>
        <v>New Relationship[1-3]</v>
      </c>
      <c r="AR870" s="1">
        <v>3</v>
      </c>
    </row>
    <row r="871" spans="1:44" x14ac:dyDescent="0.25">
      <c r="A871" s="1">
        <v>46</v>
      </c>
      <c r="B871" s="8" t="str" cm="1">
        <f t="array" ref="B871">_xlfn.IFS(A871 &lt;= 25, "[18-25]", A871 &lt;= 35, "[26-35]", A871 &lt;=45, "[36-45]", A871 &lt;= 60, "[46- 60]")</f>
        <v>[46- 60]</v>
      </c>
      <c r="C871" s="3" t="s">
        <v>43</v>
      </c>
      <c r="D871">
        <f t="shared" si="13"/>
        <v>0</v>
      </c>
      <c r="E871" t="s">
        <v>36</v>
      </c>
      <c r="F871" s="1">
        <v>1450</v>
      </c>
      <c r="G871" s="3" t="s">
        <v>45</v>
      </c>
      <c r="H871" s="1">
        <v>15</v>
      </c>
      <c r="I871" s="9" t="str" cm="1">
        <f t="array" ref="I871">_xlfn.IFS(H871 &lt;= 2, "[1-2] very close", H871 &lt;= 10, "[3-10] close", H871 &lt;= 20, "[11-20] moderate", H871 &lt;= 30, "[21-30] far")</f>
        <v>[11-20] moderate</v>
      </c>
      <c r="J871" s="1">
        <v>2</v>
      </c>
      <c r="K871" s="3" t="s">
        <v>38</v>
      </c>
      <c r="L871" s="1">
        <v>1</v>
      </c>
      <c r="M871" s="1">
        <v>1217</v>
      </c>
      <c r="N871" s="1">
        <v>4</v>
      </c>
      <c r="O871" s="3" t="s">
        <v>46</v>
      </c>
      <c r="P871" s="1">
        <v>52</v>
      </c>
      <c r="Q871" s="1">
        <v>3</v>
      </c>
      <c r="R871" s="1">
        <v>5</v>
      </c>
      <c r="S871" s="3" t="s">
        <v>58</v>
      </c>
      <c r="T871" s="1">
        <v>2</v>
      </c>
      <c r="U871" s="3" t="s">
        <v>48</v>
      </c>
      <c r="V871" s="4">
        <v>19081</v>
      </c>
      <c r="W871" s="1">
        <v>10849</v>
      </c>
      <c r="X871" s="1">
        <v>5</v>
      </c>
      <c r="Y871" s="3" t="s">
        <v>42</v>
      </c>
      <c r="Z871" s="3" t="s">
        <v>43</v>
      </c>
      <c r="AA871" s="5">
        <v>0.11</v>
      </c>
      <c r="AB871" s="10" t="str" cm="1">
        <f t="array" ref="AB871">_xlfn.IFS(AA871 &lt;= 15%, "Low Hike[11-15%]", AA871 &lt;= 20%, "Moderate Hike[16-20%]", AA871 &lt;= 25%,"High Hike[21-25%]")</f>
        <v>Low Hike[11-15%]</v>
      </c>
      <c r="AC871" s="1">
        <v>3</v>
      </c>
      <c r="AD871" s="1">
        <v>1</v>
      </c>
      <c r="AE871" s="1">
        <v>80</v>
      </c>
      <c r="AF871" s="1">
        <v>1</v>
      </c>
      <c r="AG871" s="1">
        <v>25</v>
      </c>
      <c r="AH871" s="9" t="str" cm="1">
        <f t="array" ref="AH871">_xlfn.IFS(AG871 &lt;= 5, "New[1-5]", AG871 &lt;= 10, "Early Career[6-10]", AG871 &lt;= 20, "Established[11-20]", AG871 &lt;= 30, "Veteran[21-30]", AG871 &lt;= 40, "Late Career[31-40]")</f>
        <v>Veteran[21-30]</v>
      </c>
      <c r="AI871" s="1">
        <v>2</v>
      </c>
      <c r="AJ871" s="1">
        <v>3</v>
      </c>
      <c r="AK871" s="1">
        <v>4</v>
      </c>
      <c r="AL871" s="9" t="str" cm="1">
        <f t="array" ref="AL871">_xlfn.IFS(AK871 &lt;= 5, "New[1-5]", AK871 &lt;= 10, "Early Career[6-10]", AK871 &lt;= 20, "Established[11-20]", AK871 &lt;= 30, "Veteran[21-30]", AK871 &lt;= 40, "Late Career[31-40]")</f>
        <v>New[1-5]</v>
      </c>
      <c r="AM871" s="1">
        <v>2</v>
      </c>
      <c r="AN871" s="9" t="str" cm="1">
        <f t="array" ref="AN871">_xlfn.IFS(AM871 &lt;= 3, "New to Role[1-3]", AM871 &lt;= 7, "Settled[4-7]", AM871 &lt;= 12, "Experienced[[8-12]", AM871 &lt;= 18, "Long Tenured[13-18]")</f>
        <v>New to Role[1-3]</v>
      </c>
      <c r="AO871" s="1">
        <v>0</v>
      </c>
      <c r="AP871" s="9" t="str" cm="1">
        <f t="array" ref="AP871">_xlfn.IFS(AO871 &lt;= 3, "Recently[1-3]", AO871 &lt;= 6, "Due Soon[4-6]", AO871 &lt;= 10, "Overdue[7-10]", AO871 &lt;= 15, "Long Overdue[11-15]")</f>
        <v>Recently[1-3]</v>
      </c>
      <c r="AQ871" s="9" t="str" cm="1">
        <f t="array" ref="AQ871">_xlfn.IFS(AR871 &lt;= 3, "New Relationship[1-3]", AR871 &lt;= 7, "Established Relationship[4-7]", AR871 &lt;= 12, "Long Term Relationship[8-12]", AR871 &lt;= 17, "Very Long Term Relationship[13-17]")</f>
        <v>New Relationship[1-3]</v>
      </c>
      <c r="AR871" s="1">
        <v>3</v>
      </c>
    </row>
    <row r="872" spans="1:44" x14ac:dyDescent="0.25">
      <c r="A872" s="1">
        <v>35</v>
      </c>
      <c r="B872" s="8" t="str" cm="1">
        <f t="array" ref="B872">_xlfn.IFS(A872 &lt;= 25, "[18-25]", A872 &lt;= 35, "[26-35]", A872 &lt;=45, "[36-45]", A872 &lt;= 60, "[46- 60]")</f>
        <v>[26-35]</v>
      </c>
      <c r="C872" s="3" t="s">
        <v>43</v>
      </c>
      <c r="D872">
        <f t="shared" si="13"/>
        <v>0</v>
      </c>
      <c r="E872" t="s">
        <v>36</v>
      </c>
      <c r="F872" s="1">
        <v>1361</v>
      </c>
      <c r="G872" s="3" t="s">
        <v>37</v>
      </c>
      <c r="H872" s="1">
        <v>17</v>
      </c>
      <c r="I872" s="9" t="str" cm="1">
        <f t="array" ref="I872">_xlfn.IFS(H872 &lt;= 2, "[1-2] very close", H872 &lt;= 10, "[3-10] close", H872 &lt;= 20, "[11-20] moderate", H872 &lt;= 30, "[21-30] far")</f>
        <v>[11-20] moderate</v>
      </c>
      <c r="J872" s="1">
        <v>4</v>
      </c>
      <c r="K872" s="3" t="s">
        <v>38</v>
      </c>
      <c r="L872" s="1">
        <v>1</v>
      </c>
      <c r="M872" s="1">
        <v>1218</v>
      </c>
      <c r="N872" s="1">
        <v>3</v>
      </c>
      <c r="O872" s="3" t="s">
        <v>46</v>
      </c>
      <c r="P872" s="1">
        <v>94</v>
      </c>
      <c r="Q872" s="1">
        <v>3</v>
      </c>
      <c r="R872" s="1">
        <v>2</v>
      </c>
      <c r="S872" s="3" t="s">
        <v>40</v>
      </c>
      <c r="T872" s="1">
        <v>1</v>
      </c>
      <c r="U872" s="3" t="s">
        <v>48</v>
      </c>
      <c r="V872" s="4">
        <v>8966</v>
      </c>
      <c r="W872" s="1">
        <v>21026</v>
      </c>
      <c r="X872" s="1">
        <v>3</v>
      </c>
      <c r="Y872" s="3" t="s">
        <v>42</v>
      </c>
      <c r="Z872" s="3" t="s">
        <v>35</v>
      </c>
      <c r="AA872" s="5">
        <v>0.15</v>
      </c>
      <c r="AB872" s="10" t="str" cm="1">
        <f t="array" ref="AB872">_xlfn.IFS(AA872 &lt;= 15%, "Low Hike[11-15%]", AA872 &lt;= 20%, "Moderate Hike[16-20%]", AA872 &lt;= 25%,"High Hike[21-25%]")</f>
        <v>Low Hike[11-15%]</v>
      </c>
      <c r="AC872" s="1">
        <v>3</v>
      </c>
      <c r="AD872" s="1">
        <v>4</v>
      </c>
      <c r="AE872" s="1">
        <v>80</v>
      </c>
      <c r="AF872" s="1">
        <v>3</v>
      </c>
      <c r="AG872" s="1">
        <v>15</v>
      </c>
      <c r="AH872" s="9" t="str" cm="1">
        <f t="array" ref="AH872">_xlfn.IFS(AG872 &lt;= 5, "New[1-5]", AG872 &lt;= 10, "Early Career[6-10]", AG872 &lt;= 20, "Established[11-20]", AG872 &lt;= 30, "Veteran[21-30]", AG872 &lt;= 40, "Late Career[31-40]")</f>
        <v>Established[11-20]</v>
      </c>
      <c r="AI872" s="1">
        <v>2</v>
      </c>
      <c r="AJ872" s="1">
        <v>3</v>
      </c>
      <c r="AK872" s="1">
        <v>7</v>
      </c>
      <c r="AL872" s="9" t="str" cm="1">
        <f t="array" ref="AL872">_xlfn.IFS(AK872 &lt;= 5, "New[1-5]", AK872 &lt;= 10, "Early Career[6-10]", AK872 &lt;= 20, "Established[11-20]", AK872 &lt;= 30, "Veteran[21-30]", AK872 &lt;= 40, "Late Career[31-40]")</f>
        <v>Early Career[6-10]</v>
      </c>
      <c r="AM872" s="1">
        <v>7</v>
      </c>
      <c r="AN872" s="9" t="str" cm="1">
        <f t="array" ref="AN872">_xlfn.IFS(AM872 &lt;= 3, "New to Role[1-3]", AM872 &lt;= 7, "Settled[4-7]", AM872 &lt;= 12, "Experienced[[8-12]", AM872 &lt;= 18, "Long Tenured[13-18]")</f>
        <v>Settled[4-7]</v>
      </c>
      <c r="AO872" s="1">
        <v>1</v>
      </c>
      <c r="AP872" s="9" t="str" cm="1">
        <f t="array" ref="AP872">_xlfn.IFS(AO872 &lt;= 3, "Recently[1-3]", AO872 &lt;= 6, "Due Soon[4-6]", AO872 &lt;= 10, "Overdue[7-10]", AO872 &lt;= 15, "Long Overdue[11-15]")</f>
        <v>Recently[1-3]</v>
      </c>
      <c r="AQ872" s="9" t="str" cm="1">
        <f t="array" ref="AQ872">_xlfn.IFS(AR872 &lt;= 3, "New Relationship[1-3]", AR872 &lt;= 7, "Established Relationship[4-7]", AR872 &lt;= 12, "Long Term Relationship[8-12]", AR872 &lt;= 17, "Very Long Term Relationship[13-17]")</f>
        <v>Established Relationship[4-7]</v>
      </c>
      <c r="AR872" s="1">
        <v>7</v>
      </c>
    </row>
    <row r="873" spans="1:44" x14ac:dyDescent="0.25">
      <c r="A873" s="1">
        <v>24</v>
      </c>
      <c r="B873" s="8" t="str" cm="1">
        <f t="array" ref="B873">_xlfn.IFS(A873 &lt;= 25, "[18-25]", A873 &lt;= 35, "[26-35]", A873 &lt;=45, "[36-45]", A873 &lt;= 60, "[46- 60]")</f>
        <v>[18-25]</v>
      </c>
      <c r="C873" s="3" t="s">
        <v>35</v>
      </c>
      <c r="D873">
        <f t="shared" si="13"/>
        <v>1</v>
      </c>
      <c r="E873" t="s">
        <v>36</v>
      </c>
      <c r="F873" s="1">
        <v>984</v>
      </c>
      <c r="G873" s="3" t="s">
        <v>45</v>
      </c>
      <c r="H873" s="1">
        <v>17</v>
      </c>
      <c r="I873" s="9" t="str" cm="1">
        <f t="array" ref="I873">_xlfn.IFS(H873 &lt;= 2, "[1-2] very close", H873 &lt;= 10, "[3-10] close", H873 &lt;= 20, "[11-20] moderate", H873 &lt;= 30, "[21-30] far")</f>
        <v>[11-20] moderate</v>
      </c>
      <c r="J873" s="1">
        <v>2</v>
      </c>
      <c r="K873" s="3" t="s">
        <v>38</v>
      </c>
      <c r="L873" s="1">
        <v>1</v>
      </c>
      <c r="M873" s="1">
        <v>1219</v>
      </c>
      <c r="N873" s="1">
        <v>4</v>
      </c>
      <c r="O873" s="3" t="s">
        <v>39</v>
      </c>
      <c r="P873" s="1">
        <v>97</v>
      </c>
      <c r="Q873" s="1">
        <v>3</v>
      </c>
      <c r="R873" s="1">
        <v>1</v>
      </c>
      <c r="S873" s="3" t="s">
        <v>50</v>
      </c>
      <c r="T873" s="1">
        <v>2</v>
      </c>
      <c r="U873" s="3" t="s">
        <v>48</v>
      </c>
      <c r="V873" s="4">
        <v>2210</v>
      </c>
      <c r="W873" s="1">
        <v>3372</v>
      </c>
      <c r="X873" s="1">
        <v>1</v>
      </c>
      <c r="Y873" s="3" t="s">
        <v>42</v>
      </c>
      <c r="Z873" s="3" t="s">
        <v>43</v>
      </c>
      <c r="AA873" s="5">
        <v>0.13</v>
      </c>
      <c r="AB873" s="10" t="str" cm="1">
        <f t="array" ref="AB873">_xlfn.IFS(AA873 &lt;= 15%, "Low Hike[11-15%]", AA873 &lt;= 20%, "Moderate Hike[16-20%]", AA873 &lt;= 25%,"High Hike[21-25%]")</f>
        <v>Low Hike[11-15%]</v>
      </c>
      <c r="AC873" s="1">
        <v>3</v>
      </c>
      <c r="AD873" s="1">
        <v>1</v>
      </c>
      <c r="AE873" s="1">
        <v>80</v>
      </c>
      <c r="AF873" s="1">
        <v>1</v>
      </c>
      <c r="AG873" s="1">
        <v>1</v>
      </c>
      <c r="AH873" s="9" t="str" cm="1">
        <f t="array" ref="AH873">_xlfn.IFS(AG873 &lt;= 5, "New[1-5]", AG873 &lt;= 10, "Early Career[6-10]", AG873 &lt;= 20, "Established[11-20]", AG873 &lt;= 30, "Veteran[21-30]", AG873 &lt;= 40, "Late Career[31-40]")</f>
        <v>New[1-5]</v>
      </c>
      <c r="AI873" s="1">
        <v>3</v>
      </c>
      <c r="AJ873" s="1">
        <v>1</v>
      </c>
      <c r="AK873" s="1">
        <v>1</v>
      </c>
      <c r="AL873" s="9" t="str" cm="1">
        <f t="array" ref="AL873">_xlfn.IFS(AK873 &lt;= 5, "New[1-5]", AK873 &lt;= 10, "Early Career[6-10]", AK873 &lt;= 20, "Established[11-20]", AK873 &lt;= 30, "Veteran[21-30]", AK873 &lt;= 40, "Late Career[31-40]")</f>
        <v>New[1-5]</v>
      </c>
      <c r="AM873" s="1">
        <v>0</v>
      </c>
      <c r="AN873" s="9" t="str" cm="1">
        <f t="array" ref="AN873">_xlfn.IFS(AM873 &lt;= 3, "New to Role[1-3]", AM873 &lt;= 7, "Settled[4-7]", AM873 &lt;= 12, "Experienced[[8-12]", AM873 &lt;= 18, "Long Tenured[13-18]")</f>
        <v>New to Role[1-3]</v>
      </c>
      <c r="AO873" s="1">
        <v>0</v>
      </c>
      <c r="AP873" s="9" t="str" cm="1">
        <f t="array" ref="AP873">_xlfn.IFS(AO873 &lt;= 3, "Recently[1-3]", AO873 &lt;= 6, "Due Soon[4-6]", AO873 &lt;= 10, "Overdue[7-10]", AO873 &lt;= 15, "Long Overdue[11-15]")</f>
        <v>Recently[1-3]</v>
      </c>
      <c r="AQ873" s="9" t="str" cm="1">
        <f t="array" ref="AQ873">_xlfn.IFS(AR873 &lt;= 3, "New Relationship[1-3]", AR873 &lt;= 7, "Established Relationship[4-7]", AR873 &lt;= 12, "Long Term Relationship[8-12]", AR873 &lt;= 17, "Very Long Term Relationship[13-17]")</f>
        <v>New Relationship[1-3]</v>
      </c>
      <c r="AR873" s="1">
        <v>0</v>
      </c>
    </row>
    <row r="874" spans="1:44" x14ac:dyDescent="0.25">
      <c r="A874" s="1">
        <v>33</v>
      </c>
      <c r="B874" s="8" t="str" cm="1">
        <f t="array" ref="B874">_xlfn.IFS(A874 &lt;= 25, "[18-25]", A874 &lt;= 35, "[26-35]", A874 &lt;=45, "[36-45]", A874 &lt;= 60, "[46- 60]")</f>
        <v>[26-35]</v>
      </c>
      <c r="C874" s="3" t="s">
        <v>43</v>
      </c>
      <c r="D874">
        <f t="shared" si="13"/>
        <v>0</v>
      </c>
      <c r="E874" t="s">
        <v>44</v>
      </c>
      <c r="F874" s="1">
        <v>1146</v>
      </c>
      <c r="G874" s="3" t="s">
        <v>37</v>
      </c>
      <c r="H874" s="1">
        <v>25</v>
      </c>
      <c r="I874" s="9" t="str" cm="1">
        <f t="array" ref="I874">_xlfn.IFS(H874 &lt;= 2, "[1-2] very close", H874 &lt;= 10, "[3-10] close", H874 &lt;= 20, "[11-20] moderate", H874 &lt;= 30, "[21-30] far")</f>
        <v>[21-30] far</v>
      </c>
      <c r="J874" s="1">
        <v>3</v>
      </c>
      <c r="K874" s="3" t="s">
        <v>51</v>
      </c>
      <c r="L874" s="1">
        <v>1</v>
      </c>
      <c r="M874" s="1">
        <v>1220</v>
      </c>
      <c r="N874" s="1">
        <v>2</v>
      </c>
      <c r="O874" s="3" t="s">
        <v>39</v>
      </c>
      <c r="P874" s="1">
        <v>82</v>
      </c>
      <c r="Q874" s="1">
        <v>3</v>
      </c>
      <c r="R874" s="1">
        <v>2</v>
      </c>
      <c r="S874" s="3" t="s">
        <v>40</v>
      </c>
      <c r="T874" s="1">
        <v>3</v>
      </c>
      <c r="U874" s="3" t="s">
        <v>48</v>
      </c>
      <c r="V874" s="4">
        <v>4539</v>
      </c>
      <c r="W874" s="1">
        <v>4905</v>
      </c>
      <c r="X874" s="1">
        <v>1</v>
      </c>
      <c r="Y874" s="3" t="s">
        <v>42</v>
      </c>
      <c r="Z874" s="3" t="s">
        <v>43</v>
      </c>
      <c r="AA874" s="5">
        <v>0.12</v>
      </c>
      <c r="AB874" s="10" t="str" cm="1">
        <f t="array" ref="AB874">_xlfn.IFS(AA874 &lt;= 15%, "Low Hike[11-15%]", AA874 &lt;= 20%, "Moderate Hike[16-20%]", AA874 &lt;= 25%,"High Hike[21-25%]")</f>
        <v>Low Hike[11-15%]</v>
      </c>
      <c r="AC874" s="1">
        <v>3</v>
      </c>
      <c r="AD874" s="1">
        <v>1</v>
      </c>
      <c r="AE874" s="1">
        <v>80</v>
      </c>
      <c r="AF874" s="1">
        <v>1</v>
      </c>
      <c r="AG874" s="1">
        <v>10</v>
      </c>
      <c r="AH874" s="9" t="str" cm="1">
        <f t="array" ref="AH874">_xlfn.IFS(AG874 &lt;= 5, "New[1-5]", AG874 &lt;= 10, "Early Career[6-10]", AG874 &lt;= 20, "Established[11-20]", AG874 &lt;= 30, "Veteran[21-30]", AG874 &lt;= 40, "Late Career[31-40]")</f>
        <v>Early Career[6-10]</v>
      </c>
      <c r="AI874" s="1">
        <v>3</v>
      </c>
      <c r="AJ874" s="1">
        <v>2</v>
      </c>
      <c r="AK874" s="1">
        <v>10</v>
      </c>
      <c r="AL874" s="9" t="str" cm="1">
        <f t="array" ref="AL874">_xlfn.IFS(AK874 &lt;= 5, "New[1-5]", AK874 &lt;= 10, "Early Career[6-10]", AK874 &lt;= 20, "Established[11-20]", AK874 &lt;= 30, "Veteran[21-30]", AK874 &lt;= 40, "Late Career[31-40]")</f>
        <v>Early Career[6-10]</v>
      </c>
      <c r="AM874" s="1">
        <v>7</v>
      </c>
      <c r="AN874" s="9" t="str" cm="1">
        <f t="array" ref="AN874">_xlfn.IFS(AM874 &lt;= 3, "New to Role[1-3]", AM874 &lt;= 7, "Settled[4-7]", AM874 &lt;= 12, "Experienced[[8-12]", AM874 &lt;= 18, "Long Tenured[13-18]")</f>
        <v>Settled[4-7]</v>
      </c>
      <c r="AO874" s="1">
        <v>0</v>
      </c>
      <c r="AP874" s="9" t="str" cm="1">
        <f t="array" ref="AP874">_xlfn.IFS(AO874 &lt;= 3, "Recently[1-3]", AO874 &lt;= 6, "Due Soon[4-6]", AO874 &lt;= 10, "Overdue[7-10]", AO874 &lt;= 15, "Long Overdue[11-15]")</f>
        <v>Recently[1-3]</v>
      </c>
      <c r="AQ874" s="9" t="str" cm="1">
        <f t="array" ref="AQ874">_xlfn.IFS(AR874 &lt;= 3, "New Relationship[1-3]", AR874 &lt;= 7, "Established Relationship[4-7]", AR874 &lt;= 12, "Long Term Relationship[8-12]", AR874 &lt;= 17, "Very Long Term Relationship[13-17]")</f>
        <v>New Relationship[1-3]</v>
      </c>
      <c r="AR874" s="1">
        <v>1</v>
      </c>
    </row>
    <row r="875" spans="1:44" x14ac:dyDescent="0.25">
      <c r="A875" s="1">
        <v>36</v>
      </c>
      <c r="B875" s="8" t="str" cm="1">
        <f t="array" ref="B875">_xlfn.IFS(A875 &lt;= 25, "[18-25]", A875 &lt;= 35, "[26-35]", A875 &lt;=45, "[36-45]", A875 &lt;= 60, "[46- 60]")</f>
        <v>[36-45]</v>
      </c>
      <c r="C875" s="3" t="s">
        <v>43</v>
      </c>
      <c r="D875">
        <f t="shared" si="13"/>
        <v>0</v>
      </c>
      <c r="E875" t="s">
        <v>36</v>
      </c>
      <c r="F875" s="1">
        <v>917</v>
      </c>
      <c r="G875" s="3" t="s">
        <v>45</v>
      </c>
      <c r="H875" s="1">
        <v>6</v>
      </c>
      <c r="I875" s="9" t="str" cm="1">
        <f t="array" ref="I875">_xlfn.IFS(H875 &lt;= 2, "[1-2] very close", H875 &lt;= 10, "[3-10] close", H875 &lt;= 20, "[11-20] moderate", H875 &lt;= 30, "[21-30] far")</f>
        <v>[3-10] close</v>
      </c>
      <c r="J875" s="1">
        <v>4</v>
      </c>
      <c r="K875" s="3" t="s">
        <v>38</v>
      </c>
      <c r="L875" s="1">
        <v>1</v>
      </c>
      <c r="M875" s="1">
        <v>1221</v>
      </c>
      <c r="N875" s="1">
        <v>3</v>
      </c>
      <c r="O875" s="3" t="s">
        <v>46</v>
      </c>
      <c r="P875" s="1">
        <v>60</v>
      </c>
      <c r="Q875" s="1">
        <v>1</v>
      </c>
      <c r="R875" s="1">
        <v>1</v>
      </c>
      <c r="S875" s="3" t="s">
        <v>50</v>
      </c>
      <c r="T875" s="1">
        <v>3</v>
      </c>
      <c r="U875" s="3" t="s">
        <v>52</v>
      </c>
      <c r="V875" s="4">
        <v>2741</v>
      </c>
      <c r="W875" s="1">
        <v>6865</v>
      </c>
      <c r="X875" s="1">
        <v>1</v>
      </c>
      <c r="Y875" s="3" t="s">
        <v>42</v>
      </c>
      <c r="Z875" s="3" t="s">
        <v>43</v>
      </c>
      <c r="AA875" s="5">
        <v>0.14000000000000001</v>
      </c>
      <c r="AB875" s="10" t="str" cm="1">
        <f t="array" ref="AB875">_xlfn.IFS(AA875 &lt;= 15%, "Low Hike[11-15%]", AA875 &lt;= 20%, "Moderate Hike[16-20%]", AA875 &lt;= 25%,"High Hike[21-25%]")</f>
        <v>Low Hike[11-15%]</v>
      </c>
      <c r="AC875" s="1">
        <v>3</v>
      </c>
      <c r="AD875" s="1">
        <v>3</v>
      </c>
      <c r="AE875" s="1">
        <v>80</v>
      </c>
      <c r="AF875" s="1">
        <v>1</v>
      </c>
      <c r="AG875" s="1">
        <v>7</v>
      </c>
      <c r="AH875" s="9" t="str" cm="1">
        <f t="array" ref="AH875">_xlfn.IFS(AG875 &lt;= 5, "New[1-5]", AG875 &lt;= 10, "Early Career[6-10]", AG875 &lt;= 20, "Established[11-20]", AG875 &lt;= 30, "Veteran[21-30]", AG875 &lt;= 40, "Late Career[31-40]")</f>
        <v>Early Career[6-10]</v>
      </c>
      <c r="AI875" s="1">
        <v>4</v>
      </c>
      <c r="AJ875" s="1">
        <v>3</v>
      </c>
      <c r="AK875" s="1">
        <v>7</v>
      </c>
      <c r="AL875" s="9" t="str" cm="1">
        <f t="array" ref="AL875">_xlfn.IFS(AK875 &lt;= 5, "New[1-5]", AK875 &lt;= 10, "Early Career[6-10]", AK875 &lt;= 20, "Established[11-20]", AK875 &lt;= 30, "Veteran[21-30]", AK875 &lt;= 40, "Late Career[31-40]")</f>
        <v>Early Career[6-10]</v>
      </c>
      <c r="AM875" s="1">
        <v>7</v>
      </c>
      <c r="AN875" s="9" t="str" cm="1">
        <f t="array" ref="AN875">_xlfn.IFS(AM875 &lt;= 3, "New to Role[1-3]", AM875 &lt;= 7, "Settled[4-7]", AM875 &lt;= 12, "Experienced[[8-12]", AM875 &lt;= 18, "Long Tenured[13-18]")</f>
        <v>Settled[4-7]</v>
      </c>
      <c r="AO875" s="1">
        <v>1</v>
      </c>
      <c r="AP875" s="9" t="str" cm="1">
        <f t="array" ref="AP875">_xlfn.IFS(AO875 &lt;= 3, "Recently[1-3]", AO875 &lt;= 6, "Due Soon[4-6]", AO875 &lt;= 10, "Overdue[7-10]", AO875 &lt;= 15, "Long Overdue[11-15]")</f>
        <v>Recently[1-3]</v>
      </c>
      <c r="AQ875" s="9" t="str" cm="1">
        <f t="array" ref="AQ875">_xlfn.IFS(AR875 &lt;= 3, "New Relationship[1-3]", AR875 &lt;= 7, "Established Relationship[4-7]", AR875 &lt;= 12, "Long Term Relationship[8-12]", AR875 &lt;= 17, "Very Long Term Relationship[13-17]")</f>
        <v>Established Relationship[4-7]</v>
      </c>
      <c r="AR875" s="1">
        <v>7</v>
      </c>
    </row>
    <row r="876" spans="1:44" x14ac:dyDescent="0.25">
      <c r="A876" s="1">
        <v>30</v>
      </c>
      <c r="B876" s="8" t="str" cm="1">
        <f t="array" ref="B876">_xlfn.IFS(A876 &lt;= 25, "[18-25]", A876 &lt;= 35, "[26-35]", A876 &lt;=45, "[36-45]", A876 &lt;= 60, "[46- 60]")</f>
        <v>[26-35]</v>
      </c>
      <c r="C876" s="3" t="s">
        <v>43</v>
      </c>
      <c r="D876">
        <f t="shared" si="13"/>
        <v>0</v>
      </c>
      <c r="E876" t="s">
        <v>36</v>
      </c>
      <c r="F876" s="1">
        <v>853</v>
      </c>
      <c r="G876" s="3" t="s">
        <v>45</v>
      </c>
      <c r="H876" s="1">
        <v>7</v>
      </c>
      <c r="I876" s="9" t="str" cm="1">
        <f t="array" ref="I876">_xlfn.IFS(H876 &lt;= 2, "[1-2] very close", H876 &lt;= 10, "[3-10] close", H876 &lt;= 20, "[11-20] moderate", H876 &lt;= 30, "[21-30] far")</f>
        <v>[3-10] close</v>
      </c>
      <c r="J876" s="1">
        <v>4</v>
      </c>
      <c r="K876" s="3" t="s">
        <v>38</v>
      </c>
      <c r="L876" s="1">
        <v>1</v>
      </c>
      <c r="M876" s="1">
        <v>1224</v>
      </c>
      <c r="N876" s="1">
        <v>3</v>
      </c>
      <c r="O876" s="3" t="s">
        <v>46</v>
      </c>
      <c r="P876" s="1">
        <v>49</v>
      </c>
      <c r="Q876" s="1">
        <v>3</v>
      </c>
      <c r="R876" s="1">
        <v>2</v>
      </c>
      <c r="S876" s="3" t="s">
        <v>50</v>
      </c>
      <c r="T876" s="1">
        <v>3</v>
      </c>
      <c r="U876" s="3" t="s">
        <v>52</v>
      </c>
      <c r="V876" s="4">
        <v>3491</v>
      </c>
      <c r="W876" s="1">
        <v>11309</v>
      </c>
      <c r="X876" s="1">
        <v>1</v>
      </c>
      <c r="Y876" s="3" t="s">
        <v>42</v>
      </c>
      <c r="Z876" s="3" t="s">
        <v>43</v>
      </c>
      <c r="AA876" s="5">
        <v>0.13</v>
      </c>
      <c r="AB876" s="10" t="str" cm="1">
        <f t="array" ref="AB876">_xlfn.IFS(AA876 &lt;= 15%, "Low Hike[11-15%]", AA876 &lt;= 20%, "Moderate Hike[16-20%]", AA876 &lt;= 25%,"High Hike[21-25%]")</f>
        <v>Low Hike[11-15%]</v>
      </c>
      <c r="AC876" s="1">
        <v>3</v>
      </c>
      <c r="AD876" s="1">
        <v>1</v>
      </c>
      <c r="AE876" s="1">
        <v>80</v>
      </c>
      <c r="AF876" s="1">
        <v>3</v>
      </c>
      <c r="AG876" s="1">
        <v>10</v>
      </c>
      <c r="AH876" s="9" t="str" cm="1">
        <f t="array" ref="AH876">_xlfn.IFS(AG876 &lt;= 5, "New[1-5]", AG876 &lt;= 10, "Early Career[6-10]", AG876 &lt;= 20, "Established[11-20]", AG876 &lt;= 30, "Veteran[21-30]", AG876 &lt;= 40, "Late Career[31-40]")</f>
        <v>Early Career[6-10]</v>
      </c>
      <c r="AI876" s="1">
        <v>4</v>
      </c>
      <c r="AJ876" s="1">
        <v>2</v>
      </c>
      <c r="AK876" s="1">
        <v>10</v>
      </c>
      <c r="AL876" s="9" t="str" cm="1">
        <f t="array" ref="AL876">_xlfn.IFS(AK876 &lt;= 5, "New[1-5]", AK876 &lt;= 10, "Early Career[6-10]", AK876 &lt;= 20, "Established[11-20]", AK876 &lt;= 30, "Veteran[21-30]", AK876 &lt;= 40, "Late Career[31-40]")</f>
        <v>Early Career[6-10]</v>
      </c>
      <c r="AM876" s="1">
        <v>7</v>
      </c>
      <c r="AN876" s="9" t="str" cm="1">
        <f t="array" ref="AN876">_xlfn.IFS(AM876 &lt;= 3, "New to Role[1-3]", AM876 &lt;= 7, "Settled[4-7]", AM876 &lt;= 12, "Experienced[[8-12]", AM876 &lt;= 18, "Long Tenured[13-18]")</f>
        <v>Settled[4-7]</v>
      </c>
      <c r="AO876" s="1">
        <v>8</v>
      </c>
      <c r="AP876" s="9" t="str" cm="1">
        <f t="array" ref="AP876">_xlfn.IFS(AO876 &lt;= 3, "Recently[1-3]", AO876 &lt;= 6, "Due Soon[4-6]", AO876 &lt;= 10, "Overdue[7-10]", AO876 &lt;= 15, "Long Overdue[11-15]")</f>
        <v>Overdue[7-10]</v>
      </c>
      <c r="AQ876" s="9" t="str" cm="1">
        <f t="array" ref="AQ876">_xlfn.IFS(AR876 &lt;= 3, "New Relationship[1-3]", AR876 &lt;= 7, "Established Relationship[4-7]", AR876 &lt;= 12, "Long Term Relationship[8-12]", AR876 &lt;= 17, "Very Long Term Relationship[13-17]")</f>
        <v>Long Term Relationship[8-12]</v>
      </c>
      <c r="AR876" s="1">
        <v>9</v>
      </c>
    </row>
    <row r="877" spans="1:44" x14ac:dyDescent="0.25">
      <c r="A877" s="1">
        <v>44</v>
      </c>
      <c r="B877" s="8" t="str" cm="1">
        <f t="array" ref="B877">_xlfn.IFS(A877 &lt;= 25, "[18-25]", A877 &lt;= 35, "[26-35]", A877 &lt;=45, "[36-45]", A877 &lt;= 60, "[46- 60]")</f>
        <v>[36-45]</v>
      </c>
      <c r="C877" s="3" t="s">
        <v>43</v>
      </c>
      <c r="D877">
        <f t="shared" si="13"/>
        <v>0</v>
      </c>
      <c r="E877" t="s">
        <v>36</v>
      </c>
      <c r="F877" s="1">
        <v>200</v>
      </c>
      <c r="G877" s="3" t="s">
        <v>45</v>
      </c>
      <c r="H877" s="1">
        <v>29</v>
      </c>
      <c r="I877" s="9" t="str" cm="1">
        <f t="array" ref="I877">_xlfn.IFS(H877 &lt;= 2, "[1-2] very close", H877 &lt;= 10, "[3-10] close", H877 &lt;= 20, "[11-20] moderate", H877 &lt;= 30, "[21-30] far")</f>
        <v>[21-30] far</v>
      </c>
      <c r="J877" s="1">
        <v>4</v>
      </c>
      <c r="K877" s="3" t="s">
        <v>49</v>
      </c>
      <c r="L877" s="1">
        <v>1</v>
      </c>
      <c r="M877" s="1">
        <v>1225</v>
      </c>
      <c r="N877" s="1">
        <v>4</v>
      </c>
      <c r="O877" s="3" t="s">
        <v>46</v>
      </c>
      <c r="P877" s="1">
        <v>32</v>
      </c>
      <c r="Q877" s="1">
        <v>3</v>
      </c>
      <c r="R877" s="1">
        <v>2</v>
      </c>
      <c r="S877" s="3" t="s">
        <v>47</v>
      </c>
      <c r="T877" s="1">
        <v>4</v>
      </c>
      <c r="U877" s="3" t="s">
        <v>41</v>
      </c>
      <c r="V877" s="4">
        <v>4541</v>
      </c>
      <c r="W877" s="1">
        <v>7744</v>
      </c>
      <c r="X877" s="1">
        <v>1</v>
      </c>
      <c r="Y877" s="3" t="s">
        <v>42</v>
      </c>
      <c r="Z877" s="3" t="s">
        <v>43</v>
      </c>
      <c r="AA877" s="5">
        <v>0.25</v>
      </c>
      <c r="AB877" s="10" t="str" cm="1">
        <f t="array" ref="AB877">_xlfn.IFS(AA877 &lt;= 15%, "Low Hike[11-15%]", AA877 &lt;= 20%, "Moderate Hike[16-20%]", AA877 &lt;= 25%,"High Hike[21-25%]")</f>
        <v>High Hike[21-25%]</v>
      </c>
      <c r="AC877" s="1">
        <v>4</v>
      </c>
      <c r="AD877" s="1">
        <v>2</v>
      </c>
      <c r="AE877" s="1">
        <v>80</v>
      </c>
      <c r="AF877" s="1">
        <v>0</v>
      </c>
      <c r="AG877" s="1">
        <v>20</v>
      </c>
      <c r="AH877" s="9" t="str" cm="1">
        <f t="array" ref="AH877">_xlfn.IFS(AG877 &lt;= 5, "New[1-5]", AG877 &lt;= 10, "Early Career[6-10]", AG877 &lt;= 20, "Established[11-20]", AG877 &lt;= 30, "Veteran[21-30]", AG877 &lt;= 40, "Late Career[31-40]")</f>
        <v>Established[11-20]</v>
      </c>
      <c r="AI877" s="1">
        <v>3</v>
      </c>
      <c r="AJ877" s="1">
        <v>3</v>
      </c>
      <c r="AK877" s="1">
        <v>20</v>
      </c>
      <c r="AL877" s="9" t="str" cm="1">
        <f t="array" ref="AL877">_xlfn.IFS(AK877 &lt;= 5, "New[1-5]", AK877 &lt;= 10, "Early Career[6-10]", AK877 &lt;= 20, "Established[11-20]", AK877 &lt;= 30, "Veteran[21-30]", AK877 &lt;= 40, "Late Career[31-40]")</f>
        <v>Established[11-20]</v>
      </c>
      <c r="AM877" s="1">
        <v>11</v>
      </c>
      <c r="AN877" s="9" t="str" cm="1">
        <f t="array" ref="AN877">_xlfn.IFS(AM877 &lt;= 3, "New to Role[1-3]", AM877 &lt;= 7, "Settled[4-7]", AM877 &lt;= 12, "Experienced[[8-12]", AM877 &lt;= 18, "Long Tenured[13-18]")</f>
        <v>Experienced[[8-12]</v>
      </c>
      <c r="AO877" s="1">
        <v>13</v>
      </c>
      <c r="AP877" s="9" t="str" cm="1">
        <f t="array" ref="AP877">_xlfn.IFS(AO877 &lt;= 3, "Recently[1-3]", AO877 &lt;= 6, "Due Soon[4-6]", AO877 &lt;= 10, "Overdue[7-10]", AO877 &lt;= 15, "Long Overdue[11-15]")</f>
        <v>Long Overdue[11-15]</v>
      </c>
      <c r="AQ877" s="9" t="str" cm="1">
        <f t="array" ref="AQ877">_xlfn.IFS(AR877 &lt;= 3, "New Relationship[1-3]", AR877 &lt;= 7, "Established Relationship[4-7]", AR877 &lt;= 12, "Long Term Relationship[8-12]", AR877 &lt;= 17, "Very Long Term Relationship[13-17]")</f>
        <v>Very Long Term Relationship[13-17]</v>
      </c>
      <c r="AR877" s="1">
        <v>17</v>
      </c>
    </row>
    <row r="878" spans="1:44" x14ac:dyDescent="0.25">
      <c r="A878" s="1">
        <v>20</v>
      </c>
      <c r="B878" s="8" t="str" cm="1">
        <f t="array" ref="B878">_xlfn.IFS(A878 &lt;= 25, "[18-25]", A878 &lt;= 35, "[26-35]", A878 &lt;=45, "[36-45]", A878 &lt;= 60, "[46- 60]")</f>
        <v>[18-25]</v>
      </c>
      <c r="C878" s="3" t="s">
        <v>43</v>
      </c>
      <c r="D878">
        <f t="shared" si="13"/>
        <v>0</v>
      </c>
      <c r="E878" t="s">
        <v>36</v>
      </c>
      <c r="F878" s="1">
        <v>654</v>
      </c>
      <c r="G878" s="3" t="s">
        <v>37</v>
      </c>
      <c r="H878" s="1">
        <v>21</v>
      </c>
      <c r="I878" s="9" t="str" cm="1">
        <f t="array" ref="I878">_xlfn.IFS(H878 &lt;= 2, "[1-2] very close", H878 &lt;= 10, "[3-10] close", H878 &lt;= 20, "[11-20] moderate", H878 &lt;= 30, "[21-30] far")</f>
        <v>[21-30] far</v>
      </c>
      <c r="J878" s="1">
        <v>3</v>
      </c>
      <c r="K878" s="3" t="s">
        <v>59</v>
      </c>
      <c r="L878" s="1">
        <v>1</v>
      </c>
      <c r="M878" s="1">
        <v>1226</v>
      </c>
      <c r="N878" s="1">
        <v>3</v>
      </c>
      <c r="O878" s="3" t="s">
        <v>46</v>
      </c>
      <c r="P878" s="1">
        <v>43</v>
      </c>
      <c r="Q878" s="1">
        <v>4</v>
      </c>
      <c r="R878" s="1">
        <v>1</v>
      </c>
      <c r="S878" s="3" t="s">
        <v>57</v>
      </c>
      <c r="T878" s="1">
        <v>4</v>
      </c>
      <c r="U878" s="3" t="s">
        <v>41</v>
      </c>
      <c r="V878" s="4">
        <v>2678</v>
      </c>
      <c r="W878" s="1">
        <v>5050</v>
      </c>
      <c r="X878" s="1">
        <v>1</v>
      </c>
      <c r="Y878" s="3" t="s">
        <v>42</v>
      </c>
      <c r="Z878" s="3" t="s">
        <v>43</v>
      </c>
      <c r="AA878" s="5">
        <v>0.17</v>
      </c>
      <c r="AB878" s="10" t="str" cm="1">
        <f t="array" ref="AB878">_xlfn.IFS(AA878 &lt;= 15%, "Low Hike[11-15%]", AA878 &lt;= 20%, "Moderate Hike[16-20%]", AA878 &lt;= 25%,"High Hike[21-25%]")</f>
        <v>Moderate Hike[16-20%]</v>
      </c>
      <c r="AC878" s="1">
        <v>3</v>
      </c>
      <c r="AD878" s="1">
        <v>4</v>
      </c>
      <c r="AE878" s="1">
        <v>80</v>
      </c>
      <c r="AF878" s="1">
        <v>0</v>
      </c>
      <c r="AG878" s="1">
        <v>2</v>
      </c>
      <c r="AH878" s="9" t="str" cm="1">
        <f t="array" ref="AH878">_xlfn.IFS(AG878 &lt;= 5, "New[1-5]", AG878 &lt;= 10, "Early Career[6-10]", AG878 &lt;= 20, "Established[11-20]", AG878 &lt;= 30, "Veteran[21-30]", AG878 &lt;= 40, "Late Career[31-40]")</f>
        <v>New[1-5]</v>
      </c>
      <c r="AI878" s="1">
        <v>2</v>
      </c>
      <c r="AJ878" s="1">
        <v>3</v>
      </c>
      <c r="AK878" s="1">
        <v>2</v>
      </c>
      <c r="AL878" s="9" t="str" cm="1">
        <f t="array" ref="AL878">_xlfn.IFS(AK878 &lt;= 5, "New[1-5]", AK878 &lt;= 10, "Early Career[6-10]", AK878 &lt;= 20, "Established[11-20]", AK878 &lt;= 30, "Veteran[21-30]", AK878 &lt;= 40, "Late Career[31-40]")</f>
        <v>New[1-5]</v>
      </c>
      <c r="AM878" s="1">
        <v>1</v>
      </c>
      <c r="AN878" s="9" t="str" cm="1">
        <f t="array" ref="AN878">_xlfn.IFS(AM878 &lt;= 3, "New to Role[1-3]", AM878 &lt;= 7, "Settled[4-7]", AM878 &lt;= 12, "Experienced[[8-12]", AM878 &lt;= 18, "Long Tenured[13-18]")</f>
        <v>New to Role[1-3]</v>
      </c>
      <c r="AO878" s="1">
        <v>2</v>
      </c>
      <c r="AP878" s="9" t="str" cm="1">
        <f t="array" ref="AP878">_xlfn.IFS(AO878 &lt;= 3, "Recently[1-3]", AO878 &lt;= 6, "Due Soon[4-6]", AO878 &lt;= 10, "Overdue[7-10]", AO878 &lt;= 15, "Long Overdue[11-15]")</f>
        <v>Recently[1-3]</v>
      </c>
      <c r="AQ878" s="9" t="str" cm="1">
        <f t="array" ref="AQ878">_xlfn.IFS(AR878 &lt;= 3, "New Relationship[1-3]", AR878 &lt;= 7, "Established Relationship[4-7]", AR878 &lt;= 12, "Long Term Relationship[8-12]", AR878 &lt;= 17, "Very Long Term Relationship[13-17]")</f>
        <v>New Relationship[1-3]</v>
      </c>
      <c r="AR878" s="1">
        <v>2</v>
      </c>
    </row>
    <row r="879" spans="1:44" x14ac:dyDescent="0.25">
      <c r="A879" s="1">
        <v>46</v>
      </c>
      <c r="B879" s="8" t="str" cm="1">
        <f t="array" ref="B879">_xlfn.IFS(A879 &lt;= 25, "[18-25]", A879 &lt;= 35, "[26-35]", A879 &lt;=45, "[36-45]", A879 &lt;= 60, "[46- 60]")</f>
        <v>[46- 60]</v>
      </c>
      <c r="C879" s="3" t="s">
        <v>43</v>
      </c>
      <c r="D879">
        <f t="shared" si="13"/>
        <v>0</v>
      </c>
      <c r="E879" t="s">
        <v>36</v>
      </c>
      <c r="F879" s="1">
        <v>150</v>
      </c>
      <c r="G879" s="3" t="s">
        <v>45</v>
      </c>
      <c r="H879" s="1">
        <v>2</v>
      </c>
      <c r="I879" s="9" t="str" cm="1">
        <f t="array" ref="I879">_xlfn.IFS(H879 &lt;= 2, "[1-2] very close", H879 &lt;= 10, "[3-10] close", H879 &lt;= 20, "[11-20] moderate", H879 &lt;= 30, "[21-30] far")</f>
        <v>[1-2] very close</v>
      </c>
      <c r="J879" s="1">
        <v>4</v>
      </c>
      <c r="K879" s="3" t="s">
        <v>60</v>
      </c>
      <c r="L879" s="1">
        <v>1</v>
      </c>
      <c r="M879" s="1">
        <v>1228</v>
      </c>
      <c r="N879" s="1">
        <v>4</v>
      </c>
      <c r="O879" s="3" t="s">
        <v>46</v>
      </c>
      <c r="P879" s="1">
        <v>60</v>
      </c>
      <c r="Q879" s="1">
        <v>3</v>
      </c>
      <c r="R879" s="1">
        <v>2</v>
      </c>
      <c r="S879" s="3" t="s">
        <v>53</v>
      </c>
      <c r="T879" s="1">
        <v>4</v>
      </c>
      <c r="U879" s="3" t="s">
        <v>52</v>
      </c>
      <c r="V879" s="4">
        <v>7379</v>
      </c>
      <c r="W879" s="1">
        <v>17433</v>
      </c>
      <c r="X879" s="1">
        <v>2</v>
      </c>
      <c r="Y879" s="3" t="s">
        <v>42</v>
      </c>
      <c r="Z879" s="3" t="s">
        <v>43</v>
      </c>
      <c r="AA879" s="5">
        <v>0.11</v>
      </c>
      <c r="AB879" s="10" t="str" cm="1">
        <f t="array" ref="AB879">_xlfn.IFS(AA879 &lt;= 15%, "Low Hike[11-15%]", AA879 &lt;= 20%, "Moderate Hike[16-20%]", AA879 &lt;= 25%,"High Hike[21-25%]")</f>
        <v>Low Hike[11-15%]</v>
      </c>
      <c r="AC879" s="1">
        <v>3</v>
      </c>
      <c r="AD879" s="1">
        <v>3</v>
      </c>
      <c r="AE879" s="1">
        <v>80</v>
      </c>
      <c r="AF879" s="1">
        <v>1</v>
      </c>
      <c r="AG879" s="1">
        <v>12</v>
      </c>
      <c r="AH879" s="9" t="str" cm="1">
        <f t="array" ref="AH879">_xlfn.IFS(AG879 &lt;= 5, "New[1-5]", AG879 &lt;= 10, "Early Career[6-10]", AG879 &lt;= 20, "Established[11-20]", AG879 &lt;= 30, "Veteran[21-30]", AG879 &lt;= 40, "Late Career[31-40]")</f>
        <v>Established[11-20]</v>
      </c>
      <c r="AI879" s="1">
        <v>3</v>
      </c>
      <c r="AJ879" s="1">
        <v>2</v>
      </c>
      <c r="AK879" s="1">
        <v>6</v>
      </c>
      <c r="AL879" s="9" t="str" cm="1">
        <f t="array" ref="AL879">_xlfn.IFS(AK879 &lt;= 5, "New[1-5]", AK879 &lt;= 10, "Early Career[6-10]", AK879 &lt;= 20, "Established[11-20]", AK879 &lt;= 30, "Veteran[21-30]", AK879 &lt;= 40, "Late Career[31-40]")</f>
        <v>Early Career[6-10]</v>
      </c>
      <c r="AM879" s="1">
        <v>3</v>
      </c>
      <c r="AN879" s="9" t="str" cm="1">
        <f t="array" ref="AN879">_xlfn.IFS(AM879 &lt;= 3, "New to Role[1-3]", AM879 &lt;= 7, "Settled[4-7]", AM879 &lt;= 12, "Experienced[[8-12]", AM879 &lt;= 18, "Long Tenured[13-18]")</f>
        <v>New to Role[1-3]</v>
      </c>
      <c r="AO879" s="1">
        <v>1</v>
      </c>
      <c r="AP879" s="9" t="str" cm="1">
        <f t="array" ref="AP879">_xlfn.IFS(AO879 &lt;= 3, "Recently[1-3]", AO879 &lt;= 6, "Due Soon[4-6]", AO879 &lt;= 10, "Overdue[7-10]", AO879 &lt;= 15, "Long Overdue[11-15]")</f>
        <v>Recently[1-3]</v>
      </c>
      <c r="AQ879" s="9" t="str" cm="1">
        <f t="array" ref="AQ879">_xlfn.IFS(AR879 &lt;= 3, "New Relationship[1-3]", AR879 &lt;= 7, "Established Relationship[4-7]", AR879 &lt;= 12, "Long Term Relationship[8-12]", AR879 &lt;= 17, "Very Long Term Relationship[13-17]")</f>
        <v>Established Relationship[4-7]</v>
      </c>
      <c r="AR879" s="1">
        <v>4</v>
      </c>
    </row>
    <row r="880" spans="1:44" x14ac:dyDescent="0.25">
      <c r="A880" s="1">
        <v>42</v>
      </c>
      <c r="B880" s="8" t="str" cm="1">
        <f t="array" ref="B880">_xlfn.IFS(A880 &lt;= 25, "[18-25]", A880 &lt;= 35, "[26-35]", A880 &lt;=45, "[36-45]", A880 &lt;= 60, "[46- 60]")</f>
        <v>[36-45]</v>
      </c>
      <c r="C880" s="3" t="s">
        <v>43</v>
      </c>
      <c r="D880">
        <f t="shared" si="13"/>
        <v>0</v>
      </c>
      <c r="E880" t="s">
        <v>62</v>
      </c>
      <c r="F880" s="1">
        <v>179</v>
      </c>
      <c r="G880" s="3" t="s">
        <v>61</v>
      </c>
      <c r="H880" s="1">
        <v>2</v>
      </c>
      <c r="I880" s="9" t="str" cm="1">
        <f t="array" ref="I880">_xlfn.IFS(H880 &lt;= 2, "[1-2] very close", H880 &lt;= 10, "[3-10] close", H880 &lt;= 20, "[11-20] moderate", H880 &lt;= 30, "[21-30] far")</f>
        <v>[1-2] very close</v>
      </c>
      <c r="J880" s="1">
        <v>5</v>
      </c>
      <c r="K880" s="3" t="s">
        <v>51</v>
      </c>
      <c r="L880" s="1">
        <v>1</v>
      </c>
      <c r="M880" s="1">
        <v>1231</v>
      </c>
      <c r="N880" s="1">
        <v>4</v>
      </c>
      <c r="O880" s="3" t="s">
        <v>46</v>
      </c>
      <c r="P880" s="1">
        <v>79</v>
      </c>
      <c r="Q880" s="1">
        <v>4</v>
      </c>
      <c r="R880" s="1">
        <v>2</v>
      </c>
      <c r="S880" s="3" t="s">
        <v>61</v>
      </c>
      <c r="T880" s="1">
        <v>1</v>
      </c>
      <c r="U880" s="3" t="s">
        <v>48</v>
      </c>
      <c r="V880" s="4">
        <v>6272</v>
      </c>
      <c r="W880" s="1">
        <v>12858</v>
      </c>
      <c r="X880" s="1">
        <v>7</v>
      </c>
      <c r="Y880" s="3" t="s">
        <v>42</v>
      </c>
      <c r="Z880" s="3" t="s">
        <v>43</v>
      </c>
      <c r="AA880" s="5">
        <v>0.16</v>
      </c>
      <c r="AB880" s="10" t="str" cm="1">
        <f t="array" ref="AB880">_xlfn.IFS(AA880 &lt;= 15%, "Low Hike[11-15%]", AA880 &lt;= 20%, "Moderate Hike[16-20%]", AA880 &lt;= 25%,"High Hike[21-25%]")</f>
        <v>Moderate Hike[16-20%]</v>
      </c>
      <c r="AC880" s="1">
        <v>3</v>
      </c>
      <c r="AD880" s="1">
        <v>1</v>
      </c>
      <c r="AE880" s="1">
        <v>80</v>
      </c>
      <c r="AF880" s="1">
        <v>1</v>
      </c>
      <c r="AG880" s="1">
        <v>10</v>
      </c>
      <c r="AH880" s="9" t="str" cm="1">
        <f t="array" ref="AH880">_xlfn.IFS(AG880 &lt;= 5, "New[1-5]", AG880 &lt;= 10, "Early Career[6-10]", AG880 &lt;= 20, "Established[11-20]", AG880 &lt;= 30, "Veteran[21-30]", AG880 &lt;= 40, "Late Career[31-40]")</f>
        <v>Early Career[6-10]</v>
      </c>
      <c r="AI880" s="1">
        <v>3</v>
      </c>
      <c r="AJ880" s="1">
        <v>4</v>
      </c>
      <c r="AK880" s="1">
        <v>4</v>
      </c>
      <c r="AL880" s="9" t="str" cm="1">
        <f t="array" ref="AL880">_xlfn.IFS(AK880 &lt;= 5, "New[1-5]", AK880 &lt;= 10, "Early Career[6-10]", AK880 &lt;= 20, "Established[11-20]", AK880 &lt;= 30, "Veteran[21-30]", AK880 &lt;= 40, "Late Career[31-40]")</f>
        <v>New[1-5]</v>
      </c>
      <c r="AM880" s="1">
        <v>3</v>
      </c>
      <c r="AN880" s="9" t="str" cm="1">
        <f t="array" ref="AN880">_xlfn.IFS(AM880 &lt;= 3, "New to Role[1-3]", AM880 &lt;= 7, "Settled[4-7]", AM880 &lt;= 12, "Experienced[[8-12]", AM880 &lt;= 18, "Long Tenured[13-18]")</f>
        <v>New to Role[1-3]</v>
      </c>
      <c r="AO880" s="1">
        <v>0</v>
      </c>
      <c r="AP880" s="9" t="str" cm="1">
        <f t="array" ref="AP880">_xlfn.IFS(AO880 &lt;= 3, "Recently[1-3]", AO880 &lt;= 6, "Due Soon[4-6]", AO880 &lt;= 10, "Overdue[7-10]", AO880 &lt;= 15, "Long Overdue[11-15]")</f>
        <v>Recently[1-3]</v>
      </c>
      <c r="AQ880" s="9" t="str" cm="1">
        <f t="array" ref="AQ880">_xlfn.IFS(AR880 &lt;= 3, "New Relationship[1-3]", AR880 &lt;= 7, "Established Relationship[4-7]", AR880 &lt;= 12, "Long Term Relationship[8-12]", AR880 &lt;= 17, "Very Long Term Relationship[13-17]")</f>
        <v>New Relationship[1-3]</v>
      </c>
      <c r="AR880" s="1">
        <v>3</v>
      </c>
    </row>
    <row r="881" spans="1:44" x14ac:dyDescent="0.25">
      <c r="A881" s="1">
        <v>60</v>
      </c>
      <c r="B881" s="8" t="str" cm="1">
        <f t="array" ref="B881">_xlfn.IFS(A881 &lt;= 25, "[18-25]", A881 &lt;= 35, "[26-35]", A881 &lt;=45, "[36-45]", A881 &lt;= 60, "[46- 60]")</f>
        <v>[46- 60]</v>
      </c>
      <c r="C881" s="3" t="s">
        <v>43</v>
      </c>
      <c r="D881">
        <f t="shared" si="13"/>
        <v>0</v>
      </c>
      <c r="E881" t="s">
        <v>36</v>
      </c>
      <c r="F881" s="1">
        <v>696</v>
      </c>
      <c r="G881" s="3" t="s">
        <v>37</v>
      </c>
      <c r="H881" s="1">
        <v>7</v>
      </c>
      <c r="I881" s="9" t="str" cm="1">
        <f t="array" ref="I881">_xlfn.IFS(H881 &lt;= 2, "[1-2] very close", H881 &lt;= 10, "[3-10] close", H881 &lt;= 20, "[11-20] moderate", H881 &lt;= 30, "[21-30] far")</f>
        <v>[3-10] close</v>
      </c>
      <c r="J881" s="1">
        <v>4</v>
      </c>
      <c r="K881" s="3" t="s">
        <v>59</v>
      </c>
      <c r="L881" s="1">
        <v>1</v>
      </c>
      <c r="M881" s="1">
        <v>1233</v>
      </c>
      <c r="N881" s="1">
        <v>2</v>
      </c>
      <c r="O881" s="3" t="s">
        <v>46</v>
      </c>
      <c r="P881" s="1">
        <v>52</v>
      </c>
      <c r="Q881" s="1">
        <v>4</v>
      </c>
      <c r="R881" s="1">
        <v>2</v>
      </c>
      <c r="S881" s="3" t="s">
        <v>40</v>
      </c>
      <c r="T881" s="1">
        <v>4</v>
      </c>
      <c r="U881" s="3" t="s">
        <v>52</v>
      </c>
      <c r="V881" s="4">
        <v>5220</v>
      </c>
      <c r="W881" s="1">
        <v>10893</v>
      </c>
      <c r="X881" s="1">
        <v>0</v>
      </c>
      <c r="Y881" s="3" t="s">
        <v>42</v>
      </c>
      <c r="Z881" s="3" t="s">
        <v>35</v>
      </c>
      <c r="AA881" s="5">
        <v>0.18</v>
      </c>
      <c r="AB881" s="10" t="str" cm="1">
        <f t="array" ref="AB881">_xlfn.IFS(AA881 &lt;= 15%, "Low Hike[11-15%]", AA881 &lt;= 20%, "Moderate Hike[16-20%]", AA881 &lt;= 25%,"High Hike[21-25%]")</f>
        <v>Moderate Hike[16-20%]</v>
      </c>
      <c r="AC881" s="1">
        <v>3</v>
      </c>
      <c r="AD881" s="1">
        <v>2</v>
      </c>
      <c r="AE881" s="1">
        <v>80</v>
      </c>
      <c r="AF881" s="1">
        <v>1</v>
      </c>
      <c r="AG881" s="1">
        <v>12</v>
      </c>
      <c r="AH881" s="9" t="str" cm="1">
        <f t="array" ref="AH881">_xlfn.IFS(AG881 &lt;= 5, "New[1-5]", AG881 &lt;= 10, "Early Career[6-10]", AG881 &lt;= 20, "Established[11-20]", AG881 &lt;= 30, "Veteran[21-30]", AG881 &lt;= 40, "Late Career[31-40]")</f>
        <v>Established[11-20]</v>
      </c>
      <c r="AI881" s="1">
        <v>3</v>
      </c>
      <c r="AJ881" s="1">
        <v>3</v>
      </c>
      <c r="AK881" s="1">
        <v>11</v>
      </c>
      <c r="AL881" s="9" t="str" cm="1">
        <f t="array" ref="AL881">_xlfn.IFS(AK881 &lt;= 5, "New[1-5]", AK881 &lt;= 10, "Early Career[6-10]", AK881 &lt;= 20, "Established[11-20]", AK881 &lt;= 30, "Veteran[21-30]", AK881 &lt;= 40, "Late Career[31-40]")</f>
        <v>Established[11-20]</v>
      </c>
      <c r="AM881" s="1">
        <v>7</v>
      </c>
      <c r="AN881" s="9" t="str" cm="1">
        <f t="array" ref="AN881">_xlfn.IFS(AM881 &lt;= 3, "New to Role[1-3]", AM881 &lt;= 7, "Settled[4-7]", AM881 &lt;= 12, "Experienced[[8-12]", AM881 &lt;= 18, "Long Tenured[13-18]")</f>
        <v>Settled[4-7]</v>
      </c>
      <c r="AO881" s="1">
        <v>1</v>
      </c>
      <c r="AP881" s="9" t="str" cm="1">
        <f t="array" ref="AP881">_xlfn.IFS(AO881 &lt;= 3, "Recently[1-3]", AO881 &lt;= 6, "Due Soon[4-6]", AO881 &lt;= 10, "Overdue[7-10]", AO881 &lt;= 15, "Long Overdue[11-15]")</f>
        <v>Recently[1-3]</v>
      </c>
      <c r="AQ881" s="9" t="str" cm="1">
        <f t="array" ref="AQ881">_xlfn.IFS(AR881 &lt;= 3, "New Relationship[1-3]", AR881 &lt;= 7, "Established Relationship[4-7]", AR881 &lt;= 12, "Long Term Relationship[8-12]", AR881 &lt;= 17, "Very Long Term Relationship[13-17]")</f>
        <v>Long Term Relationship[8-12]</v>
      </c>
      <c r="AR881" s="1">
        <v>9</v>
      </c>
    </row>
    <row r="882" spans="1:44" x14ac:dyDescent="0.25">
      <c r="A882" s="1">
        <v>32</v>
      </c>
      <c r="B882" s="8" t="str" cm="1">
        <f t="array" ref="B882">_xlfn.IFS(A882 &lt;= 25, "[18-25]", A882 &lt;= 35, "[26-35]", A882 &lt;=45, "[36-45]", A882 &lt;= 60, "[46- 60]")</f>
        <v>[26-35]</v>
      </c>
      <c r="C882" s="3" t="s">
        <v>43</v>
      </c>
      <c r="D882">
        <f t="shared" si="13"/>
        <v>0</v>
      </c>
      <c r="E882" t="s">
        <v>44</v>
      </c>
      <c r="F882" s="1">
        <v>116</v>
      </c>
      <c r="G882" s="3" t="s">
        <v>45</v>
      </c>
      <c r="H882" s="1">
        <v>13</v>
      </c>
      <c r="I882" s="9" t="str" cm="1">
        <f t="array" ref="I882">_xlfn.IFS(H882 &lt;= 2, "[1-2] very close", H882 &lt;= 10, "[3-10] close", H882 &lt;= 20, "[11-20] moderate", H882 &lt;= 30, "[21-30] far")</f>
        <v>[11-20] moderate</v>
      </c>
      <c r="J882" s="1">
        <v>3</v>
      </c>
      <c r="K882" s="3" t="s">
        <v>49</v>
      </c>
      <c r="L882" s="1">
        <v>1</v>
      </c>
      <c r="M882" s="1">
        <v>1234</v>
      </c>
      <c r="N882" s="1">
        <v>3</v>
      </c>
      <c r="O882" s="3" t="s">
        <v>39</v>
      </c>
      <c r="P882" s="1">
        <v>77</v>
      </c>
      <c r="Q882" s="1">
        <v>2</v>
      </c>
      <c r="R882" s="1">
        <v>1</v>
      </c>
      <c r="S882" s="3" t="s">
        <v>50</v>
      </c>
      <c r="T882" s="1">
        <v>2</v>
      </c>
      <c r="U882" s="3" t="s">
        <v>48</v>
      </c>
      <c r="V882" s="4">
        <v>2743</v>
      </c>
      <c r="W882" s="1">
        <v>7331</v>
      </c>
      <c r="X882" s="1">
        <v>1</v>
      </c>
      <c r="Y882" s="3" t="s">
        <v>42</v>
      </c>
      <c r="Z882" s="3" t="s">
        <v>43</v>
      </c>
      <c r="AA882" s="5">
        <v>0.2</v>
      </c>
      <c r="AB882" s="10" t="str" cm="1">
        <f t="array" ref="AB882">_xlfn.IFS(AA882 &lt;= 15%, "Low Hike[11-15%]", AA882 &lt;= 20%, "Moderate Hike[16-20%]", AA882 &lt;= 25%,"High Hike[21-25%]")</f>
        <v>Moderate Hike[16-20%]</v>
      </c>
      <c r="AC882" s="1">
        <v>4</v>
      </c>
      <c r="AD882" s="1">
        <v>3</v>
      </c>
      <c r="AE882" s="1">
        <v>80</v>
      </c>
      <c r="AF882" s="1">
        <v>1</v>
      </c>
      <c r="AG882" s="1">
        <v>2</v>
      </c>
      <c r="AH882" s="9" t="str" cm="1">
        <f t="array" ref="AH882">_xlfn.IFS(AG882 &lt;= 5, "New[1-5]", AG882 &lt;= 10, "Early Career[6-10]", AG882 &lt;= 20, "Established[11-20]", AG882 &lt;= 30, "Veteran[21-30]", AG882 &lt;= 40, "Late Career[31-40]")</f>
        <v>New[1-5]</v>
      </c>
      <c r="AI882" s="1">
        <v>2</v>
      </c>
      <c r="AJ882" s="1">
        <v>3</v>
      </c>
      <c r="AK882" s="1">
        <v>2</v>
      </c>
      <c r="AL882" s="9" t="str" cm="1">
        <f t="array" ref="AL882">_xlfn.IFS(AK882 &lt;= 5, "New[1-5]", AK882 &lt;= 10, "Early Career[6-10]", AK882 &lt;= 20, "Established[11-20]", AK882 &lt;= 30, "Veteran[21-30]", AK882 &lt;= 40, "Late Career[31-40]")</f>
        <v>New[1-5]</v>
      </c>
      <c r="AM882" s="1">
        <v>2</v>
      </c>
      <c r="AN882" s="9" t="str" cm="1">
        <f t="array" ref="AN882">_xlfn.IFS(AM882 &lt;= 3, "New to Role[1-3]", AM882 &lt;= 7, "Settled[4-7]", AM882 &lt;= 12, "Experienced[[8-12]", AM882 &lt;= 18, "Long Tenured[13-18]")</f>
        <v>New to Role[1-3]</v>
      </c>
      <c r="AO882" s="1">
        <v>2</v>
      </c>
      <c r="AP882" s="9" t="str" cm="1">
        <f t="array" ref="AP882">_xlfn.IFS(AO882 &lt;= 3, "Recently[1-3]", AO882 &lt;= 6, "Due Soon[4-6]", AO882 &lt;= 10, "Overdue[7-10]", AO882 &lt;= 15, "Long Overdue[11-15]")</f>
        <v>Recently[1-3]</v>
      </c>
      <c r="AQ882" s="9" t="str" cm="1">
        <f t="array" ref="AQ882">_xlfn.IFS(AR882 &lt;= 3, "New Relationship[1-3]", AR882 &lt;= 7, "Established Relationship[4-7]", AR882 &lt;= 12, "Long Term Relationship[8-12]", AR882 &lt;= 17, "Very Long Term Relationship[13-17]")</f>
        <v>New Relationship[1-3]</v>
      </c>
      <c r="AR882" s="1">
        <v>2</v>
      </c>
    </row>
    <row r="883" spans="1:44" x14ac:dyDescent="0.25">
      <c r="A883" s="1">
        <v>32</v>
      </c>
      <c r="B883" s="8" t="str" cm="1">
        <f t="array" ref="B883">_xlfn.IFS(A883 &lt;= 25, "[18-25]", A883 &lt;= 35, "[26-35]", A883 &lt;=45, "[36-45]", A883 &lt;= 60, "[46- 60]")</f>
        <v>[26-35]</v>
      </c>
      <c r="C883" s="3" t="s">
        <v>43</v>
      </c>
      <c r="D883">
        <f t="shared" si="13"/>
        <v>0</v>
      </c>
      <c r="E883" t="s">
        <v>44</v>
      </c>
      <c r="F883" s="1">
        <v>1316</v>
      </c>
      <c r="G883" s="3" t="s">
        <v>45</v>
      </c>
      <c r="H883" s="1">
        <v>2</v>
      </c>
      <c r="I883" s="9" t="str" cm="1">
        <f t="array" ref="I883">_xlfn.IFS(H883 &lt;= 2, "[1-2] very close", H883 &lt;= 10, "[3-10] close", H883 &lt;= 20, "[11-20] moderate", H883 &lt;= 30, "[21-30] far")</f>
        <v>[1-2] very close</v>
      </c>
      <c r="J883" s="1">
        <v>2</v>
      </c>
      <c r="K883" s="3" t="s">
        <v>38</v>
      </c>
      <c r="L883" s="1">
        <v>1</v>
      </c>
      <c r="M883" s="1">
        <v>1235</v>
      </c>
      <c r="N883" s="1">
        <v>4</v>
      </c>
      <c r="O883" s="3" t="s">
        <v>39</v>
      </c>
      <c r="P883" s="1">
        <v>38</v>
      </c>
      <c r="Q883" s="1">
        <v>3</v>
      </c>
      <c r="R883" s="1">
        <v>2</v>
      </c>
      <c r="S883" s="3" t="s">
        <v>47</v>
      </c>
      <c r="T883" s="1">
        <v>3</v>
      </c>
      <c r="U883" s="3" t="s">
        <v>41</v>
      </c>
      <c r="V883" s="4">
        <v>4998</v>
      </c>
      <c r="W883" s="1">
        <v>2338</v>
      </c>
      <c r="X883" s="1">
        <v>4</v>
      </c>
      <c r="Y883" s="3" t="s">
        <v>42</v>
      </c>
      <c r="Z883" s="3" t="s">
        <v>35</v>
      </c>
      <c r="AA883" s="5">
        <v>0.14000000000000001</v>
      </c>
      <c r="AB883" s="10" t="str" cm="1">
        <f t="array" ref="AB883">_xlfn.IFS(AA883 &lt;= 15%, "Low Hike[11-15%]", AA883 &lt;= 20%, "Moderate Hike[16-20%]", AA883 &lt;= 25%,"High Hike[21-25%]")</f>
        <v>Low Hike[11-15%]</v>
      </c>
      <c r="AC883" s="1">
        <v>3</v>
      </c>
      <c r="AD883" s="1">
        <v>4</v>
      </c>
      <c r="AE883" s="1">
        <v>80</v>
      </c>
      <c r="AF883" s="1">
        <v>0</v>
      </c>
      <c r="AG883" s="1">
        <v>10</v>
      </c>
      <c r="AH883" s="9" t="str" cm="1">
        <f t="array" ref="AH883">_xlfn.IFS(AG883 &lt;= 5, "New[1-5]", AG883 &lt;= 10, "Early Career[6-10]", AG883 &lt;= 20, "Established[11-20]", AG883 &lt;= 30, "Veteran[21-30]", AG883 &lt;= 40, "Late Career[31-40]")</f>
        <v>Early Career[6-10]</v>
      </c>
      <c r="AI883" s="1">
        <v>2</v>
      </c>
      <c r="AJ883" s="1">
        <v>3</v>
      </c>
      <c r="AK883" s="1">
        <v>8</v>
      </c>
      <c r="AL883" s="9" t="str" cm="1">
        <f t="array" ref="AL883">_xlfn.IFS(AK883 &lt;= 5, "New[1-5]", AK883 &lt;= 10, "Early Career[6-10]", AK883 &lt;= 20, "Established[11-20]", AK883 &lt;= 30, "Veteran[21-30]", AK883 &lt;= 40, "Late Career[31-40]")</f>
        <v>Early Career[6-10]</v>
      </c>
      <c r="AM883" s="1">
        <v>7</v>
      </c>
      <c r="AN883" s="9" t="str" cm="1">
        <f t="array" ref="AN883">_xlfn.IFS(AM883 &lt;= 3, "New to Role[1-3]", AM883 &lt;= 7, "Settled[4-7]", AM883 &lt;= 12, "Experienced[[8-12]", AM883 &lt;= 18, "Long Tenured[13-18]")</f>
        <v>Settled[4-7]</v>
      </c>
      <c r="AO883" s="1">
        <v>0</v>
      </c>
      <c r="AP883" s="9" t="str" cm="1">
        <f t="array" ref="AP883">_xlfn.IFS(AO883 &lt;= 3, "Recently[1-3]", AO883 &lt;= 6, "Due Soon[4-6]", AO883 &lt;= 10, "Overdue[7-10]", AO883 &lt;= 15, "Long Overdue[11-15]")</f>
        <v>Recently[1-3]</v>
      </c>
      <c r="AQ883" s="9" t="str" cm="1">
        <f t="array" ref="AQ883">_xlfn.IFS(AR883 &lt;= 3, "New Relationship[1-3]", AR883 &lt;= 7, "Established Relationship[4-7]", AR883 &lt;= 12, "Long Term Relationship[8-12]", AR883 &lt;= 17, "Very Long Term Relationship[13-17]")</f>
        <v>Established Relationship[4-7]</v>
      </c>
      <c r="AR883" s="1">
        <v>7</v>
      </c>
    </row>
    <row r="884" spans="1:44" x14ac:dyDescent="0.25">
      <c r="A884" s="1">
        <v>36</v>
      </c>
      <c r="B884" s="8" t="str" cm="1">
        <f t="array" ref="B884">_xlfn.IFS(A884 &lt;= 25, "[18-25]", A884 &lt;= 35, "[26-35]", A884 &lt;=45, "[36-45]", A884 &lt;= 60, "[46- 60]")</f>
        <v>[36-45]</v>
      </c>
      <c r="C884" s="3" t="s">
        <v>43</v>
      </c>
      <c r="D884">
        <f t="shared" si="13"/>
        <v>0</v>
      </c>
      <c r="E884" t="s">
        <v>36</v>
      </c>
      <c r="F884" s="1">
        <v>363</v>
      </c>
      <c r="G884" s="3" t="s">
        <v>45</v>
      </c>
      <c r="H884" s="1">
        <v>1</v>
      </c>
      <c r="I884" s="9" t="str" cm="1">
        <f t="array" ref="I884">_xlfn.IFS(H884 &lt;= 2, "[1-2] very close", H884 &lt;= 10, "[3-10] close", H884 &lt;= 20, "[11-20] moderate", H884 &lt;= 30, "[21-30] far")</f>
        <v>[1-2] very close</v>
      </c>
      <c r="J884" s="1">
        <v>3</v>
      </c>
      <c r="K884" s="3" t="s">
        <v>60</v>
      </c>
      <c r="L884" s="1">
        <v>1</v>
      </c>
      <c r="M884" s="1">
        <v>1237</v>
      </c>
      <c r="N884" s="1">
        <v>3</v>
      </c>
      <c r="O884" s="3" t="s">
        <v>39</v>
      </c>
      <c r="P884" s="1">
        <v>77</v>
      </c>
      <c r="Q884" s="1">
        <v>1</v>
      </c>
      <c r="R884" s="1">
        <v>3</v>
      </c>
      <c r="S884" s="3" t="s">
        <v>53</v>
      </c>
      <c r="T884" s="1">
        <v>1</v>
      </c>
      <c r="U884" s="3" t="s">
        <v>52</v>
      </c>
      <c r="V884" s="4">
        <v>10252</v>
      </c>
      <c r="W884" s="1">
        <v>4235</v>
      </c>
      <c r="X884" s="1">
        <v>2</v>
      </c>
      <c r="Y884" s="3" t="s">
        <v>42</v>
      </c>
      <c r="Z884" s="3" t="s">
        <v>35</v>
      </c>
      <c r="AA884" s="5">
        <v>0.21</v>
      </c>
      <c r="AB884" s="10" t="str" cm="1">
        <f t="array" ref="AB884">_xlfn.IFS(AA884 &lt;= 15%, "Low Hike[11-15%]", AA884 &lt;= 20%, "Moderate Hike[16-20%]", AA884 &lt;= 25%,"High Hike[21-25%]")</f>
        <v>High Hike[21-25%]</v>
      </c>
      <c r="AC884" s="1">
        <v>4</v>
      </c>
      <c r="AD884" s="1">
        <v>3</v>
      </c>
      <c r="AE884" s="1">
        <v>80</v>
      </c>
      <c r="AF884" s="1">
        <v>1</v>
      </c>
      <c r="AG884" s="1">
        <v>17</v>
      </c>
      <c r="AH884" s="9" t="str" cm="1">
        <f t="array" ref="AH884">_xlfn.IFS(AG884 &lt;= 5, "New[1-5]", AG884 &lt;= 10, "Early Career[6-10]", AG884 &lt;= 20, "Established[11-20]", AG884 &lt;= 30, "Veteran[21-30]", AG884 &lt;= 40, "Late Career[31-40]")</f>
        <v>Established[11-20]</v>
      </c>
      <c r="AI884" s="1">
        <v>2</v>
      </c>
      <c r="AJ884" s="1">
        <v>3</v>
      </c>
      <c r="AK884" s="1">
        <v>7</v>
      </c>
      <c r="AL884" s="9" t="str" cm="1">
        <f t="array" ref="AL884">_xlfn.IFS(AK884 &lt;= 5, "New[1-5]", AK884 &lt;= 10, "Early Career[6-10]", AK884 &lt;= 20, "Established[11-20]", AK884 &lt;= 30, "Veteran[21-30]", AK884 &lt;= 40, "Late Career[31-40]")</f>
        <v>Early Career[6-10]</v>
      </c>
      <c r="AM884" s="1">
        <v>7</v>
      </c>
      <c r="AN884" s="9" t="str" cm="1">
        <f t="array" ref="AN884">_xlfn.IFS(AM884 &lt;= 3, "New to Role[1-3]", AM884 &lt;= 7, "Settled[4-7]", AM884 &lt;= 12, "Experienced[[8-12]", AM884 &lt;= 18, "Long Tenured[13-18]")</f>
        <v>Settled[4-7]</v>
      </c>
      <c r="AO884" s="1">
        <v>7</v>
      </c>
      <c r="AP884" s="9" t="str" cm="1">
        <f t="array" ref="AP884">_xlfn.IFS(AO884 &lt;= 3, "Recently[1-3]", AO884 &lt;= 6, "Due Soon[4-6]", AO884 &lt;= 10, "Overdue[7-10]", AO884 &lt;= 15, "Long Overdue[11-15]")</f>
        <v>Overdue[7-10]</v>
      </c>
      <c r="AQ884" s="9" t="str" cm="1">
        <f t="array" ref="AQ884">_xlfn.IFS(AR884 &lt;= 3, "New Relationship[1-3]", AR884 &lt;= 7, "Established Relationship[4-7]", AR884 &lt;= 12, "Long Term Relationship[8-12]", AR884 &lt;= 17, "Very Long Term Relationship[13-17]")</f>
        <v>Established Relationship[4-7]</v>
      </c>
      <c r="AR884" s="1">
        <v>7</v>
      </c>
    </row>
    <row r="885" spans="1:44" x14ac:dyDescent="0.25">
      <c r="A885" s="1">
        <v>33</v>
      </c>
      <c r="B885" s="8" t="str" cm="1">
        <f t="array" ref="B885">_xlfn.IFS(A885 &lt;= 25, "[18-25]", A885 &lt;= 35, "[26-35]", A885 &lt;=45, "[36-45]", A885 &lt;= 60, "[46- 60]")</f>
        <v>[26-35]</v>
      </c>
      <c r="C885" s="3" t="s">
        <v>43</v>
      </c>
      <c r="D885">
        <f t="shared" si="13"/>
        <v>0</v>
      </c>
      <c r="E885" t="s">
        <v>36</v>
      </c>
      <c r="F885" s="1">
        <v>117</v>
      </c>
      <c r="G885" s="3" t="s">
        <v>45</v>
      </c>
      <c r="H885" s="1">
        <v>9</v>
      </c>
      <c r="I885" s="9" t="str" cm="1">
        <f t="array" ref="I885">_xlfn.IFS(H885 &lt;= 2, "[1-2] very close", H885 &lt;= 10, "[3-10] close", H885 &lt;= 20, "[11-20] moderate", H885 &lt;= 30, "[21-30] far")</f>
        <v>[3-10] close</v>
      </c>
      <c r="J885" s="1">
        <v>3</v>
      </c>
      <c r="K885" s="3" t="s">
        <v>51</v>
      </c>
      <c r="L885" s="1">
        <v>1</v>
      </c>
      <c r="M885" s="1">
        <v>1238</v>
      </c>
      <c r="N885" s="1">
        <v>1</v>
      </c>
      <c r="O885" s="3" t="s">
        <v>46</v>
      </c>
      <c r="P885" s="1">
        <v>60</v>
      </c>
      <c r="Q885" s="1">
        <v>3</v>
      </c>
      <c r="R885" s="1">
        <v>1</v>
      </c>
      <c r="S885" s="3" t="s">
        <v>47</v>
      </c>
      <c r="T885" s="1">
        <v>4</v>
      </c>
      <c r="U885" s="3" t="s">
        <v>48</v>
      </c>
      <c r="V885" s="4">
        <v>2781</v>
      </c>
      <c r="W885" s="1">
        <v>6311</v>
      </c>
      <c r="X885" s="1">
        <v>0</v>
      </c>
      <c r="Y885" s="3" t="s">
        <v>42</v>
      </c>
      <c r="Z885" s="3" t="s">
        <v>43</v>
      </c>
      <c r="AA885" s="5">
        <v>0.13</v>
      </c>
      <c r="AB885" s="10" t="str" cm="1">
        <f t="array" ref="AB885">_xlfn.IFS(AA885 &lt;= 15%, "Low Hike[11-15%]", AA885 &lt;= 20%, "Moderate Hike[16-20%]", AA885 &lt;= 25%,"High Hike[21-25%]")</f>
        <v>Low Hike[11-15%]</v>
      </c>
      <c r="AC885" s="1">
        <v>3</v>
      </c>
      <c r="AD885" s="1">
        <v>2</v>
      </c>
      <c r="AE885" s="1">
        <v>80</v>
      </c>
      <c r="AF885" s="1">
        <v>1</v>
      </c>
      <c r="AG885" s="1">
        <v>15</v>
      </c>
      <c r="AH885" s="9" t="str" cm="1">
        <f t="array" ref="AH885">_xlfn.IFS(AG885 &lt;= 5, "New[1-5]", AG885 &lt;= 10, "Early Career[6-10]", AG885 &lt;= 20, "Established[11-20]", AG885 &lt;= 30, "Veteran[21-30]", AG885 &lt;= 40, "Late Career[31-40]")</f>
        <v>Established[11-20]</v>
      </c>
      <c r="AI885" s="1">
        <v>5</v>
      </c>
      <c r="AJ885" s="1">
        <v>3</v>
      </c>
      <c r="AK885" s="1">
        <v>14</v>
      </c>
      <c r="AL885" s="9" t="str" cm="1">
        <f t="array" ref="AL885">_xlfn.IFS(AK885 &lt;= 5, "New[1-5]", AK885 &lt;= 10, "Early Career[6-10]", AK885 &lt;= 20, "Established[11-20]", AK885 &lt;= 30, "Veteran[21-30]", AK885 &lt;= 40, "Late Career[31-40]")</f>
        <v>Established[11-20]</v>
      </c>
      <c r="AM885" s="1">
        <v>10</v>
      </c>
      <c r="AN885" s="9" t="str" cm="1">
        <f t="array" ref="AN885">_xlfn.IFS(AM885 &lt;= 3, "New to Role[1-3]", AM885 &lt;= 7, "Settled[4-7]", AM885 &lt;= 12, "Experienced[[8-12]", AM885 &lt;= 18, "Long Tenured[13-18]")</f>
        <v>Experienced[[8-12]</v>
      </c>
      <c r="AO885" s="1">
        <v>4</v>
      </c>
      <c r="AP885" s="9" t="str" cm="1">
        <f t="array" ref="AP885">_xlfn.IFS(AO885 &lt;= 3, "Recently[1-3]", AO885 &lt;= 6, "Due Soon[4-6]", AO885 &lt;= 10, "Overdue[7-10]", AO885 &lt;= 15, "Long Overdue[11-15]")</f>
        <v>Due Soon[4-6]</v>
      </c>
      <c r="AQ885" s="9" t="str" cm="1">
        <f t="array" ref="AQ885">_xlfn.IFS(AR885 &lt;= 3, "New Relationship[1-3]", AR885 &lt;= 7, "Established Relationship[4-7]", AR885 &lt;= 12, "Long Term Relationship[8-12]", AR885 &lt;= 17, "Very Long Term Relationship[13-17]")</f>
        <v>Long Term Relationship[8-12]</v>
      </c>
      <c r="AR885" s="1">
        <v>10</v>
      </c>
    </row>
    <row r="886" spans="1:44" x14ac:dyDescent="0.25">
      <c r="A886" s="1">
        <v>40</v>
      </c>
      <c r="B886" s="8" t="str" cm="1">
        <f t="array" ref="B886">_xlfn.IFS(A886 &lt;= 25, "[18-25]", A886 &lt;= 35, "[26-35]", A886 &lt;=45, "[36-45]", A886 &lt;= 60, "[46- 60]")</f>
        <v>[36-45]</v>
      </c>
      <c r="C886" s="3" t="s">
        <v>43</v>
      </c>
      <c r="D886">
        <f t="shared" si="13"/>
        <v>0</v>
      </c>
      <c r="E886" t="s">
        <v>36</v>
      </c>
      <c r="F886" s="1">
        <v>107</v>
      </c>
      <c r="G886" s="3" t="s">
        <v>37</v>
      </c>
      <c r="H886" s="1">
        <v>10</v>
      </c>
      <c r="I886" s="9" t="str" cm="1">
        <f t="array" ref="I886">_xlfn.IFS(H886 &lt;= 2, "[1-2] very close", H886 &lt;= 10, "[3-10] close", H886 &lt;= 20, "[11-20] moderate", H886 &lt;= 30, "[21-30] far")</f>
        <v>[3-10] close</v>
      </c>
      <c r="J886" s="1">
        <v>3</v>
      </c>
      <c r="K886" s="3" t="s">
        <v>60</v>
      </c>
      <c r="L886" s="1">
        <v>1</v>
      </c>
      <c r="M886" s="1">
        <v>1239</v>
      </c>
      <c r="N886" s="1">
        <v>2</v>
      </c>
      <c r="O886" s="3" t="s">
        <v>39</v>
      </c>
      <c r="P886" s="1">
        <v>84</v>
      </c>
      <c r="Q886" s="1">
        <v>2</v>
      </c>
      <c r="R886" s="1">
        <v>2</v>
      </c>
      <c r="S886" s="3" t="s">
        <v>40</v>
      </c>
      <c r="T886" s="1">
        <v>2</v>
      </c>
      <c r="U886" s="3" t="s">
        <v>52</v>
      </c>
      <c r="V886" s="4">
        <v>6852</v>
      </c>
      <c r="W886" s="1">
        <v>11591</v>
      </c>
      <c r="X886" s="1">
        <v>7</v>
      </c>
      <c r="Y886" s="3" t="s">
        <v>42</v>
      </c>
      <c r="Z886" s="3" t="s">
        <v>43</v>
      </c>
      <c r="AA886" s="5">
        <v>0.12</v>
      </c>
      <c r="AB886" s="10" t="str" cm="1">
        <f t="array" ref="AB886">_xlfn.IFS(AA886 &lt;= 15%, "Low Hike[11-15%]", AA886 &lt;= 20%, "Moderate Hike[16-20%]", AA886 &lt;= 25%,"High Hike[21-25%]")</f>
        <v>Low Hike[11-15%]</v>
      </c>
      <c r="AC886" s="1">
        <v>3</v>
      </c>
      <c r="AD886" s="1">
        <v>2</v>
      </c>
      <c r="AE886" s="1">
        <v>80</v>
      </c>
      <c r="AF886" s="1">
        <v>1</v>
      </c>
      <c r="AG886" s="1">
        <v>7</v>
      </c>
      <c r="AH886" s="9" t="str" cm="1">
        <f t="array" ref="AH886">_xlfn.IFS(AG886 &lt;= 5, "New[1-5]", AG886 &lt;= 10, "Early Career[6-10]", AG886 &lt;= 20, "Established[11-20]", AG886 &lt;= 30, "Veteran[21-30]", AG886 &lt;= 40, "Late Career[31-40]")</f>
        <v>Early Career[6-10]</v>
      </c>
      <c r="AI886" s="1">
        <v>2</v>
      </c>
      <c r="AJ886" s="1">
        <v>4</v>
      </c>
      <c r="AK886" s="1">
        <v>5</v>
      </c>
      <c r="AL886" s="9" t="str" cm="1">
        <f t="array" ref="AL886">_xlfn.IFS(AK886 &lt;= 5, "New[1-5]", AK886 &lt;= 10, "Early Career[6-10]", AK886 &lt;= 20, "Established[11-20]", AK886 &lt;= 30, "Veteran[21-30]", AK886 &lt;= 40, "Late Career[31-40]")</f>
        <v>New[1-5]</v>
      </c>
      <c r="AM886" s="1">
        <v>1</v>
      </c>
      <c r="AN886" s="9" t="str" cm="1">
        <f t="array" ref="AN886">_xlfn.IFS(AM886 &lt;= 3, "New to Role[1-3]", AM886 &lt;= 7, "Settled[4-7]", AM886 &lt;= 12, "Experienced[[8-12]", AM886 &lt;= 18, "Long Tenured[13-18]")</f>
        <v>New to Role[1-3]</v>
      </c>
      <c r="AO886" s="1">
        <v>1</v>
      </c>
      <c r="AP886" s="9" t="str" cm="1">
        <f t="array" ref="AP886">_xlfn.IFS(AO886 &lt;= 3, "Recently[1-3]", AO886 &lt;= 6, "Due Soon[4-6]", AO886 &lt;= 10, "Overdue[7-10]", AO886 &lt;= 15, "Long Overdue[11-15]")</f>
        <v>Recently[1-3]</v>
      </c>
      <c r="AQ886" s="9" t="str" cm="1">
        <f t="array" ref="AQ886">_xlfn.IFS(AR886 &lt;= 3, "New Relationship[1-3]", AR886 &lt;= 7, "Established Relationship[4-7]", AR886 &lt;= 12, "Long Term Relationship[8-12]", AR886 &lt;= 17, "Very Long Term Relationship[13-17]")</f>
        <v>New Relationship[1-3]</v>
      </c>
      <c r="AR886" s="1">
        <v>3</v>
      </c>
    </row>
    <row r="887" spans="1:44" x14ac:dyDescent="0.25">
      <c r="A887" s="1">
        <v>25</v>
      </c>
      <c r="B887" s="8" t="str" cm="1">
        <f t="array" ref="B887">_xlfn.IFS(A887 &lt;= 25, "[18-25]", A887 &lt;= 35, "[26-35]", A887 &lt;=45, "[36-45]", A887 &lt;= 60, "[46- 60]")</f>
        <v>[18-25]</v>
      </c>
      <c r="C887" s="3" t="s">
        <v>43</v>
      </c>
      <c r="D887">
        <f t="shared" si="13"/>
        <v>0</v>
      </c>
      <c r="E887" t="s">
        <v>36</v>
      </c>
      <c r="F887" s="1">
        <v>1356</v>
      </c>
      <c r="G887" s="3" t="s">
        <v>37</v>
      </c>
      <c r="H887" s="1">
        <v>10</v>
      </c>
      <c r="I887" s="9" t="str" cm="1">
        <f t="array" ref="I887">_xlfn.IFS(H887 &lt;= 2, "[1-2] very close", H887 &lt;= 10, "[3-10] close", H887 &lt;= 20, "[11-20] moderate", H887 &lt;= 30, "[21-30] far")</f>
        <v>[3-10] close</v>
      </c>
      <c r="J887" s="1">
        <v>4</v>
      </c>
      <c r="K887" s="3" t="s">
        <v>38</v>
      </c>
      <c r="L887" s="1">
        <v>1</v>
      </c>
      <c r="M887" s="1">
        <v>1240</v>
      </c>
      <c r="N887" s="1">
        <v>3</v>
      </c>
      <c r="O887" s="3" t="s">
        <v>46</v>
      </c>
      <c r="P887" s="1">
        <v>57</v>
      </c>
      <c r="Q887" s="1">
        <v>3</v>
      </c>
      <c r="R887" s="1">
        <v>2</v>
      </c>
      <c r="S887" s="3" t="s">
        <v>40</v>
      </c>
      <c r="T887" s="1">
        <v>4</v>
      </c>
      <c r="U887" s="3" t="s">
        <v>41</v>
      </c>
      <c r="V887" s="4">
        <v>4950</v>
      </c>
      <c r="W887" s="1">
        <v>20623</v>
      </c>
      <c r="X887" s="1">
        <v>0</v>
      </c>
      <c r="Y887" s="3" t="s">
        <v>42</v>
      </c>
      <c r="Z887" s="3" t="s">
        <v>43</v>
      </c>
      <c r="AA887" s="5">
        <v>0.14000000000000001</v>
      </c>
      <c r="AB887" s="10" t="str" cm="1">
        <f t="array" ref="AB887">_xlfn.IFS(AA887 &lt;= 15%, "Low Hike[11-15%]", AA887 &lt;= 20%, "Moderate Hike[16-20%]", AA887 &lt;= 25%,"High Hike[21-25%]")</f>
        <v>Low Hike[11-15%]</v>
      </c>
      <c r="AC887" s="1">
        <v>3</v>
      </c>
      <c r="AD887" s="1">
        <v>2</v>
      </c>
      <c r="AE887" s="1">
        <v>80</v>
      </c>
      <c r="AF887" s="1">
        <v>0</v>
      </c>
      <c r="AG887" s="1">
        <v>5</v>
      </c>
      <c r="AH887" s="9" t="str" cm="1">
        <f t="array" ref="AH887">_xlfn.IFS(AG887 &lt;= 5, "New[1-5]", AG887 &lt;= 10, "Early Career[6-10]", AG887 &lt;= 20, "Established[11-20]", AG887 &lt;= 30, "Veteran[21-30]", AG887 &lt;= 40, "Late Career[31-40]")</f>
        <v>New[1-5]</v>
      </c>
      <c r="AI887" s="1">
        <v>4</v>
      </c>
      <c r="AJ887" s="1">
        <v>3</v>
      </c>
      <c r="AK887" s="1">
        <v>4</v>
      </c>
      <c r="AL887" s="9" t="str" cm="1">
        <f t="array" ref="AL887">_xlfn.IFS(AK887 &lt;= 5, "New[1-5]", AK887 &lt;= 10, "Early Career[6-10]", AK887 &lt;= 20, "Established[11-20]", AK887 &lt;= 30, "Veteran[21-30]", AK887 &lt;= 40, "Late Career[31-40]")</f>
        <v>New[1-5]</v>
      </c>
      <c r="AM887" s="1">
        <v>3</v>
      </c>
      <c r="AN887" s="9" t="str" cm="1">
        <f t="array" ref="AN887">_xlfn.IFS(AM887 &lt;= 3, "New to Role[1-3]", AM887 &lt;= 7, "Settled[4-7]", AM887 &lt;= 12, "Experienced[[8-12]", AM887 &lt;= 18, "Long Tenured[13-18]")</f>
        <v>New to Role[1-3]</v>
      </c>
      <c r="AO887" s="1">
        <v>1</v>
      </c>
      <c r="AP887" s="9" t="str" cm="1">
        <f t="array" ref="AP887">_xlfn.IFS(AO887 &lt;= 3, "Recently[1-3]", AO887 &lt;= 6, "Due Soon[4-6]", AO887 &lt;= 10, "Overdue[7-10]", AO887 &lt;= 15, "Long Overdue[11-15]")</f>
        <v>Recently[1-3]</v>
      </c>
      <c r="AQ887" s="9" t="str" cm="1">
        <f t="array" ref="AQ887">_xlfn.IFS(AR887 &lt;= 3, "New Relationship[1-3]", AR887 &lt;= 7, "Established Relationship[4-7]", AR887 &lt;= 12, "Long Term Relationship[8-12]", AR887 &lt;= 17, "Very Long Term Relationship[13-17]")</f>
        <v>New Relationship[1-3]</v>
      </c>
      <c r="AR887" s="1">
        <v>1</v>
      </c>
    </row>
    <row r="888" spans="1:44" x14ac:dyDescent="0.25">
      <c r="A888" s="1">
        <v>30</v>
      </c>
      <c r="B888" s="8" t="str" cm="1">
        <f t="array" ref="B888">_xlfn.IFS(A888 &lt;= 25, "[18-25]", A888 &lt;= 35, "[26-35]", A888 &lt;=45, "[36-45]", A888 &lt;= 60, "[46- 60]")</f>
        <v>[26-35]</v>
      </c>
      <c r="C888" s="3" t="s">
        <v>43</v>
      </c>
      <c r="D888">
        <f t="shared" si="13"/>
        <v>0</v>
      </c>
      <c r="E888" t="s">
        <v>36</v>
      </c>
      <c r="F888" s="1">
        <v>1465</v>
      </c>
      <c r="G888" s="3" t="s">
        <v>45</v>
      </c>
      <c r="H888" s="1">
        <v>1</v>
      </c>
      <c r="I888" s="9" t="str" cm="1">
        <f t="array" ref="I888">_xlfn.IFS(H888 &lt;= 2, "[1-2] very close", H888 &lt;= 10, "[3-10] close", H888 &lt;= 20, "[11-20] moderate", H888 &lt;= 30, "[21-30] far")</f>
        <v>[1-2] very close</v>
      </c>
      <c r="J888" s="1">
        <v>3</v>
      </c>
      <c r="K888" s="3" t="s">
        <v>51</v>
      </c>
      <c r="L888" s="1">
        <v>1</v>
      </c>
      <c r="M888" s="1">
        <v>1241</v>
      </c>
      <c r="N888" s="1">
        <v>4</v>
      </c>
      <c r="O888" s="3" t="s">
        <v>46</v>
      </c>
      <c r="P888" s="1">
        <v>63</v>
      </c>
      <c r="Q888" s="1">
        <v>3</v>
      </c>
      <c r="R888" s="1">
        <v>1</v>
      </c>
      <c r="S888" s="3" t="s">
        <v>47</v>
      </c>
      <c r="T888" s="1">
        <v>2</v>
      </c>
      <c r="U888" s="3" t="s">
        <v>48</v>
      </c>
      <c r="V888" s="4">
        <v>3579</v>
      </c>
      <c r="W888" s="1">
        <v>9369</v>
      </c>
      <c r="X888" s="1">
        <v>0</v>
      </c>
      <c r="Y888" s="3" t="s">
        <v>42</v>
      </c>
      <c r="Z888" s="3" t="s">
        <v>35</v>
      </c>
      <c r="AA888" s="5">
        <v>0.21</v>
      </c>
      <c r="AB888" s="10" t="str" cm="1">
        <f t="array" ref="AB888">_xlfn.IFS(AA888 &lt;= 15%, "Low Hike[11-15%]", AA888 &lt;= 20%, "Moderate Hike[16-20%]", AA888 &lt;= 25%,"High Hike[21-25%]")</f>
        <v>High Hike[21-25%]</v>
      </c>
      <c r="AC888" s="1">
        <v>4</v>
      </c>
      <c r="AD888" s="1">
        <v>1</v>
      </c>
      <c r="AE888" s="1">
        <v>80</v>
      </c>
      <c r="AF888" s="1">
        <v>1</v>
      </c>
      <c r="AG888" s="1">
        <v>12</v>
      </c>
      <c r="AH888" s="9" t="str" cm="1">
        <f t="array" ref="AH888">_xlfn.IFS(AG888 &lt;= 5, "New[1-5]", AG888 &lt;= 10, "Early Career[6-10]", AG888 &lt;= 20, "Established[11-20]", AG888 &lt;= 30, "Veteran[21-30]", AG888 &lt;= 40, "Late Career[31-40]")</f>
        <v>Established[11-20]</v>
      </c>
      <c r="AI888" s="1">
        <v>2</v>
      </c>
      <c r="AJ888" s="1">
        <v>3</v>
      </c>
      <c r="AK888" s="1">
        <v>11</v>
      </c>
      <c r="AL888" s="9" t="str" cm="1">
        <f t="array" ref="AL888">_xlfn.IFS(AK888 &lt;= 5, "New[1-5]", AK888 &lt;= 10, "Early Career[6-10]", AK888 &lt;= 20, "Established[11-20]", AK888 &lt;= 30, "Veteran[21-30]", AK888 &lt;= 40, "Late Career[31-40]")</f>
        <v>Established[11-20]</v>
      </c>
      <c r="AM888" s="1">
        <v>9</v>
      </c>
      <c r="AN888" s="9" t="str" cm="1">
        <f t="array" ref="AN888">_xlfn.IFS(AM888 &lt;= 3, "New to Role[1-3]", AM888 &lt;= 7, "Settled[4-7]", AM888 &lt;= 12, "Experienced[[8-12]", AM888 &lt;= 18, "Long Tenured[13-18]")</f>
        <v>Experienced[[8-12]</v>
      </c>
      <c r="AO888" s="1">
        <v>5</v>
      </c>
      <c r="AP888" s="9" t="str" cm="1">
        <f t="array" ref="AP888">_xlfn.IFS(AO888 &lt;= 3, "Recently[1-3]", AO888 &lt;= 6, "Due Soon[4-6]", AO888 &lt;= 10, "Overdue[7-10]", AO888 &lt;= 15, "Long Overdue[11-15]")</f>
        <v>Due Soon[4-6]</v>
      </c>
      <c r="AQ888" s="9" t="str" cm="1">
        <f t="array" ref="AQ888">_xlfn.IFS(AR888 &lt;= 3, "New Relationship[1-3]", AR888 &lt;= 7, "Established Relationship[4-7]", AR888 &lt;= 12, "Long Term Relationship[8-12]", AR888 &lt;= 17, "Very Long Term Relationship[13-17]")</f>
        <v>Established Relationship[4-7]</v>
      </c>
      <c r="AR888" s="1">
        <v>7</v>
      </c>
    </row>
    <row r="889" spans="1:44" x14ac:dyDescent="0.25">
      <c r="A889" s="1">
        <v>42</v>
      </c>
      <c r="B889" s="8" t="str" cm="1">
        <f t="array" ref="B889">_xlfn.IFS(A889 &lt;= 25, "[18-25]", A889 &lt;= 35, "[26-35]", A889 &lt;=45, "[36-45]", A889 &lt;= 60, "[46- 60]")</f>
        <v>[36-45]</v>
      </c>
      <c r="C889" s="3" t="s">
        <v>43</v>
      </c>
      <c r="D889">
        <f t="shared" si="13"/>
        <v>0</v>
      </c>
      <c r="E889" t="s">
        <v>44</v>
      </c>
      <c r="F889" s="1">
        <v>458</v>
      </c>
      <c r="G889" s="3" t="s">
        <v>45</v>
      </c>
      <c r="H889" s="1">
        <v>26</v>
      </c>
      <c r="I889" s="9" t="str" cm="1">
        <f t="array" ref="I889">_xlfn.IFS(H889 &lt;= 2, "[1-2] very close", H889 &lt;= 10, "[3-10] close", H889 &lt;= 20, "[11-20] moderate", H889 &lt;= 30, "[21-30] far")</f>
        <v>[21-30] far</v>
      </c>
      <c r="J889" s="1">
        <v>5</v>
      </c>
      <c r="K889" s="3" t="s">
        <v>51</v>
      </c>
      <c r="L889" s="1">
        <v>1</v>
      </c>
      <c r="M889" s="1">
        <v>1242</v>
      </c>
      <c r="N889" s="1">
        <v>1</v>
      </c>
      <c r="O889" s="3" t="s">
        <v>39</v>
      </c>
      <c r="P889" s="1">
        <v>60</v>
      </c>
      <c r="Q889" s="1">
        <v>3</v>
      </c>
      <c r="R889" s="1">
        <v>3</v>
      </c>
      <c r="S889" s="3" t="s">
        <v>58</v>
      </c>
      <c r="T889" s="1">
        <v>1</v>
      </c>
      <c r="U889" s="3" t="s">
        <v>48</v>
      </c>
      <c r="V889" s="4">
        <v>13191</v>
      </c>
      <c r="W889" s="1">
        <v>23281</v>
      </c>
      <c r="X889" s="1">
        <v>3</v>
      </c>
      <c r="Y889" s="3" t="s">
        <v>42</v>
      </c>
      <c r="Z889" s="3" t="s">
        <v>35</v>
      </c>
      <c r="AA889" s="5">
        <v>0.17</v>
      </c>
      <c r="AB889" s="10" t="str" cm="1">
        <f t="array" ref="AB889">_xlfn.IFS(AA889 &lt;= 15%, "Low Hike[11-15%]", AA889 &lt;= 20%, "Moderate Hike[16-20%]", AA889 &lt;= 25%,"High Hike[21-25%]")</f>
        <v>Moderate Hike[16-20%]</v>
      </c>
      <c r="AC889" s="1">
        <v>3</v>
      </c>
      <c r="AD889" s="1">
        <v>3</v>
      </c>
      <c r="AE889" s="1">
        <v>80</v>
      </c>
      <c r="AF889" s="1">
        <v>0</v>
      </c>
      <c r="AG889" s="1">
        <v>20</v>
      </c>
      <c r="AH889" s="9" t="str" cm="1">
        <f t="array" ref="AH889">_xlfn.IFS(AG889 &lt;= 5, "New[1-5]", AG889 &lt;= 10, "Early Career[6-10]", AG889 &lt;= 20, "Established[11-20]", AG889 &lt;= 30, "Veteran[21-30]", AG889 &lt;= 40, "Late Career[31-40]")</f>
        <v>Established[11-20]</v>
      </c>
      <c r="AI889" s="1">
        <v>6</v>
      </c>
      <c r="AJ889" s="1">
        <v>3</v>
      </c>
      <c r="AK889" s="1">
        <v>1</v>
      </c>
      <c r="AL889" s="9" t="str" cm="1">
        <f t="array" ref="AL889">_xlfn.IFS(AK889 &lt;= 5, "New[1-5]", AK889 &lt;= 10, "Early Career[6-10]", AK889 &lt;= 20, "Established[11-20]", AK889 &lt;= 30, "Veteran[21-30]", AK889 &lt;= 40, "Late Career[31-40]")</f>
        <v>New[1-5]</v>
      </c>
      <c r="AM889" s="1">
        <v>0</v>
      </c>
      <c r="AN889" s="9" t="str" cm="1">
        <f t="array" ref="AN889">_xlfn.IFS(AM889 &lt;= 3, "New to Role[1-3]", AM889 &lt;= 7, "Settled[4-7]", AM889 &lt;= 12, "Experienced[[8-12]", AM889 &lt;= 18, "Long Tenured[13-18]")</f>
        <v>New to Role[1-3]</v>
      </c>
      <c r="AO889" s="1">
        <v>0</v>
      </c>
      <c r="AP889" s="9" t="str" cm="1">
        <f t="array" ref="AP889">_xlfn.IFS(AO889 &lt;= 3, "Recently[1-3]", AO889 &lt;= 6, "Due Soon[4-6]", AO889 &lt;= 10, "Overdue[7-10]", AO889 &lt;= 15, "Long Overdue[11-15]")</f>
        <v>Recently[1-3]</v>
      </c>
      <c r="AQ889" s="9" t="str" cm="1">
        <f t="array" ref="AQ889">_xlfn.IFS(AR889 &lt;= 3, "New Relationship[1-3]", AR889 &lt;= 7, "Established Relationship[4-7]", AR889 &lt;= 12, "Long Term Relationship[8-12]", AR889 &lt;= 17, "Very Long Term Relationship[13-17]")</f>
        <v>New Relationship[1-3]</v>
      </c>
      <c r="AR889" s="1">
        <v>0</v>
      </c>
    </row>
    <row r="890" spans="1:44" x14ac:dyDescent="0.25">
      <c r="A890" s="1">
        <v>35</v>
      </c>
      <c r="B890" s="8" t="str" cm="1">
        <f t="array" ref="B890">_xlfn.IFS(A890 &lt;= 25, "[18-25]", A890 &lt;= 35, "[26-35]", A890 &lt;=45, "[36-45]", A890 &lt;= 60, "[46- 60]")</f>
        <v>[26-35]</v>
      </c>
      <c r="C890" s="3" t="s">
        <v>43</v>
      </c>
      <c r="D890">
        <f t="shared" si="13"/>
        <v>0</v>
      </c>
      <c r="E890" t="s">
        <v>62</v>
      </c>
      <c r="F890" s="1">
        <v>1212</v>
      </c>
      <c r="G890" s="3" t="s">
        <v>37</v>
      </c>
      <c r="H890" s="1">
        <v>8</v>
      </c>
      <c r="I890" s="9" t="str" cm="1">
        <f t="array" ref="I890">_xlfn.IFS(H890 &lt;= 2, "[1-2] very close", H890 &lt;= 10, "[3-10] close", H890 &lt;= 20, "[11-20] moderate", H890 &lt;= 30, "[21-30] far")</f>
        <v>[3-10] close</v>
      </c>
      <c r="J890" s="1">
        <v>2</v>
      </c>
      <c r="K890" s="3" t="s">
        <v>59</v>
      </c>
      <c r="L890" s="1">
        <v>1</v>
      </c>
      <c r="M890" s="1">
        <v>1243</v>
      </c>
      <c r="N890" s="1">
        <v>3</v>
      </c>
      <c r="O890" s="3" t="s">
        <v>39</v>
      </c>
      <c r="P890" s="1">
        <v>78</v>
      </c>
      <c r="Q890" s="1">
        <v>2</v>
      </c>
      <c r="R890" s="1">
        <v>3</v>
      </c>
      <c r="S890" s="3" t="s">
        <v>40</v>
      </c>
      <c r="T890" s="1">
        <v>4</v>
      </c>
      <c r="U890" s="3" t="s">
        <v>48</v>
      </c>
      <c r="V890" s="4">
        <v>10377</v>
      </c>
      <c r="W890" s="1">
        <v>13755</v>
      </c>
      <c r="X890" s="1">
        <v>4</v>
      </c>
      <c r="Y890" s="3" t="s">
        <v>42</v>
      </c>
      <c r="Z890" s="3" t="s">
        <v>35</v>
      </c>
      <c r="AA890" s="5">
        <v>0.11</v>
      </c>
      <c r="AB890" s="10" t="str" cm="1">
        <f t="array" ref="AB890">_xlfn.IFS(AA890 &lt;= 15%, "Low Hike[11-15%]", AA890 &lt;= 20%, "Moderate Hike[16-20%]", AA890 &lt;= 25%,"High Hike[21-25%]")</f>
        <v>Low Hike[11-15%]</v>
      </c>
      <c r="AC890" s="1">
        <v>3</v>
      </c>
      <c r="AD890" s="1">
        <v>2</v>
      </c>
      <c r="AE890" s="1">
        <v>80</v>
      </c>
      <c r="AF890" s="1">
        <v>1</v>
      </c>
      <c r="AG890" s="1">
        <v>16</v>
      </c>
      <c r="AH890" s="9" t="str" cm="1">
        <f t="array" ref="AH890">_xlfn.IFS(AG890 &lt;= 5, "New[1-5]", AG890 &lt;= 10, "Early Career[6-10]", AG890 &lt;= 20, "Established[11-20]", AG890 &lt;= 30, "Veteran[21-30]", AG890 &lt;= 40, "Late Career[31-40]")</f>
        <v>Established[11-20]</v>
      </c>
      <c r="AI890" s="1">
        <v>6</v>
      </c>
      <c r="AJ890" s="1">
        <v>2</v>
      </c>
      <c r="AK890" s="1">
        <v>13</v>
      </c>
      <c r="AL890" s="9" t="str" cm="1">
        <f t="array" ref="AL890">_xlfn.IFS(AK890 &lt;= 5, "New[1-5]", AK890 &lt;= 10, "Early Career[6-10]", AK890 &lt;= 20, "Established[11-20]", AK890 &lt;= 30, "Veteran[21-30]", AK890 &lt;= 40, "Late Career[31-40]")</f>
        <v>Established[11-20]</v>
      </c>
      <c r="AM890" s="1">
        <v>2</v>
      </c>
      <c r="AN890" s="9" t="str" cm="1">
        <f t="array" ref="AN890">_xlfn.IFS(AM890 &lt;= 3, "New to Role[1-3]", AM890 &lt;= 7, "Settled[4-7]", AM890 &lt;= 12, "Experienced[[8-12]", AM890 &lt;= 18, "Long Tenured[13-18]")</f>
        <v>New to Role[1-3]</v>
      </c>
      <c r="AO890" s="1">
        <v>4</v>
      </c>
      <c r="AP890" s="9" t="str" cm="1">
        <f t="array" ref="AP890">_xlfn.IFS(AO890 &lt;= 3, "Recently[1-3]", AO890 &lt;= 6, "Due Soon[4-6]", AO890 &lt;= 10, "Overdue[7-10]", AO890 &lt;= 15, "Long Overdue[11-15]")</f>
        <v>Due Soon[4-6]</v>
      </c>
      <c r="AQ890" s="9" t="str" cm="1">
        <f t="array" ref="AQ890">_xlfn.IFS(AR890 &lt;= 3, "New Relationship[1-3]", AR890 &lt;= 7, "Established Relationship[4-7]", AR890 &lt;= 12, "Long Term Relationship[8-12]", AR890 &lt;= 17, "Very Long Term Relationship[13-17]")</f>
        <v>Long Term Relationship[8-12]</v>
      </c>
      <c r="AR890" s="1">
        <v>12</v>
      </c>
    </row>
    <row r="891" spans="1:44" x14ac:dyDescent="0.25">
      <c r="A891" s="1">
        <v>27</v>
      </c>
      <c r="B891" s="8" t="str" cm="1">
        <f t="array" ref="B891">_xlfn.IFS(A891 &lt;= 25, "[18-25]", A891 &lt;= 35, "[26-35]", A891 &lt;=45, "[36-45]", A891 &lt;= 60, "[46- 60]")</f>
        <v>[26-35]</v>
      </c>
      <c r="C891" s="3" t="s">
        <v>43</v>
      </c>
      <c r="D891">
        <f t="shared" si="13"/>
        <v>0</v>
      </c>
      <c r="E891" t="s">
        <v>36</v>
      </c>
      <c r="F891" s="1">
        <v>1103</v>
      </c>
      <c r="G891" s="3" t="s">
        <v>45</v>
      </c>
      <c r="H891" s="1">
        <v>14</v>
      </c>
      <c r="I891" s="9" t="str" cm="1">
        <f t="array" ref="I891">_xlfn.IFS(H891 &lt;= 2, "[1-2] very close", H891 &lt;= 10, "[3-10] close", H891 &lt;= 20, "[11-20] moderate", H891 &lt;= 30, "[21-30] far")</f>
        <v>[11-20] moderate</v>
      </c>
      <c r="J891" s="1">
        <v>3</v>
      </c>
      <c r="K891" s="3" t="s">
        <v>38</v>
      </c>
      <c r="L891" s="1">
        <v>1</v>
      </c>
      <c r="M891" s="1">
        <v>1244</v>
      </c>
      <c r="N891" s="1">
        <v>1</v>
      </c>
      <c r="O891" s="3" t="s">
        <v>46</v>
      </c>
      <c r="P891" s="1">
        <v>42</v>
      </c>
      <c r="Q891" s="1">
        <v>3</v>
      </c>
      <c r="R891" s="1">
        <v>1</v>
      </c>
      <c r="S891" s="3" t="s">
        <v>47</v>
      </c>
      <c r="T891" s="1">
        <v>1</v>
      </c>
      <c r="U891" s="3" t="s">
        <v>48</v>
      </c>
      <c r="V891" s="4">
        <v>2235</v>
      </c>
      <c r="W891" s="1">
        <v>14377</v>
      </c>
      <c r="X891" s="1">
        <v>1</v>
      </c>
      <c r="Y891" s="3" t="s">
        <v>42</v>
      </c>
      <c r="Z891" s="3" t="s">
        <v>35</v>
      </c>
      <c r="AA891" s="5">
        <v>0.14000000000000001</v>
      </c>
      <c r="AB891" s="10" t="str" cm="1">
        <f t="array" ref="AB891">_xlfn.IFS(AA891 &lt;= 15%, "Low Hike[11-15%]", AA891 &lt;= 20%, "Moderate Hike[16-20%]", AA891 &lt;= 25%,"High Hike[21-25%]")</f>
        <v>Low Hike[11-15%]</v>
      </c>
      <c r="AC891" s="1">
        <v>3</v>
      </c>
      <c r="AD891" s="1">
        <v>4</v>
      </c>
      <c r="AE891" s="1">
        <v>80</v>
      </c>
      <c r="AF891" s="1">
        <v>2</v>
      </c>
      <c r="AG891" s="1">
        <v>9</v>
      </c>
      <c r="AH891" s="9" t="str" cm="1">
        <f t="array" ref="AH891">_xlfn.IFS(AG891 &lt;= 5, "New[1-5]", AG891 &lt;= 10, "Early Career[6-10]", AG891 &lt;= 20, "Established[11-20]", AG891 &lt;= 30, "Veteran[21-30]", AG891 &lt;= 40, "Late Career[31-40]")</f>
        <v>Early Career[6-10]</v>
      </c>
      <c r="AI891" s="1">
        <v>3</v>
      </c>
      <c r="AJ891" s="1">
        <v>2</v>
      </c>
      <c r="AK891" s="1">
        <v>9</v>
      </c>
      <c r="AL891" s="9" t="str" cm="1">
        <f t="array" ref="AL891">_xlfn.IFS(AK891 &lt;= 5, "New[1-5]", AK891 &lt;= 10, "Early Career[6-10]", AK891 &lt;= 20, "Established[11-20]", AK891 &lt;= 30, "Veteran[21-30]", AK891 &lt;= 40, "Late Career[31-40]")</f>
        <v>Early Career[6-10]</v>
      </c>
      <c r="AM891" s="1">
        <v>7</v>
      </c>
      <c r="AN891" s="9" t="str" cm="1">
        <f t="array" ref="AN891">_xlfn.IFS(AM891 &lt;= 3, "New to Role[1-3]", AM891 &lt;= 7, "Settled[4-7]", AM891 &lt;= 12, "Experienced[[8-12]", AM891 &lt;= 18, "Long Tenured[13-18]")</f>
        <v>Settled[4-7]</v>
      </c>
      <c r="AO891" s="1">
        <v>6</v>
      </c>
      <c r="AP891" s="9" t="str" cm="1">
        <f t="array" ref="AP891">_xlfn.IFS(AO891 &lt;= 3, "Recently[1-3]", AO891 &lt;= 6, "Due Soon[4-6]", AO891 &lt;= 10, "Overdue[7-10]", AO891 &lt;= 15, "Long Overdue[11-15]")</f>
        <v>Due Soon[4-6]</v>
      </c>
      <c r="AQ891" s="9" t="str" cm="1">
        <f t="array" ref="AQ891">_xlfn.IFS(AR891 &lt;= 3, "New Relationship[1-3]", AR891 &lt;= 7, "Established Relationship[4-7]", AR891 &lt;= 12, "Long Term Relationship[8-12]", AR891 &lt;= 17, "Very Long Term Relationship[13-17]")</f>
        <v>Long Term Relationship[8-12]</v>
      </c>
      <c r="AR891" s="1">
        <v>8</v>
      </c>
    </row>
    <row r="892" spans="1:44" x14ac:dyDescent="0.25">
      <c r="A892" s="1">
        <v>54</v>
      </c>
      <c r="B892" s="8" t="str" cm="1">
        <f t="array" ref="B892">_xlfn.IFS(A892 &lt;= 25, "[18-25]", A892 &lt;= 35, "[26-35]", A892 &lt;=45, "[36-45]", A892 &lt;= 60, "[46- 60]")</f>
        <v>[46- 60]</v>
      </c>
      <c r="C892" s="3" t="s">
        <v>43</v>
      </c>
      <c r="D892">
        <f t="shared" si="13"/>
        <v>0</v>
      </c>
      <c r="E892" t="s">
        <v>44</v>
      </c>
      <c r="F892" s="1">
        <v>966</v>
      </c>
      <c r="G892" s="3" t="s">
        <v>45</v>
      </c>
      <c r="H892" s="1">
        <v>1</v>
      </c>
      <c r="I892" s="9" t="str" cm="1">
        <f t="array" ref="I892">_xlfn.IFS(H892 &lt;= 2, "[1-2] very close", H892 &lt;= 10, "[3-10] close", H892 &lt;= 20, "[11-20] moderate", H892 &lt;= 30, "[21-30] far")</f>
        <v>[1-2] very close</v>
      </c>
      <c r="J892" s="1">
        <v>4</v>
      </c>
      <c r="K892" s="3" t="s">
        <v>38</v>
      </c>
      <c r="L892" s="1">
        <v>1</v>
      </c>
      <c r="M892" s="1">
        <v>1245</v>
      </c>
      <c r="N892" s="1">
        <v>4</v>
      </c>
      <c r="O892" s="3" t="s">
        <v>39</v>
      </c>
      <c r="P892" s="1">
        <v>53</v>
      </c>
      <c r="Q892" s="1">
        <v>3</v>
      </c>
      <c r="R892" s="1">
        <v>3</v>
      </c>
      <c r="S892" s="3" t="s">
        <v>53</v>
      </c>
      <c r="T892" s="1">
        <v>3</v>
      </c>
      <c r="U892" s="3" t="s">
        <v>52</v>
      </c>
      <c r="V892" s="4">
        <v>10502</v>
      </c>
      <c r="W892" s="1">
        <v>9659</v>
      </c>
      <c r="X892" s="1">
        <v>7</v>
      </c>
      <c r="Y892" s="3" t="s">
        <v>42</v>
      </c>
      <c r="Z892" s="3" t="s">
        <v>43</v>
      </c>
      <c r="AA892" s="5">
        <v>0.17</v>
      </c>
      <c r="AB892" s="10" t="str" cm="1">
        <f t="array" ref="AB892">_xlfn.IFS(AA892 &lt;= 15%, "Low Hike[11-15%]", AA892 &lt;= 20%, "Moderate Hike[16-20%]", AA892 &lt;= 25%,"High Hike[21-25%]")</f>
        <v>Moderate Hike[16-20%]</v>
      </c>
      <c r="AC892" s="1">
        <v>3</v>
      </c>
      <c r="AD892" s="1">
        <v>1</v>
      </c>
      <c r="AE892" s="1">
        <v>80</v>
      </c>
      <c r="AF892" s="1">
        <v>1</v>
      </c>
      <c r="AG892" s="1">
        <v>33</v>
      </c>
      <c r="AH892" s="9" t="str" cm="1">
        <f t="array" ref="AH892">_xlfn.IFS(AG892 &lt;= 5, "New[1-5]", AG892 &lt;= 10, "Early Career[6-10]", AG892 &lt;= 20, "Established[11-20]", AG892 &lt;= 30, "Veteran[21-30]", AG892 &lt;= 40, "Late Career[31-40]")</f>
        <v>Late Career[31-40]</v>
      </c>
      <c r="AI892" s="1">
        <v>2</v>
      </c>
      <c r="AJ892" s="1">
        <v>1</v>
      </c>
      <c r="AK892" s="1">
        <v>5</v>
      </c>
      <c r="AL892" s="9" t="str" cm="1">
        <f t="array" ref="AL892">_xlfn.IFS(AK892 &lt;= 5, "New[1-5]", AK892 &lt;= 10, "Early Career[6-10]", AK892 &lt;= 20, "Established[11-20]", AK892 &lt;= 30, "Veteran[21-30]", AK892 &lt;= 40, "Late Career[31-40]")</f>
        <v>New[1-5]</v>
      </c>
      <c r="AM892" s="1">
        <v>4</v>
      </c>
      <c r="AN892" s="9" t="str" cm="1">
        <f t="array" ref="AN892">_xlfn.IFS(AM892 &lt;= 3, "New to Role[1-3]", AM892 &lt;= 7, "Settled[4-7]", AM892 &lt;= 12, "Experienced[[8-12]", AM892 &lt;= 18, "Long Tenured[13-18]")</f>
        <v>Settled[4-7]</v>
      </c>
      <c r="AO892" s="1">
        <v>1</v>
      </c>
      <c r="AP892" s="9" t="str" cm="1">
        <f t="array" ref="AP892">_xlfn.IFS(AO892 &lt;= 3, "Recently[1-3]", AO892 &lt;= 6, "Due Soon[4-6]", AO892 &lt;= 10, "Overdue[7-10]", AO892 &lt;= 15, "Long Overdue[11-15]")</f>
        <v>Recently[1-3]</v>
      </c>
      <c r="AQ892" s="9" t="str" cm="1">
        <f t="array" ref="AQ892">_xlfn.IFS(AR892 &lt;= 3, "New Relationship[1-3]", AR892 &lt;= 7, "Established Relationship[4-7]", AR892 &lt;= 12, "Long Term Relationship[8-12]", AR892 &lt;= 17, "Very Long Term Relationship[13-17]")</f>
        <v>Established Relationship[4-7]</v>
      </c>
      <c r="AR892" s="1">
        <v>4</v>
      </c>
    </row>
    <row r="893" spans="1:44" x14ac:dyDescent="0.25">
      <c r="A893" s="1">
        <v>44</v>
      </c>
      <c r="B893" s="8" t="str" cm="1">
        <f t="array" ref="B893">_xlfn.IFS(A893 &lt;= 25, "[18-25]", A893 &lt;= 35, "[26-35]", A893 &lt;=45, "[36-45]", A893 &lt;= 60, "[46- 60]")</f>
        <v>[36-45]</v>
      </c>
      <c r="C893" s="3" t="s">
        <v>43</v>
      </c>
      <c r="D893">
        <f t="shared" si="13"/>
        <v>0</v>
      </c>
      <c r="E893" t="s">
        <v>36</v>
      </c>
      <c r="F893" s="1">
        <v>1117</v>
      </c>
      <c r="G893" s="3" t="s">
        <v>45</v>
      </c>
      <c r="H893" s="1">
        <v>2</v>
      </c>
      <c r="I893" s="9" t="str" cm="1">
        <f t="array" ref="I893">_xlfn.IFS(H893 &lt;= 2, "[1-2] very close", H893 &lt;= 10, "[3-10] close", H893 &lt;= 20, "[11-20] moderate", H893 &lt;= 30, "[21-30] far")</f>
        <v>[1-2] very close</v>
      </c>
      <c r="J893" s="1">
        <v>1</v>
      </c>
      <c r="K893" s="3" t="s">
        <v>38</v>
      </c>
      <c r="L893" s="1">
        <v>1</v>
      </c>
      <c r="M893" s="1">
        <v>1246</v>
      </c>
      <c r="N893" s="1">
        <v>1</v>
      </c>
      <c r="O893" s="3" t="s">
        <v>39</v>
      </c>
      <c r="P893" s="1">
        <v>72</v>
      </c>
      <c r="Q893" s="1">
        <v>4</v>
      </c>
      <c r="R893" s="1">
        <v>1</v>
      </c>
      <c r="S893" s="3" t="s">
        <v>47</v>
      </c>
      <c r="T893" s="1">
        <v>4</v>
      </c>
      <c r="U893" s="3" t="s">
        <v>48</v>
      </c>
      <c r="V893" s="4">
        <v>2011</v>
      </c>
      <c r="W893" s="1">
        <v>19982</v>
      </c>
      <c r="X893" s="1">
        <v>1</v>
      </c>
      <c r="Y893" s="3" t="s">
        <v>42</v>
      </c>
      <c r="Z893" s="3" t="s">
        <v>43</v>
      </c>
      <c r="AA893" s="5">
        <v>0.13</v>
      </c>
      <c r="AB893" s="10" t="str" cm="1">
        <f t="array" ref="AB893">_xlfn.IFS(AA893 &lt;= 15%, "Low Hike[11-15%]", AA893 &lt;= 20%, "Moderate Hike[16-20%]", AA893 &lt;= 25%,"High Hike[21-25%]")</f>
        <v>Low Hike[11-15%]</v>
      </c>
      <c r="AC893" s="1">
        <v>3</v>
      </c>
      <c r="AD893" s="1">
        <v>4</v>
      </c>
      <c r="AE893" s="1">
        <v>80</v>
      </c>
      <c r="AF893" s="1">
        <v>1</v>
      </c>
      <c r="AG893" s="1">
        <v>10</v>
      </c>
      <c r="AH893" s="9" t="str" cm="1">
        <f t="array" ref="AH893">_xlfn.IFS(AG893 &lt;= 5, "New[1-5]", AG893 &lt;= 10, "Early Career[6-10]", AG893 &lt;= 20, "Established[11-20]", AG893 &lt;= 30, "Veteran[21-30]", AG893 &lt;= 40, "Late Career[31-40]")</f>
        <v>Early Career[6-10]</v>
      </c>
      <c r="AI893" s="1">
        <v>5</v>
      </c>
      <c r="AJ893" s="1">
        <v>3</v>
      </c>
      <c r="AK893" s="1">
        <v>10</v>
      </c>
      <c r="AL893" s="9" t="str" cm="1">
        <f t="array" ref="AL893">_xlfn.IFS(AK893 &lt;= 5, "New[1-5]", AK893 &lt;= 10, "Early Career[6-10]", AK893 &lt;= 20, "Established[11-20]", AK893 &lt;= 30, "Veteran[21-30]", AK893 &lt;= 40, "Late Career[31-40]")</f>
        <v>Early Career[6-10]</v>
      </c>
      <c r="AM893" s="1">
        <v>5</v>
      </c>
      <c r="AN893" s="9" t="str" cm="1">
        <f t="array" ref="AN893">_xlfn.IFS(AM893 &lt;= 3, "New to Role[1-3]", AM893 &lt;= 7, "Settled[4-7]", AM893 &lt;= 12, "Experienced[[8-12]", AM893 &lt;= 18, "Long Tenured[13-18]")</f>
        <v>Settled[4-7]</v>
      </c>
      <c r="AO893" s="1">
        <v>7</v>
      </c>
      <c r="AP893" s="9" t="str" cm="1">
        <f t="array" ref="AP893">_xlfn.IFS(AO893 &lt;= 3, "Recently[1-3]", AO893 &lt;= 6, "Due Soon[4-6]", AO893 &lt;= 10, "Overdue[7-10]", AO893 &lt;= 15, "Long Overdue[11-15]")</f>
        <v>Overdue[7-10]</v>
      </c>
      <c r="AQ893" s="9" t="str" cm="1">
        <f t="array" ref="AQ893">_xlfn.IFS(AR893 &lt;= 3, "New Relationship[1-3]", AR893 &lt;= 7, "Established Relationship[4-7]", AR893 &lt;= 12, "Long Term Relationship[8-12]", AR893 &lt;= 17, "Very Long Term Relationship[13-17]")</f>
        <v>Established Relationship[4-7]</v>
      </c>
      <c r="AR893" s="1">
        <v>7</v>
      </c>
    </row>
    <row r="894" spans="1:44" x14ac:dyDescent="0.25">
      <c r="A894" s="1">
        <v>19</v>
      </c>
      <c r="B894" s="8" t="str" cm="1">
        <f t="array" ref="B894">_xlfn.IFS(A894 &lt;= 25, "[18-25]", A894 &lt;= 35, "[26-35]", A894 &lt;=45, "[36-45]", A894 &lt;= 60, "[46- 60]")</f>
        <v>[18-25]</v>
      </c>
      <c r="C894" s="3" t="s">
        <v>35</v>
      </c>
      <c r="D894">
        <f t="shared" si="13"/>
        <v>1</v>
      </c>
      <c r="E894" t="s">
        <v>62</v>
      </c>
      <c r="F894" s="1">
        <v>504</v>
      </c>
      <c r="G894" s="3" t="s">
        <v>45</v>
      </c>
      <c r="H894" s="1">
        <v>10</v>
      </c>
      <c r="I894" s="9" t="str" cm="1">
        <f t="array" ref="I894">_xlfn.IFS(H894 &lt;= 2, "[1-2] very close", H894 &lt;= 10, "[3-10] close", H894 &lt;= 20, "[11-20] moderate", H894 &lt;= 30, "[21-30] far")</f>
        <v>[3-10] close</v>
      </c>
      <c r="J894" s="1">
        <v>3</v>
      </c>
      <c r="K894" s="3" t="s">
        <v>51</v>
      </c>
      <c r="L894" s="1">
        <v>1</v>
      </c>
      <c r="M894" s="1">
        <v>1248</v>
      </c>
      <c r="N894" s="1">
        <v>1</v>
      </c>
      <c r="O894" s="3" t="s">
        <v>39</v>
      </c>
      <c r="P894" s="1">
        <v>96</v>
      </c>
      <c r="Q894" s="1">
        <v>2</v>
      </c>
      <c r="R894" s="1">
        <v>1</v>
      </c>
      <c r="S894" s="3" t="s">
        <v>47</v>
      </c>
      <c r="T894" s="1">
        <v>2</v>
      </c>
      <c r="U894" s="3" t="s">
        <v>41</v>
      </c>
      <c r="V894" s="4">
        <v>1859</v>
      </c>
      <c r="W894" s="1">
        <v>6148</v>
      </c>
      <c r="X894" s="1">
        <v>1</v>
      </c>
      <c r="Y894" s="3" t="s">
        <v>42</v>
      </c>
      <c r="Z894" s="3" t="s">
        <v>35</v>
      </c>
      <c r="AA894" s="5">
        <v>0.25</v>
      </c>
      <c r="AB894" s="10" t="str" cm="1">
        <f t="array" ref="AB894">_xlfn.IFS(AA894 &lt;= 15%, "Low Hike[11-15%]", AA894 &lt;= 20%, "Moderate Hike[16-20%]", AA894 &lt;= 25%,"High Hike[21-25%]")</f>
        <v>High Hike[21-25%]</v>
      </c>
      <c r="AC894" s="1">
        <v>4</v>
      </c>
      <c r="AD894" s="1">
        <v>2</v>
      </c>
      <c r="AE894" s="1">
        <v>80</v>
      </c>
      <c r="AF894" s="1">
        <v>0</v>
      </c>
      <c r="AG894" s="1">
        <v>1</v>
      </c>
      <c r="AH894" s="9" t="str" cm="1">
        <f t="array" ref="AH894">_xlfn.IFS(AG894 &lt;= 5, "New[1-5]", AG894 &lt;= 10, "Early Career[6-10]", AG894 &lt;= 20, "Established[11-20]", AG894 &lt;= 30, "Veteran[21-30]", AG894 &lt;= 40, "Late Career[31-40]")</f>
        <v>New[1-5]</v>
      </c>
      <c r="AI894" s="1">
        <v>2</v>
      </c>
      <c r="AJ894" s="1">
        <v>4</v>
      </c>
      <c r="AK894" s="1">
        <v>1</v>
      </c>
      <c r="AL894" s="9" t="str" cm="1">
        <f t="array" ref="AL894">_xlfn.IFS(AK894 &lt;= 5, "New[1-5]", AK894 &lt;= 10, "Early Career[6-10]", AK894 &lt;= 20, "Established[11-20]", AK894 &lt;= 30, "Veteran[21-30]", AK894 &lt;= 40, "Late Career[31-40]")</f>
        <v>New[1-5]</v>
      </c>
      <c r="AM894" s="1">
        <v>1</v>
      </c>
      <c r="AN894" s="9" t="str" cm="1">
        <f t="array" ref="AN894">_xlfn.IFS(AM894 &lt;= 3, "New to Role[1-3]", AM894 &lt;= 7, "Settled[4-7]", AM894 &lt;= 12, "Experienced[[8-12]", AM894 &lt;= 18, "Long Tenured[13-18]")</f>
        <v>New to Role[1-3]</v>
      </c>
      <c r="AO894" s="1">
        <v>0</v>
      </c>
      <c r="AP894" s="9" t="str" cm="1">
        <f t="array" ref="AP894">_xlfn.IFS(AO894 &lt;= 3, "Recently[1-3]", AO894 &lt;= 6, "Due Soon[4-6]", AO894 &lt;= 10, "Overdue[7-10]", AO894 &lt;= 15, "Long Overdue[11-15]")</f>
        <v>Recently[1-3]</v>
      </c>
      <c r="AQ894" s="9" t="str" cm="1">
        <f t="array" ref="AQ894">_xlfn.IFS(AR894 &lt;= 3, "New Relationship[1-3]", AR894 &lt;= 7, "Established Relationship[4-7]", AR894 &lt;= 12, "Long Term Relationship[8-12]", AR894 &lt;= 17, "Very Long Term Relationship[13-17]")</f>
        <v>New Relationship[1-3]</v>
      </c>
      <c r="AR894" s="1">
        <v>0</v>
      </c>
    </row>
    <row r="895" spans="1:44" x14ac:dyDescent="0.25">
      <c r="A895" s="1">
        <v>29</v>
      </c>
      <c r="B895" s="8" t="str" cm="1">
        <f t="array" ref="B895">_xlfn.IFS(A895 &lt;= 25, "[18-25]", A895 &lt;= 35, "[26-35]", A895 &lt;=45, "[36-45]", A895 &lt;= 60, "[46- 60]")</f>
        <v>[26-35]</v>
      </c>
      <c r="C895" s="3" t="s">
        <v>43</v>
      </c>
      <c r="D895">
        <f t="shared" si="13"/>
        <v>0</v>
      </c>
      <c r="E895" t="s">
        <v>36</v>
      </c>
      <c r="F895" s="1">
        <v>1010</v>
      </c>
      <c r="G895" s="3" t="s">
        <v>45</v>
      </c>
      <c r="H895" s="1">
        <v>1</v>
      </c>
      <c r="I895" s="9" t="str" cm="1">
        <f t="array" ref="I895">_xlfn.IFS(H895 &lt;= 2, "[1-2] very close", H895 &lt;= 10, "[3-10] close", H895 &lt;= 20, "[11-20] moderate", H895 &lt;= 30, "[21-30] far")</f>
        <v>[1-2] very close</v>
      </c>
      <c r="J895" s="1">
        <v>3</v>
      </c>
      <c r="K895" s="3" t="s">
        <v>38</v>
      </c>
      <c r="L895" s="1">
        <v>1</v>
      </c>
      <c r="M895" s="1">
        <v>1249</v>
      </c>
      <c r="N895" s="1">
        <v>1</v>
      </c>
      <c r="O895" s="3" t="s">
        <v>39</v>
      </c>
      <c r="P895" s="1">
        <v>97</v>
      </c>
      <c r="Q895" s="1">
        <v>3</v>
      </c>
      <c r="R895" s="1">
        <v>1</v>
      </c>
      <c r="S895" s="3" t="s">
        <v>47</v>
      </c>
      <c r="T895" s="1">
        <v>4</v>
      </c>
      <c r="U895" s="3" t="s">
        <v>52</v>
      </c>
      <c r="V895" s="4">
        <v>3760</v>
      </c>
      <c r="W895" s="1">
        <v>5598</v>
      </c>
      <c r="X895" s="1">
        <v>1</v>
      </c>
      <c r="Y895" s="3" t="s">
        <v>42</v>
      </c>
      <c r="Z895" s="3" t="s">
        <v>43</v>
      </c>
      <c r="AA895" s="5">
        <v>0.15</v>
      </c>
      <c r="AB895" s="10" t="str" cm="1">
        <f t="array" ref="AB895">_xlfn.IFS(AA895 &lt;= 15%, "Low Hike[11-15%]", AA895 &lt;= 20%, "Moderate Hike[16-20%]", AA895 &lt;= 25%,"High Hike[21-25%]")</f>
        <v>Low Hike[11-15%]</v>
      </c>
      <c r="AC895" s="1">
        <v>3</v>
      </c>
      <c r="AD895" s="1">
        <v>1</v>
      </c>
      <c r="AE895" s="1">
        <v>80</v>
      </c>
      <c r="AF895" s="1">
        <v>3</v>
      </c>
      <c r="AG895" s="1">
        <v>3</v>
      </c>
      <c r="AH895" s="9" t="str" cm="1">
        <f t="array" ref="AH895">_xlfn.IFS(AG895 &lt;= 5, "New[1-5]", AG895 &lt;= 10, "Early Career[6-10]", AG895 &lt;= 20, "Established[11-20]", AG895 &lt;= 30, "Veteran[21-30]", AG895 &lt;= 40, "Late Career[31-40]")</f>
        <v>New[1-5]</v>
      </c>
      <c r="AI895" s="1">
        <v>5</v>
      </c>
      <c r="AJ895" s="1">
        <v>3</v>
      </c>
      <c r="AK895" s="1">
        <v>3</v>
      </c>
      <c r="AL895" s="9" t="str" cm="1">
        <f t="array" ref="AL895">_xlfn.IFS(AK895 &lt;= 5, "New[1-5]", AK895 &lt;= 10, "Early Career[6-10]", AK895 &lt;= 20, "Established[11-20]", AK895 &lt;= 30, "Veteran[21-30]", AK895 &lt;= 40, "Late Career[31-40]")</f>
        <v>New[1-5]</v>
      </c>
      <c r="AM895" s="1">
        <v>2</v>
      </c>
      <c r="AN895" s="9" t="str" cm="1">
        <f t="array" ref="AN895">_xlfn.IFS(AM895 &lt;= 3, "New to Role[1-3]", AM895 &lt;= 7, "Settled[4-7]", AM895 &lt;= 12, "Experienced[[8-12]", AM895 &lt;= 18, "Long Tenured[13-18]")</f>
        <v>New to Role[1-3]</v>
      </c>
      <c r="AO895" s="1">
        <v>1</v>
      </c>
      <c r="AP895" s="9" t="str" cm="1">
        <f t="array" ref="AP895">_xlfn.IFS(AO895 &lt;= 3, "Recently[1-3]", AO895 &lt;= 6, "Due Soon[4-6]", AO895 &lt;= 10, "Overdue[7-10]", AO895 &lt;= 15, "Long Overdue[11-15]")</f>
        <v>Recently[1-3]</v>
      </c>
      <c r="AQ895" s="9" t="str" cm="1">
        <f t="array" ref="AQ895">_xlfn.IFS(AR895 &lt;= 3, "New Relationship[1-3]", AR895 &lt;= 7, "Established Relationship[4-7]", AR895 &lt;= 12, "Long Term Relationship[8-12]", AR895 &lt;= 17, "Very Long Term Relationship[13-17]")</f>
        <v>New Relationship[1-3]</v>
      </c>
      <c r="AR895" s="1">
        <v>2</v>
      </c>
    </row>
    <row r="896" spans="1:44" x14ac:dyDescent="0.25">
      <c r="A896" s="1">
        <v>54</v>
      </c>
      <c r="B896" s="8" t="str" cm="1">
        <f t="array" ref="B896">_xlfn.IFS(A896 &lt;= 25, "[18-25]", A896 &lt;= 35, "[26-35]", A896 &lt;=45, "[36-45]", A896 &lt;= 60, "[46- 60]")</f>
        <v>[46- 60]</v>
      </c>
      <c r="C896" s="3" t="s">
        <v>43</v>
      </c>
      <c r="D896">
        <f t="shared" si="13"/>
        <v>0</v>
      </c>
      <c r="E896" t="s">
        <v>36</v>
      </c>
      <c r="F896" s="1">
        <v>685</v>
      </c>
      <c r="G896" s="3" t="s">
        <v>45</v>
      </c>
      <c r="H896" s="1">
        <v>3</v>
      </c>
      <c r="I896" s="9" t="str" cm="1">
        <f t="array" ref="I896">_xlfn.IFS(H896 &lt;= 2, "[1-2] very close", H896 &lt;= 10, "[3-10] close", H896 &lt;= 20, "[11-20] moderate", H896 &lt;= 30, "[21-30] far")</f>
        <v>[3-10] close</v>
      </c>
      <c r="J896" s="1">
        <v>3</v>
      </c>
      <c r="K896" s="3" t="s">
        <v>38</v>
      </c>
      <c r="L896" s="1">
        <v>1</v>
      </c>
      <c r="M896" s="1">
        <v>1250</v>
      </c>
      <c r="N896" s="1">
        <v>4</v>
      </c>
      <c r="O896" s="3" t="s">
        <v>46</v>
      </c>
      <c r="P896" s="1">
        <v>85</v>
      </c>
      <c r="Q896" s="1">
        <v>3</v>
      </c>
      <c r="R896" s="1">
        <v>4</v>
      </c>
      <c r="S896" s="3" t="s">
        <v>58</v>
      </c>
      <c r="T896" s="1">
        <v>4</v>
      </c>
      <c r="U896" s="3" t="s">
        <v>48</v>
      </c>
      <c r="V896" s="4">
        <v>17779</v>
      </c>
      <c r="W896" s="1">
        <v>23474</v>
      </c>
      <c r="X896" s="1">
        <v>3</v>
      </c>
      <c r="Y896" s="3" t="s">
        <v>42</v>
      </c>
      <c r="Z896" s="3" t="s">
        <v>43</v>
      </c>
      <c r="AA896" s="5">
        <v>0.14000000000000001</v>
      </c>
      <c r="AB896" s="10" t="str" cm="1">
        <f t="array" ref="AB896">_xlfn.IFS(AA896 &lt;= 15%, "Low Hike[11-15%]", AA896 &lt;= 20%, "Moderate Hike[16-20%]", AA896 &lt;= 25%,"High Hike[21-25%]")</f>
        <v>Low Hike[11-15%]</v>
      </c>
      <c r="AC896" s="1">
        <v>3</v>
      </c>
      <c r="AD896" s="1">
        <v>1</v>
      </c>
      <c r="AE896" s="1">
        <v>80</v>
      </c>
      <c r="AF896" s="1">
        <v>0</v>
      </c>
      <c r="AG896" s="1">
        <v>36</v>
      </c>
      <c r="AH896" s="9" t="str" cm="1">
        <f t="array" ref="AH896">_xlfn.IFS(AG896 &lt;= 5, "New[1-5]", AG896 &lt;= 10, "Early Career[6-10]", AG896 &lt;= 20, "Established[11-20]", AG896 &lt;= 30, "Veteran[21-30]", AG896 &lt;= 40, "Late Career[31-40]")</f>
        <v>Late Career[31-40]</v>
      </c>
      <c r="AI896" s="1">
        <v>2</v>
      </c>
      <c r="AJ896" s="1">
        <v>3</v>
      </c>
      <c r="AK896" s="1">
        <v>10</v>
      </c>
      <c r="AL896" s="9" t="str" cm="1">
        <f t="array" ref="AL896">_xlfn.IFS(AK896 &lt;= 5, "New[1-5]", AK896 &lt;= 10, "Early Career[6-10]", AK896 &lt;= 20, "Established[11-20]", AK896 &lt;= 30, "Veteran[21-30]", AK896 &lt;= 40, "Late Career[31-40]")</f>
        <v>Early Career[6-10]</v>
      </c>
      <c r="AM896" s="1">
        <v>9</v>
      </c>
      <c r="AN896" s="9" t="str" cm="1">
        <f t="array" ref="AN896">_xlfn.IFS(AM896 &lt;= 3, "New to Role[1-3]", AM896 &lt;= 7, "Settled[4-7]", AM896 &lt;= 12, "Experienced[[8-12]", AM896 &lt;= 18, "Long Tenured[13-18]")</f>
        <v>Experienced[[8-12]</v>
      </c>
      <c r="AO896" s="1">
        <v>0</v>
      </c>
      <c r="AP896" s="9" t="str" cm="1">
        <f t="array" ref="AP896">_xlfn.IFS(AO896 &lt;= 3, "Recently[1-3]", AO896 &lt;= 6, "Due Soon[4-6]", AO896 &lt;= 10, "Overdue[7-10]", AO896 &lt;= 15, "Long Overdue[11-15]")</f>
        <v>Recently[1-3]</v>
      </c>
      <c r="AQ896" s="9" t="str" cm="1">
        <f t="array" ref="AQ896">_xlfn.IFS(AR896 &lt;= 3, "New Relationship[1-3]", AR896 &lt;= 7, "Established Relationship[4-7]", AR896 &lt;= 12, "Long Term Relationship[8-12]", AR896 &lt;= 17, "Very Long Term Relationship[13-17]")</f>
        <v>Long Term Relationship[8-12]</v>
      </c>
      <c r="AR896" s="1">
        <v>9</v>
      </c>
    </row>
    <row r="897" spans="1:44" x14ac:dyDescent="0.25">
      <c r="A897" s="1">
        <v>31</v>
      </c>
      <c r="B897" s="8" t="str" cm="1">
        <f t="array" ref="B897">_xlfn.IFS(A897 &lt;= 25, "[18-25]", A897 &lt;= 35, "[26-35]", A897 &lt;=45, "[36-45]", A897 &lt;= 60, "[46- 60]")</f>
        <v>[26-35]</v>
      </c>
      <c r="C897" s="3" t="s">
        <v>43</v>
      </c>
      <c r="D897">
        <f t="shared" si="13"/>
        <v>0</v>
      </c>
      <c r="E897" t="s">
        <v>36</v>
      </c>
      <c r="F897" s="1">
        <v>1332</v>
      </c>
      <c r="G897" s="3" t="s">
        <v>45</v>
      </c>
      <c r="H897" s="1">
        <v>11</v>
      </c>
      <c r="I897" s="9" t="str" cm="1">
        <f t="array" ref="I897">_xlfn.IFS(H897 &lt;= 2, "[1-2] very close", H897 &lt;= 10, "[3-10] close", H897 &lt;= 20, "[11-20] moderate", H897 &lt;= 30, "[21-30] far")</f>
        <v>[11-20] moderate</v>
      </c>
      <c r="J897" s="1">
        <v>2</v>
      </c>
      <c r="K897" s="3" t="s">
        <v>51</v>
      </c>
      <c r="L897" s="1">
        <v>1</v>
      </c>
      <c r="M897" s="1">
        <v>1251</v>
      </c>
      <c r="N897" s="1">
        <v>3</v>
      </c>
      <c r="O897" s="3" t="s">
        <v>46</v>
      </c>
      <c r="P897" s="1">
        <v>80</v>
      </c>
      <c r="Q897" s="1">
        <v>3</v>
      </c>
      <c r="R897" s="1">
        <v>2</v>
      </c>
      <c r="S897" s="3" t="s">
        <v>54</v>
      </c>
      <c r="T897" s="1">
        <v>1</v>
      </c>
      <c r="U897" s="3" t="s">
        <v>48</v>
      </c>
      <c r="V897" s="4">
        <v>6833</v>
      </c>
      <c r="W897" s="1">
        <v>17089</v>
      </c>
      <c r="X897" s="1">
        <v>1</v>
      </c>
      <c r="Y897" s="3" t="s">
        <v>42</v>
      </c>
      <c r="Z897" s="3" t="s">
        <v>35</v>
      </c>
      <c r="AA897" s="5">
        <v>0.12</v>
      </c>
      <c r="AB897" s="10" t="str" cm="1">
        <f t="array" ref="AB897">_xlfn.IFS(AA897 &lt;= 15%, "Low Hike[11-15%]", AA897 &lt;= 20%, "Moderate Hike[16-20%]", AA897 &lt;= 25%,"High Hike[21-25%]")</f>
        <v>Low Hike[11-15%]</v>
      </c>
      <c r="AC897" s="1">
        <v>3</v>
      </c>
      <c r="AD897" s="1">
        <v>4</v>
      </c>
      <c r="AE897" s="1">
        <v>80</v>
      </c>
      <c r="AF897" s="1">
        <v>0</v>
      </c>
      <c r="AG897" s="1">
        <v>6</v>
      </c>
      <c r="AH897" s="9" t="str" cm="1">
        <f t="array" ref="AH897">_xlfn.IFS(AG897 &lt;= 5, "New[1-5]", AG897 &lt;= 10, "Early Career[6-10]", AG897 &lt;= 20, "Established[11-20]", AG897 &lt;= 30, "Veteran[21-30]", AG897 &lt;= 40, "Late Career[31-40]")</f>
        <v>Early Career[6-10]</v>
      </c>
      <c r="AI897" s="1">
        <v>2</v>
      </c>
      <c r="AJ897" s="1">
        <v>2</v>
      </c>
      <c r="AK897" s="1">
        <v>6</v>
      </c>
      <c r="AL897" s="9" t="str" cm="1">
        <f t="array" ref="AL897">_xlfn.IFS(AK897 &lt;= 5, "New[1-5]", AK897 &lt;= 10, "Early Career[6-10]", AK897 &lt;= 20, "Established[11-20]", AK897 &lt;= 30, "Veteran[21-30]", AK897 &lt;= 40, "Late Career[31-40]")</f>
        <v>Early Career[6-10]</v>
      </c>
      <c r="AM897" s="1">
        <v>5</v>
      </c>
      <c r="AN897" s="9" t="str" cm="1">
        <f t="array" ref="AN897">_xlfn.IFS(AM897 &lt;= 3, "New to Role[1-3]", AM897 &lt;= 7, "Settled[4-7]", AM897 &lt;= 12, "Experienced[[8-12]", AM897 &lt;= 18, "Long Tenured[13-18]")</f>
        <v>Settled[4-7]</v>
      </c>
      <c r="AO897" s="1">
        <v>0</v>
      </c>
      <c r="AP897" s="9" t="str" cm="1">
        <f t="array" ref="AP897">_xlfn.IFS(AO897 &lt;= 3, "Recently[1-3]", AO897 &lt;= 6, "Due Soon[4-6]", AO897 &lt;= 10, "Overdue[7-10]", AO897 &lt;= 15, "Long Overdue[11-15]")</f>
        <v>Recently[1-3]</v>
      </c>
      <c r="AQ897" s="9" t="str" cm="1">
        <f t="array" ref="AQ897">_xlfn.IFS(AR897 &lt;= 3, "New Relationship[1-3]", AR897 &lt;= 7, "Established Relationship[4-7]", AR897 &lt;= 12, "Long Term Relationship[8-12]", AR897 &lt;= 17, "Very Long Term Relationship[13-17]")</f>
        <v>New Relationship[1-3]</v>
      </c>
      <c r="AR897" s="1">
        <v>1</v>
      </c>
    </row>
    <row r="898" spans="1:44" x14ac:dyDescent="0.25">
      <c r="A898" s="1">
        <v>31</v>
      </c>
      <c r="B898" s="8" t="str" cm="1">
        <f t="array" ref="B898">_xlfn.IFS(A898 &lt;= 25, "[18-25]", A898 &lt;= 35, "[26-35]", A898 &lt;=45, "[36-45]", A898 &lt;= 60, "[46- 60]")</f>
        <v>[26-35]</v>
      </c>
      <c r="C898" s="3" t="s">
        <v>43</v>
      </c>
      <c r="D898">
        <f t="shared" ref="D898:D961" si="14">IF(C898 = "Yes",1, 0)</f>
        <v>0</v>
      </c>
      <c r="E898" t="s">
        <v>36</v>
      </c>
      <c r="F898" s="1">
        <v>1062</v>
      </c>
      <c r="G898" s="3" t="s">
        <v>45</v>
      </c>
      <c r="H898" s="1">
        <v>24</v>
      </c>
      <c r="I898" s="9" t="str" cm="1">
        <f t="array" ref="I898">_xlfn.IFS(H898 &lt;= 2, "[1-2] very close", H898 &lt;= 10, "[3-10] close", H898 &lt;= 20, "[11-20] moderate", H898 &lt;= 30, "[21-30] far")</f>
        <v>[21-30] far</v>
      </c>
      <c r="J898" s="1">
        <v>3</v>
      </c>
      <c r="K898" s="3" t="s">
        <v>51</v>
      </c>
      <c r="L898" s="1">
        <v>1</v>
      </c>
      <c r="M898" s="1">
        <v>1252</v>
      </c>
      <c r="N898" s="1">
        <v>3</v>
      </c>
      <c r="O898" s="3" t="s">
        <v>39</v>
      </c>
      <c r="P898" s="1">
        <v>96</v>
      </c>
      <c r="Q898" s="1">
        <v>2</v>
      </c>
      <c r="R898" s="1">
        <v>2</v>
      </c>
      <c r="S898" s="3" t="s">
        <v>54</v>
      </c>
      <c r="T898" s="1">
        <v>1</v>
      </c>
      <c r="U898" s="3" t="s">
        <v>41</v>
      </c>
      <c r="V898" s="4">
        <v>6812</v>
      </c>
      <c r="W898" s="1">
        <v>17198</v>
      </c>
      <c r="X898" s="1">
        <v>1</v>
      </c>
      <c r="Y898" s="3" t="s">
        <v>42</v>
      </c>
      <c r="Z898" s="3" t="s">
        <v>43</v>
      </c>
      <c r="AA898" s="5">
        <v>0.19</v>
      </c>
      <c r="AB898" s="10" t="str" cm="1">
        <f t="array" ref="AB898">_xlfn.IFS(AA898 &lt;= 15%, "Low Hike[11-15%]", AA898 &lt;= 20%, "Moderate Hike[16-20%]", AA898 &lt;= 25%,"High Hike[21-25%]")</f>
        <v>Moderate Hike[16-20%]</v>
      </c>
      <c r="AC898" s="1">
        <v>3</v>
      </c>
      <c r="AD898" s="1">
        <v>2</v>
      </c>
      <c r="AE898" s="1">
        <v>80</v>
      </c>
      <c r="AF898" s="1">
        <v>0</v>
      </c>
      <c r="AG898" s="1">
        <v>10</v>
      </c>
      <c r="AH898" s="9" t="str" cm="1">
        <f t="array" ref="AH898">_xlfn.IFS(AG898 &lt;= 5, "New[1-5]", AG898 &lt;= 10, "Early Career[6-10]", AG898 &lt;= 20, "Established[11-20]", AG898 &lt;= 30, "Veteran[21-30]", AG898 &lt;= 40, "Late Career[31-40]")</f>
        <v>Early Career[6-10]</v>
      </c>
      <c r="AI898" s="1">
        <v>2</v>
      </c>
      <c r="AJ898" s="1">
        <v>3</v>
      </c>
      <c r="AK898" s="1">
        <v>10</v>
      </c>
      <c r="AL898" s="9" t="str" cm="1">
        <f t="array" ref="AL898">_xlfn.IFS(AK898 &lt;= 5, "New[1-5]", AK898 &lt;= 10, "Early Career[6-10]", AK898 &lt;= 20, "Established[11-20]", AK898 &lt;= 30, "Veteran[21-30]", AK898 &lt;= 40, "Late Career[31-40]")</f>
        <v>Early Career[6-10]</v>
      </c>
      <c r="AM898" s="1">
        <v>9</v>
      </c>
      <c r="AN898" s="9" t="str" cm="1">
        <f t="array" ref="AN898">_xlfn.IFS(AM898 &lt;= 3, "New to Role[1-3]", AM898 &lt;= 7, "Settled[4-7]", AM898 &lt;= 12, "Experienced[[8-12]", AM898 &lt;= 18, "Long Tenured[13-18]")</f>
        <v>Experienced[[8-12]</v>
      </c>
      <c r="AO898" s="1">
        <v>1</v>
      </c>
      <c r="AP898" s="9" t="str" cm="1">
        <f t="array" ref="AP898">_xlfn.IFS(AO898 &lt;= 3, "Recently[1-3]", AO898 &lt;= 6, "Due Soon[4-6]", AO898 &lt;= 10, "Overdue[7-10]", AO898 &lt;= 15, "Long Overdue[11-15]")</f>
        <v>Recently[1-3]</v>
      </c>
      <c r="AQ898" s="9" t="str" cm="1">
        <f t="array" ref="AQ898">_xlfn.IFS(AR898 &lt;= 3, "New Relationship[1-3]", AR898 &lt;= 7, "Established Relationship[4-7]", AR898 &lt;= 12, "Long Term Relationship[8-12]", AR898 &lt;= 17, "Very Long Term Relationship[13-17]")</f>
        <v>Long Term Relationship[8-12]</v>
      </c>
      <c r="AR898" s="1">
        <v>8</v>
      </c>
    </row>
    <row r="899" spans="1:44" x14ac:dyDescent="0.25">
      <c r="A899" s="1">
        <v>59</v>
      </c>
      <c r="B899" s="8" t="str" cm="1">
        <f t="array" ref="B899">_xlfn.IFS(A899 &lt;= 25, "[18-25]", A899 &lt;= 35, "[26-35]", A899 &lt;=45, "[36-45]", A899 &lt;= 60, "[46- 60]")</f>
        <v>[46- 60]</v>
      </c>
      <c r="C899" s="3" t="s">
        <v>43</v>
      </c>
      <c r="D899">
        <f t="shared" si="14"/>
        <v>0</v>
      </c>
      <c r="E899" t="s">
        <v>36</v>
      </c>
      <c r="F899" s="1">
        <v>326</v>
      </c>
      <c r="G899" s="3" t="s">
        <v>37</v>
      </c>
      <c r="H899" s="1">
        <v>3</v>
      </c>
      <c r="I899" s="9" t="str" cm="1">
        <f t="array" ref="I899">_xlfn.IFS(H899 &lt;= 2, "[1-2] very close", H899 &lt;= 10, "[3-10] close", H899 &lt;= 20, "[11-20] moderate", H899 &lt;= 30, "[21-30] far")</f>
        <v>[3-10] close</v>
      </c>
      <c r="J899" s="1">
        <v>3</v>
      </c>
      <c r="K899" s="3" t="s">
        <v>38</v>
      </c>
      <c r="L899" s="1">
        <v>1</v>
      </c>
      <c r="M899" s="1">
        <v>1254</v>
      </c>
      <c r="N899" s="1">
        <v>3</v>
      </c>
      <c r="O899" s="3" t="s">
        <v>39</v>
      </c>
      <c r="P899" s="1">
        <v>48</v>
      </c>
      <c r="Q899" s="1">
        <v>2</v>
      </c>
      <c r="R899" s="1">
        <v>2</v>
      </c>
      <c r="S899" s="3" t="s">
        <v>40</v>
      </c>
      <c r="T899" s="1">
        <v>4</v>
      </c>
      <c r="U899" s="3" t="s">
        <v>41</v>
      </c>
      <c r="V899" s="4">
        <v>5171</v>
      </c>
      <c r="W899" s="1">
        <v>16490</v>
      </c>
      <c r="X899" s="1">
        <v>5</v>
      </c>
      <c r="Y899" s="3" t="s">
        <v>42</v>
      </c>
      <c r="Z899" s="3" t="s">
        <v>43</v>
      </c>
      <c r="AA899" s="5">
        <v>0.17</v>
      </c>
      <c r="AB899" s="10" t="str" cm="1">
        <f t="array" ref="AB899">_xlfn.IFS(AA899 &lt;= 15%, "Low Hike[11-15%]", AA899 &lt;= 20%, "Moderate Hike[16-20%]", AA899 &lt;= 25%,"High Hike[21-25%]")</f>
        <v>Moderate Hike[16-20%]</v>
      </c>
      <c r="AC899" s="1">
        <v>3</v>
      </c>
      <c r="AD899" s="1">
        <v>4</v>
      </c>
      <c r="AE899" s="1">
        <v>80</v>
      </c>
      <c r="AF899" s="1">
        <v>0</v>
      </c>
      <c r="AG899" s="1">
        <v>13</v>
      </c>
      <c r="AH899" s="9" t="str" cm="1">
        <f t="array" ref="AH899">_xlfn.IFS(AG899 &lt;= 5, "New[1-5]", AG899 &lt;= 10, "Early Career[6-10]", AG899 &lt;= 20, "Established[11-20]", AG899 &lt;= 30, "Veteran[21-30]", AG899 &lt;= 40, "Late Career[31-40]")</f>
        <v>Established[11-20]</v>
      </c>
      <c r="AI899" s="1">
        <v>2</v>
      </c>
      <c r="AJ899" s="1">
        <v>3</v>
      </c>
      <c r="AK899" s="1">
        <v>6</v>
      </c>
      <c r="AL899" s="9" t="str" cm="1">
        <f t="array" ref="AL899">_xlfn.IFS(AK899 &lt;= 5, "New[1-5]", AK899 &lt;= 10, "Early Career[6-10]", AK899 &lt;= 20, "Established[11-20]", AK899 &lt;= 30, "Veteran[21-30]", AK899 &lt;= 40, "Late Career[31-40]")</f>
        <v>Early Career[6-10]</v>
      </c>
      <c r="AM899" s="1">
        <v>1</v>
      </c>
      <c r="AN899" s="9" t="str" cm="1">
        <f t="array" ref="AN899">_xlfn.IFS(AM899 &lt;= 3, "New to Role[1-3]", AM899 &lt;= 7, "Settled[4-7]", AM899 &lt;= 12, "Experienced[[8-12]", AM899 &lt;= 18, "Long Tenured[13-18]")</f>
        <v>New to Role[1-3]</v>
      </c>
      <c r="AO899" s="1">
        <v>0</v>
      </c>
      <c r="AP899" s="9" t="str" cm="1">
        <f t="array" ref="AP899">_xlfn.IFS(AO899 &lt;= 3, "Recently[1-3]", AO899 &lt;= 6, "Due Soon[4-6]", AO899 &lt;= 10, "Overdue[7-10]", AO899 &lt;= 15, "Long Overdue[11-15]")</f>
        <v>Recently[1-3]</v>
      </c>
      <c r="AQ899" s="9" t="str" cm="1">
        <f t="array" ref="AQ899">_xlfn.IFS(AR899 &lt;= 3, "New Relationship[1-3]", AR899 &lt;= 7, "Established Relationship[4-7]", AR899 &lt;= 12, "Long Term Relationship[8-12]", AR899 &lt;= 17, "Very Long Term Relationship[13-17]")</f>
        <v>Established Relationship[4-7]</v>
      </c>
      <c r="AR899" s="1">
        <v>5</v>
      </c>
    </row>
    <row r="900" spans="1:44" x14ac:dyDescent="0.25">
      <c r="A900" s="1">
        <v>43</v>
      </c>
      <c r="B900" s="8" t="str" cm="1">
        <f t="array" ref="B900">_xlfn.IFS(A900 &lt;= 25, "[18-25]", A900 &lt;= 35, "[26-35]", A900 &lt;=45, "[36-45]", A900 &lt;= 60, "[46- 60]")</f>
        <v>[36-45]</v>
      </c>
      <c r="C900" s="3" t="s">
        <v>43</v>
      </c>
      <c r="D900">
        <f t="shared" si="14"/>
        <v>0</v>
      </c>
      <c r="E900" t="s">
        <v>36</v>
      </c>
      <c r="F900" s="1">
        <v>920</v>
      </c>
      <c r="G900" s="3" t="s">
        <v>45</v>
      </c>
      <c r="H900" s="1">
        <v>3</v>
      </c>
      <c r="I900" s="9" t="str" cm="1">
        <f t="array" ref="I900">_xlfn.IFS(H900 &lt;= 2, "[1-2] very close", H900 &lt;= 10, "[3-10] close", H900 &lt;= 20, "[11-20] moderate", H900 &lt;= 30, "[21-30] far")</f>
        <v>[3-10] close</v>
      </c>
      <c r="J900" s="1">
        <v>3</v>
      </c>
      <c r="K900" s="3" t="s">
        <v>38</v>
      </c>
      <c r="L900" s="1">
        <v>1</v>
      </c>
      <c r="M900" s="1">
        <v>1255</v>
      </c>
      <c r="N900" s="1">
        <v>3</v>
      </c>
      <c r="O900" s="3" t="s">
        <v>46</v>
      </c>
      <c r="P900" s="1">
        <v>96</v>
      </c>
      <c r="Q900" s="1">
        <v>1</v>
      </c>
      <c r="R900" s="1">
        <v>5</v>
      </c>
      <c r="S900" s="3" t="s">
        <v>58</v>
      </c>
      <c r="T900" s="1">
        <v>4</v>
      </c>
      <c r="U900" s="3" t="s">
        <v>48</v>
      </c>
      <c r="V900" s="4">
        <v>19740</v>
      </c>
      <c r="W900" s="1">
        <v>18625</v>
      </c>
      <c r="X900" s="1">
        <v>3</v>
      </c>
      <c r="Y900" s="3" t="s">
        <v>42</v>
      </c>
      <c r="Z900" s="3" t="s">
        <v>43</v>
      </c>
      <c r="AA900" s="5">
        <v>0.14000000000000001</v>
      </c>
      <c r="AB900" s="10" t="str" cm="1">
        <f t="array" ref="AB900">_xlfn.IFS(AA900 &lt;= 15%, "Low Hike[11-15%]", AA900 &lt;= 20%, "Moderate Hike[16-20%]", AA900 &lt;= 25%,"High Hike[21-25%]")</f>
        <v>Low Hike[11-15%]</v>
      </c>
      <c r="AC900" s="1">
        <v>3</v>
      </c>
      <c r="AD900" s="1">
        <v>2</v>
      </c>
      <c r="AE900" s="1">
        <v>80</v>
      </c>
      <c r="AF900" s="1">
        <v>1</v>
      </c>
      <c r="AG900" s="1">
        <v>25</v>
      </c>
      <c r="AH900" s="9" t="str" cm="1">
        <f t="array" ref="AH900">_xlfn.IFS(AG900 &lt;= 5, "New[1-5]", AG900 &lt;= 10, "Early Career[6-10]", AG900 &lt;= 20, "Established[11-20]", AG900 &lt;= 30, "Veteran[21-30]", AG900 &lt;= 40, "Late Career[31-40]")</f>
        <v>Veteran[21-30]</v>
      </c>
      <c r="AI900" s="1">
        <v>2</v>
      </c>
      <c r="AJ900" s="1">
        <v>3</v>
      </c>
      <c r="AK900" s="1">
        <v>8</v>
      </c>
      <c r="AL900" s="9" t="str" cm="1">
        <f t="array" ref="AL900">_xlfn.IFS(AK900 &lt;= 5, "New[1-5]", AK900 &lt;= 10, "Early Career[6-10]", AK900 &lt;= 20, "Established[11-20]", AK900 &lt;= 30, "Veteran[21-30]", AK900 &lt;= 40, "Late Career[31-40]")</f>
        <v>Early Career[6-10]</v>
      </c>
      <c r="AM900" s="1">
        <v>7</v>
      </c>
      <c r="AN900" s="9" t="str" cm="1">
        <f t="array" ref="AN900">_xlfn.IFS(AM900 &lt;= 3, "New to Role[1-3]", AM900 &lt;= 7, "Settled[4-7]", AM900 &lt;= 12, "Experienced[[8-12]", AM900 &lt;= 18, "Long Tenured[13-18]")</f>
        <v>Settled[4-7]</v>
      </c>
      <c r="AO900" s="1">
        <v>0</v>
      </c>
      <c r="AP900" s="9" t="str" cm="1">
        <f t="array" ref="AP900">_xlfn.IFS(AO900 &lt;= 3, "Recently[1-3]", AO900 &lt;= 6, "Due Soon[4-6]", AO900 &lt;= 10, "Overdue[7-10]", AO900 &lt;= 15, "Long Overdue[11-15]")</f>
        <v>Recently[1-3]</v>
      </c>
      <c r="AQ900" s="9" t="str" cm="1">
        <f t="array" ref="AQ900">_xlfn.IFS(AR900 &lt;= 3, "New Relationship[1-3]", AR900 &lt;= 7, "Established Relationship[4-7]", AR900 &lt;= 12, "Long Term Relationship[8-12]", AR900 &lt;= 17, "Very Long Term Relationship[13-17]")</f>
        <v>Established Relationship[4-7]</v>
      </c>
      <c r="AR900" s="1">
        <v>7</v>
      </c>
    </row>
    <row r="901" spans="1:44" x14ac:dyDescent="0.25">
      <c r="A901" s="1">
        <v>49</v>
      </c>
      <c r="B901" s="8" t="str" cm="1">
        <f t="array" ref="B901">_xlfn.IFS(A901 &lt;= 25, "[18-25]", A901 &lt;= 35, "[26-35]", A901 &lt;=45, "[36-45]", A901 &lt;= 60, "[46- 60]")</f>
        <v>[46- 60]</v>
      </c>
      <c r="C901" s="3" t="s">
        <v>43</v>
      </c>
      <c r="D901">
        <f t="shared" si="14"/>
        <v>0</v>
      </c>
      <c r="E901" t="s">
        <v>36</v>
      </c>
      <c r="F901" s="1">
        <v>1098</v>
      </c>
      <c r="G901" s="3" t="s">
        <v>45</v>
      </c>
      <c r="H901" s="1">
        <v>4</v>
      </c>
      <c r="I901" s="9" t="str" cm="1">
        <f t="array" ref="I901">_xlfn.IFS(H901 &lt;= 2, "[1-2] very close", H901 &lt;= 10, "[3-10] close", H901 &lt;= 20, "[11-20] moderate", H901 &lt;= 30, "[21-30] far")</f>
        <v>[3-10] close</v>
      </c>
      <c r="J901" s="1">
        <v>2</v>
      </c>
      <c r="K901" s="3" t="s">
        <v>51</v>
      </c>
      <c r="L901" s="1">
        <v>1</v>
      </c>
      <c r="M901" s="1">
        <v>1256</v>
      </c>
      <c r="N901" s="1">
        <v>1</v>
      </c>
      <c r="O901" s="3" t="s">
        <v>46</v>
      </c>
      <c r="P901" s="1">
        <v>85</v>
      </c>
      <c r="Q901" s="1">
        <v>2</v>
      </c>
      <c r="R901" s="1">
        <v>5</v>
      </c>
      <c r="S901" s="3" t="s">
        <v>56</v>
      </c>
      <c r="T901" s="1">
        <v>3</v>
      </c>
      <c r="U901" s="3" t="s">
        <v>48</v>
      </c>
      <c r="V901" s="4">
        <v>18711</v>
      </c>
      <c r="W901" s="1">
        <v>12124</v>
      </c>
      <c r="X901" s="1">
        <v>2</v>
      </c>
      <c r="Y901" s="3" t="s">
        <v>42</v>
      </c>
      <c r="Z901" s="3" t="s">
        <v>43</v>
      </c>
      <c r="AA901" s="5">
        <v>0.13</v>
      </c>
      <c r="AB901" s="10" t="str" cm="1">
        <f t="array" ref="AB901">_xlfn.IFS(AA901 &lt;= 15%, "Low Hike[11-15%]", AA901 &lt;= 20%, "Moderate Hike[16-20%]", AA901 &lt;= 25%,"High Hike[21-25%]")</f>
        <v>Low Hike[11-15%]</v>
      </c>
      <c r="AC901" s="1">
        <v>3</v>
      </c>
      <c r="AD901" s="1">
        <v>3</v>
      </c>
      <c r="AE901" s="1">
        <v>80</v>
      </c>
      <c r="AF901" s="1">
        <v>1</v>
      </c>
      <c r="AG901" s="1">
        <v>23</v>
      </c>
      <c r="AH901" s="9" t="str" cm="1">
        <f t="array" ref="AH901">_xlfn.IFS(AG901 &lt;= 5, "New[1-5]", AG901 &lt;= 10, "Early Career[6-10]", AG901 &lt;= 20, "Established[11-20]", AG901 &lt;= 30, "Veteran[21-30]", AG901 &lt;= 40, "Late Career[31-40]")</f>
        <v>Veteran[21-30]</v>
      </c>
      <c r="AI901" s="1">
        <v>2</v>
      </c>
      <c r="AJ901" s="1">
        <v>4</v>
      </c>
      <c r="AK901" s="1">
        <v>1</v>
      </c>
      <c r="AL901" s="9" t="str" cm="1">
        <f t="array" ref="AL901">_xlfn.IFS(AK901 &lt;= 5, "New[1-5]", AK901 &lt;= 10, "Early Career[6-10]", AK901 &lt;= 20, "Established[11-20]", AK901 &lt;= 30, "Veteran[21-30]", AK901 &lt;= 40, "Late Career[31-40]")</f>
        <v>New[1-5]</v>
      </c>
      <c r="AM901" s="1">
        <v>0</v>
      </c>
      <c r="AN901" s="9" t="str" cm="1">
        <f t="array" ref="AN901">_xlfn.IFS(AM901 &lt;= 3, "New to Role[1-3]", AM901 &lt;= 7, "Settled[4-7]", AM901 &lt;= 12, "Experienced[[8-12]", AM901 &lt;= 18, "Long Tenured[13-18]")</f>
        <v>New to Role[1-3]</v>
      </c>
      <c r="AO901" s="1">
        <v>0</v>
      </c>
      <c r="AP901" s="9" t="str" cm="1">
        <f t="array" ref="AP901">_xlfn.IFS(AO901 &lt;= 3, "Recently[1-3]", AO901 &lt;= 6, "Due Soon[4-6]", AO901 &lt;= 10, "Overdue[7-10]", AO901 &lt;= 15, "Long Overdue[11-15]")</f>
        <v>Recently[1-3]</v>
      </c>
      <c r="AQ901" s="9" t="str" cm="1">
        <f t="array" ref="AQ901">_xlfn.IFS(AR901 &lt;= 3, "New Relationship[1-3]", AR901 &lt;= 7, "Established Relationship[4-7]", AR901 &lt;= 12, "Long Term Relationship[8-12]", AR901 &lt;= 17, "Very Long Term Relationship[13-17]")</f>
        <v>New Relationship[1-3]</v>
      </c>
      <c r="AR901" s="1">
        <v>0</v>
      </c>
    </row>
    <row r="902" spans="1:44" x14ac:dyDescent="0.25">
      <c r="A902" s="1">
        <v>36</v>
      </c>
      <c r="B902" s="8" t="str" cm="1">
        <f t="array" ref="B902">_xlfn.IFS(A902 &lt;= 25, "[18-25]", A902 &lt;= 35, "[26-35]", A902 &lt;=45, "[36-45]", A902 &lt;= 60, "[46- 60]")</f>
        <v>[36-45]</v>
      </c>
      <c r="C902" s="3" t="s">
        <v>43</v>
      </c>
      <c r="D902">
        <f t="shared" si="14"/>
        <v>0</v>
      </c>
      <c r="E902" t="s">
        <v>44</v>
      </c>
      <c r="F902" s="1">
        <v>469</v>
      </c>
      <c r="G902" s="3" t="s">
        <v>45</v>
      </c>
      <c r="H902" s="1">
        <v>3</v>
      </c>
      <c r="I902" s="9" t="str" cm="1">
        <f t="array" ref="I902">_xlfn.IFS(H902 &lt;= 2, "[1-2] very close", H902 &lt;= 10, "[3-10] close", H902 &lt;= 20, "[11-20] moderate", H902 &lt;= 30, "[21-30] far")</f>
        <v>[3-10] close</v>
      </c>
      <c r="J902" s="1">
        <v>3</v>
      </c>
      <c r="K902" s="3" t="s">
        <v>60</v>
      </c>
      <c r="L902" s="1">
        <v>1</v>
      </c>
      <c r="M902" s="1">
        <v>1257</v>
      </c>
      <c r="N902" s="1">
        <v>3</v>
      </c>
      <c r="O902" s="3" t="s">
        <v>46</v>
      </c>
      <c r="P902" s="1">
        <v>46</v>
      </c>
      <c r="Q902" s="1">
        <v>3</v>
      </c>
      <c r="R902" s="1">
        <v>1</v>
      </c>
      <c r="S902" s="3" t="s">
        <v>47</v>
      </c>
      <c r="T902" s="1">
        <v>2</v>
      </c>
      <c r="U902" s="3" t="s">
        <v>48</v>
      </c>
      <c r="V902" s="4">
        <v>3692</v>
      </c>
      <c r="W902" s="1">
        <v>9256</v>
      </c>
      <c r="X902" s="1">
        <v>1</v>
      </c>
      <c r="Y902" s="3" t="s">
        <v>42</v>
      </c>
      <c r="Z902" s="3" t="s">
        <v>43</v>
      </c>
      <c r="AA902" s="5">
        <v>0.12</v>
      </c>
      <c r="AB902" s="10" t="str" cm="1">
        <f t="array" ref="AB902">_xlfn.IFS(AA902 &lt;= 15%, "Low Hike[11-15%]", AA902 &lt;= 20%, "Moderate Hike[16-20%]", AA902 &lt;= 25%,"High Hike[21-25%]")</f>
        <v>Low Hike[11-15%]</v>
      </c>
      <c r="AC902" s="1">
        <v>3</v>
      </c>
      <c r="AD902" s="1">
        <v>3</v>
      </c>
      <c r="AE902" s="1">
        <v>80</v>
      </c>
      <c r="AF902" s="1">
        <v>0</v>
      </c>
      <c r="AG902" s="1">
        <v>12</v>
      </c>
      <c r="AH902" s="9" t="str" cm="1">
        <f t="array" ref="AH902">_xlfn.IFS(AG902 &lt;= 5, "New[1-5]", AG902 &lt;= 10, "Early Career[6-10]", AG902 &lt;= 20, "Established[11-20]", AG902 &lt;= 30, "Veteran[21-30]", AG902 &lt;= 40, "Late Career[31-40]")</f>
        <v>Established[11-20]</v>
      </c>
      <c r="AI902" s="1">
        <v>2</v>
      </c>
      <c r="AJ902" s="1">
        <v>2</v>
      </c>
      <c r="AK902" s="1">
        <v>11</v>
      </c>
      <c r="AL902" s="9" t="str" cm="1">
        <f t="array" ref="AL902">_xlfn.IFS(AK902 &lt;= 5, "New[1-5]", AK902 &lt;= 10, "Early Career[6-10]", AK902 &lt;= 20, "Established[11-20]", AK902 &lt;= 30, "Veteran[21-30]", AK902 &lt;= 40, "Late Career[31-40]")</f>
        <v>Established[11-20]</v>
      </c>
      <c r="AM902" s="1">
        <v>10</v>
      </c>
      <c r="AN902" s="9" t="str" cm="1">
        <f t="array" ref="AN902">_xlfn.IFS(AM902 &lt;= 3, "New to Role[1-3]", AM902 &lt;= 7, "Settled[4-7]", AM902 &lt;= 12, "Experienced[[8-12]", AM902 &lt;= 18, "Long Tenured[13-18]")</f>
        <v>Experienced[[8-12]</v>
      </c>
      <c r="AO902" s="1">
        <v>0</v>
      </c>
      <c r="AP902" s="9" t="str" cm="1">
        <f t="array" ref="AP902">_xlfn.IFS(AO902 &lt;= 3, "Recently[1-3]", AO902 &lt;= 6, "Due Soon[4-6]", AO902 &lt;= 10, "Overdue[7-10]", AO902 &lt;= 15, "Long Overdue[11-15]")</f>
        <v>Recently[1-3]</v>
      </c>
      <c r="AQ902" s="9" t="str" cm="1">
        <f t="array" ref="AQ902">_xlfn.IFS(AR902 &lt;= 3, "New Relationship[1-3]", AR902 &lt;= 7, "Established Relationship[4-7]", AR902 &lt;= 12, "Long Term Relationship[8-12]", AR902 &lt;= 17, "Very Long Term Relationship[13-17]")</f>
        <v>Established Relationship[4-7]</v>
      </c>
      <c r="AR902" s="1">
        <v>7</v>
      </c>
    </row>
    <row r="903" spans="1:44" x14ac:dyDescent="0.25">
      <c r="A903" s="1">
        <v>48</v>
      </c>
      <c r="B903" s="8" t="str" cm="1">
        <f t="array" ref="B903">_xlfn.IFS(A903 &lt;= 25, "[18-25]", A903 &lt;= 35, "[26-35]", A903 &lt;=45, "[36-45]", A903 &lt;= 60, "[46- 60]")</f>
        <v>[46- 60]</v>
      </c>
      <c r="C903" s="3" t="s">
        <v>43</v>
      </c>
      <c r="D903">
        <f t="shared" si="14"/>
        <v>0</v>
      </c>
      <c r="E903" t="s">
        <v>36</v>
      </c>
      <c r="F903" s="1">
        <v>969</v>
      </c>
      <c r="G903" s="3" t="s">
        <v>45</v>
      </c>
      <c r="H903" s="1">
        <v>2</v>
      </c>
      <c r="I903" s="9" t="str" cm="1">
        <f t="array" ref="I903">_xlfn.IFS(H903 &lt;= 2, "[1-2] very close", H903 &lt;= 10, "[3-10] close", H903 &lt;= 20, "[11-20] moderate", H903 &lt;= 30, "[21-30] far")</f>
        <v>[1-2] very close</v>
      </c>
      <c r="J903" s="1">
        <v>2</v>
      </c>
      <c r="K903" s="3" t="s">
        <v>60</v>
      </c>
      <c r="L903" s="1">
        <v>1</v>
      </c>
      <c r="M903" s="1">
        <v>1258</v>
      </c>
      <c r="N903" s="1">
        <v>4</v>
      </c>
      <c r="O903" s="3" t="s">
        <v>46</v>
      </c>
      <c r="P903" s="1">
        <v>76</v>
      </c>
      <c r="Q903" s="1">
        <v>4</v>
      </c>
      <c r="R903" s="1">
        <v>1</v>
      </c>
      <c r="S903" s="3" t="s">
        <v>50</v>
      </c>
      <c r="T903" s="1">
        <v>2</v>
      </c>
      <c r="U903" s="3" t="s">
        <v>41</v>
      </c>
      <c r="V903" s="4">
        <v>2559</v>
      </c>
      <c r="W903" s="1">
        <v>16620</v>
      </c>
      <c r="X903" s="1">
        <v>5</v>
      </c>
      <c r="Y903" s="3" t="s">
        <v>42</v>
      </c>
      <c r="Z903" s="3" t="s">
        <v>43</v>
      </c>
      <c r="AA903" s="5">
        <v>0.11</v>
      </c>
      <c r="AB903" s="10" t="str" cm="1">
        <f t="array" ref="AB903">_xlfn.IFS(AA903 &lt;= 15%, "Low Hike[11-15%]", AA903 &lt;= 20%, "Moderate Hike[16-20%]", AA903 &lt;= 25%,"High Hike[21-25%]")</f>
        <v>Low Hike[11-15%]</v>
      </c>
      <c r="AC903" s="1">
        <v>3</v>
      </c>
      <c r="AD903" s="1">
        <v>3</v>
      </c>
      <c r="AE903" s="1">
        <v>80</v>
      </c>
      <c r="AF903" s="1">
        <v>0</v>
      </c>
      <c r="AG903" s="1">
        <v>7</v>
      </c>
      <c r="AH903" s="9" t="str" cm="1">
        <f t="array" ref="AH903">_xlfn.IFS(AG903 &lt;= 5, "New[1-5]", AG903 &lt;= 10, "Early Career[6-10]", AG903 &lt;= 20, "Established[11-20]", AG903 &lt;= 30, "Veteran[21-30]", AG903 &lt;= 40, "Late Career[31-40]")</f>
        <v>Early Career[6-10]</v>
      </c>
      <c r="AI903" s="1">
        <v>4</v>
      </c>
      <c r="AJ903" s="1">
        <v>2</v>
      </c>
      <c r="AK903" s="1">
        <v>1</v>
      </c>
      <c r="AL903" s="9" t="str" cm="1">
        <f t="array" ref="AL903">_xlfn.IFS(AK903 &lt;= 5, "New[1-5]", AK903 &lt;= 10, "Early Career[6-10]", AK903 &lt;= 20, "Established[11-20]", AK903 &lt;= 30, "Veteran[21-30]", AK903 &lt;= 40, "Late Career[31-40]")</f>
        <v>New[1-5]</v>
      </c>
      <c r="AM903" s="1">
        <v>0</v>
      </c>
      <c r="AN903" s="9" t="str" cm="1">
        <f t="array" ref="AN903">_xlfn.IFS(AM903 &lt;= 3, "New to Role[1-3]", AM903 &lt;= 7, "Settled[4-7]", AM903 &lt;= 12, "Experienced[[8-12]", AM903 &lt;= 18, "Long Tenured[13-18]")</f>
        <v>New to Role[1-3]</v>
      </c>
      <c r="AO903" s="1">
        <v>0</v>
      </c>
      <c r="AP903" s="9" t="str" cm="1">
        <f t="array" ref="AP903">_xlfn.IFS(AO903 &lt;= 3, "Recently[1-3]", AO903 &lt;= 6, "Due Soon[4-6]", AO903 &lt;= 10, "Overdue[7-10]", AO903 &lt;= 15, "Long Overdue[11-15]")</f>
        <v>Recently[1-3]</v>
      </c>
      <c r="AQ903" s="9" t="str" cm="1">
        <f t="array" ref="AQ903">_xlfn.IFS(AR903 &lt;= 3, "New Relationship[1-3]", AR903 &lt;= 7, "Established Relationship[4-7]", AR903 &lt;= 12, "Long Term Relationship[8-12]", AR903 &lt;= 17, "Very Long Term Relationship[13-17]")</f>
        <v>New Relationship[1-3]</v>
      </c>
      <c r="AR903" s="1">
        <v>0</v>
      </c>
    </row>
    <row r="904" spans="1:44" x14ac:dyDescent="0.25">
      <c r="A904" s="1">
        <v>27</v>
      </c>
      <c r="B904" s="8" t="str" cm="1">
        <f t="array" ref="B904">_xlfn.IFS(A904 &lt;= 25, "[18-25]", A904 &lt;= 35, "[26-35]", A904 &lt;=45, "[36-45]", A904 &lt;= 60, "[46- 60]")</f>
        <v>[26-35]</v>
      </c>
      <c r="C904" s="3" t="s">
        <v>43</v>
      </c>
      <c r="D904">
        <f t="shared" si="14"/>
        <v>0</v>
      </c>
      <c r="E904" t="s">
        <v>36</v>
      </c>
      <c r="F904" s="1">
        <v>1167</v>
      </c>
      <c r="G904" s="3" t="s">
        <v>45</v>
      </c>
      <c r="H904" s="1">
        <v>4</v>
      </c>
      <c r="I904" s="9" t="str" cm="1">
        <f t="array" ref="I904">_xlfn.IFS(H904 &lt;= 2, "[1-2] very close", H904 &lt;= 10, "[3-10] close", H904 &lt;= 20, "[11-20] moderate", H904 &lt;= 30, "[21-30] far")</f>
        <v>[3-10] close</v>
      </c>
      <c r="J904" s="1">
        <v>2</v>
      </c>
      <c r="K904" s="3" t="s">
        <v>38</v>
      </c>
      <c r="L904" s="1">
        <v>1</v>
      </c>
      <c r="M904" s="1">
        <v>1259</v>
      </c>
      <c r="N904" s="1">
        <v>1</v>
      </c>
      <c r="O904" s="3" t="s">
        <v>46</v>
      </c>
      <c r="P904" s="1">
        <v>76</v>
      </c>
      <c r="Q904" s="1">
        <v>3</v>
      </c>
      <c r="R904" s="1">
        <v>1</v>
      </c>
      <c r="S904" s="3" t="s">
        <v>47</v>
      </c>
      <c r="T904" s="1">
        <v>3</v>
      </c>
      <c r="U904" s="3" t="s">
        <v>52</v>
      </c>
      <c r="V904" s="4">
        <v>2517</v>
      </c>
      <c r="W904" s="1">
        <v>3208</v>
      </c>
      <c r="X904" s="1">
        <v>1</v>
      </c>
      <c r="Y904" s="3" t="s">
        <v>42</v>
      </c>
      <c r="Z904" s="3" t="s">
        <v>43</v>
      </c>
      <c r="AA904" s="5">
        <v>0.11</v>
      </c>
      <c r="AB904" s="10" t="str" cm="1">
        <f t="array" ref="AB904">_xlfn.IFS(AA904 &lt;= 15%, "Low Hike[11-15%]", AA904 &lt;= 20%, "Moderate Hike[16-20%]", AA904 &lt;= 25%,"High Hike[21-25%]")</f>
        <v>Low Hike[11-15%]</v>
      </c>
      <c r="AC904" s="1">
        <v>3</v>
      </c>
      <c r="AD904" s="1">
        <v>2</v>
      </c>
      <c r="AE904" s="1">
        <v>80</v>
      </c>
      <c r="AF904" s="1">
        <v>3</v>
      </c>
      <c r="AG904" s="1">
        <v>5</v>
      </c>
      <c r="AH904" s="9" t="str" cm="1">
        <f t="array" ref="AH904">_xlfn.IFS(AG904 &lt;= 5, "New[1-5]", AG904 &lt;= 10, "Early Career[6-10]", AG904 &lt;= 20, "Established[11-20]", AG904 &lt;= 30, "Veteran[21-30]", AG904 &lt;= 40, "Late Career[31-40]")</f>
        <v>New[1-5]</v>
      </c>
      <c r="AI904" s="1">
        <v>2</v>
      </c>
      <c r="AJ904" s="1">
        <v>3</v>
      </c>
      <c r="AK904" s="1">
        <v>5</v>
      </c>
      <c r="AL904" s="9" t="str" cm="1">
        <f t="array" ref="AL904">_xlfn.IFS(AK904 &lt;= 5, "New[1-5]", AK904 &lt;= 10, "Early Career[6-10]", AK904 &lt;= 20, "Established[11-20]", AK904 &lt;= 30, "Veteran[21-30]", AK904 &lt;= 40, "Late Career[31-40]")</f>
        <v>New[1-5]</v>
      </c>
      <c r="AM904" s="1">
        <v>3</v>
      </c>
      <c r="AN904" s="9" t="str" cm="1">
        <f t="array" ref="AN904">_xlfn.IFS(AM904 &lt;= 3, "New to Role[1-3]", AM904 &lt;= 7, "Settled[4-7]", AM904 &lt;= 12, "Experienced[[8-12]", AM904 &lt;= 18, "Long Tenured[13-18]")</f>
        <v>New to Role[1-3]</v>
      </c>
      <c r="AO904" s="1">
        <v>0</v>
      </c>
      <c r="AP904" s="9" t="str" cm="1">
        <f t="array" ref="AP904">_xlfn.IFS(AO904 &lt;= 3, "Recently[1-3]", AO904 &lt;= 6, "Due Soon[4-6]", AO904 &lt;= 10, "Overdue[7-10]", AO904 &lt;= 15, "Long Overdue[11-15]")</f>
        <v>Recently[1-3]</v>
      </c>
      <c r="AQ904" s="9" t="str" cm="1">
        <f t="array" ref="AQ904">_xlfn.IFS(AR904 &lt;= 3, "New Relationship[1-3]", AR904 &lt;= 7, "Established Relationship[4-7]", AR904 &lt;= 12, "Long Term Relationship[8-12]", AR904 &lt;= 17, "Very Long Term Relationship[13-17]")</f>
        <v>New Relationship[1-3]</v>
      </c>
      <c r="AR904" s="1">
        <v>3</v>
      </c>
    </row>
    <row r="905" spans="1:44" x14ac:dyDescent="0.25">
      <c r="A905" s="1">
        <v>29</v>
      </c>
      <c r="B905" s="8" t="str" cm="1">
        <f t="array" ref="B905">_xlfn.IFS(A905 &lt;= 25, "[18-25]", A905 &lt;= 35, "[26-35]", A905 &lt;=45, "[36-45]", A905 &lt;= 60, "[46- 60]")</f>
        <v>[26-35]</v>
      </c>
      <c r="C905" s="3" t="s">
        <v>43</v>
      </c>
      <c r="D905">
        <f t="shared" si="14"/>
        <v>0</v>
      </c>
      <c r="E905" t="s">
        <v>36</v>
      </c>
      <c r="F905" s="1">
        <v>1329</v>
      </c>
      <c r="G905" s="3" t="s">
        <v>45</v>
      </c>
      <c r="H905" s="1">
        <v>7</v>
      </c>
      <c r="I905" s="9" t="str" cm="1">
        <f t="array" ref="I905">_xlfn.IFS(H905 &lt;= 2, "[1-2] very close", H905 &lt;= 10, "[3-10] close", H905 &lt;= 20, "[11-20] moderate", H905 &lt;= 30, "[21-30] far")</f>
        <v>[3-10] close</v>
      </c>
      <c r="J905" s="1">
        <v>3</v>
      </c>
      <c r="K905" s="3" t="s">
        <v>38</v>
      </c>
      <c r="L905" s="1">
        <v>1</v>
      </c>
      <c r="M905" s="1">
        <v>1260</v>
      </c>
      <c r="N905" s="1">
        <v>3</v>
      </c>
      <c r="O905" s="3" t="s">
        <v>46</v>
      </c>
      <c r="P905" s="1">
        <v>82</v>
      </c>
      <c r="Q905" s="1">
        <v>3</v>
      </c>
      <c r="R905" s="1">
        <v>2</v>
      </c>
      <c r="S905" s="3" t="s">
        <v>54</v>
      </c>
      <c r="T905" s="1">
        <v>4</v>
      </c>
      <c r="U905" s="3" t="s">
        <v>52</v>
      </c>
      <c r="V905" s="4">
        <v>6623</v>
      </c>
      <c r="W905" s="1">
        <v>4204</v>
      </c>
      <c r="X905" s="1">
        <v>1</v>
      </c>
      <c r="Y905" s="3" t="s">
        <v>42</v>
      </c>
      <c r="Z905" s="3" t="s">
        <v>35</v>
      </c>
      <c r="AA905" s="5">
        <v>0.11</v>
      </c>
      <c r="AB905" s="10" t="str" cm="1">
        <f t="array" ref="AB905">_xlfn.IFS(AA905 &lt;= 15%, "Low Hike[11-15%]", AA905 &lt;= 20%, "Moderate Hike[16-20%]", AA905 &lt;= 25%,"High Hike[21-25%]")</f>
        <v>Low Hike[11-15%]</v>
      </c>
      <c r="AC905" s="1">
        <v>3</v>
      </c>
      <c r="AD905" s="1">
        <v>2</v>
      </c>
      <c r="AE905" s="1">
        <v>80</v>
      </c>
      <c r="AF905" s="1">
        <v>2</v>
      </c>
      <c r="AG905" s="1">
        <v>6</v>
      </c>
      <c r="AH905" s="9" t="str" cm="1">
        <f t="array" ref="AH905">_xlfn.IFS(AG905 &lt;= 5, "New[1-5]", AG905 &lt;= 10, "Early Career[6-10]", AG905 &lt;= 20, "Established[11-20]", AG905 &lt;= 30, "Veteran[21-30]", AG905 &lt;= 40, "Late Career[31-40]")</f>
        <v>Early Career[6-10]</v>
      </c>
      <c r="AI905" s="1">
        <v>2</v>
      </c>
      <c r="AJ905" s="1">
        <v>3</v>
      </c>
      <c r="AK905" s="1">
        <v>6</v>
      </c>
      <c r="AL905" s="9" t="str" cm="1">
        <f t="array" ref="AL905">_xlfn.IFS(AK905 &lt;= 5, "New[1-5]", AK905 &lt;= 10, "Early Career[6-10]", AK905 &lt;= 20, "Established[11-20]", AK905 &lt;= 30, "Veteran[21-30]", AK905 &lt;= 40, "Late Career[31-40]")</f>
        <v>Early Career[6-10]</v>
      </c>
      <c r="AM905" s="1">
        <v>0</v>
      </c>
      <c r="AN905" s="9" t="str" cm="1">
        <f t="array" ref="AN905">_xlfn.IFS(AM905 &lt;= 3, "New to Role[1-3]", AM905 &lt;= 7, "Settled[4-7]", AM905 &lt;= 12, "Experienced[[8-12]", AM905 &lt;= 18, "Long Tenured[13-18]")</f>
        <v>New to Role[1-3]</v>
      </c>
      <c r="AO905" s="1">
        <v>1</v>
      </c>
      <c r="AP905" s="9" t="str" cm="1">
        <f t="array" ref="AP905">_xlfn.IFS(AO905 &lt;= 3, "Recently[1-3]", AO905 &lt;= 6, "Due Soon[4-6]", AO905 &lt;= 10, "Overdue[7-10]", AO905 &lt;= 15, "Long Overdue[11-15]")</f>
        <v>Recently[1-3]</v>
      </c>
      <c r="AQ905" s="9" t="str" cm="1">
        <f t="array" ref="AQ905">_xlfn.IFS(AR905 &lt;= 3, "New Relationship[1-3]", AR905 &lt;= 7, "Established Relationship[4-7]", AR905 &lt;= 12, "Long Term Relationship[8-12]", AR905 &lt;= 17, "Very Long Term Relationship[13-17]")</f>
        <v>New Relationship[1-3]</v>
      </c>
      <c r="AR905" s="1">
        <v>0</v>
      </c>
    </row>
    <row r="906" spans="1:44" x14ac:dyDescent="0.25">
      <c r="A906" s="1">
        <v>48</v>
      </c>
      <c r="B906" s="8" t="str" cm="1">
        <f t="array" ref="B906">_xlfn.IFS(A906 &lt;= 25, "[18-25]", A906 &lt;= 35, "[26-35]", A906 &lt;=45, "[36-45]", A906 &lt;= 60, "[46- 60]")</f>
        <v>[46- 60]</v>
      </c>
      <c r="C906" s="3" t="s">
        <v>43</v>
      </c>
      <c r="D906">
        <f t="shared" si="14"/>
        <v>0</v>
      </c>
      <c r="E906" t="s">
        <v>36</v>
      </c>
      <c r="F906" s="1">
        <v>715</v>
      </c>
      <c r="G906" s="3" t="s">
        <v>45</v>
      </c>
      <c r="H906" s="1">
        <v>1</v>
      </c>
      <c r="I906" s="9" t="str" cm="1">
        <f t="array" ref="I906">_xlfn.IFS(H906 &lt;= 2, "[1-2] very close", H906 &lt;= 10, "[3-10] close", H906 &lt;= 20, "[11-20] moderate", H906 &lt;= 30, "[21-30] far")</f>
        <v>[1-2] very close</v>
      </c>
      <c r="J906" s="1">
        <v>3</v>
      </c>
      <c r="K906" s="3" t="s">
        <v>38</v>
      </c>
      <c r="L906" s="1">
        <v>1</v>
      </c>
      <c r="M906" s="1">
        <v>1263</v>
      </c>
      <c r="N906" s="1">
        <v>4</v>
      </c>
      <c r="O906" s="3" t="s">
        <v>46</v>
      </c>
      <c r="P906" s="1">
        <v>76</v>
      </c>
      <c r="Q906" s="1">
        <v>2</v>
      </c>
      <c r="R906" s="1">
        <v>5</v>
      </c>
      <c r="S906" s="3" t="s">
        <v>58</v>
      </c>
      <c r="T906" s="1">
        <v>4</v>
      </c>
      <c r="U906" s="3" t="s">
        <v>41</v>
      </c>
      <c r="V906" s="4">
        <v>18265</v>
      </c>
      <c r="W906" s="1">
        <v>8733</v>
      </c>
      <c r="X906" s="1">
        <v>6</v>
      </c>
      <c r="Y906" s="3" t="s">
        <v>42</v>
      </c>
      <c r="Z906" s="3" t="s">
        <v>43</v>
      </c>
      <c r="AA906" s="5">
        <v>0.12</v>
      </c>
      <c r="AB906" s="10" t="str" cm="1">
        <f t="array" ref="AB906">_xlfn.IFS(AA906 &lt;= 15%, "Low Hike[11-15%]", AA906 &lt;= 20%, "Moderate Hike[16-20%]", AA906 &lt;= 25%,"High Hike[21-25%]")</f>
        <v>Low Hike[11-15%]</v>
      </c>
      <c r="AC906" s="1">
        <v>3</v>
      </c>
      <c r="AD906" s="1">
        <v>3</v>
      </c>
      <c r="AE906" s="1">
        <v>80</v>
      </c>
      <c r="AF906" s="1">
        <v>0</v>
      </c>
      <c r="AG906" s="1">
        <v>25</v>
      </c>
      <c r="AH906" s="9" t="str" cm="1">
        <f t="array" ref="AH906">_xlfn.IFS(AG906 &lt;= 5, "New[1-5]", AG906 &lt;= 10, "Early Career[6-10]", AG906 &lt;= 20, "Established[11-20]", AG906 &lt;= 30, "Veteran[21-30]", AG906 &lt;= 40, "Late Career[31-40]")</f>
        <v>Veteran[21-30]</v>
      </c>
      <c r="AI906" s="1">
        <v>3</v>
      </c>
      <c r="AJ906" s="1">
        <v>4</v>
      </c>
      <c r="AK906" s="1">
        <v>1</v>
      </c>
      <c r="AL906" s="9" t="str" cm="1">
        <f t="array" ref="AL906">_xlfn.IFS(AK906 &lt;= 5, "New[1-5]", AK906 &lt;= 10, "Early Career[6-10]", AK906 &lt;= 20, "Established[11-20]", AK906 &lt;= 30, "Veteran[21-30]", AK906 &lt;= 40, "Late Career[31-40]")</f>
        <v>New[1-5]</v>
      </c>
      <c r="AM906" s="1">
        <v>0</v>
      </c>
      <c r="AN906" s="9" t="str" cm="1">
        <f t="array" ref="AN906">_xlfn.IFS(AM906 &lt;= 3, "New to Role[1-3]", AM906 &lt;= 7, "Settled[4-7]", AM906 &lt;= 12, "Experienced[[8-12]", AM906 &lt;= 18, "Long Tenured[13-18]")</f>
        <v>New to Role[1-3]</v>
      </c>
      <c r="AO906" s="1">
        <v>0</v>
      </c>
      <c r="AP906" s="9" t="str" cm="1">
        <f t="array" ref="AP906">_xlfn.IFS(AO906 &lt;= 3, "Recently[1-3]", AO906 &lt;= 6, "Due Soon[4-6]", AO906 &lt;= 10, "Overdue[7-10]", AO906 &lt;= 15, "Long Overdue[11-15]")</f>
        <v>Recently[1-3]</v>
      </c>
      <c r="AQ906" s="9" t="str" cm="1">
        <f t="array" ref="AQ906">_xlfn.IFS(AR906 &lt;= 3, "New Relationship[1-3]", AR906 &lt;= 7, "Established Relationship[4-7]", AR906 &lt;= 12, "Long Term Relationship[8-12]", AR906 &lt;= 17, "Very Long Term Relationship[13-17]")</f>
        <v>New Relationship[1-3]</v>
      </c>
      <c r="AR906" s="1">
        <v>0</v>
      </c>
    </row>
    <row r="907" spans="1:44" x14ac:dyDescent="0.25">
      <c r="A907" s="1">
        <v>29</v>
      </c>
      <c r="B907" s="8" t="str" cm="1">
        <f t="array" ref="B907">_xlfn.IFS(A907 &lt;= 25, "[18-25]", A907 &lt;= 35, "[26-35]", A907 &lt;=45, "[36-45]", A907 &lt;= 60, "[46- 60]")</f>
        <v>[26-35]</v>
      </c>
      <c r="C907" s="3" t="s">
        <v>43</v>
      </c>
      <c r="D907">
        <f t="shared" si="14"/>
        <v>0</v>
      </c>
      <c r="E907" t="s">
        <v>36</v>
      </c>
      <c r="F907" s="1">
        <v>694</v>
      </c>
      <c r="G907" s="3" t="s">
        <v>45</v>
      </c>
      <c r="H907" s="1">
        <v>1</v>
      </c>
      <c r="I907" s="9" t="str" cm="1">
        <f t="array" ref="I907">_xlfn.IFS(H907 &lt;= 2, "[1-2] very close", H907 &lt;= 10, "[3-10] close", H907 &lt;= 20, "[11-20] moderate", H907 &lt;= 30, "[21-30] far")</f>
        <v>[1-2] very close</v>
      </c>
      <c r="J907" s="1">
        <v>3</v>
      </c>
      <c r="K907" s="3" t="s">
        <v>38</v>
      </c>
      <c r="L907" s="1">
        <v>1</v>
      </c>
      <c r="M907" s="1">
        <v>1264</v>
      </c>
      <c r="N907" s="1">
        <v>4</v>
      </c>
      <c r="O907" s="3" t="s">
        <v>39</v>
      </c>
      <c r="P907" s="1">
        <v>87</v>
      </c>
      <c r="Q907" s="1">
        <v>2</v>
      </c>
      <c r="R907" s="1">
        <v>4</v>
      </c>
      <c r="S907" s="3" t="s">
        <v>58</v>
      </c>
      <c r="T907" s="1">
        <v>4</v>
      </c>
      <c r="U907" s="3" t="s">
        <v>52</v>
      </c>
      <c r="V907" s="4">
        <v>16124</v>
      </c>
      <c r="W907" s="1">
        <v>3423</v>
      </c>
      <c r="X907" s="1">
        <v>3</v>
      </c>
      <c r="Y907" s="3" t="s">
        <v>42</v>
      </c>
      <c r="Z907" s="3" t="s">
        <v>43</v>
      </c>
      <c r="AA907" s="5">
        <v>0.14000000000000001</v>
      </c>
      <c r="AB907" s="10" t="str" cm="1">
        <f t="array" ref="AB907">_xlfn.IFS(AA907 &lt;= 15%, "Low Hike[11-15%]", AA907 &lt;= 20%, "Moderate Hike[16-20%]", AA907 &lt;= 25%,"High Hike[21-25%]")</f>
        <v>Low Hike[11-15%]</v>
      </c>
      <c r="AC907" s="1">
        <v>3</v>
      </c>
      <c r="AD907" s="1">
        <v>2</v>
      </c>
      <c r="AE907" s="1">
        <v>80</v>
      </c>
      <c r="AF907" s="1">
        <v>2</v>
      </c>
      <c r="AG907" s="1">
        <v>9</v>
      </c>
      <c r="AH907" s="9" t="str" cm="1">
        <f t="array" ref="AH907">_xlfn.IFS(AG907 &lt;= 5, "New[1-5]", AG907 &lt;= 10, "Early Career[6-10]", AG907 &lt;= 20, "Established[11-20]", AG907 &lt;= 30, "Veteran[21-30]", AG907 &lt;= 40, "Late Career[31-40]")</f>
        <v>Early Career[6-10]</v>
      </c>
      <c r="AI907" s="1">
        <v>2</v>
      </c>
      <c r="AJ907" s="1">
        <v>2</v>
      </c>
      <c r="AK907" s="1">
        <v>7</v>
      </c>
      <c r="AL907" s="9" t="str" cm="1">
        <f t="array" ref="AL907">_xlfn.IFS(AK907 &lt;= 5, "New[1-5]", AK907 &lt;= 10, "Early Career[6-10]", AK907 &lt;= 20, "Established[11-20]", AK907 &lt;= 30, "Veteran[21-30]", AK907 &lt;= 40, "Late Career[31-40]")</f>
        <v>Early Career[6-10]</v>
      </c>
      <c r="AM907" s="1">
        <v>7</v>
      </c>
      <c r="AN907" s="9" t="str" cm="1">
        <f t="array" ref="AN907">_xlfn.IFS(AM907 &lt;= 3, "New to Role[1-3]", AM907 &lt;= 7, "Settled[4-7]", AM907 &lt;= 12, "Experienced[[8-12]", AM907 &lt;= 18, "Long Tenured[13-18]")</f>
        <v>Settled[4-7]</v>
      </c>
      <c r="AO907" s="1">
        <v>1</v>
      </c>
      <c r="AP907" s="9" t="str" cm="1">
        <f t="array" ref="AP907">_xlfn.IFS(AO907 &lt;= 3, "Recently[1-3]", AO907 &lt;= 6, "Due Soon[4-6]", AO907 &lt;= 10, "Overdue[7-10]", AO907 &lt;= 15, "Long Overdue[11-15]")</f>
        <v>Recently[1-3]</v>
      </c>
      <c r="AQ907" s="9" t="str" cm="1">
        <f t="array" ref="AQ907">_xlfn.IFS(AR907 &lt;= 3, "New Relationship[1-3]", AR907 &lt;= 7, "Established Relationship[4-7]", AR907 &lt;= 12, "Long Term Relationship[8-12]", AR907 &lt;= 17, "Very Long Term Relationship[13-17]")</f>
        <v>Established Relationship[4-7]</v>
      </c>
      <c r="AR907" s="1">
        <v>7</v>
      </c>
    </row>
    <row r="908" spans="1:44" x14ac:dyDescent="0.25">
      <c r="A908" s="1">
        <v>34</v>
      </c>
      <c r="B908" s="8" t="str" cm="1">
        <f t="array" ref="B908">_xlfn.IFS(A908 &lt;= 25, "[18-25]", A908 &lt;= 35, "[26-35]", A908 &lt;=45, "[36-45]", A908 &lt;= 60, "[46- 60]")</f>
        <v>[26-35]</v>
      </c>
      <c r="C908" s="3" t="s">
        <v>43</v>
      </c>
      <c r="D908">
        <f t="shared" si="14"/>
        <v>0</v>
      </c>
      <c r="E908" t="s">
        <v>36</v>
      </c>
      <c r="F908" s="1">
        <v>1320</v>
      </c>
      <c r="G908" s="3" t="s">
        <v>45</v>
      </c>
      <c r="H908" s="1">
        <v>20</v>
      </c>
      <c r="I908" s="9" t="str" cm="1">
        <f t="array" ref="I908">_xlfn.IFS(H908 &lt;= 2, "[1-2] very close", H908 &lt;= 10, "[3-10] close", H908 &lt;= 20, "[11-20] moderate", H908 &lt;= 30, "[21-30] far")</f>
        <v>[11-20] moderate</v>
      </c>
      <c r="J908" s="1">
        <v>3</v>
      </c>
      <c r="K908" s="3" t="s">
        <v>60</v>
      </c>
      <c r="L908" s="1">
        <v>1</v>
      </c>
      <c r="M908" s="1">
        <v>1265</v>
      </c>
      <c r="N908" s="1">
        <v>3</v>
      </c>
      <c r="O908" s="3" t="s">
        <v>39</v>
      </c>
      <c r="P908" s="1">
        <v>89</v>
      </c>
      <c r="Q908" s="1">
        <v>4</v>
      </c>
      <c r="R908" s="1">
        <v>1</v>
      </c>
      <c r="S908" s="3" t="s">
        <v>47</v>
      </c>
      <c r="T908" s="1">
        <v>3</v>
      </c>
      <c r="U908" s="3" t="s">
        <v>48</v>
      </c>
      <c r="V908" s="4">
        <v>2585</v>
      </c>
      <c r="W908" s="1">
        <v>21643</v>
      </c>
      <c r="X908" s="1">
        <v>0</v>
      </c>
      <c r="Y908" s="3" t="s">
        <v>42</v>
      </c>
      <c r="Z908" s="3" t="s">
        <v>43</v>
      </c>
      <c r="AA908" s="5">
        <v>0.17</v>
      </c>
      <c r="AB908" s="10" t="str" cm="1">
        <f t="array" ref="AB908">_xlfn.IFS(AA908 &lt;= 15%, "Low Hike[11-15%]", AA908 &lt;= 20%, "Moderate Hike[16-20%]", AA908 &lt;= 25%,"High Hike[21-25%]")</f>
        <v>Moderate Hike[16-20%]</v>
      </c>
      <c r="AC908" s="1">
        <v>3</v>
      </c>
      <c r="AD908" s="1">
        <v>4</v>
      </c>
      <c r="AE908" s="1">
        <v>80</v>
      </c>
      <c r="AF908" s="1">
        <v>0</v>
      </c>
      <c r="AG908" s="1">
        <v>2</v>
      </c>
      <c r="AH908" s="9" t="str" cm="1">
        <f t="array" ref="AH908">_xlfn.IFS(AG908 &lt;= 5, "New[1-5]", AG908 &lt;= 10, "Early Career[6-10]", AG908 &lt;= 20, "Established[11-20]", AG908 &lt;= 30, "Veteran[21-30]", AG908 &lt;= 40, "Late Career[31-40]")</f>
        <v>New[1-5]</v>
      </c>
      <c r="AI908" s="1">
        <v>5</v>
      </c>
      <c r="AJ908" s="1">
        <v>2</v>
      </c>
      <c r="AK908" s="1">
        <v>1</v>
      </c>
      <c r="AL908" s="9" t="str" cm="1">
        <f t="array" ref="AL908">_xlfn.IFS(AK908 &lt;= 5, "New[1-5]", AK908 &lt;= 10, "Early Career[6-10]", AK908 &lt;= 20, "Established[11-20]", AK908 &lt;= 30, "Veteran[21-30]", AK908 &lt;= 40, "Late Career[31-40]")</f>
        <v>New[1-5]</v>
      </c>
      <c r="AM908" s="1">
        <v>0</v>
      </c>
      <c r="AN908" s="9" t="str" cm="1">
        <f t="array" ref="AN908">_xlfn.IFS(AM908 &lt;= 3, "New to Role[1-3]", AM908 &lt;= 7, "Settled[4-7]", AM908 &lt;= 12, "Experienced[[8-12]", AM908 &lt;= 18, "Long Tenured[13-18]")</f>
        <v>New to Role[1-3]</v>
      </c>
      <c r="AO908" s="1">
        <v>0</v>
      </c>
      <c r="AP908" s="9" t="str" cm="1">
        <f t="array" ref="AP908">_xlfn.IFS(AO908 &lt;= 3, "Recently[1-3]", AO908 &lt;= 6, "Due Soon[4-6]", AO908 &lt;= 10, "Overdue[7-10]", AO908 &lt;= 15, "Long Overdue[11-15]")</f>
        <v>Recently[1-3]</v>
      </c>
      <c r="AQ908" s="9" t="str" cm="1">
        <f t="array" ref="AQ908">_xlfn.IFS(AR908 &lt;= 3, "New Relationship[1-3]", AR908 &lt;= 7, "Established Relationship[4-7]", AR908 &lt;= 12, "Long Term Relationship[8-12]", AR908 &lt;= 17, "Very Long Term Relationship[13-17]")</f>
        <v>New Relationship[1-3]</v>
      </c>
      <c r="AR908" s="1">
        <v>0</v>
      </c>
    </row>
    <row r="909" spans="1:44" x14ac:dyDescent="0.25">
      <c r="A909" s="1">
        <v>44</v>
      </c>
      <c r="B909" s="8" t="str" cm="1">
        <f t="array" ref="B909">_xlfn.IFS(A909 &lt;= 25, "[18-25]", A909 &lt;= 35, "[26-35]", A909 &lt;=45, "[36-45]", A909 &lt;= 60, "[46- 60]")</f>
        <v>[36-45]</v>
      </c>
      <c r="C909" s="3" t="s">
        <v>43</v>
      </c>
      <c r="D909">
        <f t="shared" si="14"/>
        <v>0</v>
      </c>
      <c r="E909" t="s">
        <v>36</v>
      </c>
      <c r="F909" s="1">
        <v>1099</v>
      </c>
      <c r="G909" s="3" t="s">
        <v>37</v>
      </c>
      <c r="H909" s="1">
        <v>5</v>
      </c>
      <c r="I909" s="9" t="str" cm="1">
        <f t="array" ref="I909">_xlfn.IFS(H909 &lt;= 2, "[1-2] very close", H909 &lt;= 10, "[3-10] close", H909 &lt;= 20, "[11-20] moderate", H909 &lt;= 30, "[21-30] far")</f>
        <v>[3-10] close</v>
      </c>
      <c r="J909" s="1">
        <v>3</v>
      </c>
      <c r="K909" s="3" t="s">
        <v>59</v>
      </c>
      <c r="L909" s="1">
        <v>1</v>
      </c>
      <c r="M909" s="1">
        <v>1267</v>
      </c>
      <c r="N909" s="1">
        <v>2</v>
      </c>
      <c r="O909" s="3" t="s">
        <v>46</v>
      </c>
      <c r="P909" s="1">
        <v>88</v>
      </c>
      <c r="Q909" s="1">
        <v>3</v>
      </c>
      <c r="R909" s="1">
        <v>5</v>
      </c>
      <c r="S909" s="3" t="s">
        <v>56</v>
      </c>
      <c r="T909" s="1">
        <v>2</v>
      </c>
      <c r="U909" s="3" t="s">
        <v>48</v>
      </c>
      <c r="V909" s="4">
        <v>18213</v>
      </c>
      <c r="W909" s="1">
        <v>8751</v>
      </c>
      <c r="X909" s="1">
        <v>7</v>
      </c>
      <c r="Y909" s="3" t="s">
        <v>42</v>
      </c>
      <c r="Z909" s="3" t="s">
        <v>43</v>
      </c>
      <c r="AA909" s="5">
        <v>0.11</v>
      </c>
      <c r="AB909" s="10" t="str" cm="1">
        <f t="array" ref="AB909">_xlfn.IFS(AA909 &lt;= 15%, "Low Hike[11-15%]", AA909 &lt;= 20%, "Moderate Hike[16-20%]", AA909 &lt;= 25%,"High Hike[21-25%]")</f>
        <v>Low Hike[11-15%]</v>
      </c>
      <c r="AC909" s="1">
        <v>3</v>
      </c>
      <c r="AD909" s="1">
        <v>3</v>
      </c>
      <c r="AE909" s="1">
        <v>80</v>
      </c>
      <c r="AF909" s="1">
        <v>1</v>
      </c>
      <c r="AG909" s="1">
        <v>26</v>
      </c>
      <c r="AH909" s="9" t="str" cm="1">
        <f t="array" ref="AH909">_xlfn.IFS(AG909 &lt;= 5, "New[1-5]", AG909 &lt;= 10, "Early Career[6-10]", AG909 &lt;= 20, "Established[11-20]", AG909 &lt;= 30, "Veteran[21-30]", AG909 &lt;= 40, "Late Career[31-40]")</f>
        <v>Veteran[21-30]</v>
      </c>
      <c r="AI909" s="1">
        <v>5</v>
      </c>
      <c r="AJ909" s="1">
        <v>3</v>
      </c>
      <c r="AK909" s="1">
        <v>22</v>
      </c>
      <c r="AL909" s="9" t="str" cm="1">
        <f t="array" ref="AL909">_xlfn.IFS(AK909 &lt;= 5, "New[1-5]", AK909 &lt;= 10, "Early Career[6-10]", AK909 &lt;= 20, "Established[11-20]", AK909 &lt;= 30, "Veteran[21-30]", AK909 &lt;= 40, "Late Career[31-40]")</f>
        <v>Veteran[21-30]</v>
      </c>
      <c r="AM909" s="1">
        <v>9</v>
      </c>
      <c r="AN909" s="9" t="str" cm="1">
        <f t="array" ref="AN909">_xlfn.IFS(AM909 &lt;= 3, "New to Role[1-3]", AM909 &lt;= 7, "Settled[4-7]", AM909 &lt;= 12, "Experienced[[8-12]", AM909 &lt;= 18, "Long Tenured[13-18]")</f>
        <v>Experienced[[8-12]</v>
      </c>
      <c r="AO909" s="1">
        <v>3</v>
      </c>
      <c r="AP909" s="9" t="str" cm="1">
        <f t="array" ref="AP909">_xlfn.IFS(AO909 &lt;= 3, "Recently[1-3]", AO909 &lt;= 6, "Due Soon[4-6]", AO909 &lt;= 10, "Overdue[7-10]", AO909 &lt;= 15, "Long Overdue[11-15]")</f>
        <v>Recently[1-3]</v>
      </c>
      <c r="AQ909" s="9" t="str" cm="1">
        <f t="array" ref="AQ909">_xlfn.IFS(AR909 &lt;= 3, "New Relationship[1-3]", AR909 &lt;= 7, "Established Relationship[4-7]", AR909 &lt;= 12, "Long Term Relationship[8-12]", AR909 &lt;= 17, "Very Long Term Relationship[13-17]")</f>
        <v>Long Term Relationship[8-12]</v>
      </c>
      <c r="AR909" s="1">
        <v>10</v>
      </c>
    </row>
    <row r="910" spans="1:44" x14ac:dyDescent="0.25">
      <c r="A910" s="1">
        <v>33</v>
      </c>
      <c r="B910" s="8" t="str" cm="1">
        <f t="array" ref="B910">_xlfn.IFS(A910 &lt;= 25, "[18-25]", A910 &lt;= 35, "[26-35]", A910 &lt;=45, "[36-45]", A910 &lt;= 60, "[46- 60]")</f>
        <v>[26-35]</v>
      </c>
      <c r="C910" s="3" t="s">
        <v>43</v>
      </c>
      <c r="D910">
        <f t="shared" si="14"/>
        <v>0</v>
      </c>
      <c r="E910" t="s">
        <v>36</v>
      </c>
      <c r="F910" s="1">
        <v>536</v>
      </c>
      <c r="G910" s="3" t="s">
        <v>37</v>
      </c>
      <c r="H910" s="1">
        <v>10</v>
      </c>
      <c r="I910" s="9" t="str" cm="1">
        <f t="array" ref="I910">_xlfn.IFS(H910 &lt;= 2, "[1-2] very close", H910 &lt;= 10, "[3-10] close", H910 &lt;= 20, "[11-20] moderate", H910 &lt;= 30, "[21-30] far")</f>
        <v>[3-10] close</v>
      </c>
      <c r="J910" s="1">
        <v>5</v>
      </c>
      <c r="K910" s="3" t="s">
        <v>59</v>
      </c>
      <c r="L910" s="1">
        <v>1</v>
      </c>
      <c r="M910" s="1">
        <v>1268</v>
      </c>
      <c r="N910" s="1">
        <v>4</v>
      </c>
      <c r="O910" s="3" t="s">
        <v>46</v>
      </c>
      <c r="P910" s="1">
        <v>82</v>
      </c>
      <c r="Q910" s="1">
        <v>4</v>
      </c>
      <c r="R910" s="1">
        <v>3</v>
      </c>
      <c r="S910" s="3" t="s">
        <v>40</v>
      </c>
      <c r="T910" s="1">
        <v>3</v>
      </c>
      <c r="U910" s="3" t="s">
        <v>52</v>
      </c>
      <c r="V910" s="4">
        <v>8380</v>
      </c>
      <c r="W910" s="1">
        <v>21708</v>
      </c>
      <c r="X910" s="1">
        <v>0</v>
      </c>
      <c r="Y910" s="3" t="s">
        <v>42</v>
      </c>
      <c r="Z910" s="3" t="s">
        <v>35</v>
      </c>
      <c r="AA910" s="5">
        <v>0.14000000000000001</v>
      </c>
      <c r="AB910" s="10" t="str" cm="1">
        <f t="array" ref="AB910">_xlfn.IFS(AA910 &lt;= 15%, "Low Hike[11-15%]", AA910 &lt;= 20%, "Moderate Hike[16-20%]", AA910 &lt;= 25%,"High Hike[21-25%]")</f>
        <v>Low Hike[11-15%]</v>
      </c>
      <c r="AC910" s="1">
        <v>3</v>
      </c>
      <c r="AD910" s="1">
        <v>4</v>
      </c>
      <c r="AE910" s="1">
        <v>80</v>
      </c>
      <c r="AF910" s="1">
        <v>2</v>
      </c>
      <c r="AG910" s="1">
        <v>10</v>
      </c>
      <c r="AH910" s="9" t="str" cm="1">
        <f t="array" ref="AH910">_xlfn.IFS(AG910 &lt;= 5, "New[1-5]", AG910 &lt;= 10, "Early Career[6-10]", AG910 &lt;= 20, "Established[11-20]", AG910 &lt;= 30, "Veteran[21-30]", AG910 &lt;= 40, "Late Career[31-40]")</f>
        <v>Early Career[6-10]</v>
      </c>
      <c r="AI910" s="1">
        <v>3</v>
      </c>
      <c r="AJ910" s="1">
        <v>3</v>
      </c>
      <c r="AK910" s="1">
        <v>9</v>
      </c>
      <c r="AL910" s="9" t="str" cm="1">
        <f t="array" ref="AL910">_xlfn.IFS(AK910 &lt;= 5, "New[1-5]", AK910 &lt;= 10, "Early Career[6-10]", AK910 &lt;= 20, "Established[11-20]", AK910 &lt;= 30, "Veteran[21-30]", AK910 &lt;= 40, "Late Career[31-40]")</f>
        <v>Early Career[6-10]</v>
      </c>
      <c r="AM910" s="1">
        <v>8</v>
      </c>
      <c r="AN910" s="9" t="str" cm="1">
        <f t="array" ref="AN910">_xlfn.IFS(AM910 &lt;= 3, "New to Role[1-3]", AM910 &lt;= 7, "Settled[4-7]", AM910 &lt;= 12, "Experienced[[8-12]", AM910 &lt;= 18, "Long Tenured[13-18]")</f>
        <v>Experienced[[8-12]</v>
      </c>
      <c r="AO910" s="1">
        <v>0</v>
      </c>
      <c r="AP910" s="9" t="str" cm="1">
        <f t="array" ref="AP910">_xlfn.IFS(AO910 &lt;= 3, "Recently[1-3]", AO910 &lt;= 6, "Due Soon[4-6]", AO910 &lt;= 10, "Overdue[7-10]", AO910 &lt;= 15, "Long Overdue[11-15]")</f>
        <v>Recently[1-3]</v>
      </c>
      <c r="AQ910" s="9" t="str" cm="1">
        <f t="array" ref="AQ910">_xlfn.IFS(AR910 &lt;= 3, "New Relationship[1-3]", AR910 &lt;= 7, "Established Relationship[4-7]", AR910 &lt;= 12, "Long Term Relationship[8-12]", AR910 &lt;= 17, "Very Long Term Relationship[13-17]")</f>
        <v>Long Term Relationship[8-12]</v>
      </c>
      <c r="AR910" s="1">
        <v>8</v>
      </c>
    </row>
    <row r="911" spans="1:44" x14ac:dyDescent="0.25">
      <c r="A911" s="1">
        <v>19</v>
      </c>
      <c r="B911" s="8" t="str" cm="1">
        <f t="array" ref="B911">_xlfn.IFS(A911 &lt;= 25, "[18-25]", A911 &lt;= 35, "[26-35]", A911 &lt;=45, "[36-45]", A911 &lt;= 60, "[46- 60]")</f>
        <v>[18-25]</v>
      </c>
      <c r="C911" s="3" t="s">
        <v>43</v>
      </c>
      <c r="D911">
        <f t="shared" si="14"/>
        <v>0</v>
      </c>
      <c r="E911" t="s">
        <v>36</v>
      </c>
      <c r="F911" s="1">
        <v>265</v>
      </c>
      <c r="G911" s="3" t="s">
        <v>45</v>
      </c>
      <c r="H911" s="1">
        <v>25</v>
      </c>
      <c r="I911" s="9" t="str" cm="1">
        <f t="array" ref="I911">_xlfn.IFS(H911 &lt;= 2, "[1-2] very close", H911 &lt;= 10, "[3-10] close", H911 &lt;= 20, "[11-20] moderate", H911 &lt;= 30, "[21-30] far")</f>
        <v>[21-30] far</v>
      </c>
      <c r="J911" s="1">
        <v>3</v>
      </c>
      <c r="K911" s="3" t="s">
        <v>38</v>
      </c>
      <c r="L911" s="1">
        <v>1</v>
      </c>
      <c r="M911" s="1">
        <v>1269</v>
      </c>
      <c r="N911" s="1">
        <v>2</v>
      </c>
      <c r="O911" s="3" t="s">
        <v>39</v>
      </c>
      <c r="P911" s="1">
        <v>57</v>
      </c>
      <c r="Q911" s="1">
        <v>4</v>
      </c>
      <c r="R911" s="1">
        <v>1</v>
      </c>
      <c r="S911" s="3" t="s">
        <v>47</v>
      </c>
      <c r="T911" s="1">
        <v>4</v>
      </c>
      <c r="U911" s="3" t="s">
        <v>41</v>
      </c>
      <c r="V911" s="4">
        <v>2994</v>
      </c>
      <c r="W911" s="1">
        <v>21221</v>
      </c>
      <c r="X911" s="1">
        <v>1</v>
      </c>
      <c r="Y911" s="3" t="s">
        <v>42</v>
      </c>
      <c r="Z911" s="3" t="s">
        <v>35</v>
      </c>
      <c r="AA911" s="5">
        <v>0.12</v>
      </c>
      <c r="AB911" s="10" t="str" cm="1">
        <f t="array" ref="AB911">_xlfn.IFS(AA911 &lt;= 15%, "Low Hike[11-15%]", AA911 &lt;= 20%, "Moderate Hike[16-20%]", AA911 &lt;= 25%,"High Hike[21-25%]")</f>
        <v>Low Hike[11-15%]</v>
      </c>
      <c r="AC911" s="1">
        <v>3</v>
      </c>
      <c r="AD911" s="1">
        <v>4</v>
      </c>
      <c r="AE911" s="1">
        <v>80</v>
      </c>
      <c r="AF911" s="1">
        <v>0</v>
      </c>
      <c r="AG911" s="1">
        <v>1</v>
      </c>
      <c r="AH911" s="9" t="str" cm="1">
        <f t="array" ref="AH911">_xlfn.IFS(AG911 &lt;= 5, "New[1-5]", AG911 &lt;= 10, "Early Career[6-10]", AG911 &lt;= 20, "Established[11-20]", AG911 &lt;= 30, "Veteran[21-30]", AG911 &lt;= 40, "Late Career[31-40]")</f>
        <v>New[1-5]</v>
      </c>
      <c r="AI911" s="1">
        <v>2</v>
      </c>
      <c r="AJ911" s="1">
        <v>3</v>
      </c>
      <c r="AK911" s="1">
        <v>1</v>
      </c>
      <c r="AL911" s="9" t="str" cm="1">
        <f t="array" ref="AL911">_xlfn.IFS(AK911 &lt;= 5, "New[1-5]", AK911 &lt;= 10, "Early Career[6-10]", AK911 &lt;= 20, "Established[11-20]", AK911 &lt;= 30, "Veteran[21-30]", AK911 &lt;= 40, "Late Career[31-40]")</f>
        <v>New[1-5]</v>
      </c>
      <c r="AM911" s="1">
        <v>0</v>
      </c>
      <c r="AN911" s="9" t="str" cm="1">
        <f t="array" ref="AN911">_xlfn.IFS(AM911 &lt;= 3, "New to Role[1-3]", AM911 &lt;= 7, "Settled[4-7]", AM911 &lt;= 12, "Experienced[[8-12]", AM911 &lt;= 18, "Long Tenured[13-18]")</f>
        <v>New to Role[1-3]</v>
      </c>
      <c r="AO911" s="1">
        <v>0</v>
      </c>
      <c r="AP911" s="9" t="str" cm="1">
        <f t="array" ref="AP911">_xlfn.IFS(AO911 &lt;= 3, "Recently[1-3]", AO911 &lt;= 6, "Due Soon[4-6]", AO911 &lt;= 10, "Overdue[7-10]", AO911 &lt;= 15, "Long Overdue[11-15]")</f>
        <v>Recently[1-3]</v>
      </c>
      <c r="AQ911" s="9" t="str" cm="1">
        <f t="array" ref="AQ911">_xlfn.IFS(AR911 &lt;= 3, "New Relationship[1-3]", AR911 &lt;= 7, "Established Relationship[4-7]", AR911 &lt;= 12, "Long Term Relationship[8-12]", AR911 &lt;= 17, "Very Long Term Relationship[13-17]")</f>
        <v>New Relationship[1-3]</v>
      </c>
      <c r="AR911" s="1">
        <v>1</v>
      </c>
    </row>
    <row r="912" spans="1:44" x14ac:dyDescent="0.25">
      <c r="A912" s="1">
        <v>23</v>
      </c>
      <c r="B912" s="8" t="str" cm="1">
        <f t="array" ref="B912">_xlfn.IFS(A912 &lt;= 25, "[18-25]", A912 &lt;= 35, "[26-35]", A912 &lt;=45, "[36-45]", A912 &lt;= 60, "[46- 60]")</f>
        <v>[18-25]</v>
      </c>
      <c r="C912" s="3" t="s">
        <v>43</v>
      </c>
      <c r="D912">
        <f t="shared" si="14"/>
        <v>0</v>
      </c>
      <c r="E912" t="s">
        <v>36</v>
      </c>
      <c r="F912" s="1">
        <v>373</v>
      </c>
      <c r="G912" s="3" t="s">
        <v>45</v>
      </c>
      <c r="H912" s="1">
        <v>1</v>
      </c>
      <c r="I912" s="9" t="str" cm="1">
        <f t="array" ref="I912">_xlfn.IFS(H912 &lt;= 2, "[1-2] very close", H912 &lt;= 10, "[3-10] close", H912 &lt;= 20, "[11-20] moderate", H912 &lt;= 30, "[21-30] far")</f>
        <v>[1-2] very close</v>
      </c>
      <c r="J912" s="1">
        <v>2</v>
      </c>
      <c r="K912" s="3" t="s">
        <v>38</v>
      </c>
      <c r="L912" s="1">
        <v>1</v>
      </c>
      <c r="M912" s="1">
        <v>1270</v>
      </c>
      <c r="N912" s="1">
        <v>4</v>
      </c>
      <c r="O912" s="3" t="s">
        <v>46</v>
      </c>
      <c r="P912" s="1">
        <v>47</v>
      </c>
      <c r="Q912" s="1">
        <v>3</v>
      </c>
      <c r="R912" s="1">
        <v>1</v>
      </c>
      <c r="S912" s="3" t="s">
        <v>47</v>
      </c>
      <c r="T912" s="1">
        <v>3</v>
      </c>
      <c r="U912" s="3" t="s">
        <v>48</v>
      </c>
      <c r="V912" s="4">
        <v>1223</v>
      </c>
      <c r="W912" s="1">
        <v>16901</v>
      </c>
      <c r="X912" s="1">
        <v>1</v>
      </c>
      <c r="Y912" s="3" t="s">
        <v>42</v>
      </c>
      <c r="Z912" s="3" t="s">
        <v>43</v>
      </c>
      <c r="AA912" s="5">
        <v>0.22</v>
      </c>
      <c r="AB912" s="10" t="str" cm="1">
        <f t="array" ref="AB912">_xlfn.IFS(AA912 &lt;= 15%, "Low Hike[11-15%]", AA912 &lt;= 20%, "Moderate Hike[16-20%]", AA912 &lt;= 25%,"High Hike[21-25%]")</f>
        <v>High Hike[21-25%]</v>
      </c>
      <c r="AC912" s="1">
        <v>4</v>
      </c>
      <c r="AD912" s="1">
        <v>4</v>
      </c>
      <c r="AE912" s="1">
        <v>80</v>
      </c>
      <c r="AF912" s="1">
        <v>1</v>
      </c>
      <c r="AG912" s="1">
        <v>1</v>
      </c>
      <c r="AH912" s="9" t="str" cm="1">
        <f t="array" ref="AH912">_xlfn.IFS(AG912 &lt;= 5, "New[1-5]", AG912 &lt;= 10, "Early Career[6-10]", AG912 &lt;= 20, "Established[11-20]", AG912 &lt;= 30, "Veteran[21-30]", AG912 &lt;= 40, "Late Career[31-40]")</f>
        <v>New[1-5]</v>
      </c>
      <c r="AI912" s="1">
        <v>2</v>
      </c>
      <c r="AJ912" s="1">
        <v>3</v>
      </c>
      <c r="AK912" s="1">
        <v>1</v>
      </c>
      <c r="AL912" s="9" t="str" cm="1">
        <f t="array" ref="AL912">_xlfn.IFS(AK912 &lt;= 5, "New[1-5]", AK912 &lt;= 10, "Early Career[6-10]", AK912 &lt;= 20, "Established[11-20]", AK912 &lt;= 30, "Veteran[21-30]", AK912 &lt;= 40, "Late Career[31-40]")</f>
        <v>New[1-5]</v>
      </c>
      <c r="AM912" s="1">
        <v>0</v>
      </c>
      <c r="AN912" s="9" t="str" cm="1">
        <f t="array" ref="AN912">_xlfn.IFS(AM912 &lt;= 3, "New to Role[1-3]", AM912 &lt;= 7, "Settled[4-7]", AM912 &lt;= 12, "Experienced[[8-12]", AM912 &lt;= 18, "Long Tenured[13-18]")</f>
        <v>New to Role[1-3]</v>
      </c>
      <c r="AO912" s="1">
        <v>0</v>
      </c>
      <c r="AP912" s="9" t="str" cm="1">
        <f t="array" ref="AP912">_xlfn.IFS(AO912 &lt;= 3, "Recently[1-3]", AO912 &lt;= 6, "Due Soon[4-6]", AO912 &lt;= 10, "Overdue[7-10]", AO912 &lt;= 15, "Long Overdue[11-15]")</f>
        <v>Recently[1-3]</v>
      </c>
      <c r="AQ912" s="9" t="str" cm="1">
        <f t="array" ref="AQ912">_xlfn.IFS(AR912 &lt;= 3, "New Relationship[1-3]", AR912 &lt;= 7, "Established Relationship[4-7]", AR912 &lt;= 12, "Long Term Relationship[8-12]", AR912 &lt;= 17, "Very Long Term Relationship[13-17]")</f>
        <v>New Relationship[1-3]</v>
      </c>
      <c r="AR912" s="1">
        <v>1</v>
      </c>
    </row>
    <row r="913" spans="1:44" x14ac:dyDescent="0.25">
      <c r="A913" s="1">
        <v>25</v>
      </c>
      <c r="B913" s="8" t="str" cm="1">
        <f t="array" ref="B913">_xlfn.IFS(A913 &lt;= 25, "[18-25]", A913 &lt;= 35, "[26-35]", A913 &lt;=45, "[36-45]", A913 &lt;= 60, "[46- 60]")</f>
        <v>[18-25]</v>
      </c>
      <c r="C913" s="3" t="s">
        <v>35</v>
      </c>
      <c r="D913">
        <f t="shared" si="14"/>
        <v>1</v>
      </c>
      <c r="E913" t="s">
        <v>44</v>
      </c>
      <c r="F913" s="1">
        <v>599</v>
      </c>
      <c r="G913" s="3" t="s">
        <v>37</v>
      </c>
      <c r="H913" s="1">
        <v>24</v>
      </c>
      <c r="I913" s="9" t="str" cm="1">
        <f t="array" ref="I913">_xlfn.IFS(H913 &lt;= 2, "[1-2] very close", H913 &lt;= 10, "[3-10] close", H913 &lt;= 20, "[11-20] moderate", H913 &lt;= 30, "[21-30] far")</f>
        <v>[21-30] far</v>
      </c>
      <c r="J913" s="1">
        <v>1</v>
      </c>
      <c r="K913" s="3" t="s">
        <v>38</v>
      </c>
      <c r="L913" s="1">
        <v>1</v>
      </c>
      <c r="M913" s="1">
        <v>1273</v>
      </c>
      <c r="N913" s="1">
        <v>3</v>
      </c>
      <c r="O913" s="3" t="s">
        <v>46</v>
      </c>
      <c r="P913" s="1">
        <v>73</v>
      </c>
      <c r="Q913" s="1">
        <v>1</v>
      </c>
      <c r="R913" s="1">
        <v>1</v>
      </c>
      <c r="S913" s="3" t="s">
        <v>57</v>
      </c>
      <c r="T913" s="1">
        <v>4</v>
      </c>
      <c r="U913" s="3" t="s">
        <v>41</v>
      </c>
      <c r="V913" s="4">
        <v>1118</v>
      </c>
      <c r="W913" s="1">
        <v>8040</v>
      </c>
      <c r="X913" s="1">
        <v>1</v>
      </c>
      <c r="Y913" s="3" t="s">
        <v>42</v>
      </c>
      <c r="Z913" s="3" t="s">
        <v>35</v>
      </c>
      <c r="AA913" s="5">
        <v>0.14000000000000001</v>
      </c>
      <c r="AB913" s="10" t="str" cm="1">
        <f t="array" ref="AB913">_xlfn.IFS(AA913 &lt;= 15%, "Low Hike[11-15%]", AA913 &lt;= 20%, "Moderate Hike[16-20%]", AA913 &lt;= 25%,"High Hike[21-25%]")</f>
        <v>Low Hike[11-15%]</v>
      </c>
      <c r="AC913" s="1">
        <v>3</v>
      </c>
      <c r="AD913" s="1">
        <v>4</v>
      </c>
      <c r="AE913" s="1">
        <v>80</v>
      </c>
      <c r="AF913" s="1">
        <v>0</v>
      </c>
      <c r="AG913" s="1">
        <v>1</v>
      </c>
      <c r="AH913" s="9" t="str" cm="1">
        <f t="array" ref="AH913">_xlfn.IFS(AG913 &lt;= 5, "New[1-5]", AG913 &lt;= 10, "Early Career[6-10]", AG913 &lt;= 20, "Established[11-20]", AG913 &lt;= 30, "Veteran[21-30]", AG913 &lt;= 40, "Late Career[31-40]")</f>
        <v>New[1-5]</v>
      </c>
      <c r="AI913" s="1">
        <v>4</v>
      </c>
      <c r="AJ913" s="1">
        <v>3</v>
      </c>
      <c r="AK913" s="1">
        <v>1</v>
      </c>
      <c r="AL913" s="9" t="str" cm="1">
        <f t="array" ref="AL913">_xlfn.IFS(AK913 &lt;= 5, "New[1-5]", AK913 &lt;= 10, "Early Career[6-10]", AK913 &lt;= 20, "Established[11-20]", AK913 &lt;= 30, "Veteran[21-30]", AK913 &lt;= 40, "Late Career[31-40]")</f>
        <v>New[1-5]</v>
      </c>
      <c r="AM913" s="1">
        <v>0</v>
      </c>
      <c r="AN913" s="9" t="str" cm="1">
        <f t="array" ref="AN913">_xlfn.IFS(AM913 &lt;= 3, "New to Role[1-3]", AM913 &lt;= 7, "Settled[4-7]", AM913 &lt;= 12, "Experienced[[8-12]", AM913 &lt;= 18, "Long Tenured[13-18]")</f>
        <v>New to Role[1-3]</v>
      </c>
      <c r="AO913" s="1">
        <v>1</v>
      </c>
      <c r="AP913" s="9" t="str" cm="1">
        <f t="array" ref="AP913">_xlfn.IFS(AO913 &lt;= 3, "Recently[1-3]", AO913 &lt;= 6, "Due Soon[4-6]", AO913 &lt;= 10, "Overdue[7-10]", AO913 &lt;= 15, "Long Overdue[11-15]")</f>
        <v>Recently[1-3]</v>
      </c>
      <c r="AQ913" s="9" t="str" cm="1">
        <f t="array" ref="AQ913">_xlfn.IFS(AR913 &lt;= 3, "New Relationship[1-3]", AR913 &lt;= 7, "Established Relationship[4-7]", AR913 &lt;= 12, "Long Term Relationship[8-12]", AR913 &lt;= 17, "Very Long Term Relationship[13-17]")</f>
        <v>New Relationship[1-3]</v>
      </c>
      <c r="AR913" s="1">
        <v>0</v>
      </c>
    </row>
    <row r="914" spans="1:44" x14ac:dyDescent="0.25">
      <c r="A914" s="1">
        <v>26</v>
      </c>
      <c r="B914" s="8" t="str" cm="1">
        <f t="array" ref="B914">_xlfn.IFS(A914 &lt;= 25, "[18-25]", A914 &lt;= 35, "[26-35]", A914 &lt;=45, "[36-45]", A914 &lt;= 60, "[46- 60]")</f>
        <v>[26-35]</v>
      </c>
      <c r="C914" s="3" t="s">
        <v>43</v>
      </c>
      <c r="D914">
        <f t="shared" si="14"/>
        <v>0</v>
      </c>
      <c r="E914" t="s">
        <v>36</v>
      </c>
      <c r="F914" s="1">
        <v>583</v>
      </c>
      <c r="G914" s="3" t="s">
        <v>45</v>
      </c>
      <c r="H914" s="1">
        <v>4</v>
      </c>
      <c r="I914" s="9" t="str" cm="1">
        <f t="array" ref="I914">_xlfn.IFS(H914 &lt;= 2, "[1-2] very close", H914 &lt;= 10, "[3-10] close", H914 &lt;= 20, "[11-20] moderate", H914 &lt;= 30, "[21-30] far")</f>
        <v>[3-10] close</v>
      </c>
      <c r="J914" s="1">
        <v>2</v>
      </c>
      <c r="K914" s="3" t="s">
        <v>38</v>
      </c>
      <c r="L914" s="1">
        <v>1</v>
      </c>
      <c r="M914" s="1">
        <v>1275</v>
      </c>
      <c r="N914" s="1">
        <v>3</v>
      </c>
      <c r="O914" s="3" t="s">
        <v>46</v>
      </c>
      <c r="P914" s="1">
        <v>53</v>
      </c>
      <c r="Q914" s="1">
        <v>3</v>
      </c>
      <c r="R914" s="1">
        <v>1</v>
      </c>
      <c r="S914" s="3" t="s">
        <v>47</v>
      </c>
      <c r="T914" s="1">
        <v>4</v>
      </c>
      <c r="U914" s="3" t="s">
        <v>41</v>
      </c>
      <c r="V914" s="4">
        <v>2875</v>
      </c>
      <c r="W914" s="1">
        <v>9973</v>
      </c>
      <c r="X914" s="1">
        <v>1</v>
      </c>
      <c r="Y914" s="3" t="s">
        <v>42</v>
      </c>
      <c r="Z914" s="3" t="s">
        <v>35</v>
      </c>
      <c r="AA914" s="5">
        <v>0.2</v>
      </c>
      <c r="AB914" s="10" t="str" cm="1">
        <f t="array" ref="AB914">_xlfn.IFS(AA914 &lt;= 15%, "Low Hike[11-15%]", AA914 &lt;= 20%, "Moderate Hike[16-20%]", AA914 &lt;= 25%,"High Hike[21-25%]")</f>
        <v>Moderate Hike[16-20%]</v>
      </c>
      <c r="AC914" s="1">
        <v>4</v>
      </c>
      <c r="AD914" s="1">
        <v>2</v>
      </c>
      <c r="AE914" s="1">
        <v>80</v>
      </c>
      <c r="AF914" s="1">
        <v>0</v>
      </c>
      <c r="AG914" s="1">
        <v>8</v>
      </c>
      <c r="AH914" s="9" t="str" cm="1">
        <f t="array" ref="AH914">_xlfn.IFS(AG914 &lt;= 5, "New[1-5]", AG914 &lt;= 10, "Early Career[6-10]", AG914 &lt;= 20, "Established[11-20]", AG914 &lt;= 30, "Veteran[21-30]", AG914 &lt;= 40, "Late Career[31-40]")</f>
        <v>Early Career[6-10]</v>
      </c>
      <c r="AI914" s="1">
        <v>2</v>
      </c>
      <c r="AJ914" s="1">
        <v>2</v>
      </c>
      <c r="AK914" s="1">
        <v>8</v>
      </c>
      <c r="AL914" s="9" t="str" cm="1">
        <f t="array" ref="AL914">_xlfn.IFS(AK914 &lt;= 5, "New[1-5]", AK914 &lt;= 10, "Early Career[6-10]", AK914 &lt;= 20, "Established[11-20]", AK914 &lt;= 30, "Veteran[21-30]", AK914 &lt;= 40, "Late Career[31-40]")</f>
        <v>Early Career[6-10]</v>
      </c>
      <c r="AM914" s="1">
        <v>5</v>
      </c>
      <c r="AN914" s="9" t="str" cm="1">
        <f t="array" ref="AN914">_xlfn.IFS(AM914 &lt;= 3, "New to Role[1-3]", AM914 &lt;= 7, "Settled[4-7]", AM914 &lt;= 12, "Experienced[[8-12]", AM914 &lt;= 18, "Long Tenured[13-18]")</f>
        <v>Settled[4-7]</v>
      </c>
      <c r="AO914" s="1">
        <v>2</v>
      </c>
      <c r="AP914" s="9" t="str" cm="1">
        <f t="array" ref="AP914">_xlfn.IFS(AO914 &lt;= 3, "Recently[1-3]", AO914 &lt;= 6, "Due Soon[4-6]", AO914 &lt;= 10, "Overdue[7-10]", AO914 &lt;= 15, "Long Overdue[11-15]")</f>
        <v>Recently[1-3]</v>
      </c>
      <c r="AQ914" s="9" t="str" cm="1">
        <f t="array" ref="AQ914">_xlfn.IFS(AR914 &lt;= 3, "New Relationship[1-3]", AR914 &lt;= 7, "Established Relationship[4-7]", AR914 &lt;= 12, "Long Term Relationship[8-12]", AR914 &lt;= 17, "Very Long Term Relationship[13-17]")</f>
        <v>New Relationship[1-3]</v>
      </c>
      <c r="AR914" s="1">
        <v>2</v>
      </c>
    </row>
    <row r="915" spans="1:44" x14ac:dyDescent="0.25">
      <c r="A915" s="1">
        <v>45</v>
      </c>
      <c r="B915" s="8" t="str" cm="1">
        <f t="array" ref="B915">_xlfn.IFS(A915 &lt;= 25, "[18-25]", A915 &lt;= 35, "[26-35]", A915 &lt;=45, "[36-45]", A915 &lt;= 60, "[46- 60]")</f>
        <v>[36-45]</v>
      </c>
      <c r="C915" s="3" t="s">
        <v>35</v>
      </c>
      <c r="D915">
        <f t="shared" si="14"/>
        <v>1</v>
      </c>
      <c r="E915" t="s">
        <v>36</v>
      </c>
      <c r="F915" s="1">
        <v>1449</v>
      </c>
      <c r="G915" s="3" t="s">
        <v>37</v>
      </c>
      <c r="H915" s="1">
        <v>2</v>
      </c>
      <c r="I915" s="9" t="str" cm="1">
        <f t="array" ref="I915">_xlfn.IFS(H915 &lt;= 2, "[1-2] very close", H915 &lt;= 10, "[3-10] close", H915 &lt;= 20, "[11-20] moderate", H915 &lt;= 30, "[21-30] far")</f>
        <v>[1-2] very close</v>
      </c>
      <c r="J915" s="1">
        <v>3</v>
      </c>
      <c r="K915" s="3" t="s">
        <v>59</v>
      </c>
      <c r="L915" s="1">
        <v>1</v>
      </c>
      <c r="M915" s="1">
        <v>1277</v>
      </c>
      <c r="N915" s="1">
        <v>1</v>
      </c>
      <c r="O915" s="3" t="s">
        <v>39</v>
      </c>
      <c r="P915" s="1">
        <v>94</v>
      </c>
      <c r="Q915" s="1">
        <v>1</v>
      </c>
      <c r="R915" s="1">
        <v>5</v>
      </c>
      <c r="S915" s="3" t="s">
        <v>56</v>
      </c>
      <c r="T915" s="1">
        <v>2</v>
      </c>
      <c r="U915" s="3" t="s">
        <v>41</v>
      </c>
      <c r="V915" s="4">
        <v>18824</v>
      </c>
      <c r="W915" s="1">
        <v>2493</v>
      </c>
      <c r="X915" s="1">
        <v>2</v>
      </c>
      <c r="Y915" s="3" t="s">
        <v>42</v>
      </c>
      <c r="Z915" s="3" t="s">
        <v>35</v>
      </c>
      <c r="AA915" s="5">
        <v>0.16</v>
      </c>
      <c r="AB915" s="10" t="str" cm="1">
        <f t="array" ref="AB915">_xlfn.IFS(AA915 &lt;= 15%, "Low Hike[11-15%]", AA915 &lt;= 20%, "Moderate Hike[16-20%]", AA915 &lt;= 25%,"High Hike[21-25%]")</f>
        <v>Moderate Hike[16-20%]</v>
      </c>
      <c r="AC915" s="1">
        <v>3</v>
      </c>
      <c r="AD915" s="1">
        <v>1</v>
      </c>
      <c r="AE915" s="1">
        <v>80</v>
      </c>
      <c r="AF915" s="1">
        <v>0</v>
      </c>
      <c r="AG915" s="1">
        <v>26</v>
      </c>
      <c r="AH915" s="9" t="str" cm="1">
        <f t="array" ref="AH915">_xlfn.IFS(AG915 &lt;= 5, "New[1-5]", AG915 &lt;= 10, "Early Career[6-10]", AG915 &lt;= 20, "Established[11-20]", AG915 &lt;= 30, "Veteran[21-30]", AG915 &lt;= 40, "Late Career[31-40]")</f>
        <v>Veteran[21-30]</v>
      </c>
      <c r="AI915" s="1">
        <v>2</v>
      </c>
      <c r="AJ915" s="1">
        <v>3</v>
      </c>
      <c r="AK915" s="1">
        <v>24</v>
      </c>
      <c r="AL915" s="9" t="str" cm="1">
        <f t="array" ref="AL915">_xlfn.IFS(AK915 &lt;= 5, "New[1-5]", AK915 &lt;= 10, "Early Career[6-10]", AK915 &lt;= 20, "Established[11-20]", AK915 &lt;= 30, "Veteran[21-30]", AK915 &lt;= 40, "Late Career[31-40]")</f>
        <v>Veteran[21-30]</v>
      </c>
      <c r="AM915" s="1">
        <v>10</v>
      </c>
      <c r="AN915" s="9" t="str" cm="1">
        <f t="array" ref="AN915">_xlfn.IFS(AM915 &lt;= 3, "New to Role[1-3]", AM915 &lt;= 7, "Settled[4-7]", AM915 &lt;= 12, "Experienced[[8-12]", AM915 &lt;= 18, "Long Tenured[13-18]")</f>
        <v>Experienced[[8-12]</v>
      </c>
      <c r="AO915" s="1">
        <v>1</v>
      </c>
      <c r="AP915" s="9" t="str" cm="1">
        <f t="array" ref="AP915">_xlfn.IFS(AO915 &lt;= 3, "Recently[1-3]", AO915 &lt;= 6, "Due Soon[4-6]", AO915 &lt;= 10, "Overdue[7-10]", AO915 &lt;= 15, "Long Overdue[11-15]")</f>
        <v>Recently[1-3]</v>
      </c>
      <c r="AQ915" s="9" t="str" cm="1">
        <f t="array" ref="AQ915">_xlfn.IFS(AR915 &lt;= 3, "New Relationship[1-3]", AR915 &lt;= 7, "Established Relationship[4-7]", AR915 &lt;= 12, "Long Term Relationship[8-12]", AR915 &lt;= 17, "Very Long Term Relationship[13-17]")</f>
        <v>Long Term Relationship[8-12]</v>
      </c>
      <c r="AR915" s="1">
        <v>11</v>
      </c>
    </row>
    <row r="916" spans="1:44" x14ac:dyDescent="0.25">
      <c r="A916" s="1">
        <v>55</v>
      </c>
      <c r="B916" s="8" t="str" cm="1">
        <f t="array" ref="B916">_xlfn.IFS(A916 &lt;= 25, "[18-25]", A916 &lt;= 35, "[26-35]", A916 &lt;=45, "[36-45]", A916 &lt;= 60, "[46- 60]")</f>
        <v>[46- 60]</v>
      </c>
      <c r="C916" s="3" t="s">
        <v>43</v>
      </c>
      <c r="D916">
        <f t="shared" si="14"/>
        <v>0</v>
      </c>
      <c r="E916" t="s">
        <v>62</v>
      </c>
      <c r="F916" s="1">
        <v>177</v>
      </c>
      <c r="G916" s="3" t="s">
        <v>45</v>
      </c>
      <c r="H916" s="1">
        <v>8</v>
      </c>
      <c r="I916" s="9" t="str" cm="1">
        <f t="array" ref="I916">_xlfn.IFS(H916 &lt;= 2, "[1-2] very close", H916 &lt;= 10, "[3-10] close", H916 &lt;= 20, "[11-20] moderate", H916 &lt;= 30, "[21-30] far")</f>
        <v>[3-10] close</v>
      </c>
      <c r="J916" s="1">
        <v>1</v>
      </c>
      <c r="K916" s="3" t="s">
        <v>51</v>
      </c>
      <c r="L916" s="1">
        <v>1</v>
      </c>
      <c r="M916" s="1">
        <v>1278</v>
      </c>
      <c r="N916" s="1">
        <v>4</v>
      </c>
      <c r="O916" s="3" t="s">
        <v>46</v>
      </c>
      <c r="P916" s="1">
        <v>37</v>
      </c>
      <c r="Q916" s="1">
        <v>2</v>
      </c>
      <c r="R916" s="1">
        <v>4</v>
      </c>
      <c r="S916" s="3" t="s">
        <v>54</v>
      </c>
      <c r="T916" s="1">
        <v>2</v>
      </c>
      <c r="U916" s="3" t="s">
        <v>52</v>
      </c>
      <c r="V916" s="4">
        <v>13577</v>
      </c>
      <c r="W916" s="1">
        <v>25592</v>
      </c>
      <c r="X916" s="1">
        <v>1</v>
      </c>
      <c r="Y916" s="3" t="s">
        <v>42</v>
      </c>
      <c r="Z916" s="3" t="s">
        <v>35</v>
      </c>
      <c r="AA916" s="5">
        <v>0.15</v>
      </c>
      <c r="AB916" s="10" t="str" cm="1">
        <f t="array" ref="AB916">_xlfn.IFS(AA916 &lt;= 15%, "Low Hike[11-15%]", AA916 &lt;= 20%, "Moderate Hike[16-20%]", AA916 &lt;= 25%,"High Hike[21-25%]")</f>
        <v>Low Hike[11-15%]</v>
      </c>
      <c r="AC916" s="1">
        <v>3</v>
      </c>
      <c r="AD916" s="1">
        <v>4</v>
      </c>
      <c r="AE916" s="1">
        <v>80</v>
      </c>
      <c r="AF916" s="1">
        <v>1</v>
      </c>
      <c r="AG916" s="1">
        <v>34</v>
      </c>
      <c r="AH916" s="9" t="str" cm="1">
        <f t="array" ref="AH916">_xlfn.IFS(AG916 &lt;= 5, "New[1-5]", AG916 &lt;= 10, "Early Career[6-10]", AG916 &lt;= 20, "Established[11-20]", AG916 &lt;= 30, "Veteran[21-30]", AG916 &lt;= 40, "Late Career[31-40]")</f>
        <v>Late Career[31-40]</v>
      </c>
      <c r="AI916" s="1">
        <v>3</v>
      </c>
      <c r="AJ916" s="1">
        <v>3</v>
      </c>
      <c r="AK916" s="1">
        <v>33</v>
      </c>
      <c r="AL916" s="9" t="str" cm="1">
        <f t="array" ref="AL916">_xlfn.IFS(AK916 &lt;= 5, "New[1-5]", AK916 &lt;= 10, "Early Career[6-10]", AK916 &lt;= 20, "Established[11-20]", AK916 &lt;= 30, "Veteran[21-30]", AK916 &lt;= 40, "Late Career[31-40]")</f>
        <v>Late Career[31-40]</v>
      </c>
      <c r="AM916" s="1">
        <v>9</v>
      </c>
      <c r="AN916" s="9" t="str" cm="1">
        <f t="array" ref="AN916">_xlfn.IFS(AM916 &lt;= 3, "New to Role[1-3]", AM916 &lt;= 7, "Settled[4-7]", AM916 &lt;= 12, "Experienced[[8-12]", AM916 &lt;= 18, "Long Tenured[13-18]")</f>
        <v>Experienced[[8-12]</v>
      </c>
      <c r="AO916" s="1">
        <v>15</v>
      </c>
      <c r="AP916" s="9" t="str" cm="1">
        <f t="array" ref="AP916">_xlfn.IFS(AO916 &lt;= 3, "Recently[1-3]", AO916 &lt;= 6, "Due Soon[4-6]", AO916 &lt;= 10, "Overdue[7-10]", AO916 &lt;= 15, "Long Overdue[11-15]")</f>
        <v>Long Overdue[11-15]</v>
      </c>
      <c r="AQ916" s="9" t="str" cm="1">
        <f t="array" ref="AQ916">_xlfn.IFS(AR916 &lt;= 3, "New Relationship[1-3]", AR916 &lt;= 7, "Established Relationship[4-7]", AR916 &lt;= 12, "Long Term Relationship[8-12]", AR916 &lt;= 17, "Very Long Term Relationship[13-17]")</f>
        <v>New Relationship[1-3]</v>
      </c>
      <c r="AR916" s="1">
        <v>0</v>
      </c>
    </row>
    <row r="917" spans="1:44" x14ac:dyDescent="0.25">
      <c r="A917" s="1">
        <v>21</v>
      </c>
      <c r="B917" s="8" t="str" cm="1">
        <f t="array" ref="B917">_xlfn.IFS(A917 &lt;= 25, "[18-25]", A917 &lt;= 35, "[26-35]", A917 &lt;=45, "[36-45]", A917 &lt;= 60, "[46- 60]")</f>
        <v>[18-25]</v>
      </c>
      <c r="C917" s="3" t="s">
        <v>35</v>
      </c>
      <c r="D917">
        <f t="shared" si="14"/>
        <v>1</v>
      </c>
      <c r="E917" t="s">
        <v>44</v>
      </c>
      <c r="F917" s="1">
        <v>251</v>
      </c>
      <c r="G917" s="3" t="s">
        <v>45</v>
      </c>
      <c r="H917" s="1">
        <v>10</v>
      </c>
      <c r="I917" s="9" t="str" cm="1">
        <f t="array" ref="I917">_xlfn.IFS(H917 &lt;= 2, "[1-2] very close", H917 &lt;= 10, "[3-10] close", H917 &lt;= 20, "[11-20] moderate", H917 &lt;= 30, "[21-30] far")</f>
        <v>[3-10] close</v>
      </c>
      <c r="J917" s="1">
        <v>2</v>
      </c>
      <c r="K917" s="3" t="s">
        <v>38</v>
      </c>
      <c r="L917" s="1">
        <v>1</v>
      </c>
      <c r="M917" s="1">
        <v>1279</v>
      </c>
      <c r="N917" s="1">
        <v>1</v>
      </c>
      <c r="O917" s="3" t="s">
        <v>39</v>
      </c>
      <c r="P917" s="1">
        <v>45</v>
      </c>
      <c r="Q917" s="1">
        <v>2</v>
      </c>
      <c r="R917" s="1">
        <v>1</v>
      </c>
      <c r="S917" s="3" t="s">
        <v>50</v>
      </c>
      <c r="T917" s="1">
        <v>3</v>
      </c>
      <c r="U917" s="3" t="s">
        <v>41</v>
      </c>
      <c r="V917" s="4">
        <v>2625</v>
      </c>
      <c r="W917" s="1">
        <v>25308</v>
      </c>
      <c r="X917" s="1">
        <v>1</v>
      </c>
      <c r="Y917" s="3" t="s">
        <v>42</v>
      </c>
      <c r="Z917" s="3" t="s">
        <v>43</v>
      </c>
      <c r="AA917" s="5">
        <v>0.2</v>
      </c>
      <c r="AB917" s="10" t="str" cm="1">
        <f t="array" ref="AB917">_xlfn.IFS(AA917 &lt;= 15%, "Low Hike[11-15%]", AA917 &lt;= 20%, "Moderate Hike[16-20%]", AA917 &lt;= 25%,"High Hike[21-25%]")</f>
        <v>Moderate Hike[16-20%]</v>
      </c>
      <c r="AC917" s="1">
        <v>4</v>
      </c>
      <c r="AD917" s="1">
        <v>3</v>
      </c>
      <c r="AE917" s="1">
        <v>80</v>
      </c>
      <c r="AF917" s="1">
        <v>0</v>
      </c>
      <c r="AG917" s="1">
        <v>2</v>
      </c>
      <c r="AH917" s="9" t="str" cm="1">
        <f t="array" ref="AH917">_xlfn.IFS(AG917 &lt;= 5, "New[1-5]", AG917 &lt;= 10, "Early Career[6-10]", AG917 &lt;= 20, "Established[11-20]", AG917 &lt;= 30, "Veteran[21-30]", AG917 &lt;= 40, "Late Career[31-40]")</f>
        <v>New[1-5]</v>
      </c>
      <c r="AI917" s="1">
        <v>2</v>
      </c>
      <c r="AJ917" s="1">
        <v>1</v>
      </c>
      <c r="AK917" s="1">
        <v>2</v>
      </c>
      <c r="AL917" s="9" t="str" cm="1">
        <f t="array" ref="AL917">_xlfn.IFS(AK917 &lt;= 5, "New[1-5]", AK917 &lt;= 10, "Early Career[6-10]", AK917 &lt;= 20, "Established[11-20]", AK917 &lt;= 30, "Veteran[21-30]", AK917 &lt;= 40, "Late Career[31-40]")</f>
        <v>New[1-5]</v>
      </c>
      <c r="AM917" s="1">
        <v>2</v>
      </c>
      <c r="AN917" s="9" t="str" cm="1">
        <f t="array" ref="AN917">_xlfn.IFS(AM917 &lt;= 3, "New to Role[1-3]", AM917 &lt;= 7, "Settled[4-7]", AM917 &lt;= 12, "Experienced[[8-12]", AM917 &lt;= 18, "Long Tenured[13-18]")</f>
        <v>New to Role[1-3]</v>
      </c>
      <c r="AO917" s="1">
        <v>2</v>
      </c>
      <c r="AP917" s="9" t="str" cm="1">
        <f t="array" ref="AP917">_xlfn.IFS(AO917 &lt;= 3, "Recently[1-3]", AO917 &lt;= 6, "Due Soon[4-6]", AO917 &lt;= 10, "Overdue[7-10]", AO917 &lt;= 15, "Long Overdue[11-15]")</f>
        <v>Recently[1-3]</v>
      </c>
      <c r="AQ917" s="9" t="str" cm="1">
        <f t="array" ref="AQ917">_xlfn.IFS(AR917 &lt;= 3, "New Relationship[1-3]", AR917 &lt;= 7, "Established Relationship[4-7]", AR917 &lt;= 12, "Long Term Relationship[8-12]", AR917 &lt;= 17, "Very Long Term Relationship[13-17]")</f>
        <v>New Relationship[1-3]</v>
      </c>
      <c r="AR917" s="1">
        <v>2</v>
      </c>
    </row>
    <row r="918" spans="1:44" x14ac:dyDescent="0.25">
      <c r="A918" s="1">
        <v>46</v>
      </c>
      <c r="B918" s="8" t="str" cm="1">
        <f t="array" ref="B918">_xlfn.IFS(A918 &lt;= 25, "[18-25]", A918 &lt;= 35, "[26-35]", A918 &lt;=45, "[36-45]", A918 &lt;= 60, "[46- 60]")</f>
        <v>[46- 60]</v>
      </c>
      <c r="C918" s="3" t="s">
        <v>43</v>
      </c>
      <c r="D918">
        <f t="shared" si="14"/>
        <v>0</v>
      </c>
      <c r="E918" t="s">
        <v>36</v>
      </c>
      <c r="F918" s="1">
        <v>168</v>
      </c>
      <c r="G918" s="3" t="s">
        <v>37</v>
      </c>
      <c r="H918" s="1">
        <v>4</v>
      </c>
      <c r="I918" s="9" t="str" cm="1">
        <f t="array" ref="I918">_xlfn.IFS(H918 &lt;= 2, "[1-2] very close", H918 &lt;= 10, "[3-10] close", H918 &lt;= 20, "[11-20] moderate", H918 &lt;= 30, "[21-30] far")</f>
        <v>[3-10] close</v>
      </c>
      <c r="J918" s="1">
        <v>2</v>
      </c>
      <c r="K918" s="3" t="s">
        <v>59</v>
      </c>
      <c r="L918" s="1">
        <v>1</v>
      </c>
      <c r="M918" s="1">
        <v>1280</v>
      </c>
      <c r="N918" s="1">
        <v>4</v>
      </c>
      <c r="O918" s="3" t="s">
        <v>39</v>
      </c>
      <c r="P918" s="1">
        <v>33</v>
      </c>
      <c r="Q918" s="1">
        <v>2</v>
      </c>
      <c r="R918" s="1">
        <v>5</v>
      </c>
      <c r="S918" s="3" t="s">
        <v>56</v>
      </c>
      <c r="T918" s="1">
        <v>2</v>
      </c>
      <c r="U918" s="3" t="s">
        <v>48</v>
      </c>
      <c r="V918" s="4">
        <v>18789</v>
      </c>
      <c r="W918" s="1">
        <v>9946</v>
      </c>
      <c r="X918" s="1">
        <v>2</v>
      </c>
      <c r="Y918" s="3" t="s">
        <v>42</v>
      </c>
      <c r="Z918" s="3" t="s">
        <v>43</v>
      </c>
      <c r="AA918" s="5">
        <v>0.14000000000000001</v>
      </c>
      <c r="AB918" s="10" t="str" cm="1">
        <f t="array" ref="AB918">_xlfn.IFS(AA918 &lt;= 15%, "Low Hike[11-15%]", AA918 &lt;= 20%, "Moderate Hike[16-20%]", AA918 &lt;= 25%,"High Hike[21-25%]")</f>
        <v>Low Hike[11-15%]</v>
      </c>
      <c r="AC918" s="1">
        <v>3</v>
      </c>
      <c r="AD918" s="1">
        <v>3</v>
      </c>
      <c r="AE918" s="1">
        <v>80</v>
      </c>
      <c r="AF918" s="1">
        <v>1</v>
      </c>
      <c r="AG918" s="1">
        <v>26</v>
      </c>
      <c r="AH918" s="9" t="str" cm="1">
        <f t="array" ref="AH918">_xlfn.IFS(AG918 &lt;= 5, "New[1-5]", AG918 &lt;= 10, "Early Career[6-10]", AG918 &lt;= 20, "Established[11-20]", AG918 &lt;= 30, "Veteran[21-30]", AG918 &lt;= 40, "Late Career[31-40]")</f>
        <v>Veteran[21-30]</v>
      </c>
      <c r="AI918" s="1">
        <v>2</v>
      </c>
      <c r="AJ918" s="1">
        <v>3</v>
      </c>
      <c r="AK918" s="1">
        <v>11</v>
      </c>
      <c r="AL918" s="9" t="str" cm="1">
        <f t="array" ref="AL918">_xlfn.IFS(AK918 &lt;= 5, "New[1-5]", AK918 &lt;= 10, "Early Career[6-10]", AK918 &lt;= 20, "Established[11-20]", AK918 &lt;= 30, "Veteran[21-30]", AK918 &lt;= 40, "Late Career[31-40]")</f>
        <v>Established[11-20]</v>
      </c>
      <c r="AM918" s="1">
        <v>4</v>
      </c>
      <c r="AN918" s="9" t="str" cm="1">
        <f t="array" ref="AN918">_xlfn.IFS(AM918 &lt;= 3, "New to Role[1-3]", AM918 &lt;= 7, "Settled[4-7]", AM918 &lt;= 12, "Experienced[[8-12]", AM918 &lt;= 18, "Long Tenured[13-18]")</f>
        <v>Settled[4-7]</v>
      </c>
      <c r="AO918" s="1">
        <v>0</v>
      </c>
      <c r="AP918" s="9" t="str" cm="1">
        <f t="array" ref="AP918">_xlfn.IFS(AO918 &lt;= 3, "Recently[1-3]", AO918 &lt;= 6, "Due Soon[4-6]", AO918 &lt;= 10, "Overdue[7-10]", AO918 &lt;= 15, "Long Overdue[11-15]")</f>
        <v>Recently[1-3]</v>
      </c>
      <c r="AQ918" s="9" t="str" cm="1">
        <f t="array" ref="AQ918">_xlfn.IFS(AR918 &lt;= 3, "New Relationship[1-3]", AR918 &lt;= 7, "Established Relationship[4-7]", AR918 &lt;= 12, "Long Term Relationship[8-12]", AR918 &lt;= 17, "Very Long Term Relationship[13-17]")</f>
        <v>Long Term Relationship[8-12]</v>
      </c>
      <c r="AR918" s="1">
        <v>8</v>
      </c>
    </row>
    <row r="919" spans="1:44" x14ac:dyDescent="0.25">
      <c r="A919" s="1">
        <v>34</v>
      </c>
      <c r="B919" s="8" t="str" cm="1">
        <f t="array" ref="B919">_xlfn.IFS(A919 &lt;= 25, "[18-25]", A919 &lt;= 35, "[26-35]", A919 &lt;=45, "[36-45]", A919 &lt;= 60, "[46- 60]")</f>
        <v>[26-35]</v>
      </c>
      <c r="C919" s="3" t="s">
        <v>43</v>
      </c>
      <c r="D919">
        <f t="shared" si="14"/>
        <v>0</v>
      </c>
      <c r="E919" t="s">
        <v>36</v>
      </c>
      <c r="F919" s="1">
        <v>131</v>
      </c>
      <c r="G919" s="3" t="s">
        <v>37</v>
      </c>
      <c r="H919" s="1">
        <v>2</v>
      </c>
      <c r="I919" s="9" t="str" cm="1">
        <f t="array" ref="I919">_xlfn.IFS(H919 &lt;= 2, "[1-2] very close", H919 &lt;= 10, "[3-10] close", H919 &lt;= 20, "[11-20] moderate", H919 &lt;= 30, "[21-30] far")</f>
        <v>[1-2] very close</v>
      </c>
      <c r="J919" s="1">
        <v>3</v>
      </c>
      <c r="K919" s="3" t="s">
        <v>59</v>
      </c>
      <c r="L919" s="1">
        <v>1</v>
      </c>
      <c r="M919" s="1">
        <v>1281</v>
      </c>
      <c r="N919" s="1">
        <v>3</v>
      </c>
      <c r="O919" s="3" t="s">
        <v>39</v>
      </c>
      <c r="P919" s="1">
        <v>86</v>
      </c>
      <c r="Q919" s="1">
        <v>3</v>
      </c>
      <c r="R919" s="1">
        <v>2</v>
      </c>
      <c r="S919" s="3" t="s">
        <v>40</v>
      </c>
      <c r="T919" s="1">
        <v>1</v>
      </c>
      <c r="U919" s="3" t="s">
        <v>41</v>
      </c>
      <c r="V919" s="4">
        <v>4538</v>
      </c>
      <c r="W919" s="1">
        <v>6039</v>
      </c>
      <c r="X919" s="1">
        <v>0</v>
      </c>
      <c r="Y919" s="3" t="s">
        <v>42</v>
      </c>
      <c r="Z919" s="3" t="s">
        <v>35</v>
      </c>
      <c r="AA919" s="5">
        <v>0.12</v>
      </c>
      <c r="AB919" s="10" t="str" cm="1">
        <f t="array" ref="AB919">_xlfn.IFS(AA919 &lt;= 15%, "Low Hike[11-15%]", AA919 &lt;= 20%, "Moderate Hike[16-20%]", AA919 &lt;= 25%,"High Hike[21-25%]")</f>
        <v>Low Hike[11-15%]</v>
      </c>
      <c r="AC919" s="1">
        <v>3</v>
      </c>
      <c r="AD919" s="1">
        <v>4</v>
      </c>
      <c r="AE919" s="1">
        <v>80</v>
      </c>
      <c r="AF919" s="1">
        <v>0</v>
      </c>
      <c r="AG919" s="1">
        <v>4</v>
      </c>
      <c r="AH919" s="9" t="str" cm="1">
        <f t="array" ref="AH919">_xlfn.IFS(AG919 &lt;= 5, "New[1-5]", AG919 &lt;= 10, "Early Career[6-10]", AG919 &lt;= 20, "Established[11-20]", AG919 &lt;= 30, "Veteran[21-30]", AG919 &lt;= 40, "Late Career[31-40]")</f>
        <v>New[1-5]</v>
      </c>
      <c r="AI919" s="1">
        <v>3</v>
      </c>
      <c r="AJ919" s="1">
        <v>3</v>
      </c>
      <c r="AK919" s="1">
        <v>3</v>
      </c>
      <c r="AL919" s="9" t="str" cm="1">
        <f t="array" ref="AL919">_xlfn.IFS(AK919 &lt;= 5, "New[1-5]", AK919 &lt;= 10, "Early Career[6-10]", AK919 &lt;= 20, "Established[11-20]", AK919 &lt;= 30, "Veteran[21-30]", AK919 &lt;= 40, "Late Career[31-40]")</f>
        <v>New[1-5]</v>
      </c>
      <c r="AM919" s="1">
        <v>2</v>
      </c>
      <c r="AN919" s="9" t="str" cm="1">
        <f t="array" ref="AN919">_xlfn.IFS(AM919 &lt;= 3, "New to Role[1-3]", AM919 &lt;= 7, "Settled[4-7]", AM919 &lt;= 12, "Experienced[[8-12]", AM919 &lt;= 18, "Long Tenured[13-18]")</f>
        <v>New to Role[1-3]</v>
      </c>
      <c r="AO919" s="1">
        <v>0</v>
      </c>
      <c r="AP919" s="9" t="str" cm="1">
        <f t="array" ref="AP919">_xlfn.IFS(AO919 &lt;= 3, "Recently[1-3]", AO919 &lt;= 6, "Due Soon[4-6]", AO919 &lt;= 10, "Overdue[7-10]", AO919 &lt;= 15, "Long Overdue[11-15]")</f>
        <v>Recently[1-3]</v>
      </c>
      <c r="AQ919" s="9" t="str" cm="1">
        <f t="array" ref="AQ919">_xlfn.IFS(AR919 &lt;= 3, "New Relationship[1-3]", AR919 &lt;= 7, "Established Relationship[4-7]", AR919 &lt;= 12, "Long Term Relationship[8-12]", AR919 &lt;= 17, "Very Long Term Relationship[13-17]")</f>
        <v>New Relationship[1-3]</v>
      </c>
      <c r="AR919" s="1">
        <v>2</v>
      </c>
    </row>
    <row r="920" spans="1:44" x14ac:dyDescent="0.25">
      <c r="A920" s="1">
        <v>51</v>
      </c>
      <c r="B920" s="8" t="str" cm="1">
        <f t="array" ref="B920">_xlfn.IFS(A920 &lt;= 25, "[18-25]", A920 &lt;= 35, "[26-35]", A920 &lt;=45, "[36-45]", A920 &lt;= 60, "[46- 60]")</f>
        <v>[46- 60]</v>
      </c>
      <c r="C920" s="3" t="s">
        <v>43</v>
      </c>
      <c r="D920">
        <f t="shared" si="14"/>
        <v>0</v>
      </c>
      <c r="E920" t="s">
        <v>44</v>
      </c>
      <c r="F920" s="1">
        <v>237</v>
      </c>
      <c r="G920" s="3" t="s">
        <v>37</v>
      </c>
      <c r="H920" s="1">
        <v>9</v>
      </c>
      <c r="I920" s="9" t="str" cm="1">
        <f t="array" ref="I920">_xlfn.IFS(H920 &lt;= 2, "[1-2] very close", H920 &lt;= 10, "[3-10] close", H920 &lt;= 20, "[11-20] moderate", H920 &lt;= 30, "[21-30] far")</f>
        <v>[3-10] close</v>
      </c>
      <c r="J920" s="1">
        <v>3</v>
      </c>
      <c r="K920" s="3" t="s">
        <v>38</v>
      </c>
      <c r="L920" s="1">
        <v>1</v>
      </c>
      <c r="M920" s="1">
        <v>1282</v>
      </c>
      <c r="N920" s="1">
        <v>4</v>
      </c>
      <c r="O920" s="3" t="s">
        <v>46</v>
      </c>
      <c r="P920" s="1">
        <v>83</v>
      </c>
      <c r="Q920" s="1">
        <v>3</v>
      </c>
      <c r="R920" s="1">
        <v>5</v>
      </c>
      <c r="S920" s="3" t="s">
        <v>56</v>
      </c>
      <c r="T920" s="1">
        <v>2</v>
      </c>
      <c r="U920" s="3" t="s">
        <v>52</v>
      </c>
      <c r="V920" s="4">
        <v>19847</v>
      </c>
      <c r="W920" s="1">
        <v>19196</v>
      </c>
      <c r="X920" s="1">
        <v>4</v>
      </c>
      <c r="Y920" s="3" t="s">
        <v>42</v>
      </c>
      <c r="Z920" s="3" t="s">
        <v>35</v>
      </c>
      <c r="AA920" s="5">
        <v>0.24</v>
      </c>
      <c r="AB920" s="10" t="str" cm="1">
        <f t="array" ref="AB920">_xlfn.IFS(AA920 &lt;= 15%, "Low Hike[11-15%]", AA920 &lt;= 20%, "Moderate Hike[16-20%]", AA920 &lt;= 25%,"High Hike[21-25%]")</f>
        <v>High Hike[21-25%]</v>
      </c>
      <c r="AC920" s="1">
        <v>4</v>
      </c>
      <c r="AD920" s="1">
        <v>1</v>
      </c>
      <c r="AE920" s="1">
        <v>80</v>
      </c>
      <c r="AF920" s="1">
        <v>1</v>
      </c>
      <c r="AG920" s="1">
        <v>31</v>
      </c>
      <c r="AH920" s="9" t="str" cm="1">
        <f t="array" ref="AH920">_xlfn.IFS(AG920 &lt;= 5, "New[1-5]", AG920 &lt;= 10, "Early Career[6-10]", AG920 &lt;= 20, "Established[11-20]", AG920 &lt;= 30, "Veteran[21-30]", AG920 &lt;= 40, "Late Career[31-40]")</f>
        <v>Late Career[31-40]</v>
      </c>
      <c r="AI920" s="1">
        <v>5</v>
      </c>
      <c r="AJ920" s="1">
        <v>2</v>
      </c>
      <c r="AK920" s="1">
        <v>29</v>
      </c>
      <c r="AL920" s="9" t="str" cm="1">
        <f t="array" ref="AL920">_xlfn.IFS(AK920 &lt;= 5, "New[1-5]", AK920 &lt;= 10, "Early Career[6-10]", AK920 &lt;= 20, "Established[11-20]", AK920 &lt;= 30, "Veteran[21-30]", AK920 &lt;= 40, "Late Career[31-40]")</f>
        <v>Veteran[21-30]</v>
      </c>
      <c r="AM920" s="1">
        <v>10</v>
      </c>
      <c r="AN920" s="9" t="str" cm="1">
        <f t="array" ref="AN920">_xlfn.IFS(AM920 &lt;= 3, "New to Role[1-3]", AM920 &lt;= 7, "Settled[4-7]", AM920 &lt;= 12, "Experienced[[8-12]", AM920 &lt;= 18, "Long Tenured[13-18]")</f>
        <v>Experienced[[8-12]</v>
      </c>
      <c r="AO920" s="1">
        <v>11</v>
      </c>
      <c r="AP920" s="9" t="str" cm="1">
        <f t="array" ref="AP920">_xlfn.IFS(AO920 &lt;= 3, "Recently[1-3]", AO920 &lt;= 6, "Due Soon[4-6]", AO920 &lt;= 10, "Overdue[7-10]", AO920 &lt;= 15, "Long Overdue[11-15]")</f>
        <v>Long Overdue[11-15]</v>
      </c>
      <c r="AQ920" s="9" t="str" cm="1">
        <f t="array" ref="AQ920">_xlfn.IFS(AR920 &lt;= 3, "New Relationship[1-3]", AR920 &lt;= 7, "Established Relationship[4-7]", AR920 &lt;= 12, "Long Term Relationship[8-12]", AR920 &lt;= 17, "Very Long Term Relationship[13-17]")</f>
        <v>Long Term Relationship[8-12]</v>
      </c>
      <c r="AR920" s="1">
        <v>10</v>
      </c>
    </row>
    <row r="921" spans="1:44" x14ac:dyDescent="0.25">
      <c r="A921" s="1">
        <v>59</v>
      </c>
      <c r="B921" s="8" t="str" cm="1">
        <f t="array" ref="B921">_xlfn.IFS(A921 &lt;= 25, "[18-25]", A921 &lt;= 35, "[26-35]", A921 &lt;=45, "[36-45]", A921 &lt;= 60, "[46- 60]")</f>
        <v>[46- 60]</v>
      </c>
      <c r="C921" s="3" t="s">
        <v>43</v>
      </c>
      <c r="D921">
        <f t="shared" si="14"/>
        <v>0</v>
      </c>
      <c r="E921" t="s">
        <v>36</v>
      </c>
      <c r="F921" s="1">
        <v>1429</v>
      </c>
      <c r="G921" s="3" t="s">
        <v>45</v>
      </c>
      <c r="H921" s="1">
        <v>18</v>
      </c>
      <c r="I921" s="9" t="str" cm="1">
        <f t="array" ref="I921">_xlfn.IFS(H921 &lt;= 2, "[1-2] very close", H921 &lt;= 10, "[3-10] close", H921 &lt;= 20, "[11-20] moderate", H921 &lt;= 30, "[21-30] far")</f>
        <v>[11-20] moderate</v>
      </c>
      <c r="J921" s="1">
        <v>4</v>
      </c>
      <c r="K921" s="3" t="s">
        <v>51</v>
      </c>
      <c r="L921" s="1">
        <v>1</v>
      </c>
      <c r="M921" s="1">
        <v>1283</v>
      </c>
      <c r="N921" s="1">
        <v>4</v>
      </c>
      <c r="O921" s="3" t="s">
        <v>46</v>
      </c>
      <c r="P921" s="1">
        <v>67</v>
      </c>
      <c r="Q921" s="1">
        <v>3</v>
      </c>
      <c r="R921" s="1">
        <v>3</v>
      </c>
      <c r="S921" s="3" t="s">
        <v>53</v>
      </c>
      <c r="T921" s="1">
        <v>4</v>
      </c>
      <c r="U921" s="3" t="s">
        <v>41</v>
      </c>
      <c r="V921" s="4">
        <v>10512</v>
      </c>
      <c r="W921" s="1">
        <v>20002</v>
      </c>
      <c r="X921" s="1">
        <v>6</v>
      </c>
      <c r="Y921" s="3" t="s">
        <v>42</v>
      </c>
      <c r="Z921" s="3" t="s">
        <v>43</v>
      </c>
      <c r="AA921" s="5">
        <v>0.12</v>
      </c>
      <c r="AB921" s="10" t="str" cm="1">
        <f t="array" ref="AB921">_xlfn.IFS(AA921 &lt;= 15%, "Low Hike[11-15%]", AA921 &lt;= 20%, "Moderate Hike[16-20%]", AA921 &lt;= 25%,"High Hike[21-25%]")</f>
        <v>Low Hike[11-15%]</v>
      </c>
      <c r="AC921" s="1">
        <v>3</v>
      </c>
      <c r="AD921" s="1">
        <v>4</v>
      </c>
      <c r="AE921" s="1">
        <v>80</v>
      </c>
      <c r="AF921" s="1">
        <v>0</v>
      </c>
      <c r="AG921" s="1">
        <v>25</v>
      </c>
      <c r="AH921" s="9" t="str" cm="1">
        <f t="array" ref="AH921">_xlfn.IFS(AG921 &lt;= 5, "New[1-5]", AG921 &lt;= 10, "Early Career[6-10]", AG921 &lt;= 20, "Established[11-20]", AG921 &lt;= 30, "Veteran[21-30]", AG921 &lt;= 40, "Late Career[31-40]")</f>
        <v>Veteran[21-30]</v>
      </c>
      <c r="AI921" s="1">
        <v>6</v>
      </c>
      <c r="AJ921" s="1">
        <v>2</v>
      </c>
      <c r="AK921" s="1">
        <v>9</v>
      </c>
      <c r="AL921" s="9" t="str" cm="1">
        <f t="array" ref="AL921">_xlfn.IFS(AK921 &lt;= 5, "New[1-5]", AK921 &lt;= 10, "Early Career[6-10]", AK921 &lt;= 20, "Established[11-20]", AK921 &lt;= 30, "Veteran[21-30]", AK921 &lt;= 40, "Late Career[31-40]")</f>
        <v>Early Career[6-10]</v>
      </c>
      <c r="AM921" s="1">
        <v>7</v>
      </c>
      <c r="AN921" s="9" t="str" cm="1">
        <f t="array" ref="AN921">_xlfn.IFS(AM921 &lt;= 3, "New to Role[1-3]", AM921 &lt;= 7, "Settled[4-7]", AM921 &lt;= 12, "Experienced[[8-12]", AM921 &lt;= 18, "Long Tenured[13-18]")</f>
        <v>Settled[4-7]</v>
      </c>
      <c r="AO921" s="1">
        <v>5</v>
      </c>
      <c r="AP921" s="9" t="str" cm="1">
        <f t="array" ref="AP921">_xlfn.IFS(AO921 &lt;= 3, "Recently[1-3]", AO921 &lt;= 6, "Due Soon[4-6]", AO921 &lt;= 10, "Overdue[7-10]", AO921 &lt;= 15, "Long Overdue[11-15]")</f>
        <v>Due Soon[4-6]</v>
      </c>
      <c r="AQ921" s="9" t="str" cm="1">
        <f t="array" ref="AQ921">_xlfn.IFS(AR921 &lt;= 3, "New Relationship[1-3]", AR921 &lt;= 7, "Established Relationship[4-7]", AR921 &lt;= 12, "Long Term Relationship[8-12]", AR921 &lt;= 17, "Very Long Term Relationship[13-17]")</f>
        <v>Established Relationship[4-7]</v>
      </c>
      <c r="AR921" s="1">
        <v>4</v>
      </c>
    </row>
    <row r="922" spans="1:44" x14ac:dyDescent="0.25">
      <c r="A922" s="1">
        <v>34</v>
      </c>
      <c r="B922" s="8" t="str" cm="1">
        <f t="array" ref="B922">_xlfn.IFS(A922 &lt;= 25, "[18-25]", A922 &lt;= 35, "[26-35]", A922 &lt;=45, "[36-45]", A922 &lt;= 60, "[46- 60]")</f>
        <v>[26-35]</v>
      </c>
      <c r="C922" s="3" t="s">
        <v>43</v>
      </c>
      <c r="D922">
        <f t="shared" si="14"/>
        <v>0</v>
      </c>
      <c r="E922" t="s">
        <v>44</v>
      </c>
      <c r="F922" s="1">
        <v>135</v>
      </c>
      <c r="G922" s="3" t="s">
        <v>45</v>
      </c>
      <c r="H922" s="1">
        <v>19</v>
      </c>
      <c r="I922" s="9" t="str" cm="1">
        <f t="array" ref="I922">_xlfn.IFS(H922 &lt;= 2, "[1-2] very close", H922 &lt;= 10, "[3-10] close", H922 &lt;= 20, "[11-20] moderate", H922 &lt;= 30, "[21-30] far")</f>
        <v>[11-20] moderate</v>
      </c>
      <c r="J922" s="1">
        <v>3</v>
      </c>
      <c r="K922" s="3" t="s">
        <v>51</v>
      </c>
      <c r="L922" s="1">
        <v>1</v>
      </c>
      <c r="M922" s="1">
        <v>1285</v>
      </c>
      <c r="N922" s="1">
        <v>3</v>
      </c>
      <c r="O922" s="3" t="s">
        <v>39</v>
      </c>
      <c r="P922" s="1">
        <v>46</v>
      </c>
      <c r="Q922" s="1">
        <v>3</v>
      </c>
      <c r="R922" s="1">
        <v>2</v>
      </c>
      <c r="S922" s="3" t="s">
        <v>50</v>
      </c>
      <c r="T922" s="1">
        <v>2</v>
      </c>
      <c r="U922" s="3" t="s">
        <v>52</v>
      </c>
      <c r="V922" s="4">
        <v>4444</v>
      </c>
      <c r="W922" s="1">
        <v>22534</v>
      </c>
      <c r="X922" s="1">
        <v>4</v>
      </c>
      <c r="Y922" s="3" t="s">
        <v>42</v>
      </c>
      <c r="Z922" s="3" t="s">
        <v>43</v>
      </c>
      <c r="AA922" s="5">
        <v>0.13</v>
      </c>
      <c r="AB922" s="10" t="str" cm="1">
        <f t="array" ref="AB922">_xlfn.IFS(AA922 &lt;= 15%, "Low Hike[11-15%]", AA922 &lt;= 20%, "Moderate Hike[16-20%]", AA922 &lt;= 25%,"High Hike[21-25%]")</f>
        <v>Low Hike[11-15%]</v>
      </c>
      <c r="AC922" s="1">
        <v>3</v>
      </c>
      <c r="AD922" s="1">
        <v>3</v>
      </c>
      <c r="AE922" s="1">
        <v>80</v>
      </c>
      <c r="AF922" s="1">
        <v>2</v>
      </c>
      <c r="AG922" s="1">
        <v>15</v>
      </c>
      <c r="AH922" s="9" t="str" cm="1">
        <f t="array" ref="AH922">_xlfn.IFS(AG922 &lt;= 5, "New[1-5]", AG922 &lt;= 10, "Early Career[6-10]", AG922 &lt;= 20, "Established[11-20]", AG922 &lt;= 30, "Veteran[21-30]", AG922 &lt;= 40, "Late Career[31-40]")</f>
        <v>Established[11-20]</v>
      </c>
      <c r="AI922" s="1">
        <v>2</v>
      </c>
      <c r="AJ922" s="1">
        <v>4</v>
      </c>
      <c r="AK922" s="1">
        <v>11</v>
      </c>
      <c r="AL922" s="9" t="str" cm="1">
        <f t="array" ref="AL922">_xlfn.IFS(AK922 &lt;= 5, "New[1-5]", AK922 &lt;= 10, "Early Career[6-10]", AK922 &lt;= 20, "Established[11-20]", AK922 &lt;= 30, "Veteran[21-30]", AK922 &lt;= 40, "Late Career[31-40]")</f>
        <v>Established[11-20]</v>
      </c>
      <c r="AM922" s="1">
        <v>8</v>
      </c>
      <c r="AN922" s="9" t="str" cm="1">
        <f t="array" ref="AN922">_xlfn.IFS(AM922 &lt;= 3, "New to Role[1-3]", AM922 &lt;= 7, "Settled[4-7]", AM922 &lt;= 12, "Experienced[[8-12]", AM922 &lt;= 18, "Long Tenured[13-18]")</f>
        <v>Experienced[[8-12]</v>
      </c>
      <c r="AO922" s="1">
        <v>5</v>
      </c>
      <c r="AP922" s="9" t="str" cm="1">
        <f t="array" ref="AP922">_xlfn.IFS(AO922 &lt;= 3, "Recently[1-3]", AO922 &lt;= 6, "Due Soon[4-6]", AO922 &lt;= 10, "Overdue[7-10]", AO922 &lt;= 15, "Long Overdue[11-15]")</f>
        <v>Due Soon[4-6]</v>
      </c>
      <c r="AQ922" s="9" t="str" cm="1">
        <f t="array" ref="AQ922">_xlfn.IFS(AR922 &lt;= 3, "New Relationship[1-3]", AR922 &lt;= 7, "Established Relationship[4-7]", AR922 &lt;= 12, "Long Term Relationship[8-12]", AR922 &lt;= 17, "Very Long Term Relationship[13-17]")</f>
        <v>Long Term Relationship[8-12]</v>
      </c>
      <c r="AR922" s="1">
        <v>10</v>
      </c>
    </row>
    <row r="923" spans="1:44" x14ac:dyDescent="0.25">
      <c r="A923" s="1">
        <v>28</v>
      </c>
      <c r="B923" s="8" t="str" cm="1">
        <f t="array" ref="B923">_xlfn.IFS(A923 &lt;= 25, "[18-25]", A923 &lt;= 35, "[26-35]", A923 &lt;=45, "[36-45]", A923 &lt;= 60, "[46- 60]")</f>
        <v>[26-35]</v>
      </c>
      <c r="C923" s="3" t="s">
        <v>43</v>
      </c>
      <c r="D923">
        <f t="shared" si="14"/>
        <v>0</v>
      </c>
      <c r="E923" t="s">
        <v>44</v>
      </c>
      <c r="F923" s="1">
        <v>791</v>
      </c>
      <c r="G923" s="3" t="s">
        <v>45</v>
      </c>
      <c r="H923" s="1">
        <v>1</v>
      </c>
      <c r="I923" s="9" t="str" cm="1">
        <f t="array" ref="I923">_xlfn.IFS(H923 &lt;= 2, "[1-2] very close", H923 &lt;= 10, "[3-10] close", H923 &lt;= 20, "[11-20] moderate", H923 &lt;= 30, "[21-30] far")</f>
        <v>[1-2] very close</v>
      </c>
      <c r="J923" s="1">
        <v>4</v>
      </c>
      <c r="K923" s="3" t="s">
        <v>51</v>
      </c>
      <c r="L923" s="1">
        <v>1</v>
      </c>
      <c r="M923" s="1">
        <v>1286</v>
      </c>
      <c r="N923" s="1">
        <v>4</v>
      </c>
      <c r="O923" s="3" t="s">
        <v>46</v>
      </c>
      <c r="P923" s="1">
        <v>44</v>
      </c>
      <c r="Q923" s="1">
        <v>3</v>
      </c>
      <c r="R923" s="1">
        <v>1</v>
      </c>
      <c r="S923" s="3" t="s">
        <v>50</v>
      </c>
      <c r="T923" s="1">
        <v>3</v>
      </c>
      <c r="U923" s="3" t="s">
        <v>41</v>
      </c>
      <c r="V923" s="4">
        <v>2154</v>
      </c>
      <c r="W923" s="1">
        <v>6842</v>
      </c>
      <c r="X923" s="1">
        <v>0</v>
      </c>
      <c r="Y923" s="3" t="s">
        <v>42</v>
      </c>
      <c r="Z923" s="3" t="s">
        <v>35</v>
      </c>
      <c r="AA923" s="5">
        <v>0.11</v>
      </c>
      <c r="AB923" s="10" t="str" cm="1">
        <f t="array" ref="AB923">_xlfn.IFS(AA923 &lt;= 15%, "Low Hike[11-15%]", AA923 &lt;= 20%, "Moderate Hike[16-20%]", AA923 &lt;= 25%,"High Hike[21-25%]")</f>
        <v>Low Hike[11-15%]</v>
      </c>
      <c r="AC923" s="1">
        <v>3</v>
      </c>
      <c r="AD923" s="1">
        <v>3</v>
      </c>
      <c r="AE923" s="1">
        <v>80</v>
      </c>
      <c r="AF923" s="1">
        <v>0</v>
      </c>
      <c r="AG923" s="1">
        <v>5</v>
      </c>
      <c r="AH923" s="9" t="str" cm="1">
        <f t="array" ref="AH923">_xlfn.IFS(AG923 &lt;= 5, "New[1-5]", AG923 &lt;= 10, "Early Career[6-10]", AG923 &lt;= 20, "Established[11-20]", AG923 &lt;= 30, "Veteran[21-30]", AG923 &lt;= 40, "Late Career[31-40]")</f>
        <v>New[1-5]</v>
      </c>
      <c r="AI923" s="1">
        <v>2</v>
      </c>
      <c r="AJ923" s="1">
        <v>2</v>
      </c>
      <c r="AK923" s="1">
        <v>4</v>
      </c>
      <c r="AL923" s="9" t="str" cm="1">
        <f t="array" ref="AL923">_xlfn.IFS(AK923 &lt;= 5, "New[1-5]", AK923 &lt;= 10, "Early Career[6-10]", AK923 &lt;= 20, "Established[11-20]", AK923 &lt;= 30, "Veteran[21-30]", AK923 &lt;= 40, "Late Career[31-40]")</f>
        <v>New[1-5]</v>
      </c>
      <c r="AM923" s="1">
        <v>2</v>
      </c>
      <c r="AN923" s="9" t="str" cm="1">
        <f t="array" ref="AN923">_xlfn.IFS(AM923 &lt;= 3, "New to Role[1-3]", AM923 &lt;= 7, "Settled[4-7]", AM923 &lt;= 12, "Experienced[[8-12]", AM923 &lt;= 18, "Long Tenured[13-18]")</f>
        <v>New to Role[1-3]</v>
      </c>
      <c r="AO923" s="1">
        <v>0</v>
      </c>
      <c r="AP923" s="9" t="str" cm="1">
        <f t="array" ref="AP923">_xlfn.IFS(AO923 &lt;= 3, "Recently[1-3]", AO923 &lt;= 6, "Due Soon[4-6]", AO923 &lt;= 10, "Overdue[7-10]", AO923 &lt;= 15, "Long Overdue[11-15]")</f>
        <v>Recently[1-3]</v>
      </c>
      <c r="AQ923" s="9" t="str" cm="1">
        <f t="array" ref="AQ923">_xlfn.IFS(AR923 &lt;= 3, "New Relationship[1-3]", AR923 &lt;= 7, "Established Relationship[4-7]", AR923 &lt;= 12, "Long Term Relationship[8-12]", AR923 &lt;= 17, "Very Long Term Relationship[13-17]")</f>
        <v>New Relationship[1-3]</v>
      </c>
      <c r="AR923" s="1">
        <v>2</v>
      </c>
    </row>
    <row r="924" spans="1:44" x14ac:dyDescent="0.25">
      <c r="A924" s="1">
        <v>44</v>
      </c>
      <c r="B924" s="8" t="str" cm="1">
        <f t="array" ref="B924">_xlfn.IFS(A924 &lt;= 25, "[18-25]", A924 &lt;= 35, "[26-35]", A924 &lt;=45, "[36-45]", A924 &lt;= 60, "[46- 60]")</f>
        <v>[36-45]</v>
      </c>
      <c r="C924" s="3" t="s">
        <v>43</v>
      </c>
      <c r="D924">
        <f t="shared" si="14"/>
        <v>0</v>
      </c>
      <c r="E924" t="s">
        <v>36</v>
      </c>
      <c r="F924" s="1">
        <v>1199</v>
      </c>
      <c r="G924" s="3" t="s">
        <v>45</v>
      </c>
      <c r="H924" s="1">
        <v>4</v>
      </c>
      <c r="I924" s="9" t="str" cm="1">
        <f t="array" ref="I924">_xlfn.IFS(H924 &lt;= 2, "[1-2] very close", H924 &lt;= 10, "[3-10] close", H924 &lt;= 20, "[11-20] moderate", H924 &lt;= 30, "[21-30] far")</f>
        <v>[3-10] close</v>
      </c>
      <c r="J924" s="1">
        <v>2</v>
      </c>
      <c r="K924" s="3" t="s">
        <v>38</v>
      </c>
      <c r="L924" s="1">
        <v>1</v>
      </c>
      <c r="M924" s="1">
        <v>1288</v>
      </c>
      <c r="N924" s="1">
        <v>3</v>
      </c>
      <c r="O924" s="3" t="s">
        <v>46</v>
      </c>
      <c r="P924" s="1">
        <v>92</v>
      </c>
      <c r="Q924" s="1">
        <v>4</v>
      </c>
      <c r="R924" s="1">
        <v>5</v>
      </c>
      <c r="S924" s="3" t="s">
        <v>56</v>
      </c>
      <c r="T924" s="1">
        <v>1</v>
      </c>
      <c r="U924" s="3" t="s">
        <v>52</v>
      </c>
      <c r="V924" s="4">
        <v>19190</v>
      </c>
      <c r="W924" s="1">
        <v>17477</v>
      </c>
      <c r="X924" s="1">
        <v>1</v>
      </c>
      <c r="Y924" s="3" t="s">
        <v>42</v>
      </c>
      <c r="Z924" s="3" t="s">
        <v>43</v>
      </c>
      <c r="AA924" s="5">
        <v>0.14000000000000001</v>
      </c>
      <c r="AB924" s="10" t="str" cm="1">
        <f t="array" ref="AB924">_xlfn.IFS(AA924 &lt;= 15%, "Low Hike[11-15%]", AA924 &lt;= 20%, "Moderate Hike[16-20%]", AA924 &lt;= 25%,"High Hike[21-25%]")</f>
        <v>Low Hike[11-15%]</v>
      </c>
      <c r="AC924" s="1">
        <v>3</v>
      </c>
      <c r="AD924" s="1">
        <v>4</v>
      </c>
      <c r="AE924" s="1">
        <v>80</v>
      </c>
      <c r="AF924" s="1">
        <v>2</v>
      </c>
      <c r="AG924" s="1">
        <v>26</v>
      </c>
      <c r="AH924" s="9" t="str" cm="1">
        <f t="array" ref="AH924">_xlfn.IFS(AG924 &lt;= 5, "New[1-5]", AG924 &lt;= 10, "Early Career[6-10]", AG924 &lt;= 20, "Established[11-20]", AG924 &lt;= 30, "Veteran[21-30]", AG924 &lt;= 40, "Late Career[31-40]")</f>
        <v>Veteran[21-30]</v>
      </c>
      <c r="AI924" s="1">
        <v>4</v>
      </c>
      <c r="AJ924" s="1">
        <v>2</v>
      </c>
      <c r="AK924" s="1">
        <v>25</v>
      </c>
      <c r="AL924" s="9" t="str" cm="1">
        <f t="array" ref="AL924">_xlfn.IFS(AK924 &lt;= 5, "New[1-5]", AK924 &lt;= 10, "Early Career[6-10]", AK924 &lt;= 20, "Established[11-20]", AK924 &lt;= 30, "Veteran[21-30]", AK924 &lt;= 40, "Late Career[31-40]")</f>
        <v>Veteran[21-30]</v>
      </c>
      <c r="AM924" s="1">
        <v>9</v>
      </c>
      <c r="AN924" s="9" t="str" cm="1">
        <f t="array" ref="AN924">_xlfn.IFS(AM924 &lt;= 3, "New to Role[1-3]", AM924 &lt;= 7, "Settled[4-7]", AM924 &lt;= 12, "Experienced[[8-12]", AM924 &lt;= 18, "Long Tenured[13-18]")</f>
        <v>Experienced[[8-12]</v>
      </c>
      <c r="AO924" s="1">
        <v>14</v>
      </c>
      <c r="AP924" s="9" t="str" cm="1">
        <f t="array" ref="AP924">_xlfn.IFS(AO924 &lt;= 3, "Recently[1-3]", AO924 &lt;= 6, "Due Soon[4-6]", AO924 &lt;= 10, "Overdue[7-10]", AO924 &lt;= 15, "Long Overdue[11-15]")</f>
        <v>Long Overdue[11-15]</v>
      </c>
      <c r="AQ924" s="9" t="str" cm="1">
        <f t="array" ref="AQ924">_xlfn.IFS(AR924 &lt;= 3, "New Relationship[1-3]", AR924 &lt;= 7, "Established Relationship[4-7]", AR924 &lt;= 12, "Long Term Relationship[8-12]", AR924 &lt;= 17, "Very Long Term Relationship[13-17]")</f>
        <v>Very Long Term Relationship[13-17]</v>
      </c>
      <c r="AR924" s="1">
        <v>13</v>
      </c>
    </row>
    <row r="925" spans="1:44" x14ac:dyDescent="0.25">
      <c r="A925" s="1">
        <v>34</v>
      </c>
      <c r="B925" s="8" t="str" cm="1">
        <f t="array" ref="B925">_xlfn.IFS(A925 &lt;= 25, "[18-25]", A925 &lt;= 35, "[26-35]", A925 &lt;=45, "[36-45]", A925 &lt;= 60, "[46- 60]")</f>
        <v>[26-35]</v>
      </c>
      <c r="C925" s="3" t="s">
        <v>43</v>
      </c>
      <c r="D925">
        <f t="shared" si="14"/>
        <v>0</v>
      </c>
      <c r="E925" t="s">
        <v>44</v>
      </c>
      <c r="F925" s="1">
        <v>648</v>
      </c>
      <c r="G925" s="3" t="s">
        <v>61</v>
      </c>
      <c r="H925" s="1">
        <v>11</v>
      </c>
      <c r="I925" s="9" t="str" cm="1">
        <f t="array" ref="I925">_xlfn.IFS(H925 &lt;= 2, "[1-2] very close", H925 &lt;= 10, "[3-10] close", H925 &lt;= 20, "[11-20] moderate", H925 &lt;= 30, "[21-30] far")</f>
        <v>[11-20] moderate</v>
      </c>
      <c r="J925" s="1">
        <v>3</v>
      </c>
      <c r="K925" s="3" t="s">
        <v>38</v>
      </c>
      <c r="L925" s="1">
        <v>1</v>
      </c>
      <c r="M925" s="1">
        <v>1289</v>
      </c>
      <c r="N925" s="1">
        <v>3</v>
      </c>
      <c r="O925" s="3" t="s">
        <v>46</v>
      </c>
      <c r="P925" s="1">
        <v>56</v>
      </c>
      <c r="Q925" s="1">
        <v>2</v>
      </c>
      <c r="R925" s="1">
        <v>2</v>
      </c>
      <c r="S925" s="3" t="s">
        <v>61</v>
      </c>
      <c r="T925" s="1">
        <v>2</v>
      </c>
      <c r="U925" s="3" t="s">
        <v>48</v>
      </c>
      <c r="V925" s="4">
        <v>4490</v>
      </c>
      <c r="W925" s="1">
        <v>21833</v>
      </c>
      <c r="X925" s="1">
        <v>4</v>
      </c>
      <c r="Y925" s="3" t="s">
        <v>42</v>
      </c>
      <c r="Z925" s="3" t="s">
        <v>43</v>
      </c>
      <c r="AA925" s="5">
        <v>0.11</v>
      </c>
      <c r="AB925" s="10" t="str" cm="1">
        <f t="array" ref="AB925">_xlfn.IFS(AA925 &lt;= 15%, "Low Hike[11-15%]", AA925 &lt;= 20%, "Moderate Hike[16-20%]", AA925 &lt;= 25%,"High Hike[21-25%]")</f>
        <v>Low Hike[11-15%]</v>
      </c>
      <c r="AC925" s="1">
        <v>3</v>
      </c>
      <c r="AD925" s="1">
        <v>4</v>
      </c>
      <c r="AE925" s="1">
        <v>80</v>
      </c>
      <c r="AF925" s="1">
        <v>2</v>
      </c>
      <c r="AG925" s="1">
        <v>14</v>
      </c>
      <c r="AH925" s="9" t="str" cm="1">
        <f t="array" ref="AH925">_xlfn.IFS(AG925 &lt;= 5, "New[1-5]", AG925 &lt;= 10, "Early Career[6-10]", AG925 &lt;= 20, "Established[11-20]", AG925 &lt;= 30, "Veteran[21-30]", AG925 &lt;= 40, "Late Career[31-40]")</f>
        <v>Established[11-20]</v>
      </c>
      <c r="AI925" s="1">
        <v>5</v>
      </c>
      <c r="AJ925" s="1">
        <v>4</v>
      </c>
      <c r="AK925" s="1">
        <v>10</v>
      </c>
      <c r="AL925" s="9" t="str" cm="1">
        <f t="array" ref="AL925">_xlfn.IFS(AK925 &lt;= 5, "New[1-5]", AK925 &lt;= 10, "Early Career[6-10]", AK925 &lt;= 20, "Established[11-20]", AK925 &lt;= 30, "Veteran[21-30]", AK925 &lt;= 40, "Late Career[31-40]")</f>
        <v>Early Career[6-10]</v>
      </c>
      <c r="AM925" s="1">
        <v>9</v>
      </c>
      <c r="AN925" s="9" t="str" cm="1">
        <f t="array" ref="AN925">_xlfn.IFS(AM925 &lt;= 3, "New to Role[1-3]", AM925 &lt;= 7, "Settled[4-7]", AM925 &lt;= 12, "Experienced[[8-12]", AM925 &lt;= 18, "Long Tenured[13-18]")</f>
        <v>Experienced[[8-12]</v>
      </c>
      <c r="AO925" s="1">
        <v>1</v>
      </c>
      <c r="AP925" s="9" t="str" cm="1">
        <f t="array" ref="AP925">_xlfn.IFS(AO925 &lt;= 3, "Recently[1-3]", AO925 &lt;= 6, "Due Soon[4-6]", AO925 &lt;= 10, "Overdue[7-10]", AO925 &lt;= 15, "Long Overdue[11-15]")</f>
        <v>Recently[1-3]</v>
      </c>
      <c r="AQ925" s="9" t="str" cm="1">
        <f t="array" ref="AQ925">_xlfn.IFS(AR925 &lt;= 3, "New Relationship[1-3]", AR925 &lt;= 7, "Established Relationship[4-7]", AR925 &lt;= 12, "Long Term Relationship[8-12]", AR925 &lt;= 17, "Very Long Term Relationship[13-17]")</f>
        <v>Long Term Relationship[8-12]</v>
      </c>
      <c r="AR925" s="1">
        <v>8</v>
      </c>
    </row>
    <row r="926" spans="1:44" x14ac:dyDescent="0.25">
      <c r="A926" s="1">
        <v>35</v>
      </c>
      <c r="B926" s="8" t="str" cm="1">
        <f t="array" ref="B926">_xlfn.IFS(A926 &lt;= 25, "[18-25]", A926 &lt;= 35, "[26-35]", A926 &lt;=45, "[36-45]", A926 &lt;= 60, "[46- 60]")</f>
        <v>[26-35]</v>
      </c>
      <c r="C926" s="3" t="s">
        <v>43</v>
      </c>
      <c r="D926">
        <f t="shared" si="14"/>
        <v>0</v>
      </c>
      <c r="E926" t="s">
        <v>36</v>
      </c>
      <c r="F926" s="1">
        <v>735</v>
      </c>
      <c r="G926" s="3" t="s">
        <v>45</v>
      </c>
      <c r="H926" s="1">
        <v>6</v>
      </c>
      <c r="I926" s="9" t="str" cm="1">
        <f t="array" ref="I926">_xlfn.IFS(H926 &lt;= 2, "[1-2] very close", H926 &lt;= 10, "[3-10] close", H926 &lt;= 20, "[11-20] moderate", H926 &lt;= 30, "[21-30] far")</f>
        <v>[3-10] close</v>
      </c>
      <c r="J926" s="1">
        <v>1</v>
      </c>
      <c r="K926" s="3" t="s">
        <v>38</v>
      </c>
      <c r="L926" s="1">
        <v>1</v>
      </c>
      <c r="M926" s="1">
        <v>1291</v>
      </c>
      <c r="N926" s="1">
        <v>3</v>
      </c>
      <c r="O926" s="3" t="s">
        <v>46</v>
      </c>
      <c r="P926" s="1">
        <v>66</v>
      </c>
      <c r="Q926" s="1">
        <v>3</v>
      </c>
      <c r="R926" s="1">
        <v>1</v>
      </c>
      <c r="S926" s="3" t="s">
        <v>47</v>
      </c>
      <c r="T926" s="1">
        <v>3</v>
      </c>
      <c r="U926" s="3" t="s">
        <v>48</v>
      </c>
      <c r="V926" s="4">
        <v>3506</v>
      </c>
      <c r="W926" s="1">
        <v>6020</v>
      </c>
      <c r="X926" s="1">
        <v>0</v>
      </c>
      <c r="Y926" s="3" t="s">
        <v>42</v>
      </c>
      <c r="Z926" s="3" t="s">
        <v>35</v>
      </c>
      <c r="AA926" s="5">
        <v>0.14000000000000001</v>
      </c>
      <c r="AB926" s="10" t="str" cm="1">
        <f t="array" ref="AB926">_xlfn.IFS(AA926 &lt;= 15%, "Low Hike[11-15%]", AA926 &lt;= 20%, "Moderate Hike[16-20%]", AA926 &lt;= 25%,"High Hike[21-25%]")</f>
        <v>Low Hike[11-15%]</v>
      </c>
      <c r="AC926" s="1">
        <v>3</v>
      </c>
      <c r="AD926" s="1">
        <v>4</v>
      </c>
      <c r="AE926" s="1">
        <v>80</v>
      </c>
      <c r="AF926" s="1">
        <v>0</v>
      </c>
      <c r="AG926" s="1">
        <v>4</v>
      </c>
      <c r="AH926" s="9" t="str" cm="1">
        <f t="array" ref="AH926">_xlfn.IFS(AG926 &lt;= 5, "New[1-5]", AG926 &lt;= 10, "Early Career[6-10]", AG926 &lt;= 20, "Established[11-20]", AG926 &lt;= 30, "Veteran[21-30]", AG926 &lt;= 40, "Late Career[31-40]")</f>
        <v>New[1-5]</v>
      </c>
      <c r="AI926" s="1">
        <v>3</v>
      </c>
      <c r="AJ926" s="1">
        <v>3</v>
      </c>
      <c r="AK926" s="1">
        <v>3</v>
      </c>
      <c r="AL926" s="9" t="str" cm="1">
        <f t="array" ref="AL926">_xlfn.IFS(AK926 &lt;= 5, "New[1-5]", AK926 &lt;= 10, "Early Career[6-10]", AK926 &lt;= 20, "Established[11-20]", AK926 &lt;= 30, "Veteran[21-30]", AK926 &lt;= 40, "Late Career[31-40]")</f>
        <v>New[1-5]</v>
      </c>
      <c r="AM926" s="1">
        <v>2</v>
      </c>
      <c r="AN926" s="9" t="str" cm="1">
        <f t="array" ref="AN926">_xlfn.IFS(AM926 &lt;= 3, "New to Role[1-3]", AM926 &lt;= 7, "Settled[4-7]", AM926 &lt;= 12, "Experienced[[8-12]", AM926 &lt;= 18, "Long Tenured[13-18]")</f>
        <v>New to Role[1-3]</v>
      </c>
      <c r="AO926" s="1">
        <v>2</v>
      </c>
      <c r="AP926" s="9" t="str" cm="1">
        <f t="array" ref="AP926">_xlfn.IFS(AO926 &lt;= 3, "Recently[1-3]", AO926 &lt;= 6, "Due Soon[4-6]", AO926 &lt;= 10, "Overdue[7-10]", AO926 &lt;= 15, "Long Overdue[11-15]")</f>
        <v>Recently[1-3]</v>
      </c>
      <c r="AQ926" s="9" t="str" cm="1">
        <f t="array" ref="AQ926">_xlfn.IFS(AR926 &lt;= 3, "New Relationship[1-3]", AR926 &lt;= 7, "Established Relationship[4-7]", AR926 &lt;= 12, "Long Term Relationship[8-12]", AR926 &lt;= 17, "Very Long Term Relationship[13-17]")</f>
        <v>New Relationship[1-3]</v>
      </c>
      <c r="AR926" s="1">
        <v>2</v>
      </c>
    </row>
    <row r="927" spans="1:44" x14ac:dyDescent="0.25">
      <c r="A927" s="1">
        <v>42</v>
      </c>
      <c r="B927" s="8" t="str" cm="1">
        <f t="array" ref="B927">_xlfn.IFS(A927 &lt;= 25, "[18-25]", A927 &lt;= 35, "[26-35]", A927 &lt;=45, "[36-45]", A927 &lt;= 60, "[46- 60]")</f>
        <v>[36-45]</v>
      </c>
      <c r="C927" s="3" t="s">
        <v>43</v>
      </c>
      <c r="D927">
        <f t="shared" si="14"/>
        <v>0</v>
      </c>
      <c r="E927" t="s">
        <v>36</v>
      </c>
      <c r="F927" s="1">
        <v>603</v>
      </c>
      <c r="G927" s="3" t="s">
        <v>45</v>
      </c>
      <c r="H927" s="1">
        <v>7</v>
      </c>
      <c r="I927" s="9" t="str" cm="1">
        <f t="array" ref="I927">_xlfn.IFS(H927 &lt;= 2, "[1-2] very close", H927 &lt;= 10, "[3-10] close", H927 &lt;= 20, "[11-20] moderate", H927 &lt;= 30, "[21-30] far")</f>
        <v>[3-10] close</v>
      </c>
      <c r="J927" s="1">
        <v>4</v>
      </c>
      <c r="K927" s="3" t="s">
        <v>51</v>
      </c>
      <c r="L927" s="1">
        <v>1</v>
      </c>
      <c r="M927" s="1">
        <v>1292</v>
      </c>
      <c r="N927" s="1">
        <v>2</v>
      </c>
      <c r="O927" s="3" t="s">
        <v>39</v>
      </c>
      <c r="P927" s="1">
        <v>78</v>
      </c>
      <c r="Q927" s="1">
        <v>4</v>
      </c>
      <c r="R927" s="1">
        <v>2</v>
      </c>
      <c r="S927" s="3" t="s">
        <v>47</v>
      </c>
      <c r="T927" s="1">
        <v>2</v>
      </c>
      <c r="U927" s="3" t="s">
        <v>48</v>
      </c>
      <c r="V927" s="4">
        <v>2372</v>
      </c>
      <c r="W927" s="1">
        <v>5628</v>
      </c>
      <c r="X927" s="1">
        <v>6</v>
      </c>
      <c r="Y927" s="3" t="s">
        <v>42</v>
      </c>
      <c r="Z927" s="3" t="s">
        <v>35</v>
      </c>
      <c r="AA927" s="5">
        <v>0.16</v>
      </c>
      <c r="AB927" s="10" t="str" cm="1">
        <f t="array" ref="AB927">_xlfn.IFS(AA927 &lt;= 15%, "Low Hike[11-15%]", AA927 &lt;= 20%, "Moderate Hike[16-20%]", AA927 &lt;= 25%,"High Hike[21-25%]")</f>
        <v>Moderate Hike[16-20%]</v>
      </c>
      <c r="AC927" s="1">
        <v>3</v>
      </c>
      <c r="AD927" s="1">
        <v>4</v>
      </c>
      <c r="AE927" s="1">
        <v>80</v>
      </c>
      <c r="AF927" s="1">
        <v>0</v>
      </c>
      <c r="AG927" s="1">
        <v>18</v>
      </c>
      <c r="AH927" s="9" t="str" cm="1">
        <f t="array" ref="AH927">_xlfn.IFS(AG927 &lt;= 5, "New[1-5]", AG927 &lt;= 10, "Early Career[6-10]", AG927 &lt;= 20, "Established[11-20]", AG927 &lt;= 30, "Veteran[21-30]", AG927 &lt;= 40, "Late Career[31-40]")</f>
        <v>Established[11-20]</v>
      </c>
      <c r="AI927" s="1">
        <v>2</v>
      </c>
      <c r="AJ927" s="1">
        <v>3</v>
      </c>
      <c r="AK927" s="1">
        <v>1</v>
      </c>
      <c r="AL927" s="9" t="str" cm="1">
        <f t="array" ref="AL927">_xlfn.IFS(AK927 &lt;= 5, "New[1-5]", AK927 &lt;= 10, "Early Career[6-10]", AK927 &lt;= 20, "Established[11-20]", AK927 &lt;= 30, "Veteran[21-30]", AK927 &lt;= 40, "Late Career[31-40]")</f>
        <v>New[1-5]</v>
      </c>
      <c r="AM927" s="1">
        <v>0</v>
      </c>
      <c r="AN927" s="9" t="str" cm="1">
        <f t="array" ref="AN927">_xlfn.IFS(AM927 &lt;= 3, "New to Role[1-3]", AM927 &lt;= 7, "Settled[4-7]", AM927 &lt;= 12, "Experienced[[8-12]", AM927 &lt;= 18, "Long Tenured[13-18]")</f>
        <v>New to Role[1-3]</v>
      </c>
      <c r="AO927" s="1">
        <v>0</v>
      </c>
      <c r="AP927" s="9" t="str" cm="1">
        <f t="array" ref="AP927">_xlfn.IFS(AO927 &lt;= 3, "Recently[1-3]", AO927 &lt;= 6, "Due Soon[4-6]", AO927 &lt;= 10, "Overdue[7-10]", AO927 &lt;= 15, "Long Overdue[11-15]")</f>
        <v>Recently[1-3]</v>
      </c>
      <c r="AQ927" s="9" t="str" cm="1">
        <f t="array" ref="AQ927">_xlfn.IFS(AR927 &lt;= 3, "New Relationship[1-3]", AR927 &lt;= 7, "Established Relationship[4-7]", AR927 &lt;= 12, "Long Term Relationship[8-12]", AR927 &lt;= 17, "Very Long Term Relationship[13-17]")</f>
        <v>New Relationship[1-3]</v>
      </c>
      <c r="AR927" s="1">
        <v>0</v>
      </c>
    </row>
    <row r="928" spans="1:44" x14ac:dyDescent="0.25">
      <c r="A928" s="1">
        <v>43</v>
      </c>
      <c r="B928" s="8" t="str" cm="1">
        <f t="array" ref="B928">_xlfn.IFS(A928 &lt;= 25, "[18-25]", A928 &lt;= 35, "[26-35]", A928 &lt;=45, "[36-45]", A928 &lt;= 60, "[46- 60]")</f>
        <v>[36-45]</v>
      </c>
      <c r="C928" s="3" t="s">
        <v>43</v>
      </c>
      <c r="D928">
        <f t="shared" si="14"/>
        <v>0</v>
      </c>
      <c r="E928" t="s">
        <v>36</v>
      </c>
      <c r="F928" s="1">
        <v>531</v>
      </c>
      <c r="G928" s="3" t="s">
        <v>37</v>
      </c>
      <c r="H928" s="1">
        <v>4</v>
      </c>
      <c r="I928" s="9" t="str" cm="1">
        <f t="array" ref="I928">_xlfn.IFS(H928 &lt;= 2, "[1-2] very close", H928 &lt;= 10, "[3-10] close", H928 &lt;= 20, "[11-20] moderate", H928 &lt;= 30, "[21-30] far")</f>
        <v>[3-10] close</v>
      </c>
      <c r="J928" s="1">
        <v>4</v>
      </c>
      <c r="K928" s="3" t="s">
        <v>59</v>
      </c>
      <c r="L928" s="1">
        <v>1</v>
      </c>
      <c r="M928" s="1">
        <v>1293</v>
      </c>
      <c r="N928" s="1">
        <v>4</v>
      </c>
      <c r="O928" s="3" t="s">
        <v>39</v>
      </c>
      <c r="P928" s="1">
        <v>56</v>
      </c>
      <c r="Q928" s="1">
        <v>2</v>
      </c>
      <c r="R928" s="1">
        <v>3</v>
      </c>
      <c r="S928" s="3" t="s">
        <v>40</v>
      </c>
      <c r="T928" s="1">
        <v>4</v>
      </c>
      <c r="U928" s="3" t="s">
        <v>41</v>
      </c>
      <c r="V928" s="4">
        <v>10231</v>
      </c>
      <c r="W928" s="1">
        <v>20364</v>
      </c>
      <c r="X928" s="1">
        <v>3</v>
      </c>
      <c r="Y928" s="3" t="s">
        <v>42</v>
      </c>
      <c r="Z928" s="3" t="s">
        <v>43</v>
      </c>
      <c r="AA928" s="5">
        <v>0.14000000000000001</v>
      </c>
      <c r="AB928" s="10" t="str" cm="1">
        <f t="array" ref="AB928">_xlfn.IFS(AA928 &lt;= 15%, "Low Hike[11-15%]", AA928 &lt;= 20%, "Moderate Hike[16-20%]", AA928 &lt;= 25%,"High Hike[21-25%]")</f>
        <v>Low Hike[11-15%]</v>
      </c>
      <c r="AC928" s="1">
        <v>3</v>
      </c>
      <c r="AD928" s="1">
        <v>4</v>
      </c>
      <c r="AE928" s="1">
        <v>80</v>
      </c>
      <c r="AF928" s="1">
        <v>0</v>
      </c>
      <c r="AG928" s="1">
        <v>23</v>
      </c>
      <c r="AH928" s="9" t="str" cm="1">
        <f t="array" ref="AH928">_xlfn.IFS(AG928 &lt;= 5, "New[1-5]", AG928 &lt;= 10, "Early Career[6-10]", AG928 &lt;= 20, "Established[11-20]", AG928 &lt;= 30, "Veteran[21-30]", AG928 &lt;= 40, "Late Career[31-40]")</f>
        <v>Veteran[21-30]</v>
      </c>
      <c r="AI928" s="1">
        <v>3</v>
      </c>
      <c r="AJ928" s="1">
        <v>4</v>
      </c>
      <c r="AK928" s="1">
        <v>21</v>
      </c>
      <c r="AL928" s="9" t="str" cm="1">
        <f t="array" ref="AL928">_xlfn.IFS(AK928 &lt;= 5, "New[1-5]", AK928 &lt;= 10, "Early Career[6-10]", AK928 &lt;= 20, "Established[11-20]", AK928 &lt;= 30, "Veteran[21-30]", AK928 &lt;= 40, "Late Career[31-40]")</f>
        <v>Veteran[21-30]</v>
      </c>
      <c r="AM928" s="1">
        <v>7</v>
      </c>
      <c r="AN928" s="9" t="str" cm="1">
        <f t="array" ref="AN928">_xlfn.IFS(AM928 &lt;= 3, "New to Role[1-3]", AM928 &lt;= 7, "Settled[4-7]", AM928 &lt;= 12, "Experienced[[8-12]", AM928 &lt;= 18, "Long Tenured[13-18]")</f>
        <v>Settled[4-7]</v>
      </c>
      <c r="AO928" s="1">
        <v>15</v>
      </c>
      <c r="AP928" s="9" t="str" cm="1">
        <f t="array" ref="AP928">_xlfn.IFS(AO928 &lt;= 3, "Recently[1-3]", AO928 &lt;= 6, "Due Soon[4-6]", AO928 &lt;= 10, "Overdue[7-10]", AO928 &lt;= 15, "Long Overdue[11-15]")</f>
        <v>Long Overdue[11-15]</v>
      </c>
      <c r="AQ928" s="9" t="str" cm="1">
        <f t="array" ref="AQ928">_xlfn.IFS(AR928 &lt;= 3, "New Relationship[1-3]", AR928 &lt;= 7, "Established Relationship[4-7]", AR928 &lt;= 12, "Long Term Relationship[8-12]", AR928 &lt;= 17, "Very Long Term Relationship[13-17]")</f>
        <v>Very Long Term Relationship[13-17]</v>
      </c>
      <c r="AR928" s="1">
        <v>17</v>
      </c>
    </row>
    <row r="929" spans="1:44" x14ac:dyDescent="0.25">
      <c r="A929" s="1">
        <v>36</v>
      </c>
      <c r="B929" s="8" t="str" cm="1">
        <f t="array" ref="B929">_xlfn.IFS(A929 &lt;= 25, "[18-25]", A929 &lt;= 35, "[26-35]", A929 &lt;=45, "[36-45]", A929 &lt;= 60, "[46- 60]")</f>
        <v>[36-45]</v>
      </c>
      <c r="C929" s="3" t="s">
        <v>43</v>
      </c>
      <c r="D929">
        <f t="shared" si="14"/>
        <v>0</v>
      </c>
      <c r="E929" t="s">
        <v>36</v>
      </c>
      <c r="F929" s="1">
        <v>429</v>
      </c>
      <c r="G929" s="3" t="s">
        <v>45</v>
      </c>
      <c r="H929" s="1">
        <v>2</v>
      </c>
      <c r="I929" s="9" t="str" cm="1">
        <f t="array" ref="I929">_xlfn.IFS(H929 &lt;= 2, "[1-2] very close", H929 &lt;= 10, "[3-10] close", H929 &lt;= 20, "[11-20] moderate", H929 &lt;= 30, "[21-30] far")</f>
        <v>[1-2] very close</v>
      </c>
      <c r="J929" s="1">
        <v>4</v>
      </c>
      <c r="K929" s="3" t="s">
        <v>38</v>
      </c>
      <c r="L929" s="1">
        <v>1</v>
      </c>
      <c r="M929" s="1">
        <v>1294</v>
      </c>
      <c r="N929" s="1">
        <v>3</v>
      </c>
      <c r="O929" s="3" t="s">
        <v>39</v>
      </c>
      <c r="P929" s="1">
        <v>53</v>
      </c>
      <c r="Q929" s="1">
        <v>3</v>
      </c>
      <c r="R929" s="1">
        <v>2</v>
      </c>
      <c r="S929" s="3" t="s">
        <v>53</v>
      </c>
      <c r="T929" s="1">
        <v>2</v>
      </c>
      <c r="U929" s="3" t="s">
        <v>41</v>
      </c>
      <c r="V929" s="4">
        <v>5410</v>
      </c>
      <c r="W929" s="1">
        <v>2323</v>
      </c>
      <c r="X929" s="1">
        <v>9</v>
      </c>
      <c r="Y929" s="3" t="s">
        <v>42</v>
      </c>
      <c r="Z929" s="3" t="s">
        <v>35</v>
      </c>
      <c r="AA929" s="5">
        <v>0.11</v>
      </c>
      <c r="AB929" s="10" t="str" cm="1">
        <f t="array" ref="AB929">_xlfn.IFS(AA929 &lt;= 15%, "Low Hike[11-15%]", AA929 &lt;= 20%, "Moderate Hike[16-20%]", AA929 &lt;= 25%,"High Hike[21-25%]")</f>
        <v>Low Hike[11-15%]</v>
      </c>
      <c r="AC929" s="1">
        <v>3</v>
      </c>
      <c r="AD929" s="1">
        <v>4</v>
      </c>
      <c r="AE929" s="1">
        <v>80</v>
      </c>
      <c r="AF929" s="1">
        <v>0</v>
      </c>
      <c r="AG929" s="1">
        <v>18</v>
      </c>
      <c r="AH929" s="9" t="str" cm="1">
        <f t="array" ref="AH929">_xlfn.IFS(AG929 &lt;= 5, "New[1-5]", AG929 &lt;= 10, "Early Career[6-10]", AG929 &lt;= 20, "Established[11-20]", AG929 &lt;= 30, "Veteran[21-30]", AG929 &lt;= 40, "Late Career[31-40]")</f>
        <v>Established[11-20]</v>
      </c>
      <c r="AI929" s="1">
        <v>2</v>
      </c>
      <c r="AJ929" s="1">
        <v>3</v>
      </c>
      <c r="AK929" s="1">
        <v>16</v>
      </c>
      <c r="AL929" s="9" t="str" cm="1">
        <f t="array" ref="AL929">_xlfn.IFS(AK929 &lt;= 5, "New[1-5]", AK929 &lt;= 10, "Early Career[6-10]", AK929 &lt;= 20, "Established[11-20]", AK929 &lt;= 30, "Veteran[21-30]", AK929 &lt;= 40, "Late Career[31-40]")</f>
        <v>Established[11-20]</v>
      </c>
      <c r="AM929" s="1">
        <v>14</v>
      </c>
      <c r="AN929" s="9" t="str" cm="1">
        <f t="array" ref="AN929">_xlfn.IFS(AM929 &lt;= 3, "New to Role[1-3]", AM929 &lt;= 7, "Settled[4-7]", AM929 &lt;= 12, "Experienced[[8-12]", AM929 &lt;= 18, "Long Tenured[13-18]")</f>
        <v>Long Tenured[13-18]</v>
      </c>
      <c r="AO929" s="1">
        <v>5</v>
      </c>
      <c r="AP929" s="9" t="str" cm="1">
        <f t="array" ref="AP929">_xlfn.IFS(AO929 &lt;= 3, "Recently[1-3]", AO929 &lt;= 6, "Due Soon[4-6]", AO929 &lt;= 10, "Overdue[7-10]", AO929 &lt;= 15, "Long Overdue[11-15]")</f>
        <v>Due Soon[4-6]</v>
      </c>
      <c r="AQ929" s="9" t="str" cm="1">
        <f t="array" ref="AQ929">_xlfn.IFS(AR929 &lt;= 3, "New Relationship[1-3]", AR929 &lt;= 7, "Established Relationship[4-7]", AR929 &lt;= 12, "Long Term Relationship[8-12]", AR929 &lt;= 17, "Very Long Term Relationship[13-17]")</f>
        <v>Long Term Relationship[8-12]</v>
      </c>
      <c r="AR929" s="1">
        <v>12</v>
      </c>
    </row>
    <row r="930" spans="1:44" x14ac:dyDescent="0.25">
      <c r="A930" s="1">
        <v>44</v>
      </c>
      <c r="B930" s="8" t="str" cm="1">
        <f t="array" ref="B930">_xlfn.IFS(A930 &lt;= 25, "[18-25]", A930 &lt;= 35, "[26-35]", A930 &lt;=45, "[36-45]", A930 &lt;= 60, "[46- 60]")</f>
        <v>[36-45]</v>
      </c>
      <c r="C930" s="3" t="s">
        <v>35</v>
      </c>
      <c r="D930">
        <f t="shared" si="14"/>
        <v>1</v>
      </c>
      <c r="E930" t="s">
        <v>36</v>
      </c>
      <c r="F930" s="1">
        <v>621</v>
      </c>
      <c r="G930" s="3" t="s">
        <v>45</v>
      </c>
      <c r="H930" s="1">
        <v>15</v>
      </c>
      <c r="I930" s="9" t="str" cm="1">
        <f t="array" ref="I930">_xlfn.IFS(H930 &lt;= 2, "[1-2] very close", H930 &lt;= 10, "[3-10] close", H930 &lt;= 20, "[11-20] moderate", H930 &lt;= 30, "[21-30] far")</f>
        <v>[11-20] moderate</v>
      </c>
      <c r="J930" s="1">
        <v>3</v>
      </c>
      <c r="K930" s="3" t="s">
        <v>51</v>
      </c>
      <c r="L930" s="1">
        <v>1</v>
      </c>
      <c r="M930" s="1">
        <v>1295</v>
      </c>
      <c r="N930" s="1">
        <v>1</v>
      </c>
      <c r="O930" s="3" t="s">
        <v>39</v>
      </c>
      <c r="P930" s="1">
        <v>73</v>
      </c>
      <c r="Q930" s="1">
        <v>3</v>
      </c>
      <c r="R930" s="1">
        <v>3</v>
      </c>
      <c r="S930" s="3" t="s">
        <v>54</v>
      </c>
      <c r="T930" s="1">
        <v>4</v>
      </c>
      <c r="U930" s="3" t="s">
        <v>48</v>
      </c>
      <c r="V930" s="4">
        <v>7978</v>
      </c>
      <c r="W930" s="1">
        <v>14075</v>
      </c>
      <c r="X930" s="1">
        <v>1</v>
      </c>
      <c r="Y930" s="3" t="s">
        <v>42</v>
      </c>
      <c r="Z930" s="3" t="s">
        <v>43</v>
      </c>
      <c r="AA930" s="5">
        <v>0.11</v>
      </c>
      <c r="AB930" s="10" t="str" cm="1">
        <f t="array" ref="AB930">_xlfn.IFS(AA930 &lt;= 15%, "Low Hike[11-15%]", AA930 &lt;= 20%, "Moderate Hike[16-20%]", AA930 &lt;= 25%,"High Hike[21-25%]")</f>
        <v>Low Hike[11-15%]</v>
      </c>
      <c r="AC930" s="1">
        <v>3</v>
      </c>
      <c r="AD930" s="1">
        <v>4</v>
      </c>
      <c r="AE930" s="1">
        <v>80</v>
      </c>
      <c r="AF930" s="1">
        <v>1</v>
      </c>
      <c r="AG930" s="1">
        <v>10</v>
      </c>
      <c r="AH930" s="9" t="str" cm="1">
        <f t="array" ref="AH930">_xlfn.IFS(AG930 &lt;= 5, "New[1-5]", AG930 &lt;= 10, "Early Career[6-10]", AG930 &lt;= 20, "Established[11-20]", AG930 &lt;= 30, "Veteran[21-30]", AG930 &lt;= 40, "Late Career[31-40]")</f>
        <v>Early Career[6-10]</v>
      </c>
      <c r="AI930" s="1">
        <v>2</v>
      </c>
      <c r="AJ930" s="1">
        <v>3</v>
      </c>
      <c r="AK930" s="1">
        <v>10</v>
      </c>
      <c r="AL930" s="9" t="str" cm="1">
        <f t="array" ref="AL930">_xlfn.IFS(AK930 &lt;= 5, "New[1-5]", AK930 &lt;= 10, "Early Career[6-10]", AK930 &lt;= 20, "Established[11-20]", AK930 &lt;= 30, "Veteran[21-30]", AK930 &lt;= 40, "Late Career[31-40]")</f>
        <v>Early Career[6-10]</v>
      </c>
      <c r="AM930" s="1">
        <v>7</v>
      </c>
      <c r="AN930" s="9" t="str" cm="1">
        <f t="array" ref="AN930">_xlfn.IFS(AM930 &lt;= 3, "New to Role[1-3]", AM930 &lt;= 7, "Settled[4-7]", AM930 &lt;= 12, "Experienced[[8-12]", AM930 &lt;= 18, "Long Tenured[13-18]")</f>
        <v>Settled[4-7]</v>
      </c>
      <c r="AO930" s="1">
        <v>0</v>
      </c>
      <c r="AP930" s="9" t="str" cm="1">
        <f t="array" ref="AP930">_xlfn.IFS(AO930 &lt;= 3, "Recently[1-3]", AO930 &lt;= 6, "Due Soon[4-6]", AO930 &lt;= 10, "Overdue[7-10]", AO930 &lt;= 15, "Long Overdue[11-15]")</f>
        <v>Recently[1-3]</v>
      </c>
      <c r="AQ930" s="9" t="str" cm="1">
        <f t="array" ref="AQ930">_xlfn.IFS(AR930 &lt;= 3, "New Relationship[1-3]", AR930 &lt;= 7, "Established Relationship[4-7]", AR930 &lt;= 12, "Long Term Relationship[8-12]", AR930 &lt;= 17, "Very Long Term Relationship[13-17]")</f>
        <v>Established Relationship[4-7]</v>
      </c>
      <c r="AR930" s="1">
        <v>5</v>
      </c>
    </row>
    <row r="931" spans="1:44" x14ac:dyDescent="0.25">
      <c r="A931" s="1">
        <v>28</v>
      </c>
      <c r="B931" s="8" t="str" cm="1">
        <f t="array" ref="B931">_xlfn.IFS(A931 &lt;= 25, "[18-25]", A931 &lt;= 35, "[26-35]", A931 &lt;=45, "[36-45]", A931 &lt;= 60, "[46- 60]")</f>
        <v>[26-35]</v>
      </c>
      <c r="C931" s="3" t="s">
        <v>43</v>
      </c>
      <c r="D931">
        <f t="shared" si="14"/>
        <v>0</v>
      </c>
      <c r="E931" t="s">
        <v>44</v>
      </c>
      <c r="F931" s="1">
        <v>193</v>
      </c>
      <c r="G931" s="3" t="s">
        <v>45</v>
      </c>
      <c r="H931" s="1">
        <v>2</v>
      </c>
      <c r="I931" s="9" t="str" cm="1">
        <f t="array" ref="I931">_xlfn.IFS(H931 &lt;= 2, "[1-2] very close", H931 &lt;= 10, "[3-10] close", H931 &lt;= 20, "[11-20] moderate", H931 &lt;= 30, "[21-30] far")</f>
        <v>[1-2] very close</v>
      </c>
      <c r="J931" s="1">
        <v>3</v>
      </c>
      <c r="K931" s="3" t="s">
        <v>38</v>
      </c>
      <c r="L931" s="1">
        <v>1</v>
      </c>
      <c r="M931" s="1">
        <v>1296</v>
      </c>
      <c r="N931" s="1">
        <v>4</v>
      </c>
      <c r="O931" s="3" t="s">
        <v>46</v>
      </c>
      <c r="P931" s="1">
        <v>52</v>
      </c>
      <c r="Q931" s="1">
        <v>2</v>
      </c>
      <c r="R931" s="1">
        <v>1</v>
      </c>
      <c r="S931" s="3" t="s">
        <v>50</v>
      </c>
      <c r="T931" s="1">
        <v>4</v>
      </c>
      <c r="U931" s="3" t="s">
        <v>48</v>
      </c>
      <c r="V931" s="4">
        <v>3867</v>
      </c>
      <c r="W931" s="1">
        <v>14222</v>
      </c>
      <c r="X931" s="1">
        <v>1</v>
      </c>
      <c r="Y931" s="3" t="s">
        <v>42</v>
      </c>
      <c r="Z931" s="3" t="s">
        <v>35</v>
      </c>
      <c r="AA931" s="5">
        <v>0.12</v>
      </c>
      <c r="AB931" s="10" t="str" cm="1">
        <f t="array" ref="AB931">_xlfn.IFS(AA931 &lt;= 15%, "Low Hike[11-15%]", AA931 &lt;= 20%, "Moderate Hike[16-20%]", AA931 &lt;= 25%,"High Hike[21-25%]")</f>
        <v>Low Hike[11-15%]</v>
      </c>
      <c r="AC931" s="1">
        <v>3</v>
      </c>
      <c r="AD931" s="1">
        <v>2</v>
      </c>
      <c r="AE931" s="1">
        <v>80</v>
      </c>
      <c r="AF931" s="1">
        <v>1</v>
      </c>
      <c r="AG931" s="1">
        <v>2</v>
      </c>
      <c r="AH931" s="9" t="str" cm="1">
        <f t="array" ref="AH931">_xlfn.IFS(AG931 &lt;= 5, "New[1-5]", AG931 &lt;= 10, "Early Career[6-10]", AG931 &lt;= 20, "Established[11-20]", AG931 &lt;= 30, "Veteran[21-30]", AG931 &lt;= 40, "Late Career[31-40]")</f>
        <v>New[1-5]</v>
      </c>
      <c r="AI931" s="1">
        <v>2</v>
      </c>
      <c r="AJ931" s="1">
        <v>3</v>
      </c>
      <c r="AK931" s="1">
        <v>2</v>
      </c>
      <c r="AL931" s="9" t="str" cm="1">
        <f t="array" ref="AL931">_xlfn.IFS(AK931 &lt;= 5, "New[1-5]", AK931 &lt;= 10, "Early Career[6-10]", AK931 &lt;= 20, "Established[11-20]", AK931 &lt;= 30, "Veteran[21-30]", AK931 &lt;= 40, "Late Career[31-40]")</f>
        <v>New[1-5]</v>
      </c>
      <c r="AM931" s="1">
        <v>2</v>
      </c>
      <c r="AN931" s="9" t="str" cm="1">
        <f t="array" ref="AN931">_xlfn.IFS(AM931 &lt;= 3, "New to Role[1-3]", AM931 &lt;= 7, "Settled[4-7]", AM931 &lt;= 12, "Experienced[[8-12]", AM931 &lt;= 18, "Long Tenured[13-18]")</f>
        <v>New to Role[1-3]</v>
      </c>
      <c r="AO931" s="1">
        <v>2</v>
      </c>
      <c r="AP931" s="9" t="str" cm="1">
        <f t="array" ref="AP931">_xlfn.IFS(AO931 &lt;= 3, "Recently[1-3]", AO931 &lt;= 6, "Due Soon[4-6]", AO931 &lt;= 10, "Overdue[7-10]", AO931 &lt;= 15, "Long Overdue[11-15]")</f>
        <v>Recently[1-3]</v>
      </c>
      <c r="AQ931" s="9" t="str" cm="1">
        <f t="array" ref="AQ931">_xlfn.IFS(AR931 &lt;= 3, "New Relationship[1-3]", AR931 &lt;= 7, "Established Relationship[4-7]", AR931 &lt;= 12, "Long Term Relationship[8-12]", AR931 &lt;= 17, "Very Long Term Relationship[13-17]")</f>
        <v>New Relationship[1-3]</v>
      </c>
      <c r="AR931" s="1">
        <v>2</v>
      </c>
    </row>
    <row r="932" spans="1:44" x14ac:dyDescent="0.25">
      <c r="A932" s="1">
        <v>51</v>
      </c>
      <c r="B932" s="8" t="str" cm="1">
        <f t="array" ref="B932">_xlfn.IFS(A932 &lt;= 25, "[18-25]", A932 &lt;= 35, "[26-35]", A932 &lt;=45, "[36-45]", A932 &lt;= 60, "[46- 60]")</f>
        <v>[46- 60]</v>
      </c>
      <c r="C932" s="3" t="s">
        <v>43</v>
      </c>
      <c r="D932">
        <f t="shared" si="14"/>
        <v>0</v>
      </c>
      <c r="E932" t="s">
        <v>44</v>
      </c>
      <c r="F932" s="1">
        <v>968</v>
      </c>
      <c r="G932" s="3" t="s">
        <v>45</v>
      </c>
      <c r="H932" s="1">
        <v>6</v>
      </c>
      <c r="I932" s="9" t="str" cm="1">
        <f t="array" ref="I932">_xlfn.IFS(H932 &lt;= 2, "[1-2] very close", H932 &lt;= 10, "[3-10] close", H932 &lt;= 20, "[11-20] moderate", H932 &lt;= 30, "[21-30] far")</f>
        <v>[3-10] close</v>
      </c>
      <c r="J932" s="1">
        <v>2</v>
      </c>
      <c r="K932" s="3" t="s">
        <v>51</v>
      </c>
      <c r="L932" s="1">
        <v>1</v>
      </c>
      <c r="M932" s="1">
        <v>1297</v>
      </c>
      <c r="N932" s="1">
        <v>2</v>
      </c>
      <c r="O932" s="3" t="s">
        <v>39</v>
      </c>
      <c r="P932" s="1">
        <v>40</v>
      </c>
      <c r="Q932" s="1">
        <v>2</v>
      </c>
      <c r="R932" s="1">
        <v>1</v>
      </c>
      <c r="S932" s="3" t="s">
        <v>50</v>
      </c>
      <c r="T932" s="1">
        <v>3</v>
      </c>
      <c r="U932" s="3" t="s">
        <v>41</v>
      </c>
      <c r="V932" s="4">
        <v>2838</v>
      </c>
      <c r="W932" s="1">
        <v>4257</v>
      </c>
      <c r="X932" s="1">
        <v>0</v>
      </c>
      <c r="Y932" s="3" t="s">
        <v>42</v>
      </c>
      <c r="Z932" s="3" t="s">
        <v>43</v>
      </c>
      <c r="AA932" s="5">
        <v>0.14000000000000001</v>
      </c>
      <c r="AB932" s="10" t="str" cm="1">
        <f t="array" ref="AB932">_xlfn.IFS(AA932 &lt;= 15%, "Low Hike[11-15%]", AA932 &lt;= 20%, "Moderate Hike[16-20%]", AA932 &lt;= 25%,"High Hike[21-25%]")</f>
        <v>Low Hike[11-15%]</v>
      </c>
      <c r="AC932" s="1">
        <v>3</v>
      </c>
      <c r="AD932" s="1">
        <v>2</v>
      </c>
      <c r="AE932" s="1">
        <v>80</v>
      </c>
      <c r="AF932" s="1">
        <v>0</v>
      </c>
      <c r="AG932" s="1">
        <v>8</v>
      </c>
      <c r="AH932" s="9" t="str" cm="1">
        <f t="array" ref="AH932">_xlfn.IFS(AG932 &lt;= 5, "New[1-5]", AG932 &lt;= 10, "Early Career[6-10]", AG932 &lt;= 20, "Established[11-20]", AG932 &lt;= 30, "Veteran[21-30]", AG932 &lt;= 40, "Late Career[31-40]")</f>
        <v>Early Career[6-10]</v>
      </c>
      <c r="AI932" s="1">
        <v>6</v>
      </c>
      <c r="AJ932" s="1">
        <v>2</v>
      </c>
      <c r="AK932" s="1">
        <v>7</v>
      </c>
      <c r="AL932" s="9" t="str" cm="1">
        <f t="array" ref="AL932">_xlfn.IFS(AK932 &lt;= 5, "New[1-5]", AK932 &lt;= 10, "Early Career[6-10]", AK932 &lt;= 20, "Established[11-20]", AK932 &lt;= 30, "Veteran[21-30]", AK932 &lt;= 40, "Late Career[31-40]")</f>
        <v>Early Career[6-10]</v>
      </c>
      <c r="AM932" s="1">
        <v>0</v>
      </c>
      <c r="AN932" s="9" t="str" cm="1">
        <f t="array" ref="AN932">_xlfn.IFS(AM932 &lt;= 3, "New to Role[1-3]", AM932 &lt;= 7, "Settled[4-7]", AM932 &lt;= 12, "Experienced[[8-12]", AM932 &lt;= 18, "Long Tenured[13-18]")</f>
        <v>New to Role[1-3]</v>
      </c>
      <c r="AO932" s="1">
        <v>7</v>
      </c>
      <c r="AP932" s="9" t="str" cm="1">
        <f t="array" ref="AP932">_xlfn.IFS(AO932 &lt;= 3, "Recently[1-3]", AO932 &lt;= 6, "Due Soon[4-6]", AO932 &lt;= 10, "Overdue[7-10]", AO932 &lt;= 15, "Long Overdue[11-15]")</f>
        <v>Overdue[7-10]</v>
      </c>
      <c r="AQ932" s="9" t="str" cm="1">
        <f t="array" ref="AQ932">_xlfn.IFS(AR932 &lt;= 3, "New Relationship[1-3]", AR932 &lt;= 7, "Established Relationship[4-7]", AR932 &lt;= 12, "Long Term Relationship[8-12]", AR932 &lt;= 17, "Very Long Term Relationship[13-17]")</f>
        <v>Established Relationship[4-7]</v>
      </c>
      <c r="AR932" s="1">
        <v>7</v>
      </c>
    </row>
    <row r="933" spans="1:44" x14ac:dyDescent="0.25">
      <c r="A933" s="1">
        <v>30</v>
      </c>
      <c r="B933" s="8" t="str" cm="1">
        <f t="array" ref="B933">_xlfn.IFS(A933 &lt;= 25, "[18-25]", A933 &lt;= 35, "[26-35]", A933 &lt;=45, "[36-45]", A933 &lt;= 60, "[46- 60]")</f>
        <v>[26-35]</v>
      </c>
      <c r="C933" s="3" t="s">
        <v>43</v>
      </c>
      <c r="D933">
        <f t="shared" si="14"/>
        <v>0</v>
      </c>
      <c r="E933" t="s">
        <v>62</v>
      </c>
      <c r="F933" s="1">
        <v>879</v>
      </c>
      <c r="G933" s="3" t="s">
        <v>45</v>
      </c>
      <c r="H933" s="1">
        <v>9</v>
      </c>
      <c r="I933" s="9" t="str" cm="1">
        <f t="array" ref="I933">_xlfn.IFS(H933 &lt;= 2, "[1-2] very close", H933 &lt;= 10, "[3-10] close", H933 &lt;= 20, "[11-20] moderate", H933 &lt;= 30, "[21-30] far")</f>
        <v>[3-10] close</v>
      </c>
      <c r="J933" s="1">
        <v>2</v>
      </c>
      <c r="K933" s="3" t="s">
        <v>51</v>
      </c>
      <c r="L933" s="1">
        <v>1</v>
      </c>
      <c r="M933" s="1">
        <v>1298</v>
      </c>
      <c r="N933" s="1">
        <v>3</v>
      </c>
      <c r="O933" s="3" t="s">
        <v>39</v>
      </c>
      <c r="P933" s="1">
        <v>72</v>
      </c>
      <c r="Q933" s="1">
        <v>3</v>
      </c>
      <c r="R933" s="1">
        <v>2</v>
      </c>
      <c r="S933" s="3" t="s">
        <v>53</v>
      </c>
      <c r="T933" s="1">
        <v>3</v>
      </c>
      <c r="U933" s="3" t="s">
        <v>41</v>
      </c>
      <c r="V933" s="4">
        <v>4695</v>
      </c>
      <c r="W933" s="1">
        <v>12858</v>
      </c>
      <c r="X933" s="1">
        <v>7</v>
      </c>
      <c r="Y933" s="3" t="s">
        <v>42</v>
      </c>
      <c r="Z933" s="3" t="s">
        <v>35</v>
      </c>
      <c r="AA933" s="5">
        <v>0.18</v>
      </c>
      <c r="AB933" s="10" t="str" cm="1">
        <f t="array" ref="AB933">_xlfn.IFS(AA933 &lt;= 15%, "Low Hike[11-15%]", AA933 &lt;= 20%, "Moderate Hike[16-20%]", AA933 &lt;= 25%,"High Hike[21-25%]")</f>
        <v>Moderate Hike[16-20%]</v>
      </c>
      <c r="AC933" s="1">
        <v>3</v>
      </c>
      <c r="AD933" s="1">
        <v>3</v>
      </c>
      <c r="AE933" s="1">
        <v>80</v>
      </c>
      <c r="AF933" s="1">
        <v>0</v>
      </c>
      <c r="AG933" s="1">
        <v>10</v>
      </c>
      <c r="AH933" s="9" t="str" cm="1">
        <f t="array" ref="AH933">_xlfn.IFS(AG933 &lt;= 5, "New[1-5]", AG933 &lt;= 10, "Early Career[6-10]", AG933 &lt;= 20, "Established[11-20]", AG933 &lt;= 30, "Veteran[21-30]", AG933 &lt;= 40, "Late Career[31-40]")</f>
        <v>Early Career[6-10]</v>
      </c>
      <c r="AI933" s="1">
        <v>3</v>
      </c>
      <c r="AJ933" s="1">
        <v>3</v>
      </c>
      <c r="AK933" s="1">
        <v>8</v>
      </c>
      <c r="AL933" s="9" t="str" cm="1">
        <f t="array" ref="AL933">_xlfn.IFS(AK933 &lt;= 5, "New[1-5]", AK933 &lt;= 10, "Early Career[6-10]", AK933 &lt;= 20, "Established[11-20]", AK933 &lt;= 30, "Veteran[21-30]", AK933 &lt;= 40, "Late Career[31-40]")</f>
        <v>Early Career[6-10]</v>
      </c>
      <c r="AM933" s="1">
        <v>4</v>
      </c>
      <c r="AN933" s="9" t="str" cm="1">
        <f t="array" ref="AN933">_xlfn.IFS(AM933 &lt;= 3, "New to Role[1-3]", AM933 &lt;= 7, "Settled[4-7]", AM933 &lt;= 12, "Experienced[[8-12]", AM933 &lt;= 18, "Long Tenured[13-18]")</f>
        <v>Settled[4-7]</v>
      </c>
      <c r="AO933" s="1">
        <v>1</v>
      </c>
      <c r="AP933" s="9" t="str" cm="1">
        <f t="array" ref="AP933">_xlfn.IFS(AO933 &lt;= 3, "Recently[1-3]", AO933 &lt;= 6, "Due Soon[4-6]", AO933 &lt;= 10, "Overdue[7-10]", AO933 &lt;= 15, "Long Overdue[11-15]")</f>
        <v>Recently[1-3]</v>
      </c>
      <c r="AQ933" s="9" t="str" cm="1">
        <f t="array" ref="AQ933">_xlfn.IFS(AR933 &lt;= 3, "New Relationship[1-3]", AR933 &lt;= 7, "Established Relationship[4-7]", AR933 &lt;= 12, "Long Term Relationship[8-12]", AR933 &lt;= 17, "Very Long Term Relationship[13-17]")</f>
        <v>Established Relationship[4-7]</v>
      </c>
      <c r="AR933" s="1">
        <v>7</v>
      </c>
    </row>
    <row r="934" spans="1:44" x14ac:dyDescent="0.25">
      <c r="A934" s="1">
        <v>29</v>
      </c>
      <c r="B934" s="8" t="str" cm="1">
        <f t="array" ref="B934">_xlfn.IFS(A934 &lt;= 25, "[18-25]", A934 &lt;= 35, "[26-35]", A934 &lt;=45, "[36-45]", A934 &lt;= 60, "[46- 60]")</f>
        <v>[26-35]</v>
      </c>
      <c r="C934" s="3" t="s">
        <v>35</v>
      </c>
      <c r="D934">
        <f t="shared" si="14"/>
        <v>1</v>
      </c>
      <c r="E934" t="s">
        <v>36</v>
      </c>
      <c r="F934" s="1">
        <v>806</v>
      </c>
      <c r="G934" s="3" t="s">
        <v>45</v>
      </c>
      <c r="H934" s="1">
        <v>7</v>
      </c>
      <c r="I934" s="9" t="str" cm="1">
        <f t="array" ref="I934">_xlfn.IFS(H934 &lt;= 2, "[1-2] very close", H934 &lt;= 10, "[3-10] close", H934 &lt;= 20, "[11-20] moderate", H934 &lt;= 30, "[21-30] far")</f>
        <v>[3-10] close</v>
      </c>
      <c r="J934" s="1">
        <v>3</v>
      </c>
      <c r="K934" s="3" t="s">
        <v>60</v>
      </c>
      <c r="L934" s="1">
        <v>1</v>
      </c>
      <c r="M934" s="1">
        <v>1299</v>
      </c>
      <c r="N934" s="1">
        <v>2</v>
      </c>
      <c r="O934" s="3" t="s">
        <v>39</v>
      </c>
      <c r="P934" s="1">
        <v>39</v>
      </c>
      <c r="Q934" s="1">
        <v>3</v>
      </c>
      <c r="R934" s="1">
        <v>1</v>
      </c>
      <c r="S934" s="3" t="s">
        <v>50</v>
      </c>
      <c r="T934" s="1">
        <v>3</v>
      </c>
      <c r="U934" s="3" t="s">
        <v>52</v>
      </c>
      <c r="V934" s="4">
        <v>3339</v>
      </c>
      <c r="W934" s="1">
        <v>17285</v>
      </c>
      <c r="X934" s="1">
        <v>3</v>
      </c>
      <c r="Y934" s="3" t="s">
        <v>42</v>
      </c>
      <c r="Z934" s="3" t="s">
        <v>35</v>
      </c>
      <c r="AA934" s="5">
        <v>0.13</v>
      </c>
      <c r="AB934" s="10" t="str" cm="1">
        <f t="array" ref="AB934">_xlfn.IFS(AA934 &lt;= 15%, "Low Hike[11-15%]", AA934 &lt;= 20%, "Moderate Hike[16-20%]", AA934 &lt;= 25%,"High Hike[21-25%]")</f>
        <v>Low Hike[11-15%]</v>
      </c>
      <c r="AC934" s="1">
        <v>3</v>
      </c>
      <c r="AD934" s="1">
        <v>1</v>
      </c>
      <c r="AE934" s="1">
        <v>80</v>
      </c>
      <c r="AF934" s="1">
        <v>2</v>
      </c>
      <c r="AG934" s="1">
        <v>10</v>
      </c>
      <c r="AH934" s="9" t="str" cm="1">
        <f t="array" ref="AH934">_xlfn.IFS(AG934 &lt;= 5, "New[1-5]", AG934 &lt;= 10, "Early Career[6-10]", AG934 &lt;= 20, "Established[11-20]", AG934 &lt;= 30, "Veteran[21-30]", AG934 &lt;= 40, "Late Career[31-40]")</f>
        <v>Early Career[6-10]</v>
      </c>
      <c r="AI934" s="1">
        <v>2</v>
      </c>
      <c r="AJ934" s="1">
        <v>3</v>
      </c>
      <c r="AK934" s="1">
        <v>7</v>
      </c>
      <c r="AL934" s="9" t="str" cm="1">
        <f t="array" ref="AL934">_xlfn.IFS(AK934 &lt;= 5, "New[1-5]", AK934 &lt;= 10, "Early Career[6-10]", AK934 &lt;= 20, "Established[11-20]", AK934 &lt;= 30, "Veteran[21-30]", AK934 &lt;= 40, "Late Career[31-40]")</f>
        <v>Early Career[6-10]</v>
      </c>
      <c r="AM934" s="1">
        <v>7</v>
      </c>
      <c r="AN934" s="9" t="str" cm="1">
        <f t="array" ref="AN934">_xlfn.IFS(AM934 &lt;= 3, "New to Role[1-3]", AM934 &lt;= 7, "Settled[4-7]", AM934 &lt;= 12, "Experienced[[8-12]", AM934 &lt;= 18, "Long Tenured[13-18]")</f>
        <v>Settled[4-7]</v>
      </c>
      <c r="AO934" s="1">
        <v>7</v>
      </c>
      <c r="AP934" s="9" t="str" cm="1">
        <f t="array" ref="AP934">_xlfn.IFS(AO934 &lt;= 3, "Recently[1-3]", AO934 &lt;= 6, "Due Soon[4-6]", AO934 &lt;= 10, "Overdue[7-10]", AO934 &lt;= 15, "Long Overdue[11-15]")</f>
        <v>Overdue[7-10]</v>
      </c>
      <c r="AQ934" s="9" t="str" cm="1">
        <f t="array" ref="AQ934">_xlfn.IFS(AR934 &lt;= 3, "New Relationship[1-3]", AR934 &lt;= 7, "Established Relationship[4-7]", AR934 &lt;= 12, "Long Term Relationship[8-12]", AR934 &lt;= 17, "Very Long Term Relationship[13-17]")</f>
        <v>Established Relationship[4-7]</v>
      </c>
      <c r="AR934" s="1">
        <v>7</v>
      </c>
    </row>
    <row r="935" spans="1:44" x14ac:dyDescent="0.25">
      <c r="A935" s="1">
        <v>28</v>
      </c>
      <c r="B935" s="8" t="str" cm="1">
        <f t="array" ref="B935">_xlfn.IFS(A935 &lt;= 25, "[18-25]", A935 &lt;= 35, "[26-35]", A935 &lt;=45, "[36-45]", A935 &lt;= 60, "[46- 60]")</f>
        <v>[26-35]</v>
      </c>
      <c r="C935" s="3" t="s">
        <v>43</v>
      </c>
      <c r="D935">
        <f t="shared" si="14"/>
        <v>0</v>
      </c>
      <c r="E935" t="s">
        <v>36</v>
      </c>
      <c r="F935" s="1">
        <v>640</v>
      </c>
      <c r="G935" s="3" t="s">
        <v>45</v>
      </c>
      <c r="H935" s="1">
        <v>1</v>
      </c>
      <c r="I935" s="9" t="str" cm="1">
        <f t="array" ref="I935">_xlfn.IFS(H935 &lt;= 2, "[1-2] very close", H935 &lt;= 10, "[3-10] close", H935 &lt;= 20, "[11-20] moderate", H935 &lt;= 30, "[21-30] far")</f>
        <v>[1-2] very close</v>
      </c>
      <c r="J935" s="1">
        <v>3</v>
      </c>
      <c r="K935" s="3" t="s">
        <v>60</v>
      </c>
      <c r="L935" s="1">
        <v>1</v>
      </c>
      <c r="M935" s="1">
        <v>1301</v>
      </c>
      <c r="N935" s="1">
        <v>4</v>
      </c>
      <c r="O935" s="3" t="s">
        <v>46</v>
      </c>
      <c r="P935" s="1">
        <v>84</v>
      </c>
      <c r="Q935" s="1">
        <v>3</v>
      </c>
      <c r="R935" s="1">
        <v>1</v>
      </c>
      <c r="S935" s="3" t="s">
        <v>47</v>
      </c>
      <c r="T935" s="1">
        <v>1</v>
      </c>
      <c r="U935" s="3" t="s">
        <v>41</v>
      </c>
      <c r="V935" s="4">
        <v>2080</v>
      </c>
      <c r="W935" s="1">
        <v>4732</v>
      </c>
      <c r="X935" s="1">
        <v>2</v>
      </c>
      <c r="Y935" s="3" t="s">
        <v>42</v>
      </c>
      <c r="Z935" s="3" t="s">
        <v>43</v>
      </c>
      <c r="AA935" s="5">
        <v>0.11</v>
      </c>
      <c r="AB935" s="10" t="str" cm="1">
        <f t="array" ref="AB935">_xlfn.IFS(AA935 &lt;= 15%, "Low Hike[11-15%]", AA935 &lt;= 20%, "Moderate Hike[16-20%]", AA935 &lt;= 25%,"High Hike[21-25%]")</f>
        <v>Low Hike[11-15%]</v>
      </c>
      <c r="AC935" s="1">
        <v>3</v>
      </c>
      <c r="AD935" s="1">
        <v>2</v>
      </c>
      <c r="AE935" s="1">
        <v>80</v>
      </c>
      <c r="AF935" s="1">
        <v>0</v>
      </c>
      <c r="AG935" s="1">
        <v>5</v>
      </c>
      <c r="AH935" s="9" t="str" cm="1">
        <f t="array" ref="AH935">_xlfn.IFS(AG935 &lt;= 5, "New[1-5]", AG935 &lt;= 10, "Early Career[6-10]", AG935 &lt;= 20, "Established[11-20]", AG935 &lt;= 30, "Veteran[21-30]", AG935 &lt;= 40, "Late Career[31-40]")</f>
        <v>New[1-5]</v>
      </c>
      <c r="AI935" s="1">
        <v>2</v>
      </c>
      <c r="AJ935" s="1">
        <v>2</v>
      </c>
      <c r="AK935" s="1">
        <v>3</v>
      </c>
      <c r="AL935" s="9" t="str" cm="1">
        <f t="array" ref="AL935">_xlfn.IFS(AK935 &lt;= 5, "New[1-5]", AK935 &lt;= 10, "Early Career[6-10]", AK935 &lt;= 20, "Established[11-20]", AK935 &lt;= 30, "Veteran[21-30]", AK935 &lt;= 40, "Late Career[31-40]")</f>
        <v>New[1-5]</v>
      </c>
      <c r="AM935" s="1">
        <v>2</v>
      </c>
      <c r="AN935" s="9" t="str" cm="1">
        <f t="array" ref="AN935">_xlfn.IFS(AM935 &lt;= 3, "New to Role[1-3]", AM935 &lt;= 7, "Settled[4-7]", AM935 &lt;= 12, "Experienced[[8-12]", AM935 &lt;= 18, "Long Tenured[13-18]")</f>
        <v>New to Role[1-3]</v>
      </c>
      <c r="AO935" s="1">
        <v>1</v>
      </c>
      <c r="AP935" s="9" t="str" cm="1">
        <f t="array" ref="AP935">_xlfn.IFS(AO935 &lt;= 3, "Recently[1-3]", AO935 &lt;= 6, "Due Soon[4-6]", AO935 &lt;= 10, "Overdue[7-10]", AO935 &lt;= 15, "Long Overdue[11-15]")</f>
        <v>Recently[1-3]</v>
      </c>
      <c r="AQ935" s="9" t="str" cm="1">
        <f t="array" ref="AQ935">_xlfn.IFS(AR935 &lt;= 3, "New Relationship[1-3]", AR935 &lt;= 7, "Established Relationship[4-7]", AR935 &lt;= 12, "Long Term Relationship[8-12]", AR935 &lt;= 17, "Very Long Term Relationship[13-17]")</f>
        <v>New Relationship[1-3]</v>
      </c>
      <c r="AR935" s="1">
        <v>2</v>
      </c>
    </row>
    <row r="936" spans="1:44" x14ac:dyDescent="0.25">
      <c r="A936" s="1">
        <v>25</v>
      </c>
      <c r="B936" s="8" t="str" cm="1">
        <f t="array" ref="B936">_xlfn.IFS(A936 &lt;= 25, "[18-25]", A936 &lt;= 35, "[26-35]", A936 &lt;=45, "[36-45]", A936 &lt;= 60, "[46- 60]")</f>
        <v>[18-25]</v>
      </c>
      <c r="C936" s="3" t="s">
        <v>43</v>
      </c>
      <c r="D936">
        <f t="shared" si="14"/>
        <v>0</v>
      </c>
      <c r="E936" t="s">
        <v>36</v>
      </c>
      <c r="F936" s="1">
        <v>266</v>
      </c>
      <c r="G936" s="3" t="s">
        <v>45</v>
      </c>
      <c r="H936" s="1">
        <v>1</v>
      </c>
      <c r="I936" s="9" t="str" cm="1">
        <f t="array" ref="I936">_xlfn.IFS(H936 &lt;= 2, "[1-2] very close", H936 &lt;= 10, "[3-10] close", H936 &lt;= 20, "[11-20] moderate", H936 &lt;= 30, "[21-30] far")</f>
        <v>[1-2] very close</v>
      </c>
      <c r="J936" s="1">
        <v>3</v>
      </c>
      <c r="K936" s="3" t="s">
        <v>51</v>
      </c>
      <c r="L936" s="1">
        <v>1</v>
      </c>
      <c r="M936" s="1">
        <v>1303</v>
      </c>
      <c r="N936" s="1">
        <v>4</v>
      </c>
      <c r="O936" s="3" t="s">
        <v>39</v>
      </c>
      <c r="P936" s="1">
        <v>40</v>
      </c>
      <c r="Q936" s="1">
        <v>3</v>
      </c>
      <c r="R936" s="1">
        <v>1</v>
      </c>
      <c r="S936" s="3" t="s">
        <v>47</v>
      </c>
      <c r="T936" s="1">
        <v>2</v>
      </c>
      <c r="U936" s="3" t="s">
        <v>41</v>
      </c>
      <c r="V936" s="4">
        <v>2096</v>
      </c>
      <c r="W936" s="1">
        <v>18830</v>
      </c>
      <c r="X936" s="1">
        <v>1</v>
      </c>
      <c r="Y936" s="3" t="s">
        <v>42</v>
      </c>
      <c r="Z936" s="3" t="s">
        <v>43</v>
      </c>
      <c r="AA936" s="5">
        <v>0.18</v>
      </c>
      <c r="AB936" s="10" t="str" cm="1">
        <f t="array" ref="AB936">_xlfn.IFS(AA936 &lt;= 15%, "Low Hike[11-15%]", AA936 &lt;= 20%, "Moderate Hike[16-20%]", AA936 &lt;= 25%,"High Hike[21-25%]")</f>
        <v>Moderate Hike[16-20%]</v>
      </c>
      <c r="AC936" s="1">
        <v>3</v>
      </c>
      <c r="AD936" s="1">
        <v>4</v>
      </c>
      <c r="AE936" s="1">
        <v>80</v>
      </c>
      <c r="AF936" s="1">
        <v>0</v>
      </c>
      <c r="AG936" s="1">
        <v>2</v>
      </c>
      <c r="AH936" s="9" t="str" cm="1">
        <f t="array" ref="AH936">_xlfn.IFS(AG936 &lt;= 5, "New[1-5]", AG936 &lt;= 10, "Early Career[6-10]", AG936 &lt;= 20, "Established[11-20]", AG936 &lt;= 30, "Veteran[21-30]", AG936 &lt;= 40, "Late Career[31-40]")</f>
        <v>New[1-5]</v>
      </c>
      <c r="AI936" s="1">
        <v>3</v>
      </c>
      <c r="AJ936" s="1">
        <v>2</v>
      </c>
      <c r="AK936" s="1">
        <v>2</v>
      </c>
      <c r="AL936" s="9" t="str" cm="1">
        <f t="array" ref="AL936">_xlfn.IFS(AK936 &lt;= 5, "New[1-5]", AK936 &lt;= 10, "Early Career[6-10]", AK936 &lt;= 20, "Established[11-20]", AK936 &lt;= 30, "Veteran[21-30]", AK936 &lt;= 40, "Late Career[31-40]")</f>
        <v>New[1-5]</v>
      </c>
      <c r="AM936" s="1">
        <v>2</v>
      </c>
      <c r="AN936" s="9" t="str" cm="1">
        <f t="array" ref="AN936">_xlfn.IFS(AM936 &lt;= 3, "New to Role[1-3]", AM936 &lt;= 7, "Settled[4-7]", AM936 &lt;= 12, "Experienced[[8-12]", AM936 &lt;= 18, "Long Tenured[13-18]")</f>
        <v>New to Role[1-3]</v>
      </c>
      <c r="AO936" s="1">
        <v>2</v>
      </c>
      <c r="AP936" s="9" t="str" cm="1">
        <f t="array" ref="AP936">_xlfn.IFS(AO936 &lt;= 3, "Recently[1-3]", AO936 &lt;= 6, "Due Soon[4-6]", AO936 &lt;= 10, "Overdue[7-10]", AO936 &lt;= 15, "Long Overdue[11-15]")</f>
        <v>Recently[1-3]</v>
      </c>
      <c r="AQ936" s="9" t="str" cm="1">
        <f t="array" ref="AQ936">_xlfn.IFS(AR936 &lt;= 3, "New Relationship[1-3]", AR936 &lt;= 7, "Established Relationship[4-7]", AR936 &lt;= 12, "Long Term Relationship[8-12]", AR936 &lt;= 17, "Very Long Term Relationship[13-17]")</f>
        <v>New Relationship[1-3]</v>
      </c>
      <c r="AR936" s="1">
        <v>1</v>
      </c>
    </row>
    <row r="937" spans="1:44" x14ac:dyDescent="0.25">
      <c r="A937" s="1">
        <v>32</v>
      </c>
      <c r="B937" s="8" t="str" cm="1">
        <f t="array" ref="B937">_xlfn.IFS(A937 &lt;= 25, "[18-25]", A937 &lt;= 35, "[26-35]", A937 &lt;=45, "[36-45]", A937 &lt;= 60, "[46- 60]")</f>
        <v>[26-35]</v>
      </c>
      <c r="C937" s="3" t="s">
        <v>43</v>
      </c>
      <c r="D937">
        <f t="shared" si="14"/>
        <v>0</v>
      </c>
      <c r="E937" t="s">
        <v>36</v>
      </c>
      <c r="F937" s="1">
        <v>604</v>
      </c>
      <c r="G937" s="3" t="s">
        <v>37</v>
      </c>
      <c r="H937" s="1">
        <v>8</v>
      </c>
      <c r="I937" s="9" t="str" cm="1">
        <f t="array" ref="I937">_xlfn.IFS(H937 &lt;= 2, "[1-2] very close", H937 &lt;= 10, "[3-10] close", H937 &lt;= 20, "[11-20] moderate", H937 &lt;= 30, "[21-30] far")</f>
        <v>[3-10] close</v>
      </c>
      <c r="J937" s="1">
        <v>3</v>
      </c>
      <c r="K937" s="3" t="s">
        <v>51</v>
      </c>
      <c r="L937" s="1">
        <v>1</v>
      </c>
      <c r="M937" s="1">
        <v>1304</v>
      </c>
      <c r="N937" s="1">
        <v>3</v>
      </c>
      <c r="O937" s="3" t="s">
        <v>46</v>
      </c>
      <c r="P937" s="1">
        <v>56</v>
      </c>
      <c r="Q937" s="1">
        <v>4</v>
      </c>
      <c r="R937" s="1">
        <v>2</v>
      </c>
      <c r="S937" s="3" t="s">
        <v>40</v>
      </c>
      <c r="T937" s="1">
        <v>4</v>
      </c>
      <c r="U937" s="3" t="s">
        <v>48</v>
      </c>
      <c r="V937" s="4">
        <v>6209</v>
      </c>
      <c r="W937" s="1">
        <v>11693</v>
      </c>
      <c r="X937" s="1">
        <v>1</v>
      </c>
      <c r="Y937" s="3" t="s">
        <v>42</v>
      </c>
      <c r="Z937" s="3" t="s">
        <v>43</v>
      </c>
      <c r="AA937" s="5">
        <v>0.15</v>
      </c>
      <c r="AB937" s="10" t="str" cm="1">
        <f t="array" ref="AB937">_xlfn.IFS(AA937 &lt;= 15%, "Low Hike[11-15%]", AA937 &lt;= 20%, "Moderate Hike[16-20%]", AA937 &lt;= 25%,"High Hike[21-25%]")</f>
        <v>Low Hike[11-15%]</v>
      </c>
      <c r="AC937" s="1">
        <v>3</v>
      </c>
      <c r="AD937" s="1">
        <v>3</v>
      </c>
      <c r="AE937" s="1">
        <v>80</v>
      </c>
      <c r="AF937" s="1">
        <v>2</v>
      </c>
      <c r="AG937" s="1">
        <v>10</v>
      </c>
      <c r="AH937" s="9" t="str" cm="1">
        <f t="array" ref="AH937">_xlfn.IFS(AG937 &lt;= 5, "New[1-5]", AG937 &lt;= 10, "Early Career[6-10]", AG937 &lt;= 20, "Established[11-20]", AG937 &lt;= 30, "Veteran[21-30]", AG937 &lt;= 40, "Late Career[31-40]")</f>
        <v>Early Career[6-10]</v>
      </c>
      <c r="AI937" s="1">
        <v>4</v>
      </c>
      <c r="AJ937" s="1">
        <v>4</v>
      </c>
      <c r="AK937" s="1">
        <v>10</v>
      </c>
      <c r="AL937" s="9" t="str" cm="1">
        <f t="array" ref="AL937">_xlfn.IFS(AK937 &lt;= 5, "New[1-5]", AK937 &lt;= 10, "Early Career[6-10]", AK937 &lt;= 20, "Established[11-20]", AK937 &lt;= 30, "Veteran[21-30]", AK937 &lt;= 40, "Late Career[31-40]")</f>
        <v>Early Career[6-10]</v>
      </c>
      <c r="AM937" s="1">
        <v>7</v>
      </c>
      <c r="AN937" s="9" t="str" cm="1">
        <f t="array" ref="AN937">_xlfn.IFS(AM937 &lt;= 3, "New to Role[1-3]", AM937 &lt;= 7, "Settled[4-7]", AM937 &lt;= 12, "Experienced[[8-12]", AM937 &lt;= 18, "Long Tenured[13-18]")</f>
        <v>Settled[4-7]</v>
      </c>
      <c r="AO937" s="1">
        <v>0</v>
      </c>
      <c r="AP937" s="9" t="str" cm="1">
        <f t="array" ref="AP937">_xlfn.IFS(AO937 &lt;= 3, "Recently[1-3]", AO937 &lt;= 6, "Due Soon[4-6]", AO937 &lt;= 10, "Overdue[7-10]", AO937 &lt;= 15, "Long Overdue[11-15]")</f>
        <v>Recently[1-3]</v>
      </c>
      <c r="AQ937" s="9" t="str" cm="1">
        <f t="array" ref="AQ937">_xlfn.IFS(AR937 &lt;= 3, "New Relationship[1-3]", AR937 &lt;= 7, "Established Relationship[4-7]", AR937 &lt;= 12, "Long Term Relationship[8-12]", AR937 &lt;= 17, "Very Long Term Relationship[13-17]")</f>
        <v>Long Term Relationship[8-12]</v>
      </c>
      <c r="AR937" s="1">
        <v>8</v>
      </c>
    </row>
    <row r="938" spans="1:44" x14ac:dyDescent="0.25">
      <c r="A938" s="1">
        <v>45</v>
      </c>
      <c r="B938" s="8" t="str" cm="1">
        <f t="array" ref="B938">_xlfn.IFS(A938 &lt;= 25, "[18-25]", A938 &lt;= 35, "[26-35]", A938 &lt;=45, "[36-45]", A938 &lt;= 60, "[46- 60]")</f>
        <v>[36-45]</v>
      </c>
      <c r="C938" s="3" t="s">
        <v>43</v>
      </c>
      <c r="D938">
        <f t="shared" si="14"/>
        <v>0</v>
      </c>
      <c r="E938" t="s">
        <v>44</v>
      </c>
      <c r="F938" s="1">
        <v>364</v>
      </c>
      <c r="G938" s="3" t="s">
        <v>45</v>
      </c>
      <c r="H938" s="1">
        <v>25</v>
      </c>
      <c r="I938" s="9" t="str" cm="1">
        <f t="array" ref="I938">_xlfn.IFS(H938 &lt;= 2, "[1-2] very close", H938 &lt;= 10, "[3-10] close", H938 &lt;= 20, "[11-20] moderate", H938 &lt;= 30, "[21-30] far")</f>
        <v>[21-30] far</v>
      </c>
      <c r="J938" s="1">
        <v>3</v>
      </c>
      <c r="K938" s="3" t="s">
        <v>51</v>
      </c>
      <c r="L938" s="1">
        <v>1</v>
      </c>
      <c r="M938" s="1">
        <v>1306</v>
      </c>
      <c r="N938" s="1">
        <v>2</v>
      </c>
      <c r="O938" s="3" t="s">
        <v>39</v>
      </c>
      <c r="P938" s="1">
        <v>83</v>
      </c>
      <c r="Q938" s="1">
        <v>3</v>
      </c>
      <c r="R938" s="1">
        <v>5</v>
      </c>
      <c r="S938" s="3" t="s">
        <v>56</v>
      </c>
      <c r="T938" s="1">
        <v>2</v>
      </c>
      <c r="U938" s="3" t="s">
        <v>41</v>
      </c>
      <c r="V938" s="4">
        <v>18061</v>
      </c>
      <c r="W938" s="1">
        <v>13035</v>
      </c>
      <c r="X938" s="1">
        <v>3</v>
      </c>
      <c r="Y938" s="3" t="s">
        <v>42</v>
      </c>
      <c r="Z938" s="3" t="s">
        <v>43</v>
      </c>
      <c r="AA938" s="5">
        <v>0.22</v>
      </c>
      <c r="AB938" s="10" t="str" cm="1">
        <f t="array" ref="AB938">_xlfn.IFS(AA938 &lt;= 15%, "Low Hike[11-15%]", AA938 &lt;= 20%, "Moderate Hike[16-20%]", AA938 &lt;= 25%,"High Hike[21-25%]")</f>
        <v>High Hike[21-25%]</v>
      </c>
      <c r="AC938" s="1">
        <v>4</v>
      </c>
      <c r="AD938" s="1">
        <v>3</v>
      </c>
      <c r="AE938" s="1">
        <v>80</v>
      </c>
      <c r="AF938" s="1">
        <v>0</v>
      </c>
      <c r="AG938" s="1">
        <v>22</v>
      </c>
      <c r="AH938" s="9" t="str" cm="1">
        <f t="array" ref="AH938">_xlfn.IFS(AG938 &lt;= 5, "New[1-5]", AG938 &lt;= 10, "Early Career[6-10]", AG938 &lt;= 20, "Established[11-20]", AG938 &lt;= 30, "Veteran[21-30]", AG938 &lt;= 40, "Late Career[31-40]")</f>
        <v>Veteran[21-30]</v>
      </c>
      <c r="AI938" s="1">
        <v>4</v>
      </c>
      <c r="AJ938" s="1">
        <v>3</v>
      </c>
      <c r="AK938" s="1">
        <v>0</v>
      </c>
      <c r="AL938" s="9" t="str" cm="1">
        <f t="array" ref="AL938">_xlfn.IFS(AK938 &lt;= 5, "New[1-5]", AK938 &lt;= 10, "Early Career[6-10]", AK938 &lt;= 20, "Established[11-20]", AK938 &lt;= 30, "Veteran[21-30]", AK938 &lt;= 40, "Late Career[31-40]")</f>
        <v>New[1-5]</v>
      </c>
      <c r="AM938" s="1">
        <v>0</v>
      </c>
      <c r="AN938" s="9" t="str" cm="1">
        <f t="array" ref="AN938">_xlfn.IFS(AM938 &lt;= 3, "New to Role[1-3]", AM938 &lt;= 7, "Settled[4-7]", AM938 &lt;= 12, "Experienced[[8-12]", AM938 &lt;= 18, "Long Tenured[13-18]")</f>
        <v>New to Role[1-3]</v>
      </c>
      <c r="AO938" s="1">
        <v>0</v>
      </c>
      <c r="AP938" s="9" t="str" cm="1">
        <f t="array" ref="AP938">_xlfn.IFS(AO938 &lt;= 3, "Recently[1-3]", AO938 &lt;= 6, "Due Soon[4-6]", AO938 &lt;= 10, "Overdue[7-10]", AO938 &lt;= 15, "Long Overdue[11-15]")</f>
        <v>Recently[1-3]</v>
      </c>
      <c r="AQ938" s="9" t="str" cm="1">
        <f t="array" ref="AQ938">_xlfn.IFS(AR938 &lt;= 3, "New Relationship[1-3]", AR938 &lt;= 7, "Established Relationship[4-7]", AR938 &lt;= 12, "Long Term Relationship[8-12]", AR938 &lt;= 17, "Very Long Term Relationship[13-17]")</f>
        <v>New Relationship[1-3]</v>
      </c>
      <c r="AR938" s="1">
        <v>0</v>
      </c>
    </row>
    <row r="939" spans="1:44" x14ac:dyDescent="0.25">
      <c r="A939" s="1">
        <v>39</v>
      </c>
      <c r="B939" s="8" t="str" cm="1">
        <f t="array" ref="B939">_xlfn.IFS(A939 &lt;= 25, "[18-25]", A939 &lt;= 35, "[26-35]", A939 &lt;=45, "[36-45]", A939 &lt;= 60, "[46- 60]")</f>
        <v>[36-45]</v>
      </c>
      <c r="C939" s="3" t="s">
        <v>43</v>
      </c>
      <c r="D939">
        <f t="shared" si="14"/>
        <v>0</v>
      </c>
      <c r="E939" t="s">
        <v>36</v>
      </c>
      <c r="F939" s="1">
        <v>412</v>
      </c>
      <c r="G939" s="3" t="s">
        <v>45</v>
      </c>
      <c r="H939" s="1">
        <v>13</v>
      </c>
      <c r="I939" s="9" t="str" cm="1">
        <f t="array" ref="I939">_xlfn.IFS(H939 &lt;= 2, "[1-2] very close", H939 &lt;= 10, "[3-10] close", H939 &lt;= 20, "[11-20] moderate", H939 &lt;= 30, "[21-30] far")</f>
        <v>[11-20] moderate</v>
      </c>
      <c r="J939" s="1">
        <v>4</v>
      </c>
      <c r="K939" s="3" t="s">
        <v>51</v>
      </c>
      <c r="L939" s="1">
        <v>1</v>
      </c>
      <c r="M939" s="1">
        <v>1307</v>
      </c>
      <c r="N939" s="1">
        <v>3</v>
      </c>
      <c r="O939" s="3" t="s">
        <v>39</v>
      </c>
      <c r="P939" s="1">
        <v>94</v>
      </c>
      <c r="Q939" s="1">
        <v>2</v>
      </c>
      <c r="R939" s="1">
        <v>4</v>
      </c>
      <c r="S939" s="3" t="s">
        <v>56</v>
      </c>
      <c r="T939" s="1">
        <v>2</v>
      </c>
      <c r="U939" s="3" t="s">
        <v>52</v>
      </c>
      <c r="V939" s="4">
        <v>17123</v>
      </c>
      <c r="W939" s="1">
        <v>17334</v>
      </c>
      <c r="X939" s="1">
        <v>6</v>
      </c>
      <c r="Y939" s="3" t="s">
        <v>42</v>
      </c>
      <c r="Z939" s="3" t="s">
        <v>35</v>
      </c>
      <c r="AA939" s="5">
        <v>0.13</v>
      </c>
      <c r="AB939" s="10" t="str" cm="1">
        <f t="array" ref="AB939">_xlfn.IFS(AA939 &lt;= 15%, "Low Hike[11-15%]", AA939 &lt;= 20%, "Moderate Hike[16-20%]", AA939 &lt;= 25%,"High Hike[21-25%]")</f>
        <v>Low Hike[11-15%]</v>
      </c>
      <c r="AC939" s="1">
        <v>3</v>
      </c>
      <c r="AD939" s="1">
        <v>4</v>
      </c>
      <c r="AE939" s="1">
        <v>80</v>
      </c>
      <c r="AF939" s="1">
        <v>2</v>
      </c>
      <c r="AG939" s="1">
        <v>21</v>
      </c>
      <c r="AH939" s="9" t="str" cm="1">
        <f t="array" ref="AH939">_xlfn.IFS(AG939 &lt;= 5, "New[1-5]", AG939 &lt;= 10, "Early Career[6-10]", AG939 &lt;= 20, "Established[11-20]", AG939 &lt;= 30, "Veteran[21-30]", AG939 &lt;= 40, "Late Career[31-40]")</f>
        <v>Veteran[21-30]</v>
      </c>
      <c r="AI939" s="1">
        <v>4</v>
      </c>
      <c r="AJ939" s="1">
        <v>3</v>
      </c>
      <c r="AK939" s="1">
        <v>19</v>
      </c>
      <c r="AL939" s="9" t="str" cm="1">
        <f t="array" ref="AL939">_xlfn.IFS(AK939 &lt;= 5, "New[1-5]", AK939 &lt;= 10, "Early Career[6-10]", AK939 &lt;= 20, "Established[11-20]", AK939 &lt;= 30, "Veteran[21-30]", AK939 &lt;= 40, "Late Career[31-40]")</f>
        <v>Established[11-20]</v>
      </c>
      <c r="AM939" s="1">
        <v>9</v>
      </c>
      <c r="AN939" s="9" t="str" cm="1">
        <f t="array" ref="AN939">_xlfn.IFS(AM939 &lt;= 3, "New to Role[1-3]", AM939 &lt;= 7, "Settled[4-7]", AM939 &lt;= 12, "Experienced[[8-12]", AM939 &lt;= 18, "Long Tenured[13-18]")</f>
        <v>Experienced[[8-12]</v>
      </c>
      <c r="AO939" s="1">
        <v>15</v>
      </c>
      <c r="AP939" s="9" t="str" cm="1">
        <f t="array" ref="AP939">_xlfn.IFS(AO939 &lt;= 3, "Recently[1-3]", AO939 &lt;= 6, "Due Soon[4-6]", AO939 &lt;= 10, "Overdue[7-10]", AO939 &lt;= 15, "Long Overdue[11-15]")</f>
        <v>Long Overdue[11-15]</v>
      </c>
      <c r="AQ939" s="9" t="str" cm="1">
        <f t="array" ref="AQ939">_xlfn.IFS(AR939 &lt;= 3, "New Relationship[1-3]", AR939 &lt;= 7, "Established Relationship[4-7]", AR939 &lt;= 12, "Long Term Relationship[8-12]", AR939 &lt;= 17, "Very Long Term Relationship[13-17]")</f>
        <v>New Relationship[1-3]</v>
      </c>
      <c r="AR939" s="1">
        <v>2</v>
      </c>
    </row>
    <row r="940" spans="1:44" x14ac:dyDescent="0.25">
      <c r="A940" s="1">
        <v>58</v>
      </c>
      <c r="B940" s="8" t="str" cm="1">
        <f t="array" ref="B940">_xlfn.IFS(A940 &lt;= 25, "[18-25]", A940 &lt;= 35, "[26-35]", A940 &lt;=45, "[36-45]", A940 &lt;= 60, "[46- 60]")</f>
        <v>[46- 60]</v>
      </c>
      <c r="C940" s="3" t="s">
        <v>43</v>
      </c>
      <c r="D940">
        <f t="shared" si="14"/>
        <v>0</v>
      </c>
      <c r="E940" t="s">
        <v>36</v>
      </c>
      <c r="F940" s="1">
        <v>848</v>
      </c>
      <c r="G940" s="3" t="s">
        <v>45</v>
      </c>
      <c r="H940" s="1">
        <v>23</v>
      </c>
      <c r="I940" s="9" t="str" cm="1">
        <f t="array" ref="I940">_xlfn.IFS(H940 &lt;= 2, "[1-2] very close", H940 &lt;= 10, "[3-10] close", H940 &lt;= 20, "[11-20] moderate", H940 &lt;= 30, "[21-30] far")</f>
        <v>[21-30] far</v>
      </c>
      <c r="J940" s="1">
        <v>4</v>
      </c>
      <c r="K940" s="3" t="s">
        <v>38</v>
      </c>
      <c r="L940" s="1">
        <v>1</v>
      </c>
      <c r="M940" s="1">
        <v>1308</v>
      </c>
      <c r="N940" s="1">
        <v>1</v>
      </c>
      <c r="O940" s="3" t="s">
        <v>46</v>
      </c>
      <c r="P940" s="1">
        <v>88</v>
      </c>
      <c r="Q940" s="1">
        <v>3</v>
      </c>
      <c r="R940" s="1">
        <v>1</v>
      </c>
      <c r="S940" s="3" t="s">
        <v>47</v>
      </c>
      <c r="T940" s="1">
        <v>3</v>
      </c>
      <c r="U940" s="3" t="s">
        <v>52</v>
      </c>
      <c r="V940" s="4">
        <v>2372</v>
      </c>
      <c r="W940" s="1">
        <v>26076</v>
      </c>
      <c r="X940" s="1">
        <v>1</v>
      </c>
      <c r="Y940" s="3" t="s">
        <v>42</v>
      </c>
      <c r="Z940" s="3" t="s">
        <v>43</v>
      </c>
      <c r="AA940" s="5">
        <v>0.12</v>
      </c>
      <c r="AB940" s="10" t="str" cm="1">
        <f t="array" ref="AB940">_xlfn.IFS(AA940 &lt;= 15%, "Low Hike[11-15%]", AA940 &lt;= 20%, "Moderate Hike[16-20%]", AA940 &lt;= 25%,"High Hike[21-25%]")</f>
        <v>Low Hike[11-15%]</v>
      </c>
      <c r="AC940" s="1">
        <v>3</v>
      </c>
      <c r="AD940" s="1">
        <v>4</v>
      </c>
      <c r="AE940" s="1">
        <v>80</v>
      </c>
      <c r="AF940" s="1">
        <v>2</v>
      </c>
      <c r="AG940" s="1">
        <v>2</v>
      </c>
      <c r="AH940" s="9" t="str" cm="1">
        <f t="array" ref="AH940">_xlfn.IFS(AG940 &lt;= 5, "New[1-5]", AG940 &lt;= 10, "Early Career[6-10]", AG940 &lt;= 20, "Established[11-20]", AG940 &lt;= 30, "Veteran[21-30]", AG940 &lt;= 40, "Late Career[31-40]")</f>
        <v>New[1-5]</v>
      </c>
      <c r="AI940" s="1">
        <v>3</v>
      </c>
      <c r="AJ940" s="1">
        <v>3</v>
      </c>
      <c r="AK940" s="1">
        <v>2</v>
      </c>
      <c r="AL940" s="9" t="str" cm="1">
        <f t="array" ref="AL940">_xlfn.IFS(AK940 &lt;= 5, "New[1-5]", AK940 &lt;= 10, "Early Career[6-10]", AK940 &lt;= 20, "Established[11-20]", AK940 &lt;= 30, "Veteran[21-30]", AK940 &lt;= 40, "Late Career[31-40]")</f>
        <v>New[1-5]</v>
      </c>
      <c r="AM940" s="1">
        <v>2</v>
      </c>
      <c r="AN940" s="9" t="str" cm="1">
        <f t="array" ref="AN940">_xlfn.IFS(AM940 &lt;= 3, "New to Role[1-3]", AM940 &lt;= 7, "Settled[4-7]", AM940 &lt;= 12, "Experienced[[8-12]", AM940 &lt;= 18, "Long Tenured[13-18]")</f>
        <v>New to Role[1-3]</v>
      </c>
      <c r="AO940" s="1">
        <v>2</v>
      </c>
      <c r="AP940" s="9" t="str" cm="1">
        <f t="array" ref="AP940">_xlfn.IFS(AO940 &lt;= 3, "Recently[1-3]", AO940 &lt;= 6, "Due Soon[4-6]", AO940 &lt;= 10, "Overdue[7-10]", AO940 &lt;= 15, "Long Overdue[11-15]")</f>
        <v>Recently[1-3]</v>
      </c>
      <c r="AQ940" s="9" t="str" cm="1">
        <f t="array" ref="AQ940">_xlfn.IFS(AR940 &lt;= 3, "New Relationship[1-3]", AR940 &lt;= 7, "Established Relationship[4-7]", AR940 &lt;= 12, "Long Term Relationship[8-12]", AR940 &lt;= 17, "Very Long Term Relationship[13-17]")</f>
        <v>New Relationship[1-3]</v>
      </c>
      <c r="AR940" s="1">
        <v>2</v>
      </c>
    </row>
    <row r="941" spans="1:44" x14ac:dyDescent="0.25">
      <c r="A941" s="1">
        <v>32</v>
      </c>
      <c r="B941" s="8" t="str" cm="1">
        <f t="array" ref="B941">_xlfn.IFS(A941 &lt;= 25, "[18-25]", A941 &lt;= 35, "[26-35]", A941 &lt;=45, "[36-45]", A941 &lt;= 60, "[46- 60]")</f>
        <v>[26-35]</v>
      </c>
      <c r="C941" s="3" t="s">
        <v>35</v>
      </c>
      <c r="D941">
        <f t="shared" si="14"/>
        <v>1</v>
      </c>
      <c r="E941" t="s">
        <v>36</v>
      </c>
      <c r="F941" s="1">
        <v>1089</v>
      </c>
      <c r="G941" s="3" t="s">
        <v>45</v>
      </c>
      <c r="H941" s="1">
        <v>7</v>
      </c>
      <c r="I941" s="9" t="str" cm="1">
        <f t="array" ref="I941">_xlfn.IFS(H941 &lt;= 2, "[1-2] very close", H941 &lt;= 10, "[3-10] close", H941 &lt;= 20, "[11-20] moderate", H941 &lt;= 30, "[21-30] far")</f>
        <v>[3-10] close</v>
      </c>
      <c r="J941" s="1">
        <v>2</v>
      </c>
      <c r="K941" s="3" t="s">
        <v>38</v>
      </c>
      <c r="L941" s="1">
        <v>1</v>
      </c>
      <c r="M941" s="1">
        <v>1309</v>
      </c>
      <c r="N941" s="1">
        <v>4</v>
      </c>
      <c r="O941" s="3" t="s">
        <v>46</v>
      </c>
      <c r="P941" s="1">
        <v>79</v>
      </c>
      <c r="Q941" s="1">
        <v>3</v>
      </c>
      <c r="R941" s="1">
        <v>2</v>
      </c>
      <c r="S941" s="3" t="s">
        <v>50</v>
      </c>
      <c r="T941" s="1">
        <v>3</v>
      </c>
      <c r="U941" s="3" t="s">
        <v>48</v>
      </c>
      <c r="V941" s="4">
        <v>4883</v>
      </c>
      <c r="W941" s="1">
        <v>22845</v>
      </c>
      <c r="X941" s="1">
        <v>1</v>
      </c>
      <c r="Y941" s="3" t="s">
        <v>42</v>
      </c>
      <c r="Z941" s="3" t="s">
        <v>43</v>
      </c>
      <c r="AA941" s="5">
        <v>0.18</v>
      </c>
      <c r="AB941" s="10" t="str" cm="1">
        <f t="array" ref="AB941">_xlfn.IFS(AA941 &lt;= 15%, "Low Hike[11-15%]", AA941 &lt;= 20%, "Moderate Hike[16-20%]", AA941 &lt;= 25%,"High Hike[21-25%]")</f>
        <v>Moderate Hike[16-20%]</v>
      </c>
      <c r="AC941" s="1">
        <v>3</v>
      </c>
      <c r="AD941" s="1">
        <v>1</v>
      </c>
      <c r="AE941" s="1">
        <v>80</v>
      </c>
      <c r="AF941" s="1">
        <v>1</v>
      </c>
      <c r="AG941" s="1">
        <v>10</v>
      </c>
      <c r="AH941" s="9" t="str" cm="1">
        <f t="array" ref="AH941">_xlfn.IFS(AG941 &lt;= 5, "New[1-5]", AG941 &lt;= 10, "Early Career[6-10]", AG941 &lt;= 20, "Established[11-20]", AG941 &lt;= 30, "Veteran[21-30]", AG941 &lt;= 40, "Late Career[31-40]")</f>
        <v>Early Career[6-10]</v>
      </c>
      <c r="AI941" s="1">
        <v>3</v>
      </c>
      <c r="AJ941" s="1">
        <v>3</v>
      </c>
      <c r="AK941" s="1">
        <v>10</v>
      </c>
      <c r="AL941" s="9" t="str" cm="1">
        <f t="array" ref="AL941">_xlfn.IFS(AK941 &lt;= 5, "New[1-5]", AK941 &lt;= 10, "Early Career[6-10]", AK941 &lt;= 20, "Established[11-20]", AK941 &lt;= 30, "Veteran[21-30]", AK941 &lt;= 40, "Late Career[31-40]")</f>
        <v>Early Career[6-10]</v>
      </c>
      <c r="AM941" s="1">
        <v>4</v>
      </c>
      <c r="AN941" s="9" t="str" cm="1">
        <f t="array" ref="AN941">_xlfn.IFS(AM941 &lt;= 3, "New to Role[1-3]", AM941 &lt;= 7, "Settled[4-7]", AM941 &lt;= 12, "Experienced[[8-12]", AM941 &lt;= 18, "Long Tenured[13-18]")</f>
        <v>Settled[4-7]</v>
      </c>
      <c r="AO941" s="1">
        <v>1</v>
      </c>
      <c r="AP941" s="9" t="str" cm="1">
        <f t="array" ref="AP941">_xlfn.IFS(AO941 &lt;= 3, "Recently[1-3]", AO941 &lt;= 6, "Due Soon[4-6]", AO941 &lt;= 10, "Overdue[7-10]", AO941 &lt;= 15, "Long Overdue[11-15]")</f>
        <v>Recently[1-3]</v>
      </c>
      <c r="AQ941" s="9" t="str" cm="1">
        <f t="array" ref="AQ941">_xlfn.IFS(AR941 &lt;= 3, "New Relationship[1-3]", AR941 &lt;= 7, "Established Relationship[4-7]", AR941 &lt;= 12, "Long Term Relationship[8-12]", AR941 &lt;= 17, "Very Long Term Relationship[13-17]")</f>
        <v>New Relationship[1-3]</v>
      </c>
      <c r="AR941" s="1">
        <v>1</v>
      </c>
    </row>
    <row r="942" spans="1:44" x14ac:dyDescent="0.25">
      <c r="A942" s="1">
        <v>39</v>
      </c>
      <c r="B942" s="8" t="str" cm="1">
        <f t="array" ref="B942">_xlfn.IFS(A942 &lt;= 25, "[18-25]", A942 &lt;= 35, "[26-35]", A942 &lt;=45, "[36-45]", A942 &lt;= 60, "[46- 60]")</f>
        <v>[36-45]</v>
      </c>
      <c r="C942" s="3" t="s">
        <v>35</v>
      </c>
      <c r="D942">
        <f t="shared" si="14"/>
        <v>1</v>
      </c>
      <c r="E942" t="s">
        <v>36</v>
      </c>
      <c r="F942" s="1">
        <v>360</v>
      </c>
      <c r="G942" s="3" t="s">
        <v>45</v>
      </c>
      <c r="H942" s="1">
        <v>23</v>
      </c>
      <c r="I942" s="9" t="str" cm="1">
        <f t="array" ref="I942">_xlfn.IFS(H942 &lt;= 2, "[1-2] very close", H942 &lt;= 10, "[3-10] close", H942 &lt;= 20, "[11-20] moderate", H942 &lt;= 30, "[21-30] far")</f>
        <v>[21-30] far</v>
      </c>
      <c r="J942" s="1">
        <v>3</v>
      </c>
      <c r="K942" s="3" t="s">
        <v>51</v>
      </c>
      <c r="L942" s="1">
        <v>1</v>
      </c>
      <c r="M942" s="1">
        <v>1310</v>
      </c>
      <c r="N942" s="1">
        <v>3</v>
      </c>
      <c r="O942" s="3" t="s">
        <v>46</v>
      </c>
      <c r="P942" s="1">
        <v>93</v>
      </c>
      <c r="Q942" s="1">
        <v>3</v>
      </c>
      <c r="R942" s="1">
        <v>1</v>
      </c>
      <c r="S942" s="3" t="s">
        <v>47</v>
      </c>
      <c r="T942" s="1">
        <v>1</v>
      </c>
      <c r="U942" s="3" t="s">
        <v>41</v>
      </c>
      <c r="V942" s="4">
        <v>3904</v>
      </c>
      <c r="W942" s="1">
        <v>22154</v>
      </c>
      <c r="X942" s="1">
        <v>0</v>
      </c>
      <c r="Y942" s="3" t="s">
        <v>42</v>
      </c>
      <c r="Z942" s="3" t="s">
        <v>43</v>
      </c>
      <c r="AA942" s="5">
        <v>0.13</v>
      </c>
      <c r="AB942" s="10" t="str" cm="1">
        <f t="array" ref="AB942">_xlfn.IFS(AA942 &lt;= 15%, "Low Hike[11-15%]", AA942 &lt;= 20%, "Moderate Hike[16-20%]", AA942 &lt;= 25%,"High Hike[21-25%]")</f>
        <v>Low Hike[11-15%]</v>
      </c>
      <c r="AC942" s="1">
        <v>3</v>
      </c>
      <c r="AD942" s="1">
        <v>1</v>
      </c>
      <c r="AE942" s="1">
        <v>80</v>
      </c>
      <c r="AF942" s="1">
        <v>0</v>
      </c>
      <c r="AG942" s="1">
        <v>6</v>
      </c>
      <c r="AH942" s="9" t="str" cm="1">
        <f t="array" ref="AH942">_xlfn.IFS(AG942 &lt;= 5, "New[1-5]", AG942 &lt;= 10, "Early Career[6-10]", AG942 &lt;= 20, "Established[11-20]", AG942 &lt;= 30, "Veteran[21-30]", AG942 &lt;= 40, "Late Career[31-40]")</f>
        <v>Early Career[6-10]</v>
      </c>
      <c r="AI942" s="1">
        <v>2</v>
      </c>
      <c r="AJ942" s="1">
        <v>3</v>
      </c>
      <c r="AK942" s="1">
        <v>5</v>
      </c>
      <c r="AL942" s="9" t="str" cm="1">
        <f t="array" ref="AL942">_xlfn.IFS(AK942 &lt;= 5, "New[1-5]", AK942 &lt;= 10, "Early Career[6-10]", AK942 &lt;= 20, "Established[11-20]", AK942 &lt;= 30, "Veteran[21-30]", AK942 &lt;= 40, "Late Career[31-40]")</f>
        <v>New[1-5]</v>
      </c>
      <c r="AM942" s="1">
        <v>2</v>
      </c>
      <c r="AN942" s="9" t="str" cm="1">
        <f t="array" ref="AN942">_xlfn.IFS(AM942 &lt;= 3, "New to Role[1-3]", AM942 &lt;= 7, "Settled[4-7]", AM942 &lt;= 12, "Experienced[[8-12]", AM942 &lt;= 18, "Long Tenured[13-18]")</f>
        <v>New to Role[1-3]</v>
      </c>
      <c r="AO942" s="1">
        <v>0</v>
      </c>
      <c r="AP942" s="9" t="str" cm="1">
        <f t="array" ref="AP942">_xlfn.IFS(AO942 &lt;= 3, "Recently[1-3]", AO942 &lt;= 6, "Due Soon[4-6]", AO942 &lt;= 10, "Overdue[7-10]", AO942 &lt;= 15, "Long Overdue[11-15]")</f>
        <v>Recently[1-3]</v>
      </c>
      <c r="AQ942" s="9" t="str" cm="1">
        <f t="array" ref="AQ942">_xlfn.IFS(AR942 &lt;= 3, "New Relationship[1-3]", AR942 &lt;= 7, "Established Relationship[4-7]", AR942 &lt;= 12, "Long Term Relationship[8-12]", AR942 &lt;= 17, "Very Long Term Relationship[13-17]")</f>
        <v>New Relationship[1-3]</v>
      </c>
      <c r="AR942" s="1">
        <v>3</v>
      </c>
    </row>
    <row r="943" spans="1:44" x14ac:dyDescent="0.25">
      <c r="A943" s="1">
        <v>30</v>
      </c>
      <c r="B943" s="8" t="str" cm="1">
        <f t="array" ref="B943">_xlfn.IFS(A943 &lt;= 25, "[18-25]", A943 &lt;= 35, "[26-35]", A943 &lt;=45, "[36-45]", A943 &lt;= 60, "[46- 60]")</f>
        <v>[26-35]</v>
      </c>
      <c r="C943" s="3" t="s">
        <v>43</v>
      </c>
      <c r="D943">
        <f t="shared" si="14"/>
        <v>0</v>
      </c>
      <c r="E943" t="s">
        <v>36</v>
      </c>
      <c r="F943" s="1">
        <v>1138</v>
      </c>
      <c r="G943" s="3" t="s">
        <v>45</v>
      </c>
      <c r="H943" s="1">
        <v>6</v>
      </c>
      <c r="I943" s="9" t="str" cm="1">
        <f t="array" ref="I943">_xlfn.IFS(H943 &lt;= 2, "[1-2] very close", H943 &lt;= 10, "[3-10] close", H943 &lt;= 20, "[11-20] moderate", H943 &lt;= 30, "[21-30] far")</f>
        <v>[3-10] close</v>
      </c>
      <c r="J943" s="1">
        <v>3</v>
      </c>
      <c r="K943" s="3" t="s">
        <v>60</v>
      </c>
      <c r="L943" s="1">
        <v>1</v>
      </c>
      <c r="M943" s="1">
        <v>1311</v>
      </c>
      <c r="N943" s="1">
        <v>1</v>
      </c>
      <c r="O943" s="3" t="s">
        <v>39</v>
      </c>
      <c r="P943" s="1">
        <v>48</v>
      </c>
      <c r="Q943" s="1">
        <v>2</v>
      </c>
      <c r="R943" s="1">
        <v>2</v>
      </c>
      <c r="S943" s="3" t="s">
        <v>50</v>
      </c>
      <c r="T943" s="1">
        <v>4</v>
      </c>
      <c r="U943" s="3" t="s">
        <v>48</v>
      </c>
      <c r="V943" s="4">
        <v>4627</v>
      </c>
      <c r="W943" s="1">
        <v>23631</v>
      </c>
      <c r="X943" s="1">
        <v>0</v>
      </c>
      <c r="Y943" s="3" t="s">
        <v>42</v>
      </c>
      <c r="Z943" s="3" t="s">
        <v>43</v>
      </c>
      <c r="AA943" s="5">
        <v>0.12</v>
      </c>
      <c r="AB943" s="10" t="str" cm="1">
        <f t="array" ref="AB943">_xlfn.IFS(AA943 &lt;= 15%, "Low Hike[11-15%]", AA943 &lt;= 20%, "Moderate Hike[16-20%]", AA943 &lt;= 25%,"High Hike[21-25%]")</f>
        <v>Low Hike[11-15%]</v>
      </c>
      <c r="AC943" s="1">
        <v>3</v>
      </c>
      <c r="AD943" s="1">
        <v>1</v>
      </c>
      <c r="AE943" s="1">
        <v>80</v>
      </c>
      <c r="AF943" s="1">
        <v>1</v>
      </c>
      <c r="AG943" s="1">
        <v>10</v>
      </c>
      <c r="AH943" s="9" t="str" cm="1">
        <f t="array" ref="AH943">_xlfn.IFS(AG943 &lt;= 5, "New[1-5]", AG943 &lt;= 10, "Early Career[6-10]", AG943 &lt;= 20, "Established[11-20]", AG943 &lt;= 30, "Veteran[21-30]", AG943 &lt;= 40, "Late Career[31-40]")</f>
        <v>Early Career[6-10]</v>
      </c>
      <c r="AI943" s="1">
        <v>6</v>
      </c>
      <c r="AJ943" s="1">
        <v>3</v>
      </c>
      <c r="AK943" s="1">
        <v>9</v>
      </c>
      <c r="AL943" s="9" t="str" cm="1">
        <f t="array" ref="AL943">_xlfn.IFS(AK943 &lt;= 5, "New[1-5]", AK943 &lt;= 10, "Early Career[6-10]", AK943 &lt;= 20, "Established[11-20]", AK943 &lt;= 30, "Veteran[21-30]", AK943 &lt;= 40, "Late Career[31-40]")</f>
        <v>Early Career[6-10]</v>
      </c>
      <c r="AM943" s="1">
        <v>2</v>
      </c>
      <c r="AN943" s="9" t="str" cm="1">
        <f t="array" ref="AN943">_xlfn.IFS(AM943 &lt;= 3, "New to Role[1-3]", AM943 &lt;= 7, "Settled[4-7]", AM943 &lt;= 12, "Experienced[[8-12]", AM943 &lt;= 18, "Long Tenured[13-18]")</f>
        <v>New to Role[1-3]</v>
      </c>
      <c r="AO943" s="1">
        <v>6</v>
      </c>
      <c r="AP943" s="9" t="str" cm="1">
        <f t="array" ref="AP943">_xlfn.IFS(AO943 &lt;= 3, "Recently[1-3]", AO943 &lt;= 6, "Due Soon[4-6]", AO943 &lt;= 10, "Overdue[7-10]", AO943 &lt;= 15, "Long Overdue[11-15]")</f>
        <v>Due Soon[4-6]</v>
      </c>
      <c r="AQ943" s="9" t="str" cm="1">
        <f t="array" ref="AQ943">_xlfn.IFS(AR943 &lt;= 3, "New Relationship[1-3]", AR943 &lt;= 7, "Established Relationship[4-7]", AR943 &lt;= 12, "Long Term Relationship[8-12]", AR943 &lt;= 17, "Very Long Term Relationship[13-17]")</f>
        <v>Established Relationship[4-7]</v>
      </c>
      <c r="AR943" s="1">
        <v>7</v>
      </c>
    </row>
    <row r="944" spans="1:44" x14ac:dyDescent="0.25">
      <c r="A944" s="1">
        <v>36</v>
      </c>
      <c r="B944" s="8" t="str" cm="1">
        <f t="array" ref="B944">_xlfn.IFS(A944 &lt;= 25, "[18-25]", A944 &lt;= 35, "[26-35]", A944 &lt;=45, "[36-45]", A944 &lt;= 60, "[46- 60]")</f>
        <v>[36-45]</v>
      </c>
      <c r="C944" s="3" t="s">
        <v>43</v>
      </c>
      <c r="D944">
        <f t="shared" si="14"/>
        <v>0</v>
      </c>
      <c r="E944" t="s">
        <v>36</v>
      </c>
      <c r="F944" s="1">
        <v>325</v>
      </c>
      <c r="G944" s="3" t="s">
        <v>45</v>
      </c>
      <c r="H944" s="1">
        <v>10</v>
      </c>
      <c r="I944" s="9" t="str" cm="1">
        <f t="array" ref="I944">_xlfn.IFS(H944 &lt;= 2, "[1-2] very close", H944 &lt;= 10, "[3-10] close", H944 &lt;= 20, "[11-20] moderate", H944 &lt;= 30, "[21-30] far")</f>
        <v>[3-10] close</v>
      </c>
      <c r="J944" s="1">
        <v>4</v>
      </c>
      <c r="K944" s="3" t="s">
        <v>60</v>
      </c>
      <c r="L944" s="1">
        <v>1</v>
      </c>
      <c r="M944" s="1">
        <v>1312</v>
      </c>
      <c r="N944" s="1">
        <v>4</v>
      </c>
      <c r="O944" s="3" t="s">
        <v>39</v>
      </c>
      <c r="P944" s="1">
        <v>63</v>
      </c>
      <c r="Q944" s="1">
        <v>3</v>
      </c>
      <c r="R944" s="1">
        <v>3</v>
      </c>
      <c r="S944" s="3" t="s">
        <v>54</v>
      </c>
      <c r="T944" s="1">
        <v>3</v>
      </c>
      <c r="U944" s="3" t="s">
        <v>48</v>
      </c>
      <c r="V944" s="4">
        <v>7094</v>
      </c>
      <c r="W944" s="1">
        <v>5747</v>
      </c>
      <c r="X944" s="1">
        <v>3</v>
      </c>
      <c r="Y944" s="3" t="s">
        <v>42</v>
      </c>
      <c r="Z944" s="3" t="s">
        <v>43</v>
      </c>
      <c r="AA944" s="5">
        <v>0.12</v>
      </c>
      <c r="AB944" s="10" t="str" cm="1">
        <f t="array" ref="AB944">_xlfn.IFS(AA944 &lt;= 15%, "Low Hike[11-15%]", AA944 &lt;= 20%, "Moderate Hike[16-20%]", AA944 &lt;= 25%,"High Hike[21-25%]")</f>
        <v>Low Hike[11-15%]</v>
      </c>
      <c r="AC944" s="1">
        <v>3</v>
      </c>
      <c r="AD944" s="1">
        <v>1</v>
      </c>
      <c r="AE944" s="1">
        <v>80</v>
      </c>
      <c r="AF944" s="1">
        <v>0</v>
      </c>
      <c r="AG944" s="1">
        <v>10</v>
      </c>
      <c r="AH944" s="9" t="str" cm="1">
        <f t="array" ref="AH944">_xlfn.IFS(AG944 &lt;= 5, "New[1-5]", AG944 &lt;= 10, "Early Career[6-10]", AG944 &lt;= 20, "Established[11-20]", AG944 &lt;= 30, "Veteran[21-30]", AG944 &lt;= 40, "Late Career[31-40]")</f>
        <v>Early Career[6-10]</v>
      </c>
      <c r="AI944" s="1">
        <v>0</v>
      </c>
      <c r="AJ944" s="1">
        <v>3</v>
      </c>
      <c r="AK944" s="1">
        <v>7</v>
      </c>
      <c r="AL944" s="9" t="str" cm="1">
        <f t="array" ref="AL944">_xlfn.IFS(AK944 &lt;= 5, "New[1-5]", AK944 &lt;= 10, "Early Career[6-10]", AK944 &lt;= 20, "Established[11-20]", AK944 &lt;= 30, "Veteran[21-30]", AK944 &lt;= 40, "Late Career[31-40]")</f>
        <v>Early Career[6-10]</v>
      </c>
      <c r="AM944" s="1">
        <v>7</v>
      </c>
      <c r="AN944" s="9" t="str" cm="1">
        <f t="array" ref="AN944">_xlfn.IFS(AM944 &lt;= 3, "New to Role[1-3]", AM944 &lt;= 7, "Settled[4-7]", AM944 &lt;= 12, "Experienced[[8-12]", AM944 &lt;= 18, "Long Tenured[13-18]")</f>
        <v>Settled[4-7]</v>
      </c>
      <c r="AO944" s="1">
        <v>1</v>
      </c>
      <c r="AP944" s="9" t="str" cm="1">
        <f t="array" ref="AP944">_xlfn.IFS(AO944 &lt;= 3, "Recently[1-3]", AO944 &lt;= 6, "Due Soon[4-6]", AO944 &lt;= 10, "Overdue[7-10]", AO944 &lt;= 15, "Long Overdue[11-15]")</f>
        <v>Recently[1-3]</v>
      </c>
      <c r="AQ944" s="9" t="str" cm="1">
        <f t="array" ref="AQ944">_xlfn.IFS(AR944 &lt;= 3, "New Relationship[1-3]", AR944 &lt;= 7, "Established Relationship[4-7]", AR944 &lt;= 12, "Long Term Relationship[8-12]", AR944 &lt;= 17, "Very Long Term Relationship[13-17]")</f>
        <v>Established Relationship[4-7]</v>
      </c>
      <c r="AR944" s="1">
        <v>7</v>
      </c>
    </row>
    <row r="945" spans="1:44" x14ac:dyDescent="0.25">
      <c r="A945" s="1">
        <v>46</v>
      </c>
      <c r="B945" s="8" t="str" cm="1">
        <f t="array" ref="B945">_xlfn.IFS(A945 &lt;= 25, "[18-25]", A945 &lt;= 35, "[26-35]", A945 &lt;=45, "[36-45]", A945 &lt;= 60, "[46- 60]")</f>
        <v>[46- 60]</v>
      </c>
      <c r="C945" s="3" t="s">
        <v>43</v>
      </c>
      <c r="D945">
        <f t="shared" si="14"/>
        <v>0</v>
      </c>
      <c r="E945" t="s">
        <v>36</v>
      </c>
      <c r="F945" s="1">
        <v>991</v>
      </c>
      <c r="G945" s="3" t="s">
        <v>61</v>
      </c>
      <c r="H945" s="1">
        <v>1</v>
      </c>
      <c r="I945" s="9" t="str" cm="1">
        <f t="array" ref="I945">_xlfn.IFS(H945 &lt;= 2, "[1-2] very close", H945 &lt;= 10, "[3-10] close", H945 &lt;= 20, "[11-20] moderate", H945 &lt;= 30, "[21-30] far")</f>
        <v>[1-2] very close</v>
      </c>
      <c r="J945" s="1">
        <v>2</v>
      </c>
      <c r="K945" s="3" t="s">
        <v>38</v>
      </c>
      <c r="L945" s="1">
        <v>1</v>
      </c>
      <c r="M945" s="1">
        <v>1314</v>
      </c>
      <c r="N945" s="1">
        <v>4</v>
      </c>
      <c r="O945" s="3" t="s">
        <v>39</v>
      </c>
      <c r="P945" s="1">
        <v>44</v>
      </c>
      <c r="Q945" s="1">
        <v>3</v>
      </c>
      <c r="R945" s="1">
        <v>1</v>
      </c>
      <c r="S945" s="3" t="s">
        <v>61</v>
      </c>
      <c r="T945" s="1">
        <v>1</v>
      </c>
      <c r="U945" s="3" t="s">
        <v>41</v>
      </c>
      <c r="V945" s="4">
        <v>3423</v>
      </c>
      <c r="W945" s="1">
        <v>22957</v>
      </c>
      <c r="X945" s="1">
        <v>6</v>
      </c>
      <c r="Y945" s="3" t="s">
        <v>42</v>
      </c>
      <c r="Z945" s="3" t="s">
        <v>43</v>
      </c>
      <c r="AA945" s="5">
        <v>0.12</v>
      </c>
      <c r="AB945" s="10" t="str" cm="1">
        <f t="array" ref="AB945">_xlfn.IFS(AA945 &lt;= 15%, "Low Hike[11-15%]", AA945 &lt;= 20%, "Moderate Hike[16-20%]", AA945 &lt;= 25%,"High Hike[21-25%]")</f>
        <v>Low Hike[11-15%]</v>
      </c>
      <c r="AC945" s="1">
        <v>3</v>
      </c>
      <c r="AD945" s="1">
        <v>3</v>
      </c>
      <c r="AE945" s="1">
        <v>80</v>
      </c>
      <c r="AF945" s="1">
        <v>0</v>
      </c>
      <c r="AG945" s="1">
        <v>10</v>
      </c>
      <c r="AH945" s="9" t="str" cm="1">
        <f t="array" ref="AH945">_xlfn.IFS(AG945 &lt;= 5, "New[1-5]", AG945 &lt;= 10, "Early Career[6-10]", AG945 &lt;= 20, "Established[11-20]", AG945 &lt;= 30, "Veteran[21-30]", AG945 &lt;= 40, "Late Career[31-40]")</f>
        <v>Early Career[6-10]</v>
      </c>
      <c r="AI945" s="1">
        <v>3</v>
      </c>
      <c r="AJ945" s="1">
        <v>4</v>
      </c>
      <c r="AK945" s="1">
        <v>7</v>
      </c>
      <c r="AL945" s="9" t="str" cm="1">
        <f t="array" ref="AL945">_xlfn.IFS(AK945 &lt;= 5, "New[1-5]", AK945 &lt;= 10, "Early Career[6-10]", AK945 &lt;= 20, "Established[11-20]", AK945 &lt;= 30, "Veteran[21-30]", AK945 &lt;= 40, "Late Career[31-40]")</f>
        <v>Early Career[6-10]</v>
      </c>
      <c r="AM945" s="1">
        <v>6</v>
      </c>
      <c r="AN945" s="9" t="str" cm="1">
        <f t="array" ref="AN945">_xlfn.IFS(AM945 &lt;= 3, "New to Role[1-3]", AM945 &lt;= 7, "Settled[4-7]", AM945 &lt;= 12, "Experienced[[8-12]", AM945 &lt;= 18, "Long Tenured[13-18]")</f>
        <v>Settled[4-7]</v>
      </c>
      <c r="AO945" s="1">
        <v>5</v>
      </c>
      <c r="AP945" s="9" t="str" cm="1">
        <f t="array" ref="AP945">_xlfn.IFS(AO945 &lt;= 3, "Recently[1-3]", AO945 &lt;= 6, "Due Soon[4-6]", AO945 &lt;= 10, "Overdue[7-10]", AO945 &lt;= 15, "Long Overdue[11-15]")</f>
        <v>Due Soon[4-6]</v>
      </c>
      <c r="AQ945" s="9" t="str" cm="1">
        <f t="array" ref="AQ945">_xlfn.IFS(AR945 &lt;= 3, "New Relationship[1-3]", AR945 &lt;= 7, "Established Relationship[4-7]", AR945 &lt;= 12, "Long Term Relationship[8-12]", AR945 &lt;= 17, "Very Long Term Relationship[13-17]")</f>
        <v>Established Relationship[4-7]</v>
      </c>
      <c r="AR945" s="1">
        <v>7</v>
      </c>
    </row>
    <row r="946" spans="1:44" x14ac:dyDescent="0.25">
      <c r="A946" s="1">
        <v>28</v>
      </c>
      <c r="B946" s="8" t="str" cm="1">
        <f t="array" ref="B946">_xlfn.IFS(A946 &lt;= 25, "[18-25]", A946 &lt;= 35, "[26-35]", A946 &lt;=45, "[36-45]", A946 &lt;= 60, "[46- 60]")</f>
        <v>[26-35]</v>
      </c>
      <c r="C946" s="3" t="s">
        <v>43</v>
      </c>
      <c r="D946">
        <f t="shared" si="14"/>
        <v>0</v>
      </c>
      <c r="E946" t="s">
        <v>62</v>
      </c>
      <c r="F946" s="1">
        <v>1476</v>
      </c>
      <c r="G946" s="3" t="s">
        <v>45</v>
      </c>
      <c r="H946" s="1">
        <v>1</v>
      </c>
      <c r="I946" s="9" t="str" cm="1">
        <f t="array" ref="I946">_xlfn.IFS(H946 &lt;= 2, "[1-2] very close", H946 &lt;= 10, "[3-10] close", H946 &lt;= 20, "[11-20] moderate", H946 &lt;= 30, "[21-30] far")</f>
        <v>[1-2] very close</v>
      </c>
      <c r="J946" s="1">
        <v>3</v>
      </c>
      <c r="K946" s="3" t="s">
        <v>38</v>
      </c>
      <c r="L946" s="1">
        <v>1</v>
      </c>
      <c r="M946" s="1">
        <v>1315</v>
      </c>
      <c r="N946" s="1">
        <v>3</v>
      </c>
      <c r="O946" s="3" t="s">
        <v>39</v>
      </c>
      <c r="P946" s="1">
        <v>55</v>
      </c>
      <c r="Q946" s="1">
        <v>1</v>
      </c>
      <c r="R946" s="1">
        <v>2</v>
      </c>
      <c r="S946" s="3" t="s">
        <v>50</v>
      </c>
      <c r="T946" s="1">
        <v>4</v>
      </c>
      <c r="U946" s="3" t="s">
        <v>48</v>
      </c>
      <c r="V946" s="4">
        <v>6674</v>
      </c>
      <c r="W946" s="1">
        <v>16392</v>
      </c>
      <c r="X946" s="1">
        <v>0</v>
      </c>
      <c r="Y946" s="3" t="s">
        <v>42</v>
      </c>
      <c r="Z946" s="3" t="s">
        <v>43</v>
      </c>
      <c r="AA946" s="5">
        <v>0.11</v>
      </c>
      <c r="AB946" s="10" t="str" cm="1">
        <f t="array" ref="AB946">_xlfn.IFS(AA946 &lt;= 15%, "Low Hike[11-15%]", AA946 &lt;= 20%, "Moderate Hike[16-20%]", AA946 &lt;= 25%,"High Hike[21-25%]")</f>
        <v>Low Hike[11-15%]</v>
      </c>
      <c r="AC946" s="1">
        <v>3</v>
      </c>
      <c r="AD946" s="1">
        <v>1</v>
      </c>
      <c r="AE946" s="1">
        <v>80</v>
      </c>
      <c r="AF946" s="1">
        <v>3</v>
      </c>
      <c r="AG946" s="1">
        <v>10</v>
      </c>
      <c r="AH946" s="9" t="str" cm="1">
        <f t="array" ref="AH946">_xlfn.IFS(AG946 &lt;= 5, "New[1-5]", AG946 &lt;= 10, "Early Career[6-10]", AG946 &lt;= 20, "Established[11-20]", AG946 &lt;= 30, "Veteran[21-30]", AG946 &lt;= 40, "Late Career[31-40]")</f>
        <v>Early Career[6-10]</v>
      </c>
      <c r="AI946" s="1">
        <v>6</v>
      </c>
      <c r="AJ946" s="1">
        <v>3</v>
      </c>
      <c r="AK946" s="1">
        <v>9</v>
      </c>
      <c r="AL946" s="9" t="str" cm="1">
        <f t="array" ref="AL946">_xlfn.IFS(AK946 &lt;= 5, "New[1-5]", AK946 &lt;= 10, "Early Career[6-10]", AK946 &lt;= 20, "Established[11-20]", AK946 &lt;= 30, "Veteran[21-30]", AK946 &lt;= 40, "Late Career[31-40]")</f>
        <v>Early Career[6-10]</v>
      </c>
      <c r="AM946" s="1">
        <v>8</v>
      </c>
      <c r="AN946" s="9" t="str" cm="1">
        <f t="array" ref="AN946">_xlfn.IFS(AM946 &lt;= 3, "New to Role[1-3]", AM946 &lt;= 7, "Settled[4-7]", AM946 &lt;= 12, "Experienced[[8-12]", AM946 &lt;= 18, "Long Tenured[13-18]")</f>
        <v>Experienced[[8-12]</v>
      </c>
      <c r="AO946" s="1">
        <v>7</v>
      </c>
      <c r="AP946" s="9" t="str" cm="1">
        <f t="array" ref="AP946">_xlfn.IFS(AO946 &lt;= 3, "Recently[1-3]", AO946 &lt;= 6, "Due Soon[4-6]", AO946 &lt;= 10, "Overdue[7-10]", AO946 &lt;= 15, "Long Overdue[11-15]")</f>
        <v>Overdue[7-10]</v>
      </c>
      <c r="AQ946" s="9" t="str" cm="1">
        <f t="array" ref="AQ946">_xlfn.IFS(AR946 &lt;= 3, "New Relationship[1-3]", AR946 &lt;= 7, "Established Relationship[4-7]", AR946 &lt;= 12, "Long Term Relationship[8-12]", AR946 &lt;= 17, "Very Long Term Relationship[13-17]")</f>
        <v>Established Relationship[4-7]</v>
      </c>
      <c r="AR946" s="1">
        <v>5</v>
      </c>
    </row>
    <row r="947" spans="1:44" x14ac:dyDescent="0.25">
      <c r="A947" s="1">
        <v>50</v>
      </c>
      <c r="B947" s="8" t="str" cm="1">
        <f t="array" ref="B947">_xlfn.IFS(A947 &lt;= 25, "[18-25]", A947 &lt;= 35, "[26-35]", A947 &lt;=45, "[36-45]", A947 &lt;= 60, "[46- 60]")</f>
        <v>[46- 60]</v>
      </c>
      <c r="C947" s="3" t="s">
        <v>43</v>
      </c>
      <c r="D947">
        <f t="shared" si="14"/>
        <v>0</v>
      </c>
      <c r="E947" t="s">
        <v>36</v>
      </c>
      <c r="F947" s="1">
        <v>1322</v>
      </c>
      <c r="G947" s="3" t="s">
        <v>45</v>
      </c>
      <c r="H947" s="1">
        <v>28</v>
      </c>
      <c r="I947" s="9" t="str" cm="1">
        <f t="array" ref="I947">_xlfn.IFS(H947 &lt;= 2, "[1-2] very close", H947 &lt;= 10, "[3-10] close", H947 &lt;= 20, "[11-20] moderate", H947 &lt;= 30, "[21-30] far")</f>
        <v>[21-30] far</v>
      </c>
      <c r="J947" s="1">
        <v>3</v>
      </c>
      <c r="K947" s="3" t="s">
        <v>38</v>
      </c>
      <c r="L947" s="1">
        <v>1</v>
      </c>
      <c r="M947" s="1">
        <v>1317</v>
      </c>
      <c r="N947" s="1">
        <v>4</v>
      </c>
      <c r="O947" s="3" t="s">
        <v>39</v>
      </c>
      <c r="P947" s="1">
        <v>43</v>
      </c>
      <c r="Q947" s="1">
        <v>3</v>
      </c>
      <c r="R947" s="1">
        <v>4</v>
      </c>
      <c r="S947" s="3" t="s">
        <v>58</v>
      </c>
      <c r="T947" s="1">
        <v>1</v>
      </c>
      <c r="U947" s="3" t="s">
        <v>48</v>
      </c>
      <c r="V947" s="4">
        <v>16880</v>
      </c>
      <c r="W947" s="1">
        <v>22422</v>
      </c>
      <c r="X947" s="1">
        <v>4</v>
      </c>
      <c r="Y947" s="3" t="s">
        <v>42</v>
      </c>
      <c r="Z947" s="3" t="s">
        <v>35</v>
      </c>
      <c r="AA947" s="5">
        <v>0.11</v>
      </c>
      <c r="AB947" s="10" t="str" cm="1">
        <f t="array" ref="AB947">_xlfn.IFS(AA947 &lt;= 15%, "Low Hike[11-15%]", AA947 &lt;= 20%, "Moderate Hike[16-20%]", AA947 &lt;= 25%,"High Hike[21-25%]")</f>
        <v>Low Hike[11-15%]</v>
      </c>
      <c r="AC947" s="1">
        <v>3</v>
      </c>
      <c r="AD947" s="1">
        <v>2</v>
      </c>
      <c r="AE947" s="1">
        <v>80</v>
      </c>
      <c r="AF947" s="1">
        <v>0</v>
      </c>
      <c r="AG947" s="1">
        <v>25</v>
      </c>
      <c r="AH947" s="9" t="str" cm="1">
        <f t="array" ref="AH947">_xlfn.IFS(AG947 &lt;= 5, "New[1-5]", AG947 &lt;= 10, "Early Career[6-10]", AG947 &lt;= 20, "Established[11-20]", AG947 &lt;= 30, "Veteran[21-30]", AG947 &lt;= 40, "Late Career[31-40]")</f>
        <v>Veteran[21-30]</v>
      </c>
      <c r="AI947" s="1">
        <v>2</v>
      </c>
      <c r="AJ947" s="1">
        <v>3</v>
      </c>
      <c r="AK947" s="1">
        <v>3</v>
      </c>
      <c r="AL947" s="9" t="str" cm="1">
        <f t="array" ref="AL947">_xlfn.IFS(AK947 &lt;= 5, "New[1-5]", AK947 &lt;= 10, "Early Career[6-10]", AK947 &lt;= 20, "Established[11-20]", AK947 &lt;= 30, "Veteran[21-30]", AK947 &lt;= 40, "Late Career[31-40]")</f>
        <v>New[1-5]</v>
      </c>
      <c r="AM947" s="1">
        <v>2</v>
      </c>
      <c r="AN947" s="9" t="str" cm="1">
        <f t="array" ref="AN947">_xlfn.IFS(AM947 &lt;= 3, "New to Role[1-3]", AM947 &lt;= 7, "Settled[4-7]", AM947 &lt;= 12, "Experienced[[8-12]", AM947 &lt;= 18, "Long Tenured[13-18]")</f>
        <v>New to Role[1-3]</v>
      </c>
      <c r="AO947" s="1">
        <v>1</v>
      </c>
      <c r="AP947" s="9" t="str" cm="1">
        <f t="array" ref="AP947">_xlfn.IFS(AO947 &lt;= 3, "Recently[1-3]", AO947 &lt;= 6, "Due Soon[4-6]", AO947 &lt;= 10, "Overdue[7-10]", AO947 &lt;= 15, "Long Overdue[11-15]")</f>
        <v>Recently[1-3]</v>
      </c>
      <c r="AQ947" s="9" t="str" cm="1">
        <f t="array" ref="AQ947">_xlfn.IFS(AR947 &lt;= 3, "New Relationship[1-3]", AR947 &lt;= 7, "Established Relationship[4-7]", AR947 &lt;= 12, "Long Term Relationship[8-12]", AR947 &lt;= 17, "Very Long Term Relationship[13-17]")</f>
        <v>New Relationship[1-3]</v>
      </c>
      <c r="AR947" s="1">
        <v>2</v>
      </c>
    </row>
    <row r="948" spans="1:44" x14ac:dyDescent="0.25">
      <c r="A948" s="1">
        <v>40</v>
      </c>
      <c r="B948" s="8" t="str" cm="1">
        <f t="array" ref="B948">_xlfn.IFS(A948 &lt;= 25, "[18-25]", A948 &lt;= 35, "[26-35]", A948 &lt;=45, "[36-45]", A948 &lt;= 60, "[46- 60]")</f>
        <v>[36-45]</v>
      </c>
      <c r="C948" s="3" t="s">
        <v>35</v>
      </c>
      <c r="D948">
        <f t="shared" si="14"/>
        <v>1</v>
      </c>
      <c r="E948" t="s">
        <v>36</v>
      </c>
      <c r="F948" s="1">
        <v>299</v>
      </c>
      <c r="G948" s="3" t="s">
        <v>37</v>
      </c>
      <c r="H948" s="1">
        <v>25</v>
      </c>
      <c r="I948" s="9" t="str" cm="1">
        <f t="array" ref="I948">_xlfn.IFS(H948 &lt;= 2, "[1-2] very close", H948 &lt;= 10, "[3-10] close", H948 &lt;= 20, "[11-20] moderate", H948 &lt;= 30, "[21-30] far")</f>
        <v>[21-30] far</v>
      </c>
      <c r="J948" s="1">
        <v>4</v>
      </c>
      <c r="K948" s="3" t="s">
        <v>59</v>
      </c>
      <c r="L948" s="1">
        <v>1</v>
      </c>
      <c r="M948" s="1">
        <v>1318</v>
      </c>
      <c r="N948" s="1">
        <v>4</v>
      </c>
      <c r="O948" s="3" t="s">
        <v>46</v>
      </c>
      <c r="P948" s="1">
        <v>57</v>
      </c>
      <c r="Q948" s="1">
        <v>2</v>
      </c>
      <c r="R948" s="1">
        <v>3</v>
      </c>
      <c r="S948" s="3" t="s">
        <v>40</v>
      </c>
      <c r="T948" s="1">
        <v>2</v>
      </c>
      <c r="U948" s="3" t="s">
        <v>41</v>
      </c>
      <c r="V948" s="4">
        <v>9094</v>
      </c>
      <c r="W948" s="1">
        <v>17235</v>
      </c>
      <c r="X948" s="1">
        <v>2</v>
      </c>
      <c r="Y948" s="3" t="s">
        <v>42</v>
      </c>
      <c r="Z948" s="3" t="s">
        <v>35</v>
      </c>
      <c r="AA948" s="5">
        <v>0.12</v>
      </c>
      <c r="AB948" s="10" t="str" cm="1">
        <f t="array" ref="AB948">_xlfn.IFS(AA948 &lt;= 15%, "Low Hike[11-15%]", AA948 &lt;= 20%, "Moderate Hike[16-20%]", AA948 &lt;= 25%,"High Hike[21-25%]")</f>
        <v>Low Hike[11-15%]</v>
      </c>
      <c r="AC948" s="1">
        <v>3</v>
      </c>
      <c r="AD948" s="1">
        <v>3</v>
      </c>
      <c r="AE948" s="1">
        <v>80</v>
      </c>
      <c r="AF948" s="1">
        <v>0</v>
      </c>
      <c r="AG948" s="1">
        <v>9</v>
      </c>
      <c r="AH948" s="9" t="str" cm="1">
        <f t="array" ref="AH948">_xlfn.IFS(AG948 &lt;= 5, "New[1-5]", AG948 &lt;= 10, "Early Career[6-10]", AG948 &lt;= 20, "Established[11-20]", AG948 &lt;= 30, "Veteran[21-30]", AG948 &lt;= 40, "Late Career[31-40]")</f>
        <v>Early Career[6-10]</v>
      </c>
      <c r="AI948" s="1">
        <v>2</v>
      </c>
      <c r="AJ948" s="1">
        <v>3</v>
      </c>
      <c r="AK948" s="1">
        <v>5</v>
      </c>
      <c r="AL948" s="9" t="str" cm="1">
        <f t="array" ref="AL948">_xlfn.IFS(AK948 &lt;= 5, "New[1-5]", AK948 &lt;= 10, "Early Career[6-10]", AK948 &lt;= 20, "Established[11-20]", AK948 &lt;= 30, "Veteran[21-30]", AK948 &lt;= 40, "Late Career[31-40]")</f>
        <v>New[1-5]</v>
      </c>
      <c r="AM948" s="1">
        <v>4</v>
      </c>
      <c r="AN948" s="9" t="str" cm="1">
        <f t="array" ref="AN948">_xlfn.IFS(AM948 &lt;= 3, "New to Role[1-3]", AM948 &lt;= 7, "Settled[4-7]", AM948 &lt;= 12, "Experienced[[8-12]", AM948 &lt;= 18, "Long Tenured[13-18]")</f>
        <v>Settled[4-7]</v>
      </c>
      <c r="AO948" s="1">
        <v>1</v>
      </c>
      <c r="AP948" s="9" t="str" cm="1">
        <f t="array" ref="AP948">_xlfn.IFS(AO948 &lt;= 3, "Recently[1-3]", AO948 &lt;= 6, "Due Soon[4-6]", AO948 &lt;= 10, "Overdue[7-10]", AO948 &lt;= 15, "Long Overdue[11-15]")</f>
        <v>Recently[1-3]</v>
      </c>
      <c r="AQ948" s="9" t="str" cm="1">
        <f t="array" ref="AQ948">_xlfn.IFS(AR948 &lt;= 3, "New Relationship[1-3]", AR948 &lt;= 7, "Established Relationship[4-7]", AR948 &lt;= 12, "Long Term Relationship[8-12]", AR948 &lt;= 17, "Very Long Term Relationship[13-17]")</f>
        <v>New Relationship[1-3]</v>
      </c>
      <c r="AR948" s="1">
        <v>0</v>
      </c>
    </row>
    <row r="949" spans="1:44" x14ac:dyDescent="0.25">
      <c r="A949" s="1">
        <v>52</v>
      </c>
      <c r="B949" s="8" t="str" cm="1">
        <f t="array" ref="B949">_xlfn.IFS(A949 &lt;= 25, "[18-25]", A949 &lt;= 35, "[26-35]", A949 &lt;=45, "[36-45]", A949 &lt;= 60, "[46- 60]")</f>
        <v>[46- 60]</v>
      </c>
      <c r="C949" s="3" t="s">
        <v>35</v>
      </c>
      <c r="D949">
        <f t="shared" si="14"/>
        <v>1</v>
      </c>
      <c r="E949" t="s">
        <v>36</v>
      </c>
      <c r="F949" s="1">
        <v>1030</v>
      </c>
      <c r="G949" s="3" t="s">
        <v>37</v>
      </c>
      <c r="H949" s="1">
        <v>5</v>
      </c>
      <c r="I949" s="9" t="str" cm="1">
        <f t="array" ref="I949">_xlfn.IFS(H949 &lt;= 2, "[1-2] very close", H949 &lt;= 10, "[3-10] close", H949 &lt;= 20, "[11-20] moderate", H949 &lt;= 30, "[21-30] far")</f>
        <v>[3-10] close</v>
      </c>
      <c r="J949" s="1">
        <v>3</v>
      </c>
      <c r="K949" s="3" t="s">
        <v>38</v>
      </c>
      <c r="L949" s="1">
        <v>1</v>
      </c>
      <c r="M949" s="1">
        <v>1319</v>
      </c>
      <c r="N949" s="1">
        <v>2</v>
      </c>
      <c r="O949" s="3" t="s">
        <v>46</v>
      </c>
      <c r="P949" s="1">
        <v>64</v>
      </c>
      <c r="Q949" s="1">
        <v>3</v>
      </c>
      <c r="R949" s="1">
        <v>3</v>
      </c>
      <c r="S949" s="3" t="s">
        <v>40</v>
      </c>
      <c r="T949" s="1">
        <v>2</v>
      </c>
      <c r="U949" s="3" t="s">
        <v>41</v>
      </c>
      <c r="V949" s="4">
        <v>8446</v>
      </c>
      <c r="W949" s="1">
        <v>21534</v>
      </c>
      <c r="X949" s="1">
        <v>9</v>
      </c>
      <c r="Y949" s="3" t="s">
        <v>42</v>
      </c>
      <c r="Z949" s="3" t="s">
        <v>35</v>
      </c>
      <c r="AA949" s="5">
        <v>0.19</v>
      </c>
      <c r="AB949" s="10" t="str" cm="1">
        <f t="array" ref="AB949">_xlfn.IFS(AA949 &lt;= 15%, "Low Hike[11-15%]", AA949 &lt;= 20%, "Moderate Hike[16-20%]", AA949 &lt;= 25%,"High Hike[21-25%]")</f>
        <v>Moderate Hike[16-20%]</v>
      </c>
      <c r="AC949" s="1">
        <v>3</v>
      </c>
      <c r="AD949" s="1">
        <v>3</v>
      </c>
      <c r="AE949" s="1">
        <v>80</v>
      </c>
      <c r="AF949" s="1">
        <v>0</v>
      </c>
      <c r="AG949" s="1">
        <v>10</v>
      </c>
      <c r="AH949" s="9" t="str" cm="1">
        <f t="array" ref="AH949">_xlfn.IFS(AG949 &lt;= 5, "New[1-5]", AG949 &lt;= 10, "Early Career[6-10]", AG949 &lt;= 20, "Established[11-20]", AG949 &lt;= 30, "Veteran[21-30]", AG949 &lt;= 40, "Late Career[31-40]")</f>
        <v>Early Career[6-10]</v>
      </c>
      <c r="AI949" s="1">
        <v>2</v>
      </c>
      <c r="AJ949" s="1">
        <v>2</v>
      </c>
      <c r="AK949" s="1">
        <v>8</v>
      </c>
      <c r="AL949" s="9" t="str" cm="1">
        <f t="array" ref="AL949">_xlfn.IFS(AK949 &lt;= 5, "New[1-5]", AK949 &lt;= 10, "Early Career[6-10]", AK949 &lt;= 20, "Established[11-20]", AK949 &lt;= 30, "Veteran[21-30]", AK949 &lt;= 40, "Late Career[31-40]")</f>
        <v>Early Career[6-10]</v>
      </c>
      <c r="AM949" s="1">
        <v>7</v>
      </c>
      <c r="AN949" s="9" t="str" cm="1">
        <f t="array" ref="AN949">_xlfn.IFS(AM949 &lt;= 3, "New to Role[1-3]", AM949 &lt;= 7, "Settled[4-7]", AM949 &lt;= 12, "Experienced[[8-12]", AM949 &lt;= 18, "Long Tenured[13-18]")</f>
        <v>Settled[4-7]</v>
      </c>
      <c r="AO949" s="1">
        <v>7</v>
      </c>
      <c r="AP949" s="9" t="str" cm="1">
        <f t="array" ref="AP949">_xlfn.IFS(AO949 &lt;= 3, "Recently[1-3]", AO949 &lt;= 6, "Due Soon[4-6]", AO949 &lt;= 10, "Overdue[7-10]", AO949 &lt;= 15, "Long Overdue[11-15]")</f>
        <v>Overdue[7-10]</v>
      </c>
      <c r="AQ949" s="9" t="str" cm="1">
        <f t="array" ref="AQ949">_xlfn.IFS(AR949 &lt;= 3, "New Relationship[1-3]", AR949 &lt;= 7, "Established Relationship[4-7]", AR949 &lt;= 12, "Long Term Relationship[8-12]", AR949 &lt;= 17, "Very Long Term Relationship[13-17]")</f>
        <v>Established Relationship[4-7]</v>
      </c>
      <c r="AR949" s="1">
        <v>7</v>
      </c>
    </row>
    <row r="950" spans="1:44" x14ac:dyDescent="0.25">
      <c r="A950" s="1">
        <v>30</v>
      </c>
      <c r="B950" s="8" t="str" cm="1">
        <f t="array" ref="B950">_xlfn.IFS(A950 &lt;= 25, "[18-25]", A950 &lt;= 35, "[26-35]", A950 &lt;=45, "[36-45]", A950 &lt;= 60, "[46- 60]")</f>
        <v>[26-35]</v>
      </c>
      <c r="C950" s="3" t="s">
        <v>43</v>
      </c>
      <c r="D950">
        <f t="shared" si="14"/>
        <v>0</v>
      </c>
      <c r="E950" t="s">
        <v>36</v>
      </c>
      <c r="F950" s="1">
        <v>634</v>
      </c>
      <c r="G950" s="3" t="s">
        <v>45</v>
      </c>
      <c r="H950" s="1">
        <v>17</v>
      </c>
      <c r="I950" s="9" t="str" cm="1">
        <f t="array" ref="I950">_xlfn.IFS(H950 &lt;= 2, "[1-2] very close", H950 &lt;= 10, "[3-10] close", H950 &lt;= 20, "[11-20] moderate", H950 &lt;= 30, "[21-30] far")</f>
        <v>[11-20] moderate</v>
      </c>
      <c r="J950" s="1">
        <v>4</v>
      </c>
      <c r="K950" s="3" t="s">
        <v>51</v>
      </c>
      <c r="L950" s="1">
        <v>1</v>
      </c>
      <c r="M950" s="1">
        <v>1321</v>
      </c>
      <c r="N950" s="1">
        <v>2</v>
      </c>
      <c r="O950" s="3" t="s">
        <v>39</v>
      </c>
      <c r="P950" s="1">
        <v>95</v>
      </c>
      <c r="Q950" s="1">
        <v>3</v>
      </c>
      <c r="R950" s="1">
        <v>3</v>
      </c>
      <c r="S950" s="3" t="s">
        <v>56</v>
      </c>
      <c r="T950" s="1">
        <v>1</v>
      </c>
      <c r="U950" s="3" t="s">
        <v>48</v>
      </c>
      <c r="V950" s="4">
        <v>11916</v>
      </c>
      <c r="W950" s="1">
        <v>25927</v>
      </c>
      <c r="X950" s="1">
        <v>1</v>
      </c>
      <c r="Y950" s="3" t="s">
        <v>42</v>
      </c>
      <c r="Z950" s="3" t="s">
        <v>35</v>
      </c>
      <c r="AA950" s="5">
        <v>0.23</v>
      </c>
      <c r="AB950" s="10" t="str" cm="1">
        <f t="array" ref="AB950">_xlfn.IFS(AA950 &lt;= 15%, "Low Hike[11-15%]", AA950 &lt;= 20%, "Moderate Hike[16-20%]", AA950 &lt;= 25%,"High Hike[21-25%]")</f>
        <v>High Hike[21-25%]</v>
      </c>
      <c r="AC950" s="1">
        <v>4</v>
      </c>
      <c r="AD950" s="1">
        <v>4</v>
      </c>
      <c r="AE950" s="1">
        <v>80</v>
      </c>
      <c r="AF950" s="1">
        <v>2</v>
      </c>
      <c r="AG950" s="1">
        <v>9</v>
      </c>
      <c r="AH950" s="9" t="str" cm="1">
        <f t="array" ref="AH950">_xlfn.IFS(AG950 &lt;= 5, "New[1-5]", AG950 &lt;= 10, "Early Career[6-10]", AG950 &lt;= 20, "Established[11-20]", AG950 &lt;= 30, "Veteran[21-30]", AG950 &lt;= 40, "Late Career[31-40]")</f>
        <v>Early Career[6-10]</v>
      </c>
      <c r="AI950" s="1">
        <v>2</v>
      </c>
      <c r="AJ950" s="1">
        <v>3</v>
      </c>
      <c r="AK950" s="1">
        <v>9</v>
      </c>
      <c r="AL950" s="9" t="str" cm="1">
        <f t="array" ref="AL950">_xlfn.IFS(AK950 &lt;= 5, "New[1-5]", AK950 &lt;= 10, "Early Career[6-10]", AK950 &lt;= 20, "Established[11-20]", AK950 &lt;= 30, "Veteran[21-30]", AK950 &lt;= 40, "Late Career[31-40]")</f>
        <v>Early Career[6-10]</v>
      </c>
      <c r="AM950" s="1">
        <v>1</v>
      </c>
      <c r="AN950" s="9" t="str" cm="1">
        <f t="array" ref="AN950">_xlfn.IFS(AM950 &lt;= 3, "New to Role[1-3]", AM950 &lt;= 7, "Settled[4-7]", AM950 &lt;= 12, "Experienced[[8-12]", AM950 &lt;= 18, "Long Tenured[13-18]")</f>
        <v>New to Role[1-3]</v>
      </c>
      <c r="AO950" s="1">
        <v>0</v>
      </c>
      <c r="AP950" s="9" t="str" cm="1">
        <f t="array" ref="AP950">_xlfn.IFS(AO950 &lt;= 3, "Recently[1-3]", AO950 &lt;= 6, "Due Soon[4-6]", AO950 &lt;= 10, "Overdue[7-10]", AO950 &lt;= 15, "Long Overdue[11-15]")</f>
        <v>Recently[1-3]</v>
      </c>
      <c r="AQ950" s="9" t="str" cm="1">
        <f t="array" ref="AQ950">_xlfn.IFS(AR950 &lt;= 3, "New Relationship[1-3]", AR950 &lt;= 7, "Established Relationship[4-7]", AR950 &lt;= 12, "Long Term Relationship[8-12]", AR950 &lt;= 17, "Very Long Term Relationship[13-17]")</f>
        <v>Long Term Relationship[8-12]</v>
      </c>
      <c r="AR950" s="1">
        <v>8</v>
      </c>
    </row>
    <row r="951" spans="1:44" x14ac:dyDescent="0.25">
      <c r="A951" s="1">
        <v>39</v>
      </c>
      <c r="B951" s="8" t="str" cm="1">
        <f t="array" ref="B951">_xlfn.IFS(A951 &lt;= 25, "[18-25]", A951 &lt;= 35, "[26-35]", A951 &lt;=45, "[36-45]", A951 &lt;= 60, "[46- 60]")</f>
        <v>[36-45]</v>
      </c>
      <c r="C951" s="3" t="s">
        <v>43</v>
      </c>
      <c r="D951">
        <f t="shared" si="14"/>
        <v>0</v>
      </c>
      <c r="E951" t="s">
        <v>36</v>
      </c>
      <c r="F951" s="1">
        <v>524</v>
      </c>
      <c r="G951" s="3" t="s">
        <v>45</v>
      </c>
      <c r="H951" s="1">
        <v>18</v>
      </c>
      <c r="I951" s="9" t="str" cm="1">
        <f t="array" ref="I951">_xlfn.IFS(H951 &lt;= 2, "[1-2] very close", H951 &lt;= 10, "[3-10] close", H951 &lt;= 20, "[11-20] moderate", H951 &lt;= 30, "[21-30] far")</f>
        <v>[11-20] moderate</v>
      </c>
      <c r="J951" s="1">
        <v>2</v>
      </c>
      <c r="K951" s="3" t="s">
        <v>38</v>
      </c>
      <c r="L951" s="1">
        <v>1</v>
      </c>
      <c r="M951" s="1">
        <v>1322</v>
      </c>
      <c r="N951" s="1">
        <v>1</v>
      </c>
      <c r="O951" s="3" t="s">
        <v>46</v>
      </c>
      <c r="P951" s="1">
        <v>32</v>
      </c>
      <c r="Q951" s="1">
        <v>3</v>
      </c>
      <c r="R951" s="1">
        <v>2</v>
      </c>
      <c r="S951" s="3" t="s">
        <v>53</v>
      </c>
      <c r="T951" s="1">
        <v>3</v>
      </c>
      <c r="U951" s="3" t="s">
        <v>41</v>
      </c>
      <c r="V951" s="4">
        <v>4534</v>
      </c>
      <c r="W951" s="1">
        <v>13352</v>
      </c>
      <c r="X951" s="1">
        <v>0</v>
      </c>
      <c r="Y951" s="3" t="s">
        <v>42</v>
      </c>
      <c r="Z951" s="3" t="s">
        <v>43</v>
      </c>
      <c r="AA951" s="5">
        <v>0.11</v>
      </c>
      <c r="AB951" s="10" t="str" cm="1">
        <f t="array" ref="AB951">_xlfn.IFS(AA951 &lt;= 15%, "Low Hike[11-15%]", AA951 &lt;= 20%, "Moderate Hike[16-20%]", AA951 &lt;= 25%,"High Hike[21-25%]")</f>
        <v>Low Hike[11-15%]</v>
      </c>
      <c r="AC951" s="1">
        <v>3</v>
      </c>
      <c r="AD951" s="1">
        <v>1</v>
      </c>
      <c r="AE951" s="1">
        <v>80</v>
      </c>
      <c r="AF951" s="1">
        <v>0</v>
      </c>
      <c r="AG951" s="1">
        <v>9</v>
      </c>
      <c r="AH951" s="9" t="str" cm="1">
        <f t="array" ref="AH951">_xlfn.IFS(AG951 &lt;= 5, "New[1-5]", AG951 &lt;= 10, "Early Career[6-10]", AG951 &lt;= 20, "Established[11-20]", AG951 &lt;= 30, "Veteran[21-30]", AG951 &lt;= 40, "Late Career[31-40]")</f>
        <v>Early Career[6-10]</v>
      </c>
      <c r="AI951" s="1">
        <v>6</v>
      </c>
      <c r="AJ951" s="1">
        <v>3</v>
      </c>
      <c r="AK951" s="1">
        <v>8</v>
      </c>
      <c r="AL951" s="9" t="str" cm="1">
        <f t="array" ref="AL951">_xlfn.IFS(AK951 &lt;= 5, "New[1-5]", AK951 &lt;= 10, "Early Career[6-10]", AK951 &lt;= 20, "Established[11-20]", AK951 &lt;= 30, "Veteran[21-30]", AK951 &lt;= 40, "Late Career[31-40]")</f>
        <v>Early Career[6-10]</v>
      </c>
      <c r="AM951" s="1">
        <v>7</v>
      </c>
      <c r="AN951" s="9" t="str" cm="1">
        <f t="array" ref="AN951">_xlfn.IFS(AM951 &lt;= 3, "New to Role[1-3]", AM951 &lt;= 7, "Settled[4-7]", AM951 &lt;= 12, "Experienced[[8-12]", AM951 &lt;= 18, "Long Tenured[13-18]")</f>
        <v>Settled[4-7]</v>
      </c>
      <c r="AO951" s="1">
        <v>1</v>
      </c>
      <c r="AP951" s="9" t="str" cm="1">
        <f t="array" ref="AP951">_xlfn.IFS(AO951 &lt;= 3, "Recently[1-3]", AO951 &lt;= 6, "Due Soon[4-6]", AO951 &lt;= 10, "Overdue[7-10]", AO951 &lt;= 15, "Long Overdue[11-15]")</f>
        <v>Recently[1-3]</v>
      </c>
      <c r="AQ951" s="9" t="str" cm="1">
        <f t="array" ref="AQ951">_xlfn.IFS(AR951 &lt;= 3, "New Relationship[1-3]", AR951 &lt;= 7, "Established Relationship[4-7]", AR951 &lt;= 12, "Long Term Relationship[8-12]", AR951 &lt;= 17, "Very Long Term Relationship[13-17]")</f>
        <v>Established Relationship[4-7]</v>
      </c>
      <c r="AR951" s="1">
        <v>7</v>
      </c>
    </row>
    <row r="952" spans="1:44" x14ac:dyDescent="0.25">
      <c r="A952" s="1">
        <v>31</v>
      </c>
      <c r="B952" s="8" t="str" cm="1">
        <f t="array" ref="B952">_xlfn.IFS(A952 &lt;= 25, "[18-25]", A952 &lt;= 35, "[26-35]", A952 &lt;=45, "[36-45]", A952 &lt;= 60, "[46- 60]")</f>
        <v>[26-35]</v>
      </c>
      <c r="C952" s="3" t="s">
        <v>43</v>
      </c>
      <c r="D952">
        <f t="shared" si="14"/>
        <v>0</v>
      </c>
      <c r="E952" t="s">
        <v>62</v>
      </c>
      <c r="F952" s="1">
        <v>587</v>
      </c>
      <c r="G952" s="3" t="s">
        <v>37</v>
      </c>
      <c r="H952" s="1">
        <v>2</v>
      </c>
      <c r="I952" s="9" t="str" cm="1">
        <f t="array" ref="I952">_xlfn.IFS(H952 &lt;= 2, "[1-2] very close", H952 &lt;= 10, "[3-10] close", H952 &lt;= 20, "[11-20] moderate", H952 &lt;= 30, "[21-30] far")</f>
        <v>[1-2] very close</v>
      </c>
      <c r="J952" s="1">
        <v>4</v>
      </c>
      <c r="K952" s="3" t="s">
        <v>38</v>
      </c>
      <c r="L952" s="1">
        <v>1</v>
      </c>
      <c r="M952" s="1">
        <v>1324</v>
      </c>
      <c r="N952" s="1">
        <v>4</v>
      </c>
      <c r="O952" s="3" t="s">
        <v>39</v>
      </c>
      <c r="P952" s="1">
        <v>57</v>
      </c>
      <c r="Q952" s="1">
        <v>3</v>
      </c>
      <c r="R952" s="1">
        <v>3</v>
      </c>
      <c r="S952" s="3" t="s">
        <v>40</v>
      </c>
      <c r="T952" s="1">
        <v>3</v>
      </c>
      <c r="U952" s="3" t="s">
        <v>52</v>
      </c>
      <c r="V952" s="4">
        <v>9852</v>
      </c>
      <c r="W952" s="1">
        <v>8935</v>
      </c>
      <c r="X952" s="1">
        <v>1</v>
      </c>
      <c r="Y952" s="3" t="s">
        <v>42</v>
      </c>
      <c r="Z952" s="3" t="s">
        <v>35</v>
      </c>
      <c r="AA952" s="5">
        <v>0.19</v>
      </c>
      <c r="AB952" s="10" t="str" cm="1">
        <f t="array" ref="AB952">_xlfn.IFS(AA952 &lt;= 15%, "Low Hike[11-15%]", AA952 &lt;= 20%, "Moderate Hike[16-20%]", AA952 &lt;= 25%,"High Hike[21-25%]")</f>
        <v>Moderate Hike[16-20%]</v>
      </c>
      <c r="AC952" s="1">
        <v>3</v>
      </c>
      <c r="AD952" s="1">
        <v>1</v>
      </c>
      <c r="AE952" s="1">
        <v>80</v>
      </c>
      <c r="AF952" s="1">
        <v>1</v>
      </c>
      <c r="AG952" s="1">
        <v>10</v>
      </c>
      <c r="AH952" s="9" t="str" cm="1">
        <f t="array" ref="AH952">_xlfn.IFS(AG952 &lt;= 5, "New[1-5]", AG952 &lt;= 10, "Early Career[6-10]", AG952 &lt;= 20, "Established[11-20]", AG952 &lt;= 30, "Veteran[21-30]", AG952 &lt;= 40, "Late Career[31-40]")</f>
        <v>Early Career[6-10]</v>
      </c>
      <c r="AI952" s="1">
        <v>5</v>
      </c>
      <c r="AJ952" s="1">
        <v>2</v>
      </c>
      <c r="AK952" s="1">
        <v>10</v>
      </c>
      <c r="AL952" s="9" t="str" cm="1">
        <f t="array" ref="AL952">_xlfn.IFS(AK952 &lt;= 5, "New[1-5]", AK952 &lt;= 10, "Early Career[6-10]", AK952 &lt;= 20, "Established[11-20]", AK952 &lt;= 30, "Veteran[21-30]", AK952 &lt;= 40, "Late Career[31-40]")</f>
        <v>Early Career[6-10]</v>
      </c>
      <c r="AM952" s="1">
        <v>8</v>
      </c>
      <c r="AN952" s="9" t="str" cm="1">
        <f t="array" ref="AN952">_xlfn.IFS(AM952 &lt;= 3, "New to Role[1-3]", AM952 &lt;= 7, "Settled[4-7]", AM952 &lt;= 12, "Experienced[[8-12]", AM952 &lt;= 18, "Long Tenured[13-18]")</f>
        <v>Experienced[[8-12]</v>
      </c>
      <c r="AO952" s="1">
        <v>9</v>
      </c>
      <c r="AP952" s="9" t="str" cm="1">
        <f t="array" ref="AP952">_xlfn.IFS(AO952 &lt;= 3, "Recently[1-3]", AO952 &lt;= 6, "Due Soon[4-6]", AO952 &lt;= 10, "Overdue[7-10]", AO952 &lt;= 15, "Long Overdue[11-15]")</f>
        <v>Overdue[7-10]</v>
      </c>
      <c r="AQ952" s="9" t="str" cm="1">
        <f t="array" ref="AQ952">_xlfn.IFS(AR952 &lt;= 3, "New Relationship[1-3]", AR952 &lt;= 7, "Established Relationship[4-7]", AR952 &lt;= 12, "Long Term Relationship[8-12]", AR952 &lt;= 17, "Very Long Term Relationship[13-17]")</f>
        <v>Established Relationship[4-7]</v>
      </c>
      <c r="AR952" s="1">
        <v>6</v>
      </c>
    </row>
    <row r="953" spans="1:44" x14ac:dyDescent="0.25">
      <c r="A953" s="1">
        <v>41</v>
      </c>
      <c r="B953" s="8" t="str" cm="1">
        <f t="array" ref="B953">_xlfn.IFS(A953 &lt;= 25, "[18-25]", A953 &lt;= 35, "[26-35]", A953 &lt;=45, "[36-45]", A953 &lt;= 60, "[46- 60]")</f>
        <v>[36-45]</v>
      </c>
      <c r="C953" s="3" t="s">
        <v>43</v>
      </c>
      <c r="D953">
        <f t="shared" si="14"/>
        <v>0</v>
      </c>
      <c r="E953" t="s">
        <v>62</v>
      </c>
      <c r="F953" s="1">
        <v>256</v>
      </c>
      <c r="G953" s="3" t="s">
        <v>37</v>
      </c>
      <c r="H953" s="1">
        <v>10</v>
      </c>
      <c r="I953" s="9" t="str" cm="1">
        <f t="array" ref="I953">_xlfn.IFS(H953 &lt;= 2, "[1-2] very close", H953 &lt;= 10, "[3-10] close", H953 &lt;= 20, "[11-20] moderate", H953 &lt;= 30, "[21-30] far")</f>
        <v>[3-10] close</v>
      </c>
      <c r="J953" s="1">
        <v>2</v>
      </c>
      <c r="K953" s="3" t="s">
        <v>51</v>
      </c>
      <c r="L953" s="1">
        <v>1</v>
      </c>
      <c r="M953" s="1">
        <v>1329</v>
      </c>
      <c r="N953" s="1">
        <v>3</v>
      </c>
      <c r="O953" s="3" t="s">
        <v>46</v>
      </c>
      <c r="P953" s="1">
        <v>40</v>
      </c>
      <c r="Q953" s="1">
        <v>1</v>
      </c>
      <c r="R953" s="1">
        <v>2</v>
      </c>
      <c r="S953" s="3" t="s">
        <v>40</v>
      </c>
      <c r="T953" s="1">
        <v>2</v>
      </c>
      <c r="U953" s="3" t="s">
        <v>41</v>
      </c>
      <c r="V953" s="4">
        <v>6151</v>
      </c>
      <c r="W953" s="1">
        <v>22074</v>
      </c>
      <c r="X953" s="1">
        <v>1</v>
      </c>
      <c r="Y953" s="3" t="s">
        <v>42</v>
      </c>
      <c r="Z953" s="3" t="s">
        <v>43</v>
      </c>
      <c r="AA953" s="5">
        <v>0.13</v>
      </c>
      <c r="AB953" s="10" t="str" cm="1">
        <f t="array" ref="AB953">_xlfn.IFS(AA953 &lt;= 15%, "Low Hike[11-15%]", AA953 &lt;= 20%, "Moderate Hike[16-20%]", AA953 &lt;= 25%,"High Hike[21-25%]")</f>
        <v>Low Hike[11-15%]</v>
      </c>
      <c r="AC953" s="1">
        <v>3</v>
      </c>
      <c r="AD953" s="1">
        <v>1</v>
      </c>
      <c r="AE953" s="1">
        <v>80</v>
      </c>
      <c r="AF953" s="1">
        <v>0</v>
      </c>
      <c r="AG953" s="1">
        <v>19</v>
      </c>
      <c r="AH953" s="9" t="str" cm="1">
        <f t="array" ref="AH953">_xlfn.IFS(AG953 &lt;= 5, "New[1-5]", AG953 &lt;= 10, "Early Career[6-10]", AG953 &lt;= 20, "Established[11-20]", AG953 &lt;= 30, "Veteran[21-30]", AG953 &lt;= 40, "Late Career[31-40]")</f>
        <v>Established[11-20]</v>
      </c>
      <c r="AI953" s="1">
        <v>4</v>
      </c>
      <c r="AJ953" s="1">
        <v>3</v>
      </c>
      <c r="AK953" s="1">
        <v>19</v>
      </c>
      <c r="AL953" s="9" t="str" cm="1">
        <f t="array" ref="AL953">_xlfn.IFS(AK953 &lt;= 5, "New[1-5]", AK953 &lt;= 10, "Early Career[6-10]", AK953 &lt;= 20, "Established[11-20]", AK953 &lt;= 30, "Veteran[21-30]", AK953 &lt;= 40, "Late Career[31-40]")</f>
        <v>Established[11-20]</v>
      </c>
      <c r="AM953" s="1">
        <v>2</v>
      </c>
      <c r="AN953" s="9" t="str" cm="1">
        <f t="array" ref="AN953">_xlfn.IFS(AM953 &lt;= 3, "New to Role[1-3]", AM953 &lt;= 7, "Settled[4-7]", AM953 &lt;= 12, "Experienced[[8-12]", AM953 &lt;= 18, "Long Tenured[13-18]")</f>
        <v>New to Role[1-3]</v>
      </c>
      <c r="AO953" s="1">
        <v>11</v>
      </c>
      <c r="AP953" s="9" t="str" cm="1">
        <f t="array" ref="AP953">_xlfn.IFS(AO953 &lt;= 3, "Recently[1-3]", AO953 &lt;= 6, "Due Soon[4-6]", AO953 &lt;= 10, "Overdue[7-10]", AO953 &lt;= 15, "Long Overdue[11-15]")</f>
        <v>Long Overdue[11-15]</v>
      </c>
      <c r="AQ953" s="9" t="str" cm="1">
        <f t="array" ref="AQ953">_xlfn.IFS(AR953 &lt;= 3, "New Relationship[1-3]", AR953 &lt;= 7, "Established Relationship[4-7]", AR953 &lt;= 12, "Long Term Relationship[8-12]", AR953 &lt;= 17, "Very Long Term Relationship[13-17]")</f>
        <v>Long Term Relationship[8-12]</v>
      </c>
      <c r="AR953" s="1">
        <v>9</v>
      </c>
    </row>
    <row r="954" spans="1:44" x14ac:dyDescent="0.25">
      <c r="A954" s="1">
        <v>31</v>
      </c>
      <c r="B954" s="8" t="str" cm="1">
        <f t="array" ref="B954">_xlfn.IFS(A954 &lt;= 25, "[18-25]", A954 &lt;= 35, "[26-35]", A954 &lt;=45, "[36-45]", A954 &lt;= 60, "[46- 60]")</f>
        <v>[26-35]</v>
      </c>
      <c r="C954" s="3" t="s">
        <v>35</v>
      </c>
      <c r="D954">
        <f t="shared" si="14"/>
        <v>1</v>
      </c>
      <c r="E954" t="s">
        <v>44</v>
      </c>
      <c r="F954" s="1">
        <v>1060</v>
      </c>
      <c r="G954" s="3" t="s">
        <v>37</v>
      </c>
      <c r="H954" s="1">
        <v>1</v>
      </c>
      <c r="I954" s="9" t="str" cm="1">
        <f t="array" ref="I954">_xlfn.IFS(H954 &lt;= 2, "[1-2] very close", H954 &lt;= 10, "[3-10] close", H954 &lt;= 20, "[11-20] moderate", H954 &lt;= 30, "[21-30] far")</f>
        <v>[1-2] very close</v>
      </c>
      <c r="J954" s="1">
        <v>3</v>
      </c>
      <c r="K954" s="3" t="s">
        <v>38</v>
      </c>
      <c r="L954" s="1">
        <v>1</v>
      </c>
      <c r="M954" s="1">
        <v>1331</v>
      </c>
      <c r="N954" s="1">
        <v>4</v>
      </c>
      <c r="O954" s="3" t="s">
        <v>39</v>
      </c>
      <c r="P954" s="1">
        <v>54</v>
      </c>
      <c r="Q954" s="1">
        <v>3</v>
      </c>
      <c r="R954" s="1">
        <v>1</v>
      </c>
      <c r="S954" s="3" t="s">
        <v>57</v>
      </c>
      <c r="T954" s="1">
        <v>2</v>
      </c>
      <c r="U954" s="3" t="s">
        <v>41</v>
      </c>
      <c r="V954" s="4">
        <v>2302</v>
      </c>
      <c r="W954" s="1">
        <v>8319</v>
      </c>
      <c r="X954" s="1">
        <v>1</v>
      </c>
      <c r="Y954" s="3" t="s">
        <v>42</v>
      </c>
      <c r="Z954" s="3" t="s">
        <v>35</v>
      </c>
      <c r="AA954" s="5">
        <v>0.11</v>
      </c>
      <c r="AB954" s="10" t="str" cm="1">
        <f t="array" ref="AB954">_xlfn.IFS(AA954 &lt;= 15%, "Low Hike[11-15%]", AA954 &lt;= 20%, "Moderate Hike[16-20%]", AA954 &lt;= 25%,"High Hike[21-25%]")</f>
        <v>Low Hike[11-15%]</v>
      </c>
      <c r="AC954" s="1">
        <v>3</v>
      </c>
      <c r="AD954" s="1">
        <v>1</v>
      </c>
      <c r="AE954" s="1">
        <v>80</v>
      </c>
      <c r="AF954" s="1">
        <v>0</v>
      </c>
      <c r="AG954" s="1">
        <v>3</v>
      </c>
      <c r="AH954" s="9" t="str" cm="1">
        <f t="array" ref="AH954">_xlfn.IFS(AG954 &lt;= 5, "New[1-5]", AG954 &lt;= 10, "Early Career[6-10]", AG954 &lt;= 20, "Established[11-20]", AG954 &lt;= 30, "Veteran[21-30]", AG954 &lt;= 40, "Late Career[31-40]")</f>
        <v>New[1-5]</v>
      </c>
      <c r="AI954" s="1">
        <v>2</v>
      </c>
      <c r="AJ954" s="1">
        <v>4</v>
      </c>
      <c r="AK954" s="1">
        <v>3</v>
      </c>
      <c r="AL954" s="9" t="str" cm="1">
        <f t="array" ref="AL954">_xlfn.IFS(AK954 &lt;= 5, "New[1-5]", AK954 &lt;= 10, "Early Career[6-10]", AK954 &lt;= 20, "Established[11-20]", AK954 &lt;= 30, "Veteran[21-30]", AK954 &lt;= 40, "Late Career[31-40]")</f>
        <v>New[1-5]</v>
      </c>
      <c r="AM954" s="1">
        <v>2</v>
      </c>
      <c r="AN954" s="9" t="str" cm="1">
        <f t="array" ref="AN954">_xlfn.IFS(AM954 &lt;= 3, "New to Role[1-3]", AM954 &lt;= 7, "Settled[4-7]", AM954 &lt;= 12, "Experienced[[8-12]", AM954 &lt;= 18, "Long Tenured[13-18]")</f>
        <v>New to Role[1-3]</v>
      </c>
      <c r="AO954" s="1">
        <v>2</v>
      </c>
      <c r="AP954" s="9" t="str" cm="1">
        <f t="array" ref="AP954">_xlfn.IFS(AO954 &lt;= 3, "Recently[1-3]", AO954 &lt;= 6, "Due Soon[4-6]", AO954 &lt;= 10, "Overdue[7-10]", AO954 &lt;= 15, "Long Overdue[11-15]")</f>
        <v>Recently[1-3]</v>
      </c>
      <c r="AQ954" s="9" t="str" cm="1">
        <f t="array" ref="AQ954">_xlfn.IFS(AR954 &lt;= 3, "New Relationship[1-3]", AR954 &lt;= 7, "Established Relationship[4-7]", AR954 &lt;= 12, "Long Term Relationship[8-12]", AR954 &lt;= 17, "Very Long Term Relationship[13-17]")</f>
        <v>New Relationship[1-3]</v>
      </c>
      <c r="AR954" s="1">
        <v>2</v>
      </c>
    </row>
    <row r="955" spans="1:44" x14ac:dyDescent="0.25">
      <c r="A955" s="1">
        <v>44</v>
      </c>
      <c r="B955" s="8" t="str" cm="1">
        <f t="array" ref="B955">_xlfn.IFS(A955 &lt;= 25, "[18-25]", A955 &lt;= 35, "[26-35]", A955 &lt;=45, "[36-45]", A955 &lt;= 60, "[46- 60]")</f>
        <v>[36-45]</v>
      </c>
      <c r="C955" s="3" t="s">
        <v>35</v>
      </c>
      <c r="D955">
        <f t="shared" si="14"/>
        <v>1</v>
      </c>
      <c r="E955" t="s">
        <v>36</v>
      </c>
      <c r="F955" s="1">
        <v>935</v>
      </c>
      <c r="G955" s="3" t="s">
        <v>45</v>
      </c>
      <c r="H955" s="1">
        <v>3</v>
      </c>
      <c r="I955" s="9" t="str" cm="1">
        <f t="array" ref="I955">_xlfn.IFS(H955 &lt;= 2, "[1-2] very close", H955 &lt;= 10, "[3-10] close", H955 &lt;= 20, "[11-20] moderate", H955 &lt;= 30, "[21-30] far")</f>
        <v>[3-10] close</v>
      </c>
      <c r="J955" s="1">
        <v>3</v>
      </c>
      <c r="K955" s="3" t="s">
        <v>38</v>
      </c>
      <c r="L955" s="1">
        <v>1</v>
      </c>
      <c r="M955" s="1">
        <v>1333</v>
      </c>
      <c r="N955" s="1">
        <v>1</v>
      </c>
      <c r="O955" s="3" t="s">
        <v>46</v>
      </c>
      <c r="P955" s="1">
        <v>89</v>
      </c>
      <c r="Q955" s="1">
        <v>3</v>
      </c>
      <c r="R955" s="1">
        <v>1</v>
      </c>
      <c r="S955" s="3" t="s">
        <v>50</v>
      </c>
      <c r="T955" s="1">
        <v>1</v>
      </c>
      <c r="U955" s="3" t="s">
        <v>48</v>
      </c>
      <c r="V955" s="4">
        <v>2362</v>
      </c>
      <c r="W955" s="1">
        <v>14669</v>
      </c>
      <c r="X955" s="1">
        <v>4</v>
      </c>
      <c r="Y955" s="3" t="s">
        <v>42</v>
      </c>
      <c r="Z955" s="3" t="s">
        <v>43</v>
      </c>
      <c r="AA955" s="5">
        <v>0.12</v>
      </c>
      <c r="AB955" s="10" t="str" cm="1">
        <f t="array" ref="AB955">_xlfn.IFS(AA955 &lt;= 15%, "Low Hike[11-15%]", AA955 &lt;= 20%, "Moderate Hike[16-20%]", AA955 &lt;= 25%,"High Hike[21-25%]")</f>
        <v>Low Hike[11-15%]</v>
      </c>
      <c r="AC955" s="1">
        <v>3</v>
      </c>
      <c r="AD955" s="1">
        <v>3</v>
      </c>
      <c r="AE955" s="1">
        <v>80</v>
      </c>
      <c r="AF955" s="1">
        <v>0</v>
      </c>
      <c r="AG955" s="1">
        <v>10</v>
      </c>
      <c r="AH955" s="9" t="str" cm="1">
        <f t="array" ref="AH955">_xlfn.IFS(AG955 &lt;= 5, "New[1-5]", AG955 &lt;= 10, "Early Career[6-10]", AG955 &lt;= 20, "Established[11-20]", AG955 &lt;= 30, "Veteran[21-30]", AG955 &lt;= 40, "Late Career[31-40]")</f>
        <v>Early Career[6-10]</v>
      </c>
      <c r="AI955" s="1">
        <v>4</v>
      </c>
      <c r="AJ955" s="1">
        <v>4</v>
      </c>
      <c r="AK955" s="1">
        <v>3</v>
      </c>
      <c r="AL955" s="9" t="str" cm="1">
        <f t="array" ref="AL955">_xlfn.IFS(AK955 &lt;= 5, "New[1-5]", AK955 &lt;= 10, "Early Career[6-10]", AK955 &lt;= 20, "Established[11-20]", AK955 &lt;= 30, "Veteran[21-30]", AK955 &lt;= 40, "Late Career[31-40]")</f>
        <v>New[1-5]</v>
      </c>
      <c r="AM955" s="1">
        <v>2</v>
      </c>
      <c r="AN955" s="9" t="str" cm="1">
        <f t="array" ref="AN955">_xlfn.IFS(AM955 &lt;= 3, "New to Role[1-3]", AM955 &lt;= 7, "Settled[4-7]", AM955 &lt;= 12, "Experienced[[8-12]", AM955 &lt;= 18, "Long Tenured[13-18]")</f>
        <v>New to Role[1-3]</v>
      </c>
      <c r="AO955" s="1">
        <v>1</v>
      </c>
      <c r="AP955" s="9" t="str" cm="1">
        <f t="array" ref="AP955">_xlfn.IFS(AO955 &lt;= 3, "Recently[1-3]", AO955 &lt;= 6, "Due Soon[4-6]", AO955 &lt;= 10, "Overdue[7-10]", AO955 &lt;= 15, "Long Overdue[11-15]")</f>
        <v>Recently[1-3]</v>
      </c>
      <c r="AQ955" s="9" t="str" cm="1">
        <f t="array" ref="AQ955">_xlfn.IFS(AR955 &lt;= 3, "New Relationship[1-3]", AR955 &lt;= 7, "Established Relationship[4-7]", AR955 &lt;= 12, "Long Term Relationship[8-12]", AR955 &lt;= 17, "Very Long Term Relationship[13-17]")</f>
        <v>New Relationship[1-3]</v>
      </c>
      <c r="AR955" s="1">
        <v>2</v>
      </c>
    </row>
    <row r="956" spans="1:44" x14ac:dyDescent="0.25">
      <c r="A956" s="1">
        <v>42</v>
      </c>
      <c r="B956" s="8" t="str" cm="1">
        <f t="array" ref="B956">_xlfn.IFS(A956 &lt;= 25, "[18-25]", A956 &lt;= 35, "[26-35]", A956 &lt;=45, "[36-45]", A956 &lt;= 60, "[46- 60]")</f>
        <v>[36-45]</v>
      </c>
      <c r="C956" s="3" t="s">
        <v>43</v>
      </c>
      <c r="D956">
        <f t="shared" si="14"/>
        <v>0</v>
      </c>
      <c r="E956" t="s">
        <v>62</v>
      </c>
      <c r="F956" s="1">
        <v>495</v>
      </c>
      <c r="G956" s="3" t="s">
        <v>45</v>
      </c>
      <c r="H956" s="1">
        <v>2</v>
      </c>
      <c r="I956" s="9" t="str" cm="1">
        <f t="array" ref="I956">_xlfn.IFS(H956 &lt;= 2, "[1-2] very close", H956 &lt;= 10, "[3-10] close", H956 &lt;= 20, "[11-20] moderate", H956 &lt;= 30, "[21-30] far")</f>
        <v>[1-2] very close</v>
      </c>
      <c r="J956" s="1">
        <v>1</v>
      </c>
      <c r="K956" s="3" t="s">
        <v>38</v>
      </c>
      <c r="L956" s="1">
        <v>1</v>
      </c>
      <c r="M956" s="1">
        <v>1334</v>
      </c>
      <c r="N956" s="1">
        <v>3</v>
      </c>
      <c r="O956" s="3" t="s">
        <v>46</v>
      </c>
      <c r="P956" s="1">
        <v>37</v>
      </c>
      <c r="Q956" s="1">
        <v>3</v>
      </c>
      <c r="R956" s="1">
        <v>4</v>
      </c>
      <c r="S956" s="3" t="s">
        <v>56</v>
      </c>
      <c r="T956" s="1">
        <v>3</v>
      </c>
      <c r="U956" s="3" t="s">
        <v>48</v>
      </c>
      <c r="V956" s="4">
        <v>17861</v>
      </c>
      <c r="W956" s="1">
        <v>26582</v>
      </c>
      <c r="X956" s="1">
        <v>0</v>
      </c>
      <c r="Y956" s="3" t="s">
        <v>42</v>
      </c>
      <c r="Z956" s="3" t="s">
        <v>35</v>
      </c>
      <c r="AA956" s="5">
        <v>0.13</v>
      </c>
      <c r="AB956" s="10" t="str" cm="1">
        <f t="array" ref="AB956">_xlfn.IFS(AA956 &lt;= 15%, "Low Hike[11-15%]", AA956 &lt;= 20%, "Moderate Hike[16-20%]", AA956 &lt;= 25%,"High Hike[21-25%]")</f>
        <v>Low Hike[11-15%]</v>
      </c>
      <c r="AC956" s="1">
        <v>3</v>
      </c>
      <c r="AD956" s="1">
        <v>4</v>
      </c>
      <c r="AE956" s="1">
        <v>80</v>
      </c>
      <c r="AF956" s="1">
        <v>0</v>
      </c>
      <c r="AG956" s="1">
        <v>21</v>
      </c>
      <c r="AH956" s="9" t="str" cm="1">
        <f t="array" ref="AH956">_xlfn.IFS(AG956 &lt;= 5, "New[1-5]", AG956 &lt;= 10, "Early Career[6-10]", AG956 &lt;= 20, "Established[11-20]", AG956 &lt;= 30, "Veteran[21-30]", AG956 &lt;= 40, "Late Career[31-40]")</f>
        <v>Veteran[21-30]</v>
      </c>
      <c r="AI956" s="1">
        <v>3</v>
      </c>
      <c r="AJ956" s="1">
        <v>2</v>
      </c>
      <c r="AK956" s="1">
        <v>20</v>
      </c>
      <c r="AL956" s="9" t="str" cm="1">
        <f t="array" ref="AL956">_xlfn.IFS(AK956 &lt;= 5, "New[1-5]", AK956 &lt;= 10, "Early Career[6-10]", AK956 &lt;= 20, "Established[11-20]", AK956 &lt;= 30, "Veteran[21-30]", AK956 &lt;= 40, "Late Career[31-40]")</f>
        <v>Established[11-20]</v>
      </c>
      <c r="AM956" s="1">
        <v>8</v>
      </c>
      <c r="AN956" s="9" t="str" cm="1">
        <f t="array" ref="AN956">_xlfn.IFS(AM956 &lt;= 3, "New to Role[1-3]", AM956 &lt;= 7, "Settled[4-7]", AM956 &lt;= 12, "Experienced[[8-12]", AM956 &lt;= 18, "Long Tenured[13-18]")</f>
        <v>Experienced[[8-12]</v>
      </c>
      <c r="AO956" s="1">
        <v>2</v>
      </c>
      <c r="AP956" s="9" t="str" cm="1">
        <f t="array" ref="AP956">_xlfn.IFS(AO956 &lt;= 3, "Recently[1-3]", AO956 &lt;= 6, "Due Soon[4-6]", AO956 &lt;= 10, "Overdue[7-10]", AO956 &lt;= 15, "Long Overdue[11-15]")</f>
        <v>Recently[1-3]</v>
      </c>
      <c r="AQ956" s="9" t="str" cm="1">
        <f t="array" ref="AQ956">_xlfn.IFS(AR956 &lt;= 3, "New Relationship[1-3]", AR956 &lt;= 7, "Established Relationship[4-7]", AR956 &lt;= 12, "Long Term Relationship[8-12]", AR956 &lt;= 17, "Very Long Term Relationship[13-17]")</f>
        <v>Long Term Relationship[8-12]</v>
      </c>
      <c r="AR956" s="1">
        <v>10</v>
      </c>
    </row>
    <row r="957" spans="1:44" x14ac:dyDescent="0.25">
      <c r="A957" s="1">
        <v>55</v>
      </c>
      <c r="B957" s="8" t="str" cm="1">
        <f t="array" ref="B957">_xlfn.IFS(A957 &lt;= 25, "[18-25]", A957 &lt;= 35, "[26-35]", A957 &lt;=45, "[36-45]", A957 &lt;= 60, "[46- 60]")</f>
        <v>[46- 60]</v>
      </c>
      <c r="C957" s="3" t="s">
        <v>43</v>
      </c>
      <c r="D957">
        <f t="shared" si="14"/>
        <v>0</v>
      </c>
      <c r="E957" t="s">
        <v>36</v>
      </c>
      <c r="F957" s="1">
        <v>282</v>
      </c>
      <c r="G957" s="3" t="s">
        <v>45</v>
      </c>
      <c r="H957" s="1">
        <v>2</v>
      </c>
      <c r="I957" s="9" t="str" cm="1">
        <f t="array" ref="I957">_xlfn.IFS(H957 &lt;= 2, "[1-2] very close", H957 &lt;= 10, "[3-10] close", H957 &lt;= 20, "[11-20] moderate", H957 &lt;= 30, "[21-30] far")</f>
        <v>[1-2] very close</v>
      </c>
      <c r="J957" s="1">
        <v>2</v>
      </c>
      <c r="K957" s="3" t="s">
        <v>51</v>
      </c>
      <c r="L957" s="1">
        <v>1</v>
      </c>
      <c r="M957" s="1">
        <v>1336</v>
      </c>
      <c r="N957" s="1">
        <v>4</v>
      </c>
      <c r="O957" s="3" t="s">
        <v>39</v>
      </c>
      <c r="P957" s="1">
        <v>58</v>
      </c>
      <c r="Q957" s="1">
        <v>1</v>
      </c>
      <c r="R957" s="1">
        <v>5</v>
      </c>
      <c r="S957" s="3" t="s">
        <v>56</v>
      </c>
      <c r="T957" s="1">
        <v>3</v>
      </c>
      <c r="U957" s="3" t="s">
        <v>48</v>
      </c>
      <c r="V957" s="4">
        <v>19187</v>
      </c>
      <c r="W957" s="1">
        <v>6992</v>
      </c>
      <c r="X957" s="1">
        <v>4</v>
      </c>
      <c r="Y957" s="3" t="s">
        <v>42</v>
      </c>
      <c r="Z957" s="3" t="s">
        <v>43</v>
      </c>
      <c r="AA957" s="5">
        <v>0.14000000000000001</v>
      </c>
      <c r="AB957" s="10" t="str" cm="1">
        <f t="array" ref="AB957">_xlfn.IFS(AA957 &lt;= 15%, "Low Hike[11-15%]", AA957 &lt;= 20%, "Moderate Hike[16-20%]", AA957 &lt;= 25%,"High Hike[21-25%]")</f>
        <v>Low Hike[11-15%]</v>
      </c>
      <c r="AC957" s="1">
        <v>3</v>
      </c>
      <c r="AD957" s="1">
        <v>4</v>
      </c>
      <c r="AE957" s="1">
        <v>80</v>
      </c>
      <c r="AF957" s="1">
        <v>1</v>
      </c>
      <c r="AG957" s="1">
        <v>23</v>
      </c>
      <c r="AH957" s="9" t="str" cm="1">
        <f t="array" ref="AH957">_xlfn.IFS(AG957 &lt;= 5, "New[1-5]", AG957 &lt;= 10, "Early Career[6-10]", AG957 &lt;= 20, "Established[11-20]", AG957 &lt;= 30, "Veteran[21-30]", AG957 &lt;= 40, "Late Career[31-40]")</f>
        <v>Veteran[21-30]</v>
      </c>
      <c r="AI957" s="1">
        <v>5</v>
      </c>
      <c r="AJ957" s="1">
        <v>3</v>
      </c>
      <c r="AK957" s="1">
        <v>19</v>
      </c>
      <c r="AL957" s="9" t="str" cm="1">
        <f t="array" ref="AL957">_xlfn.IFS(AK957 &lt;= 5, "New[1-5]", AK957 &lt;= 10, "Early Career[6-10]", AK957 &lt;= 20, "Established[11-20]", AK957 &lt;= 30, "Veteran[21-30]", AK957 &lt;= 40, "Late Career[31-40]")</f>
        <v>Established[11-20]</v>
      </c>
      <c r="AM957" s="1">
        <v>9</v>
      </c>
      <c r="AN957" s="9" t="str" cm="1">
        <f t="array" ref="AN957">_xlfn.IFS(AM957 &lt;= 3, "New to Role[1-3]", AM957 &lt;= 7, "Settled[4-7]", AM957 &lt;= 12, "Experienced[[8-12]", AM957 &lt;= 18, "Long Tenured[13-18]")</f>
        <v>Experienced[[8-12]</v>
      </c>
      <c r="AO957" s="1">
        <v>9</v>
      </c>
      <c r="AP957" s="9" t="str" cm="1">
        <f t="array" ref="AP957">_xlfn.IFS(AO957 &lt;= 3, "Recently[1-3]", AO957 &lt;= 6, "Due Soon[4-6]", AO957 &lt;= 10, "Overdue[7-10]", AO957 &lt;= 15, "Long Overdue[11-15]")</f>
        <v>Overdue[7-10]</v>
      </c>
      <c r="AQ957" s="9" t="str" cm="1">
        <f t="array" ref="AQ957">_xlfn.IFS(AR957 &lt;= 3, "New Relationship[1-3]", AR957 &lt;= 7, "Established Relationship[4-7]", AR957 &lt;= 12, "Long Term Relationship[8-12]", AR957 &lt;= 17, "Very Long Term Relationship[13-17]")</f>
        <v>Long Term Relationship[8-12]</v>
      </c>
      <c r="AR957" s="1">
        <v>11</v>
      </c>
    </row>
    <row r="958" spans="1:44" x14ac:dyDescent="0.25">
      <c r="A958" s="1">
        <v>56</v>
      </c>
      <c r="B958" s="8" t="str" cm="1">
        <f t="array" ref="B958">_xlfn.IFS(A958 &lt;= 25, "[18-25]", A958 &lt;= 35, "[26-35]", A958 &lt;=45, "[36-45]", A958 &lt;= 60, "[46- 60]")</f>
        <v>[46- 60]</v>
      </c>
      <c r="C958" s="3" t="s">
        <v>43</v>
      </c>
      <c r="D958">
        <f t="shared" si="14"/>
        <v>0</v>
      </c>
      <c r="E958" t="s">
        <v>36</v>
      </c>
      <c r="F958" s="1">
        <v>206</v>
      </c>
      <c r="G958" s="3" t="s">
        <v>61</v>
      </c>
      <c r="H958" s="1">
        <v>8</v>
      </c>
      <c r="I958" s="9" t="str" cm="1">
        <f t="array" ref="I958">_xlfn.IFS(H958 &lt;= 2, "[1-2] very close", H958 &lt;= 10, "[3-10] close", H958 &lt;= 20, "[11-20] moderate", H958 &lt;= 30, "[21-30] far")</f>
        <v>[3-10] close</v>
      </c>
      <c r="J958" s="1">
        <v>4</v>
      </c>
      <c r="K958" s="3" t="s">
        <v>38</v>
      </c>
      <c r="L958" s="1">
        <v>1</v>
      </c>
      <c r="M958" s="1">
        <v>1338</v>
      </c>
      <c r="N958" s="1">
        <v>4</v>
      </c>
      <c r="O958" s="3" t="s">
        <v>46</v>
      </c>
      <c r="P958" s="1">
        <v>99</v>
      </c>
      <c r="Q958" s="1">
        <v>3</v>
      </c>
      <c r="R958" s="1">
        <v>5</v>
      </c>
      <c r="S958" s="3" t="s">
        <v>56</v>
      </c>
      <c r="T958" s="1">
        <v>2</v>
      </c>
      <c r="U958" s="3" t="s">
        <v>41</v>
      </c>
      <c r="V958" s="4">
        <v>19717</v>
      </c>
      <c r="W958" s="1">
        <v>4022</v>
      </c>
      <c r="X958" s="1">
        <v>6</v>
      </c>
      <c r="Y958" s="3" t="s">
        <v>42</v>
      </c>
      <c r="Z958" s="3" t="s">
        <v>43</v>
      </c>
      <c r="AA958" s="5">
        <v>0.14000000000000001</v>
      </c>
      <c r="AB958" s="10" t="str" cm="1">
        <f t="array" ref="AB958">_xlfn.IFS(AA958 &lt;= 15%, "Low Hike[11-15%]", AA958 &lt;= 20%, "Moderate Hike[16-20%]", AA958 &lt;= 25%,"High Hike[21-25%]")</f>
        <v>Low Hike[11-15%]</v>
      </c>
      <c r="AC958" s="1">
        <v>3</v>
      </c>
      <c r="AD958" s="1">
        <v>1</v>
      </c>
      <c r="AE958" s="1">
        <v>80</v>
      </c>
      <c r="AF958" s="1">
        <v>0</v>
      </c>
      <c r="AG958" s="1">
        <v>36</v>
      </c>
      <c r="AH958" s="9" t="str" cm="1">
        <f t="array" ref="AH958">_xlfn.IFS(AG958 &lt;= 5, "New[1-5]", AG958 &lt;= 10, "Early Career[6-10]", AG958 &lt;= 20, "Established[11-20]", AG958 &lt;= 30, "Veteran[21-30]", AG958 &lt;= 40, "Late Career[31-40]")</f>
        <v>Late Career[31-40]</v>
      </c>
      <c r="AI958" s="1">
        <v>4</v>
      </c>
      <c r="AJ958" s="1">
        <v>3</v>
      </c>
      <c r="AK958" s="1">
        <v>7</v>
      </c>
      <c r="AL958" s="9" t="str" cm="1">
        <f t="array" ref="AL958">_xlfn.IFS(AK958 &lt;= 5, "New[1-5]", AK958 &lt;= 10, "Early Career[6-10]", AK958 &lt;= 20, "Established[11-20]", AK958 &lt;= 30, "Veteran[21-30]", AK958 &lt;= 40, "Late Career[31-40]")</f>
        <v>Early Career[6-10]</v>
      </c>
      <c r="AM958" s="1">
        <v>3</v>
      </c>
      <c r="AN958" s="9" t="str" cm="1">
        <f t="array" ref="AN958">_xlfn.IFS(AM958 &lt;= 3, "New to Role[1-3]", AM958 &lt;= 7, "Settled[4-7]", AM958 &lt;= 12, "Experienced[[8-12]", AM958 &lt;= 18, "Long Tenured[13-18]")</f>
        <v>New to Role[1-3]</v>
      </c>
      <c r="AO958" s="1">
        <v>7</v>
      </c>
      <c r="AP958" s="9" t="str" cm="1">
        <f t="array" ref="AP958">_xlfn.IFS(AO958 &lt;= 3, "Recently[1-3]", AO958 &lt;= 6, "Due Soon[4-6]", AO958 &lt;= 10, "Overdue[7-10]", AO958 &lt;= 15, "Long Overdue[11-15]")</f>
        <v>Overdue[7-10]</v>
      </c>
      <c r="AQ958" s="9" t="str" cm="1">
        <f t="array" ref="AQ958">_xlfn.IFS(AR958 &lt;= 3, "New Relationship[1-3]", AR958 &lt;= 7, "Established Relationship[4-7]", AR958 &lt;= 12, "Long Term Relationship[8-12]", AR958 &lt;= 17, "Very Long Term Relationship[13-17]")</f>
        <v>Established Relationship[4-7]</v>
      </c>
      <c r="AR958" s="1">
        <v>7</v>
      </c>
    </row>
    <row r="959" spans="1:44" x14ac:dyDescent="0.25">
      <c r="A959" s="1">
        <v>40</v>
      </c>
      <c r="B959" s="8" t="str" cm="1">
        <f t="array" ref="B959">_xlfn.IFS(A959 &lt;= 25, "[18-25]", A959 &lt;= 35, "[26-35]", A959 &lt;=45, "[36-45]", A959 &lt;= 60, "[46- 60]")</f>
        <v>[36-45]</v>
      </c>
      <c r="C959" s="3" t="s">
        <v>43</v>
      </c>
      <c r="D959">
        <f t="shared" si="14"/>
        <v>0</v>
      </c>
      <c r="E959" t="s">
        <v>62</v>
      </c>
      <c r="F959" s="1">
        <v>458</v>
      </c>
      <c r="G959" s="3" t="s">
        <v>45</v>
      </c>
      <c r="H959" s="1">
        <v>16</v>
      </c>
      <c r="I959" s="9" t="str" cm="1">
        <f t="array" ref="I959">_xlfn.IFS(H959 &lt;= 2, "[1-2] very close", H959 &lt;= 10, "[3-10] close", H959 &lt;= 20, "[11-20] moderate", H959 &lt;= 30, "[21-30] far")</f>
        <v>[11-20] moderate</v>
      </c>
      <c r="J959" s="1">
        <v>2</v>
      </c>
      <c r="K959" s="3" t="s">
        <v>38</v>
      </c>
      <c r="L959" s="1">
        <v>1</v>
      </c>
      <c r="M959" s="1">
        <v>1340</v>
      </c>
      <c r="N959" s="1">
        <v>3</v>
      </c>
      <c r="O959" s="3" t="s">
        <v>46</v>
      </c>
      <c r="P959" s="1">
        <v>74</v>
      </c>
      <c r="Q959" s="1">
        <v>3</v>
      </c>
      <c r="R959" s="1">
        <v>1</v>
      </c>
      <c r="S959" s="3" t="s">
        <v>47</v>
      </c>
      <c r="T959" s="1">
        <v>3</v>
      </c>
      <c r="U959" s="3" t="s">
        <v>52</v>
      </c>
      <c r="V959" s="4">
        <v>3544</v>
      </c>
      <c r="W959" s="1">
        <v>8532</v>
      </c>
      <c r="X959" s="1">
        <v>9</v>
      </c>
      <c r="Y959" s="3" t="s">
        <v>42</v>
      </c>
      <c r="Z959" s="3" t="s">
        <v>43</v>
      </c>
      <c r="AA959" s="5">
        <v>0.16</v>
      </c>
      <c r="AB959" s="10" t="str" cm="1">
        <f t="array" ref="AB959">_xlfn.IFS(AA959 &lt;= 15%, "Low Hike[11-15%]", AA959 &lt;= 20%, "Moderate Hike[16-20%]", AA959 &lt;= 25%,"High Hike[21-25%]")</f>
        <v>Moderate Hike[16-20%]</v>
      </c>
      <c r="AC959" s="1">
        <v>3</v>
      </c>
      <c r="AD959" s="1">
        <v>2</v>
      </c>
      <c r="AE959" s="1">
        <v>80</v>
      </c>
      <c r="AF959" s="1">
        <v>1</v>
      </c>
      <c r="AG959" s="1">
        <v>6</v>
      </c>
      <c r="AH959" s="9" t="str" cm="1">
        <f t="array" ref="AH959">_xlfn.IFS(AG959 &lt;= 5, "New[1-5]", AG959 &lt;= 10, "Early Career[6-10]", AG959 &lt;= 20, "Established[11-20]", AG959 &lt;= 30, "Veteran[21-30]", AG959 &lt;= 40, "Late Career[31-40]")</f>
        <v>Early Career[6-10]</v>
      </c>
      <c r="AI959" s="1">
        <v>0</v>
      </c>
      <c r="AJ959" s="1">
        <v>3</v>
      </c>
      <c r="AK959" s="1">
        <v>4</v>
      </c>
      <c r="AL959" s="9" t="str" cm="1">
        <f t="array" ref="AL959">_xlfn.IFS(AK959 &lt;= 5, "New[1-5]", AK959 &lt;= 10, "Early Career[6-10]", AK959 &lt;= 20, "Established[11-20]", AK959 &lt;= 30, "Veteran[21-30]", AK959 &lt;= 40, "Late Career[31-40]")</f>
        <v>New[1-5]</v>
      </c>
      <c r="AM959" s="1">
        <v>2</v>
      </c>
      <c r="AN959" s="9" t="str" cm="1">
        <f t="array" ref="AN959">_xlfn.IFS(AM959 &lt;= 3, "New to Role[1-3]", AM959 &lt;= 7, "Settled[4-7]", AM959 &lt;= 12, "Experienced[[8-12]", AM959 &lt;= 18, "Long Tenured[13-18]")</f>
        <v>New to Role[1-3]</v>
      </c>
      <c r="AO959" s="1">
        <v>0</v>
      </c>
      <c r="AP959" s="9" t="str" cm="1">
        <f t="array" ref="AP959">_xlfn.IFS(AO959 &lt;= 3, "Recently[1-3]", AO959 &lt;= 6, "Due Soon[4-6]", AO959 &lt;= 10, "Overdue[7-10]", AO959 &lt;= 15, "Long Overdue[11-15]")</f>
        <v>Recently[1-3]</v>
      </c>
      <c r="AQ959" s="9" t="str" cm="1">
        <f t="array" ref="AQ959">_xlfn.IFS(AR959 &lt;= 3, "New Relationship[1-3]", AR959 &lt;= 7, "Established Relationship[4-7]", AR959 &lt;= 12, "Long Term Relationship[8-12]", AR959 &lt;= 17, "Very Long Term Relationship[13-17]")</f>
        <v>New Relationship[1-3]</v>
      </c>
      <c r="AR959" s="1">
        <v>0</v>
      </c>
    </row>
    <row r="960" spans="1:44" x14ac:dyDescent="0.25">
      <c r="A960" s="1">
        <v>34</v>
      </c>
      <c r="B960" s="8" t="str" cm="1">
        <f t="array" ref="B960">_xlfn.IFS(A960 &lt;= 25, "[18-25]", A960 &lt;= 35, "[26-35]", A960 &lt;=45, "[36-45]", A960 &lt;= 60, "[46- 60]")</f>
        <v>[26-35]</v>
      </c>
      <c r="C960" s="3" t="s">
        <v>43</v>
      </c>
      <c r="D960">
        <f t="shared" si="14"/>
        <v>0</v>
      </c>
      <c r="E960" t="s">
        <v>36</v>
      </c>
      <c r="F960" s="1">
        <v>943</v>
      </c>
      <c r="G960" s="3" t="s">
        <v>45</v>
      </c>
      <c r="H960" s="1">
        <v>9</v>
      </c>
      <c r="I960" s="9" t="str" cm="1">
        <f t="array" ref="I960">_xlfn.IFS(H960 &lt;= 2, "[1-2] very close", H960 &lt;= 10, "[3-10] close", H960 &lt;= 20, "[11-20] moderate", H960 &lt;= 30, "[21-30] far")</f>
        <v>[3-10] close</v>
      </c>
      <c r="J960" s="1">
        <v>3</v>
      </c>
      <c r="K960" s="3" t="s">
        <v>38</v>
      </c>
      <c r="L960" s="1">
        <v>1</v>
      </c>
      <c r="M960" s="1">
        <v>1344</v>
      </c>
      <c r="N960" s="1">
        <v>4</v>
      </c>
      <c r="O960" s="3" t="s">
        <v>46</v>
      </c>
      <c r="P960" s="1">
        <v>86</v>
      </c>
      <c r="Q960" s="1">
        <v>3</v>
      </c>
      <c r="R960" s="1">
        <v>3</v>
      </c>
      <c r="S960" s="3" t="s">
        <v>54</v>
      </c>
      <c r="T960" s="1">
        <v>4</v>
      </c>
      <c r="U960" s="3" t="s">
        <v>52</v>
      </c>
      <c r="V960" s="4">
        <v>8500</v>
      </c>
      <c r="W960" s="1">
        <v>5494</v>
      </c>
      <c r="X960" s="1">
        <v>0</v>
      </c>
      <c r="Y960" s="3" t="s">
        <v>42</v>
      </c>
      <c r="Z960" s="3" t="s">
        <v>43</v>
      </c>
      <c r="AA960" s="5">
        <v>0.11</v>
      </c>
      <c r="AB960" s="10" t="str" cm="1">
        <f t="array" ref="AB960">_xlfn.IFS(AA960 &lt;= 15%, "Low Hike[11-15%]", AA960 &lt;= 20%, "Moderate Hike[16-20%]", AA960 &lt;= 25%,"High Hike[21-25%]")</f>
        <v>Low Hike[11-15%]</v>
      </c>
      <c r="AC960" s="1">
        <v>3</v>
      </c>
      <c r="AD960" s="1">
        <v>4</v>
      </c>
      <c r="AE960" s="1">
        <v>80</v>
      </c>
      <c r="AF960" s="1">
        <v>1</v>
      </c>
      <c r="AG960" s="1">
        <v>10</v>
      </c>
      <c r="AH960" s="9" t="str" cm="1">
        <f t="array" ref="AH960">_xlfn.IFS(AG960 &lt;= 5, "New[1-5]", AG960 &lt;= 10, "Early Career[6-10]", AG960 &lt;= 20, "Established[11-20]", AG960 &lt;= 30, "Veteran[21-30]", AG960 &lt;= 40, "Late Career[31-40]")</f>
        <v>Early Career[6-10]</v>
      </c>
      <c r="AI960" s="1">
        <v>0</v>
      </c>
      <c r="AJ960" s="1">
        <v>2</v>
      </c>
      <c r="AK960" s="1">
        <v>9</v>
      </c>
      <c r="AL960" s="9" t="str" cm="1">
        <f t="array" ref="AL960">_xlfn.IFS(AK960 &lt;= 5, "New[1-5]", AK960 &lt;= 10, "Early Career[6-10]", AK960 &lt;= 20, "Established[11-20]", AK960 &lt;= 30, "Veteran[21-30]", AK960 &lt;= 40, "Late Career[31-40]")</f>
        <v>Early Career[6-10]</v>
      </c>
      <c r="AM960" s="1">
        <v>7</v>
      </c>
      <c r="AN960" s="9" t="str" cm="1">
        <f t="array" ref="AN960">_xlfn.IFS(AM960 &lt;= 3, "New to Role[1-3]", AM960 &lt;= 7, "Settled[4-7]", AM960 &lt;= 12, "Experienced[[8-12]", AM960 &lt;= 18, "Long Tenured[13-18]")</f>
        <v>Settled[4-7]</v>
      </c>
      <c r="AO960" s="1">
        <v>1</v>
      </c>
      <c r="AP960" s="9" t="str" cm="1">
        <f t="array" ref="AP960">_xlfn.IFS(AO960 &lt;= 3, "Recently[1-3]", AO960 &lt;= 6, "Due Soon[4-6]", AO960 &lt;= 10, "Overdue[7-10]", AO960 &lt;= 15, "Long Overdue[11-15]")</f>
        <v>Recently[1-3]</v>
      </c>
      <c r="AQ960" s="9" t="str" cm="1">
        <f t="array" ref="AQ960">_xlfn.IFS(AR960 &lt;= 3, "New Relationship[1-3]", AR960 &lt;= 7, "Established Relationship[4-7]", AR960 &lt;= 12, "Long Term Relationship[8-12]", AR960 &lt;= 17, "Very Long Term Relationship[13-17]")</f>
        <v>Established Relationship[4-7]</v>
      </c>
      <c r="AR960" s="1">
        <v>6</v>
      </c>
    </row>
    <row r="961" spans="1:44" x14ac:dyDescent="0.25">
      <c r="A961" s="1">
        <v>40</v>
      </c>
      <c r="B961" s="8" t="str" cm="1">
        <f t="array" ref="B961">_xlfn.IFS(A961 &lt;= 25, "[18-25]", A961 &lt;= 35, "[26-35]", A961 &lt;=45, "[36-45]", A961 &lt;= 60, "[46- 60]")</f>
        <v>[36-45]</v>
      </c>
      <c r="C961" s="3" t="s">
        <v>43</v>
      </c>
      <c r="D961">
        <f t="shared" si="14"/>
        <v>0</v>
      </c>
      <c r="E961" t="s">
        <v>36</v>
      </c>
      <c r="F961" s="1">
        <v>523</v>
      </c>
      <c r="G961" s="3" t="s">
        <v>45</v>
      </c>
      <c r="H961" s="1">
        <v>2</v>
      </c>
      <c r="I961" s="9" t="str" cm="1">
        <f t="array" ref="I961">_xlfn.IFS(H961 &lt;= 2, "[1-2] very close", H961 &lt;= 10, "[3-10] close", H961 &lt;= 20, "[11-20] moderate", H961 &lt;= 30, "[21-30] far")</f>
        <v>[1-2] very close</v>
      </c>
      <c r="J961" s="1">
        <v>3</v>
      </c>
      <c r="K961" s="3" t="s">
        <v>38</v>
      </c>
      <c r="L961" s="1">
        <v>1</v>
      </c>
      <c r="M961" s="1">
        <v>1346</v>
      </c>
      <c r="N961" s="1">
        <v>3</v>
      </c>
      <c r="O961" s="3" t="s">
        <v>46</v>
      </c>
      <c r="P961" s="1">
        <v>98</v>
      </c>
      <c r="Q961" s="1">
        <v>3</v>
      </c>
      <c r="R961" s="1">
        <v>2</v>
      </c>
      <c r="S961" s="3" t="s">
        <v>47</v>
      </c>
      <c r="T961" s="1">
        <v>4</v>
      </c>
      <c r="U961" s="3" t="s">
        <v>41</v>
      </c>
      <c r="V961" s="4">
        <v>4661</v>
      </c>
      <c r="W961" s="1">
        <v>22455</v>
      </c>
      <c r="X961" s="1">
        <v>1</v>
      </c>
      <c r="Y961" s="3" t="s">
        <v>42</v>
      </c>
      <c r="Z961" s="3" t="s">
        <v>43</v>
      </c>
      <c r="AA961" s="5">
        <v>0.13</v>
      </c>
      <c r="AB961" s="10" t="str" cm="1">
        <f t="array" ref="AB961">_xlfn.IFS(AA961 &lt;= 15%, "Low Hike[11-15%]", AA961 &lt;= 20%, "Moderate Hike[16-20%]", AA961 &lt;= 25%,"High Hike[21-25%]")</f>
        <v>Low Hike[11-15%]</v>
      </c>
      <c r="AC961" s="1">
        <v>3</v>
      </c>
      <c r="AD961" s="1">
        <v>3</v>
      </c>
      <c r="AE961" s="1">
        <v>80</v>
      </c>
      <c r="AF961" s="1">
        <v>0</v>
      </c>
      <c r="AG961" s="1">
        <v>9</v>
      </c>
      <c r="AH961" s="9" t="str" cm="1">
        <f t="array" ref="AH961">_xlfn.IFS(AG961 &lt;= 5, "New[1-5]", AG961 &lt;= 10, "Early Career[6-10]", AG961 &lt;= 20, "Established[11-20]", AG961 &lt;= 30, "Veteran[21-30]", AG961 &lt;= 40, "Late Career[31-40]")</f>
        <v>Early Career[6-10]</v>
      </c>
      <c r="AI961" s="1">
        <v>4</v>
      </c>
      <c r="AJ961" s="1">
        <v>3</v>
      </c>
      <c r="AK961" s="1">
        <v>9</v>
      </c>
      <c r="AL961" s="9" t="str" cm="1">
        <f t="array" ref="AL961">_xlfn.IFS(AK961 &lt;= 5, "New[1-5]", AK961 &lt;= 10, "Early Career[6-10]", AK961 &lt;= 20, "Established[11-20]", AK961 &lt;= 30, "Veteran[21-30]", AK961 &lt;= 40, "Late Career[31-40]")</f>
        <v>Early Career[6-10]</v>
      </c>
      <c r="AM961" s="1">
        <v>8</v>
      </c>
      <c r="AN961" s="9" t="str" cm="1">
        <f t="array" ref="AN961">_xlfn.IFS(AM961 &lt;= 3, "New to Role[1-3]", AM961 &lt;= 7, "Settled[4-7]", AM961 &lt;= 12, "Experienced[[8-12]", AM961 &lt;= 18, "Long Tenured[13-18]")</f>
        <v>Experienced[[8-12]</v>
      </c>
      <c r="AO961" s="1">
        <v>8</v>
      </c>
      <c r="AP961" s="9" t="str" cm="1">
        <f t="array" ref="AP961">_xlfn.IFS(AO961 &lt;= 3, "Recently[1-3]", AO961 &lt;= 6, "Due Soon[4-6]", AO961 &lt;= 10, "Overdue[7-10]", AO961 &lt;= 15, "Long Overdue[11-15]")</f>
        <v>Overdue[7-10]</v>
      </c>
      <c r="AQ961" s="9" t="str" cm="1">
        <f t="array" ref="AQ961">_xlfn.IFS(AR961 &lt;= 3, "New Relationship[1-3]", AR961 &lt;= 7, "Established Relationship[4-7]", AR961 &lt;= 12, "Long Term Relationship[8-12]", AR961 &lt;= 17, "Very Long Term Relationship[13-17]")</f>
        <v>Long Term Relationship[8-12]</v>
      </c>
      <c r="AR961" s="1">
        <v>8</v>
      </c>
    </row>
    <row r="962" spans="1:44" x14ac:dyDescent="0.25">
      <c r="A962" s="1">
        <v>41</v>
      </c>
      <c r="B962" s="8" t="str" cm="1">
        <f t="array" ref="B962">_xlfn.IFS(A962 &lt;= 25, "[18-25]", A962 &lt;= 35, "[26-35]", A962 &lt;=45, "[36-45]", A962 &lt;= 60, "[46- 60]")</f>
        <v>[36-45]</v>
      </c>
      <c r="C962" s="3" t="s">
        <v>43</v>
      </c>
      <c r="D962">
        <f t="shared" ref="D962:D1025" si="15">IF(C962 = "Yes",1, 0)</f>
        <v>0</v>
      </c>
      <c r="E962" t="s">
        <v>44</v>
      </c>
      <c r="F962" s="1">
        <v>1018</v>
      </c>
      <c r="G962" s="3" t="s">
        <v>37</v>
      </c>
      <c r="H962" s="1">
        <v>1</v>
      </c>
      <c r="I962" s="9" t="str" cm="1">
        <f t="array" ref="I962">_xlfn.IFS(H962 &lt;= 2, "[1-2] very close", H962 &lt;= 10, "[3-10] close", H962 &lt;= 20, "[11-20] moderate", H962 &lt;= 30, "[21-30] far")</f>
        <v>[1-2] very close</v>
      </c>
      <c r="J962" s="1">
        <v>3</v>
      </c>
      <c r="K962" s="3" t="s">
        <v>59</v>
      </c>
      <c r="L962" s="1">
        <v>1</v>
      </c>
      <c r="M962" s="1">
        <v>1349</v>
      </c>
      <c r="N962" s="1">
        <v>3</v>
      </c>
      <c r="O962" s="3" t="s">
        <v>39</v>
      </c>
      <c r="P962" s="1">
        <v>66</v>
      </c>
      <c r="Q962" s="1">
        <v>3</v>
      </c>
      <c r="R962" s="1">
        <v>2</v>
      </c>
      <c r="S962" s="3" t="s">
        <v>40</v>
      </c>
      <c r="T962" s="1">
        <v>1</v>
      </c>
      <c r="U962" s="3" t="s">
        <v>52</v>
      </c>
      <c r="V962" s="4">
        <v>4103</v>
      </c>
      <c r="W962" s="1">
        <v>4297</v>
      </c>
      <c r="X962" s="1">
        <v>0</v>
      </c>
      <c r="Y962" s="3" t="s">
        <v>42</v>
      </c>
      <c r="Z962" s="3" t="s">
        <v>43</v>
      </c>
      <c r="AA962" s="5">
        <v>0.17</v>
      </c>
      <c r="AB962" s="10" t="str" cm="1">
        <f t="array" ref="AB962">_xlfn.IFS(AA962 &lt;= 15%, "Low Hike[11-15%]", AA962 &lt;= 20%, "Moderate Hike[16-20%]", AA962 &lt;= 25%,"High Hike[21-25%]")</f>
        <v>Moderate Hike[16-20%]</v>
      </c>
      <c r="AC962" s="1">
        <v>3</v>
      </c>
      <c r="AD962" s="1">
        <v>4</v>
      </c>
      <c r="AE962" s="1">
        <v>80</v>
      </c>
      <c r="AF962" s="1">
        <v>1</v>
      </c>
      <c r="AG962" s="1">
        <v>10</v>
      </c>
      <c r="AH962" s="9" t="str" cm="1">
        <f t="array" ref="AH962">_xlfn.IFS(AG962 &lt;= 5, "New[1-5]", AG962 &lt;= 10, "Early Career[6-10]", AG962 &lt;= 20, "Established[11-20]", AG962 &lt;= 30, "Veteran[21-30]", AG962 &lt;= 40, "Late Career[31-40]")</f>
        <v>Early Career[6-10]</v>
      </c>
      <c r="AI962" s="1">
        <v>2</v>
      </c>
      <c r="AJ962" s="1">
        <v>3</v>
      </c>
      <c r="AK962" s="1">
        <v>9</v>
      </c>
      <c r="AL962" s="9" t="str" cm="1">
        <f t="array" ref="AL962">_xlfn.IFS(AK962 &lt;= 5, "New[1-5]", AK962 &lt;= 10, "Early Career[6-10]", AK962 &lt;= 20, "Established[11-20]", AK962 &lt;= 30, "Veteran[21-30]", AK962 &lt;= 40, "Late Career[31-40]")</f>
        <v>Early Career[6-10]</v>
      </c>
      <c r="AM962" s="1">
        <v>3</v>
      </c>
      <c r="AN962" s="9" t="str" cm="1">
        <f t="array" ref="AN962">_xlfn.IFS(AM962 &lt;= 3, "New to Role[1-3]", AM962 &lt;= 7, "Settled[4-7]", AM962 &lt;= 12, "Experienced[[8-12]", AM962 &lt;= 18, "Long Tenured[13-18]")</f>
        <v>New to Role[1-3]</v>
      </c>
      <c r="AO962" s="1">
        <v>1</v>
      </c>
      <c r="AP962" s="9" t="str" cm="1">
        <f t="array" ref="AP962">_xlfn.IFS(AO962 &lt;= 3, "Recently[1-3]", AO962 &lt;= 6, "Due Soon[4-6]", AO962 &lt;= 10, "Overdue[7-10]", AO962 &lt;= 15, "Long Overdue[11-15]")</f>
        <v>Recently[1-3]</v>
      </c>
      <c r="AQ962" s="9" t="str" cm="1">
        <f t="array" ref="AQ962">_xlfn.IFS(AR962 &lt;= 3, "New Relationship[1-3]", AR962 &lt;= 7, "Established Relationship[4-7]", AR962 &lt;= 12, "Long Term Relationship[8-12]", AR962 &lt;= 17, "Very Long Term Relationship[13-17]")</f>
        <v>Established Relationship[4-7]</v>
      </c>
      <c r="AR962" s="1">
        <v>7</v>
      </c>
    </row>
    <row r="963" spans="1:44" x14ac:dyDescent="0.25">
      <c r="A963" s="1">
        <v>35</v>
      </c>
      <c r="B963" s="8" t="str" cm="1">
        <f t="array" ref="B963">_xlfn.IFS(A963 &lt;= 25, "[18-25]", A963 &lt;= 35, "[26-35]", A963 &lt;=45, "[36-45]", A963 &lt;= 60, "[46- 60]")</f>
        <v>[26-35]</v>
      </c>
      <c r="C963" s="3" t="s">
        <v>43</v>
      </c>
      <c r="D963">
        <f t="shared" si="15"/>
        <v>0</v>
      </c>
      <c r="E963" t="s">
        <v>44</v>
      </c>
      <c r="F963" s="1">
        <v>482</v>
      </c>
      <c r="G963" s="3" t="s">
        <v>45</v>
      </c>
      <c r="H963" s="1">
        <v>4</v>
      </c>
      <c r="I963" s="9" t="str" cm="1">
        <f t="array" ref="I963">_xlfn.IFS(H963 &lt;= 2, "[1-2] very close", H963 &lt;= 10, "[3-10] close", H963 &lt;= 20, "[11-20] moderate", H963 &lt;= 30, "[21-30] far")</f>
        <v>[3-10] close</v>
      </c>
      <c r="J963" s="1">
        <v>4</v>
      </c>
      <c r="K963" s="3" t="s">
        <v>38</v>
      </c>
      <c r="L963" s="1">
        <v>1</v>
      </c>
      <c r="M963" s="1">
        <v>1350</v>
      </c>
      <c r="N963" s="1">
        <v>3</v>
      </c>
      <c r="O963" s="3" t="s">
        <v>46</v>
      </c>
      <c r="P963" s="1">
        <v>87</v>
      </c>
      <c r="Q963" s="1">
        <v>3</v>
      </c>
      <c r="R963" s="1">
        <v>2</v>
      </c>
      <c r="S963" s="3" t="s">
        <v>47</v>
      </c>
      <c r="T963" s="1">
        <v>3</v>
      </c>
      <c r="U963" s="3" t="s">
        <v>41</v>
      </c>
      <c r="V963" s="4">
        <v>4249</v>
      </c>
      <c r="W963" s="1">
        <v>2690</v>
      </c>
      <c r="X963" s="1">
        <v>1</v>
      </c>
      <c r="Y963" s="3" t="s">
        <v>42</v>
      </c>
      <c r="Z963" s="3" t="s">
        <v>35</v>
      </c>
      <c r="AA963" s="5">
        <v>0.11</v>
      </c>
      <c r="AB963" s="10" t="str" cm="1">
        <f t="array" ref="AB963">_xlfn.IFS(AA963 &lt;= 15%, "Low Hike[11-15%]", AA963 &lt;= 20%, "Moderate Hike[16-20%]", AA963 &lt;= 25%,"High Hike[21-25%]")</f>
        <v>Low Hike[11-15%]</v>
      </c>
      <c r="AC963" s="1">
        <v>3</v>
      </c>
      <c r="AD963" s="1">
        <v>2</v>
      </c>
      <c r="AE963" s="1">
        <v>80</v>
      </c>
      <c r="AF963" s="1">
        <v>0</v>
      </c>
      <c r="AG963" s="1">
        <v>9</v>
      </c>
      <c r="AH963" s="9" t="str" cm="1">
        <f t="array" ref="AH963">_xlfn.IFS(AG963 &lt;= 5, "New[1-5]", AG963 &lt;= 10, "Early Career[6-10]", AG963 &lt;= 20, "Established[11-20]", AG963 &lt;= 30, "Veteran[21-30]", AG963 &lt;= 40, "Late Career[31-40]")</f>
        <v>Early Career[6-10]</v>
      </c>
      <c r="AI963" s="1">
        <v>3</v>
      </c>
      <c r="AJ963" s="1">
        <v>3</v>
      </c>
      <c r="AK963" s="1">
        <v>9</v>
      </c>
      <c r="AL963" s="9" t="str" cm="1">
        <f t="array" ref="AL963">_xlfn.IFS(AK963 &lt;= 5, "New[1-5]", AK963 &lt;= 10, "Early Career[6-10]", AK963 &lt;= 20, "Established[11-20]", AK963 &lt;= 30, "Veteran[21-30]", AK963 &lt;= 40, "Late Career[31-40]")</f>
        <v>Early Career[6-10]</v>
      </c>
      <c r="AM963" s="1">
        <v>6</v>
      </c>
      <c r="AN963" s="9" t="str" cm="1">
        <f t="array" ref="AN963">_xlfn.IFS(AM963 &lt;= 3, "New to Role[1-3]", AM963 &lt;= 7, "Settled[4-7]", AM963 &lt;= 12, "Experienced[[8-12]", AM963 &lt;= 18, "Long Tenured[13-18]")</f>
        <v>Settled[4-7]</v>
      </c>
      <c r="AO963" s="1">
        <v>1</v>
      </c>
      <c r="AP963" s="9" t="str" cm="1">
        <f t="array" ref="AP963">_xlfn.IFS(AO963 &lt;= 3, "Recently[1-3]", AO963 &lt;= 6, "Due Soon[4-6]", AO963 &lt;= 10, "Overdue[7-10]", AO963 &lt;= 15, "Long Overdue[11-15]")</f>
        <v>Recently[1-3]</v>
      </c>
      <c r="AQ963" s="9" t="str" cm="1">
        <f t="array" ref="AQ963">_xlfn.IFS(AR963 &lt;= 3, "New Relationship[1-3]", AR963 &lt;= 7, "Established Relationship[4-7]", AR963 &lt;= 12, "Long Term Relationship[8-12]", AR963 &lt;= 17, "Very Long Term Relationship[13-17]")</f>
        <v>New Relationship[1-3]</v>
      </c>
      <c r="AR963" s="1">
        <v>1</v>
      </c>
    </row>
    <row r="964" spans="1:44" x14ac:dyDescent="0.25">
      <c r="A964" s="1">
        <v>51</v>
      </c>
      <c r="B964" s="8" t="str" cm="1">
        <f t="array" ref="B964">_xlfn.IFS(A964 &lt;= 25, "[18-25]", A964 &lt;= 35, "[26-35]", A964 &lt;=45, "[36-45]", A964 &lt;= 60, "[46- 60]")</f>
        <v>[46- 60]</v>
      </c>
      <c r="C964" s="3" t="s">
        <v>43</v>
      </c>
      <c r="D964">
        <f t="shared" si="15"/>
        <v>0</v>
      </c>
      <c r="E964" t="s">
        <v>36</v>
      </c>
      <c r="F964" s="1">
        <v>770</v>
      </c>
      <c r="G964" s="3" t="s">
        <v>61</v>
      </c>
      <c r="H964" s="1">
        <v>5</v>
      </c>
      <c r="I964" s="9" t="str" cm="1">
        <f t="array" ref="I964">_xlfn.IFS(H964 &lt;= 2, "[1-2] very close", H964 &lt;= 10, "[3-10] close", H964 &lt;= 20, "[11-20] moderate", H964 &lt;= 30, "[21-30] far")</f>
        <v>[3-10] close</v>
      </c>
      <c r="J964" s="1">
        <v>3</v>
      </c>
      <c r="K964" s="3" t="s">
        <v>38</v>
      </c>
      <c r="L964" s="1">
        <v>1</v>
      </c>
      <c r="M964" s="1">
        <v>1352</v>
      </c>
      <c r="N964" s="1">
        <v>3</v>
      </c>
      <c r="O964" s="3" t="s">
        <v>46</v>
      </c>
      <c r="P964" s="1">
        <v>84</v>
      </c>
      <c r="Q964" s="1">
        <v>3</v>
      </c>
      <c r="R964" s="1">
        <v>4</v>
      </c>
      <c r="S964" s="3" t="s">
        <v>56</v>
      </c>
      <c r="T964" s="1">
        <v>2</v>
      </c>
      <c r="U964" s="3" t="s">
        <v>52</v>
      </c>
      <c r="V964" s="4">
        <v>14026</v>
      </c>
      <c r="W964" s="1">
        <v>17588</v>
      </c>
      <c r="X964" s="1">
        <v>1</v>
      </c>
      <c r="Y964" s="3" t="s">
        <v>42</v>
      </c>
      <c r="Z964" s="3" t="s">
        <v>35</v>
      </c>
      <c r="AA964" s="5">
        <v>0.11</v>
      </c>
      <c r="AB964" s="10" t="str" cm="1">
        <f t="array" ref="AB964">_xlfn.IFS(AA964 &lt;= 15%, "Low Hike[11-15%]", AA964 &lt;= 20%, "Moderate Hike[16-20%]", AA964 &lt;= 25%,"High Hike[21-25%]")</f>
        <v>Low Hike[11-15%]</v>
      </c>
      <c r="AC964" s="1">
        <v>3</v>
      </c>
      <c r="AD964" s="1">
        <v>2</v>
      </c>
      <c r="AE964" s="1">
        <v>80</v>
      </c>
      <c r="AF964" s="1">
        <v>1</v>
      </c>
      <c r="AG964" s="1">
        <v>33</v>
      </c>
      <c r="AH964" s="9" t="str" cm="1">
        <f t="array" ref="AH964">_xlfn.IFS(AG964 &lt;= 5, "New[1-5]", AG964 &lt;= 10, "Early Career[6-10]", AG964 &lt;= 20, "Established[11-20]", AG964 &lt;= 30, "Veteran[21-30]", AG964 &lt;= 40, "Late Career[31-40]")</f>
        <v>Late Career[31-40]</v>
      </c>
      <c r="AI964" s="1">
        <v>2</v>
      </c>
      <c r="AJ964" s="1">
        <v>3</v>
      </c>
      <c r="AK964" s="1">
        <v>33</v>
      </c>
      <c r="AL964" s="9" t="str" cm="1">
        <f t="array" ref="AL964">_xlfn.IFS(AK964 &lt;= 5, "New[1-5]", AK964 &lt;= 10, "Early Career[6-10]", AK964 &lt;= 20, "Established[11-20]", AK964 &lt;= 30, "Veteran[21-30]", AK964 &lt;= 40, "Late Career[31-40]")</f>
        <v>Late Career[31-40]</v>
      </c>
      <c r="AM964" s="1">
        <v>9</v>
      </c>
      <c r="AN964" s="9" t="str" cm="1">
        <f t="array" ref="AN964">_xlfn.IFS(AM964 &lt;= 3, "New to Role[1-3]", AM964 &lt;= 7, "Settled[4-7]", AM964 &lt;= 12, "Experienced[[8-12]", AM964 &lt;= 18, "Long Tenured[13-18]")</f>
        <v>Experienced[[8-12]</v>
      </c>
      <c r="AO964" s="1">
        <v>0</v>
      </c>
      <c r="AP964" s="9" t="str" cm="1">
        <f t="array" ref="AP964">_xlfn.IFS(AO964 &lt;= 3, "Recently[1-3]", AO964 &lt;= 6, "Due Soon[4-6]", AO964 &lt;= 10, "Overdue[7-10]", AO964 &lt;= 15, "Long Overdue[11-15]")</f>
        <v>Recently[1-3]</v>
      </c>
      <c r="AQ964" s="9" t="str" cm="1">
        <f t="array" ref="AQ964">_xlfn.IFS(AR964 &lt;= 3, "New Relationship[1-3]", AR964 &lt;= 7, "Established Relationship[4-7]", AR964 &lt;= 12, "Long Term Relationship[8-12]", AR964 &lt;= 17, "Very Long Term Relationship[13-17]")</f>
        <v>Long Term Relationship[8-12]</v>
      </c>
      <c r="AR964" s="1">
        <v>10</v>
      </c>
    </row>
    <row r="965" spans="1:44" x14ac:dyDescent="0.25">
      <c r="A965" s="1">
        <v>38</v>
      </c>
      <c r="B965" s="8" t="str" cm="1">
        <f t="array" ref="B965">_xlfn.IFS(A965 &lt;= 25, "[18-25]", A965 &lt;= 35, "[26-35]", A965 &lt;=45, "[36-45]", A965 &lt;= 60, "[46- 60]")</f>
        <v>[36-45]</v>
      </c>
      <c r="C965" s="3" t="s">
        <v>43</v>
      </c>
      <c r="D965">
        <f t="shared" si="15"/>
        <v>0</v>
      </c>
      <c r="E965" t="s">
        <v>36</v>
      </c>
      <c r="F965" s="1">
        <v>1009</v>
      </c>
      <c r="G965" s="3" t="s">
        <v>37</v>
      </c>
      <c r="H965" s="1">
        <v>2</v>
      </c>
      <c r="I965" s="9" t="str" cm="1">
        <f t="array" ref="I965">_xlfn.IFS(H965 &lt;= 2, "[1-2] very close", H965 &lt;= 10, "[3-10] close", H965 &lt;= 20, "[11-20] moderate", H965 &lt;= 30, "[21-30] far")</f>
        <v>[1-2] very close</v>
      </c>
      <c r="J965" s="1">
        <v>2</v>
      </c>
      <c r="K965" s="3" t="s">
        <v>38</v>
      </c>
      <c r="L965" s="1">
        <v>1</v>
      </c>
      <c r="M965" s="1">
        <v>1355</v>
      </c>
      <c r="N965" s="1">
        <v>2</v>
      </c>
      <c r="O965" s="3" t="s">
        <v>39</v>
      </c>
      <c r="P965" s="1">
        <v>31</v>
      </c>
      <c r="Q965" s="1">
        <v>3</v>
      </c>
      <c r="R965" s="1">
        <v>2</v>
      </c>
      <c r="S965" s="3" t="s">
        <v>40</v>
      </c>
      <c r="T965" s="1">
        <v>1</v>
      </c>
      <c r="U965" s="3" t="s">
        <v>52</v>
      </c>
      <c r="V965" s="4">
        <v>6893</v>
      </c>
      <c r="W965" s="1">
        <v>19461</v>
      </c>
      <c r="X965" s="1">
        <v>3</v>
      </c>
      <c r="Y965" s="3" t="s">
        <v>42</v>
      </c>
      <c r="Z965" s="3" t="s">
        <v>43</v>
      </c>
      <c r="AA965" s="5">
        <v>0.15</v>
      </c>
      <c r="AB965" s="10" t="str" cm="1">
        <f t="array" ref="AB965">_xlfn.IFS(AA965 &lt;= 15%, "Low Hike[11-15%]", AA965 &lt;= 20%, "Moderate Hike[16-20%]", AA965 &lt;= 25%,"High Hike[21-25%]")</f>
        <v>Low Hike[11-15%]</v>
      </c>
      <c r="AC965" s="1">
        <v>3</v>
      </c>
      <c r="AD965" s="1">
        <v>4</v>
      </c>
      <c r="AE965" s="1">
        <v>80</v>
      </c>
      <c r="AF965" s="1">
        <v>1</v>
      </c>
      <c r="AG965" s="1">
        <v>11</v>
      </c>
      <c r="AH965" s="9" t="str" cm="1">
        <f t="array" ref="AH965">_xlfn.IFS(AG965 &lt;= 5, "New[1-5]", AG965 &lt;= 10, "Early Career[6-10]", AG965 &lt;= 20, "Established[11-20]", AG965 &lt;= 30, "Veteran[21-30]", AG965 &lt;= 40, "Late Career[31-40]")</f>
        <v>Established[11-20]</v>
      </c>
      <c r="AI965" s="1">
        <v>3</v>
      </c>
      <c r="AJ965" s="1">
        <v>3</v>
      </c>
      <c r="AK965" s="1">
        <v>7</v>
      </c>
      <c r="AL965" s="9" t="str" cm="1">
        <f t="array" ref="AL965">_xlfn.IFS(AK965 &lt;= 5, "New[1-5]", AK965 &lt;= 10, "Early Career[6-10]", AK965 &lt;= 20, "Established[11-20]", AK965 &lt;= 30, "Veteran[21-30]", AK965 &lt;= 40, "Late Career[31-40]")</f>
        <v>Early Career[6-10]</v>
      </c>
      <c r="AM965" s="1">
        <v>7</v>
      </c>
      <c r="AN965" s="9" t="str" cm="1">
        <f t="array" ref="AN965">_xlfn.IFS(AM965 &lt;= 3, "New to Role[1-3]", AM965 &lt;= 7, "Settled[4-7]", AM965 &lt;= 12, "Experienced[[8-12]", AM965 &lt;= 18, "Long Tenured[13-18]")</f>
        <v>Settled[4-7]</v>
      </c>
      <c r="AO965" s="1">
        <v>1</v>
      </c>
      <c r="AP965" s="9" t="str" cm="1">
        <f t="array" ref="AP965">_xlfn.IFS(AO965 &lt;= 3, "Recently[1-3]", AO965 &lt;= 6, "Due Soon[4-6]", AO965 &lt;= 10, "Overdue[7-10]", AO965 &lt;= 15, "Long Overdue[11-15]")</f>
        <v>Recently[1-3]</v>
      </c>
      <c r="AQ965" s="9" t="str" cm="1">
        <f t="array" ref="AQ965">_xlfn.IFS(AR965 &lt;= 3, "New Relationship[1-3]", AR965 &lt;= 7, "Established Relationship[4-7]", AR965 &lt;= 12, "Long Term Relationship[8-12]", AR965 &lt;= 17, "Very Long Term Relationship[13-17]")</f>
        <v>Established Relationship[4-7]</v>
      </c>
      <c r="AR965" s="1">
        <v>7</v>
      </c>
    </row>
    <row r="966" spans="1:44" x14ac:dyDescent="0.25">
      <c r="A966" s="1">
        <v>34</v>
      </c>
      <c r="B966" s="8" t="str" cm="1">
        <f t="array" ref="B966">_xlfn.IFS(A966 &lt;= 25, "[18-25]", A966 &lt;= 35, "[26-35]", A966 &lt;=45, "[36-45]", A966 &lt;= 60, "[46- 60]")</f>
        <v>[26-35]</v>
      </c>
      <c r="C966" s="3" t="s">
        <v>43</v>
      </c>
      <c r="D966">
        <f t="shared" si="15"/>
        <v>0</v>
      </c>
      <c r="E966" t="s">
        <v>36</v>
      </c>
      <c r="F966" s="1">
        <v>507</v>
      </c>
      <c r="G966" s="3" t="s">
        <v>37</v>
      </c>
      <c r="H966" s="1">
        <v>15</v>
      </c>
      <c r="I966" s="9" t="str" cm="1">
        <f t="array" ref="I966">_xlfn.IFS(H966 &lt;= 2, "[1-2] very close", H966 &lt;= 10, "[3-10] close", H966 &lt;= 20, "[11-20] moderate", H966 &lt;= 30, "[21-30] far")</f>
        <v>[11-20] moderate</v>
      </c>
      <c r="J966" s="1">
        <v>2</v>
      </c>
      <c r="K966" s="3" t="s">
        <v>51</v>
      </c>
      <c r="L966" s="1">
        <v>1</v>
      </c>
      <c r="M966" s="1">
        <v>1356</v>
      </c>
      <c r="N966" s="1">
        <v>3</v>
      </c>
      <c r="O966" s="3" t="s">
        <v>39</v>
      </c>
      <c r="P966" s="1">
        <v>66</v>
      </c>
      <c r="Q966" s="1">
        <v>3</v>
      </c>
      <c r="R966" s="1">
        <v>2</v>
      </c>
      <c r="S966" s="3" t="s">
        <v>40</v>
      </c>
      <c r="T966" s="1">
        <v>1</v>
      </c>
      <c r="U966" s="3" t="s">
        <v>41</v>
      </c>
      <c r="V966" s="4">
        <v>6125</v>
      </c>
      <c r="W966" s="1">
        <v>23553</v>
      </c>
      <c r="X966" s="1">
        <v>1</v>
      </c>
      <c r="Y966" s="3" t="s">
        <v>42</v>
      </c>
      <c r="Z966" s="3" t="s">
        <v>43</v>
      </c>
      <c r="AA966" s="5">
        <v>0.12</v>
      </c>
      <c r="AB966" s="10" t="str" cm="1">
        <f t="array" ref="AB966">_xlfn.IFS(AA966 &lt;= 15%, "Low Hike[11-15%]", AA966 &lt;= 20%, "Moderate Hike[16-20%]", AA966 &lt;= 25%,"High Hike[21-25%]")</f>
        <v>Low Hike[11-15%]</v>
      </c>
      <c r="AC966" s="1">
        <v>3</v>
      </c>
      <c r="AD966" s="1">
        <v>4</v>
      </c>
      <c r="AE966" s="1">
        <v>80</v>
      </c>
      <c r="AF966" s="1">
        <v>0</v>
      </c>
      <c r="AG966" s="1">
        <v>10</v>
      </c>
      <c r="AH966" s="9" t="str" cm="1">
        <f t="array" ref="AH966">_xlfn.IFS(AG966 &lt;= 5, "New[1-5]", AG966 &lt;= 10, "Early Career[6-10]", AG966 &lt;= 20, "Established[11-20]", AG966 &lt;= 30, "Veteran[21-30]", AG966 &lt;= 40, "Late Career[31-40]")</f>
        <v>Early Career[6-10]</v>
      </c>
      <c r="AI966" s="1">
        <v>6</v>
      </c>
      <c r="AJ966" s="1">
        <v>4</v>
      </c>
      <c r="AK966" s="1">
        <v>10</v>
      </c>
      <c r="AL966" s="9" t="str" cm="1">
        <f t="array" ref="AL966">_xlfn.IFS(AK966 &lt;= 5, "New[1-5]", AK966 &lt;= 10, "Early Career[6-10]", AK966 &lt;= 20, "Established[11-20]", AK966 &lt;= 30, "Veteran[21-30]", AK966 &lt;= 40, "Late Career[31-40]")</f>
        <v>Early Career[6-10]</v>
      </c>
      <c r="AM966" s="1">
        <v>8</v>
      </c>
      <c r="AN966" s="9" t="str" cm="1">
        <f t="array" ref="AN966">_xlfn.IFS(AM966 &lt;= 3, "New to Role[1-3]", AM966 &lt;= 7, "Settled[4-7]", AM966 &lt;= 12, "Experienced[[8-12]", AM966 &lt;= 18, "Long Tenured[13-18]")</f>
        <v>Experienced[[8-12]</v>
      </c>
      <c r="AO966" s="1">
        <v>9</v>
      </c>
      <c r="AP966" s="9" t="str" cm="1">
        <f t="array" ref="AP966">_xlfn.IFS(AO966 &lt;= 3, "Recently[1-3]", AO966 &lt;= 6, "Due Soon[4-6]", AO966 &lt;= 10, "Overdue[7-10]", AO966 &lt;= 15, "Long Overdue[11-15]")</f>
        <v>Overdue[7-10]</v>
      </c>
      <c r="AQ966" s="9" t="str" cm="1">
        <f t="array" ref="AQ966">_xlfn.IFS(AR966 &lt;= 3, "New Relationship[1-3]", AR966 &lt;= 7, "Established Relationship[4-7]", AR966 &lt;= 12, "Long Term Relationship[8-12]", AR966 &lt;= 17, "Very Long Term Relationship[13-17]")</f>
        <v>Established Relationship[4-7]</v>
      </c>
      <c r="AR966" s="1">
        <v>6</v>
      </c>
    </row>
    <row r="967" spans="1:44" x14ac:dyDescent="0.25">
      <c r="A967" s="1">
        <v>25</v>
      </c>
      <c r="B967" s="8" t="str" cm="1">
        <f t="array" ref="B967">_xlfn.IFS(A967 &lt;= 25, "[18-25]", A967 &lt;= 35, "[26-35]", A967 &lt;=45, "[36-45]", A967 &lt;= 60, "[46- 60]")</f>
        <v>[18-25]</v>
      </c>
      <c r="C967" s="3" t="s">
        <v>43</v>
      </c>
      <c r="D967">
        <f t="shared" si="15"/>
        <v>0</v>
      </c>
      <c r="E967" t="s">
        <v>36</v>
      </c>
      <c r="F967" s="1">
        <v>882</v>
      </c>
      <c r="G967" s="3" t="s">
        <v>45</v>
      </c>
      <c r="H967" s="1">
        <v>19</v>
      </c>
      <c r="I967" s="9" t="str" cm="1">
        <f t="array" ref="I967">_xlfn.IFS(H967 &lt;= 2, "[1-2] very close", H967 &lt;= 10, "[3-10] close", H967 &lt;= 20, "[11-20] moderate", H967 &lt;= 30, "[21-30] far")</f>
        <v>[11-20] moderate</v>
      </c>
      <c r="J967" s="1">
        <v>1</v>
      </c>
      <c r="K967" s="3" t="s">
        <v>51</v>
      </c>
      <c r="L967" s="1">
        <v>1</v>
      </c>
      <c r="M967" s="1">
        <v>1358</v>
      </c>
      <c r="N967" s="1">
        <v>4</v>
      </c>
      <c r="O967" s="3" t="s">
        <v>46</v>
      </c>
      <c r="P967" s="1">
        <v>67</v>
      </c>
      <c r="Q967" s="1">
        <v>3</v>
      </c>
      <c r="R967" s="1">
        <v>1</v>
      </c>
      <c r="S967" s="3" t="s">
        <v>50</v>
      </c>
      <c r="T967" s="1">
        <v>4</v>
      </c>
      <c r="U967" s="3" t="s">
        <v>48</v>
      </c>
      <c r="V967" s="4">
        <v>3669</v>
      </c>
      <c r="W967" s="1">
        <v>9075</v>
      </c>
      <c r="X967" s="1">
        <v>3</v>
      </c>
      <c r="Y967" s="3" t="s">
        <v>42</v>
      </c>
      <c r="Z967" s="3" t="s">
        <v>43</v>
      </c>
      <c r="AA967" s="5">
        <v>0.11</v>
      </c>
      <c r="AB967" s="10" t="str" cm="1">
        <f t="array" ref="AB967">_xlfn.IFS(AA967 &lt;= 15%, "Low Hike[11-15%]", AA967 &lt;= 20%, "Moderate Hike[16-20%]", AA967 &lt;= 25%,"High Hike[21-25%]")</f>
        <v>Low Hike[11-15%]</v>
      </c>
      <c r="AC967" s="1">
        <v>3</v>
      </c>
      <c r="AD967" s="1">
        <v>3</v>
      </c>
      <c r="AE967" s="1">
        <v>80</v>
      </c>
      <c r="AF967" s="1">
        <v>3</v>
      </c>
      <c r="AG967" s="1">
        <v>7</v>
      </c>
      <c r="AH967" s="9" t="str" cm="1">
        <f t="array" ref="AH967">_xlfn.IFS(AG967 &lt;= 5, "New[1-5]", AG967 &lt;= 10, "Early Career[6-10]", AG967 &lt;= 20, "Established[11-20]", AG967 &lt;= 30, "Veteran[21-30]", AG967 &lt;= 40, "Late Career[31-40]")</f>
        <v>Early Career[6-10]</v>
      </c>
      <c r="AI967" s="1">
        <v>6</v>
      </c>
      <c r="AJ967" s="1">
        <v>2</v>
      </c>
      <c r="AK967" s="1">
        <v>3</v>
      </c>
      <c r="AL967" s="9" t="str" cm="1">
        <f t="array" ref="AL967">_xlfn.IFS(AK967 &lt;= 5, "New[1-5]", AK967 &lt;= 10, "Early Career[6-10]", AK967 &lt;= 20, "Established[11-20]", AK967 &lt;= 30, "Veteran[21-30]", AK967 &lt;= 40, "Late Career[31-40]")</f>
        <v>New[1-5]</v>
      </c>
      <c r="AM967" s="1">
        <v>2</v>
      </c>
      <c r="AN967" s="9" t="str" cm="1">
        <f t="array" ref="AN967">_xlfn.IFS(AM967 &lt;= 3, "New to Role[1-3]", AM967 &lt;= 7, "Settled[4-7]", AM967 &lt;= 12, "Experienced[[8-12]", AM967 &lt;= 18, "Long Tenured[13-18]")</f>
        <v>New to Role[1-3]</v>
      </c>
      <c r="AO967" s="1">
        <v>1</v>
      </c>
      <c r="AP967" s="9" t="str" cm="1">
        <f t="array" ref="AP967">_xlfn.IFS(AO967 &lt;= 3, "Recently[1-3]", AO967 &lt;= 6, "Due Soon[4-6]", AO967 &lt;= 10, "Overdue[7-10]", AO967 &lt;= 15, "Long Overdue[11-15]")</f>
        <v>Recently[1-3]</v>
      </c>
      <c r="AQ967" s="9" t="str" cm="1">
        <f t="array" ref="AQ967">_xlfn.IFS(AR967 &lt;= 3, "New Relationship[1-3]", AR967 &lt;= 7, "Established Relationship[4-7]", AR967 &lt;= 12, "Long Term Relationship[8-12]", AR967 &lt;= 17, "Very Long Term Relationship[13-17]")</f>
        <v>New Relationship[1-3]</v>
      </c>
      <c r="AR967" s="1">
        <v>2</v>
      </c>
    </row>
    <row r="968" spans="1:44" x14ac:dyDescent="0.25">
      <c r="A968" s="1">
        <v>58</v>
      </c>
      <c r="B968" s="8" t="str" cm="1">
        <f t="array" ref="B968">_xlfn.IFS(A968 &lt;= 25, "[18-25]", A968 &lt;= 35, "[26-35]", A968 &lt;=45, "[36-45]", A968 &lt;= 60, "[46- 60]")</f>
        <v>[46- 60]</v>
      </c>
      <c r="C968" s="3" t="s">
        <v>35</v>
      </c>
      <c r="D968">
        <f t="shared" si="15"/>
        <v>1</v>
      </c>
      <c r="E968" t="s">
        <v>36</v>
      </c>
      <c r="F968" s="1">
        <v>601</v>
      </c>
      <c r="G968" s="3" t="s">
        <v>45</v>
      </c>
      <c r="H968" s="1">
        <v>7</v>
      </c>
      <c r="I968" s="9" t="str" cm="1">
        <f t="array" ref="I968">_xlfn.IFS(H968 &lt;= 2, "[1-2] very close", H968 &lt;= 10, "[3-10] close", H968 &lt;= 20, "[11-20] moderate", H968 &lt;= 30, "[21-30] far")</f>
        <v>[3-10] close</v>
      </c>
      <c r="J968" s="1">
        <v>4</v>
      </c>
      <c r="K968" s="3" t="s">
        <v>51</v>
      </c>
      <c r="L968" s="1">
        <v>1</v>
      </c>
      <c r="M968" s="1">
        <v>1360</v>
      </c>
      <c r="N968" s="1">
        <v>3</v>
      </c>
      <c r="O968" s="3" t="s">
        <v>39</v>
      </c>
      <c r="P968" s="1">
        <v>53</v>
      </c>
      <c r="Q968" s="1">
        <v>2</v>
      </c>
      <c r="R968" s="1">
        <v>3</v>
      </c>
      <c r="S968" s="3" t="s">
        <v>53</v>
      </c>
      <c r="T968" s="1">
        <v>1</v>
      </c>
      <c r="U968" s="3" t="s">
        <v>48</v>
      </c>
      <c r="V968" s="4">
        <v>10008</v>
      </c>
      <c r="W968" s="1">
        <v>12023</v>
      </c>
      <c r="X968" s="1">
        <v>7</v>
      </c>
      <c r="Y968" s="3" t="s">
        <v>42</v>
      </c>
      <c r="Z968" s="3" t="s">
        <v>35</v>
      </c>
      <c r="AA968" s="5">
        <v>0.14000000000000001</v>
      </c>
      <c r="AB968" s="10" t="str" cm="1">
        <f t="array" ref="AB968">_xlfn.IFS(AA968 &lt;= 15%, "Low Hike[11-15%]", AA968 &lt;= 20%, "Moderate Hike[16-20%]", AA968 &lt;= 25%,"High Hike[21-25%]")</f>
        <v>Low Hike[11-15%]</v>
      </c>
      <c r="AC968" s="1">
        <v>3</v>
      </c>
      <c r="AD968" s="1">
        <v>4</v>
      </c>
      <c r="AE968" s="1">
        <v>80</v>
      </c>
      <c r="AF968" s="1">
        <v>0</v>
      </c>
      <c r="AG968" s="1">
        <v>31</v>
      </c>
      <c r="AH968" s="9" t="str" cm="1">
        <f t="array" ref="AH968">_xlfn.IFS(AG968 &lt;= 5, "New[1-5]", AG968 &lt;= 10, "Early Career[6-10]", AG968 &lt;= 20, "Established[11-20]", AG968 &lt;= 30, "Veteran[21-30]", AG968 &lt;= 40, "Late Career[31-40]")</f>
        <v>Late Career[31-40]</v>
      </c>
      <c r="AI968" s="1">
        <v>0</v>
      </c>
      <c r="AJ968" s="1">
        <v>2</v>
      </c>
      <c r="AK968" s="1">
        <v>10</v>
      </c>
      <c r="AL968" s="9" t="str" cm="1">
        <f t="array" ref="AL968">_xlfn.IFS(AK968 &lt;= 5, "New[1-5]", AK968 &lt;= 10, "Early Career[6-10]", AK968 &lt;= 20, "Established[11-20]", AK968 &lt;= 30, "Veteran[21-30]", AK968 &lt;= 40, "Late Career[31-40]")</f>
        <v>Early Career[6-10]</v>
      </c>
      <c r="AM968" s="1">
        <v>9</v>
      </c>
      <c r="AN968" s="9" t="str" cm="1">
        <f t="array" ref="AN968">_xlfn.IFS(AM968 &lt;= 3, "New to Role[1-3]", AM968 &lt;= 7, "Settled[4-7]", AM968 &lt;= 12, "Experienced[[8-12]", AM968 &lt;= 18, "Long Tenured[13-18]")</f>
        <v>Experienced[[8-12]</v>
      </c>
      <c r="AO968" s="1">
        <v>5</v>
      </c>
      <c r="AP968" s="9" t="str" cm="1">
        <f t="array" ref="AP968">_xlfn.IFS(AO968 &lt;= 3, "Recently[1-3]", AO968 &lt;= 6, "Due Soon[4-6]", AO968 &lt;= 10, "Overdue[7-10]", AO968 &lt;= 15, "Long Overdue[11-15]")</f>
        <v>Due Soon[4-6]</v>
      </c>
      <c r="AQ968" s="9" t="str" cm="1">
        <f t="array" ref="AQ968">_xlfn.IFS(AR968 &lt;= 3, "New Relationship[1-3]", AR968 &lt;= 7, "Established Relationship[4-7]", AR968 &lt;= 12, "Long Term Relationship[8-12]", AR968 &lt;= 17, "Very Long Term Relationship[13-17]")</f>
        <v>Long Term Relationship[8-12]</v>
      </c>
      <c r="AR968" s="1">
        <v>9</v>
      </c>
    </row>
    <row r="969" spans="1:44" x14ac:dyDescent="0.25">
      <c r="A969" s="1">
        <v>40</v>
      </c>
      <c r="B969" s="8" t="str" cm="1">
        <f t="array" ref="B969">_xlfn.IFS(A969 &lt;= 25, "[18-25]", A969 &lt;= 35, "[26-35]", A969 &lt;=45, "[36-45]", A969 &lt;= 60, "[46- 60]")</f>
        <v>[36-45]</v>
      </c>
      <c r="C969" s="3" t="s">
        <v>43</v>
      </c>
      <c r="D969">
        <f t="shared" si="15"/>
        <v>0</v>
      </c>
      <c r="E969" t="s">
        <v>36</v>
      </c>
      <c r="F969" s="1">
        <v>329</v>
      </c>
      <c r="G969" s="3" t="s">
        <v>45</v>
      </c>
      <c r="H969" s="1">
        <v>1</v>
      </c>
      <c r="I969" s="9" t="str" cm="1">
        <f t="array" ref="I969">_xlfn.IFS(H969 &lt;= 2, "[1-2] very close", H969 &lt;= 10, "[3-10] close", H969 &lt;= 20, "[11-20] moderate", H969 &lt;= 30, "[21-30] far")</f>
        <v>[1-2] very close</v>
      </c>
      <c r="J969" s="1">
        <v>4</v>
      </c>
      <c r="K969" s="3" t="s">
        <v>38</v>
      </c>
      <c r="L969" s="1">
        <v>1</v>
      </c>
      <c r="M969" s="1">
        <v>1361</v>
      </c>
      <c r="N969" s="1">
        <v>2</v>
      </c>
      <c r="O969" s="3" t="s">
        <v>46</v>
      </c>
      <c r="P969" s="1">
        <v>88</v>
      </c>
      <c r="Q969" s="1">
        <v>3</v>
      </c>
      <c r="R969" s="1">
        <v>1</v>
      </c>
      <c r="S969" s="3" t="s">
        <v>50</v>
      </c>
      <c r="T969" s="1">
        <v>2</v>
      </c>
      <c r="U969" s="3" t="s">
        <v>48</v>
      </c>
      <c r="V969" s="4">
        <v>2387</v>
      </c>
      <c r="W969" s="1">
        <v>6762</v>
      </c>
      <c r="X969" s="1">
        <v>3</v>
      </c>
      <c r="Y969" s="3" t="s">
        <v>42</v>
      </c>
      <c r="Z969" s="3" t="s">
        <v>43</v>
      </c>
      <c r="AA969" s="5">
        <v>0.22</v>
      </c>
      <c r="AB969" s="10" t="str" cm="1">
        <f t="array" ref="AB969">_xlfn.IFS(AA969 &lt;= 15%, "Low Hike[11-15%]", AA969 &lt;= 20%, "Moderate Hike[16-20%]", AA969 &lt;= 25%,"High Hike[21-25%]")</f>
        <v>High Hike[21-25%]</v>
      </c>
      <c r="AC969" s="1">
        <v>4</v>
      </c>
      <c r="AD969" s="1">
        <v>3</v>
      </c>
      <c r="AE969" s="1">
        <v>80</v>
      </c>
      <c r="AF969" s="1">
        <v>1</v>
      </c>
      <c r="AG969" s="1">
        <v>7</v>
      </c>
      <c r="AH969" s="9" t="str" cm="1">
        <f t="array" ref="AH969">_xlfn.IFS(AG969 &lt;= 5, "New[1-5]", AG969 &lt;= 10, "Early Career[6-10]", AG969 &lt;= 20, "Established[11-20]", AG969 &lt;= 30, "Veteran[21-30]", AG969 &lt;= 40, "Late Career[31-40]")</f>
        <v>Early Career[6-10]</v>
      </c>
      <c r="AI969" s="1">
        <v>3</v>
      </c>
      <c r="AJ969" s="1">
        <v>3</v>
      </c>
      <c r="AK969" s="1">
        <v>4</v>
      </c>
      <c r="AL969" s="9" t="str" cm="1">
        <f t="array" ref="AL969">_xlfn.IFS(AK969 &lt;= 5, "New[1-5]", AK969 &lt;= 10, "Early Career[6-10]", AK969 &lt;= 20, "Established[11-20]", AK969 &lt;= 30, "Veteran[21-30]", AK969 &lt;= 40, "Late Career[31-40]")</f>
        <v>New[1-5]</v>
      </c>
      <c r="AM969" s="1">
        <v>2</v>
      </c>
      <c r="AN969" s="9" t="str" cm="1">
        <f t="array" ref="AN969">_xlfn.IFS(AM969 &lt;= 3, "New to Role[1-3]", AM969 &lt;= 7, "Settled[4-7]", AM969 &lt;= 12, "Experienced[[8-12]", AM969 &lt;= 18, "Long Tenured[13-18]")</f>
        <v>New to Role[1-3]</v>
      </c>
      <c r="AO969" s="1">
        <v>0</v>
      </c>
      <c r="AP969" s="9" t="str" cm="1">
        <f t="array" ref="AP969">_xlfn.IFS(AO969 &lt;= 3, "Recently[1-3]", AO969 &lt;= 6, "Due Soon[4-6]", AO969 &lt;= 10, "Overdue[7-10]", AO969 &lt;= 15, "Long Overdue[11-15]")</f>
        <v>Recently[1-3]</v>
      </c>
      <c r="AQ969" s="9" t="str" cm="1">
        <f t="array" ref="AQ969">_xlfn.IFS(AR969 &lt;= 3, "New Relationship[1-3]", AR969 &lt;= 7, "Established Relationship[4-7]", AR969 &lt;= 12, "Long Term Relationship[8-12]", AR969 &lt;= 17, "Very Long Term Relationship[13-17]")</f>
        <v>New Relationship[1-3]</v>
      </c>
      <c r="AR969" s="1">
        <v>3</v>
      </c>
    </row>
    <row r="970" spans="1:44" x14ac:dyDescent="0.25">
      <c r="A970" s="1">
        <v>36</v>
      </c>
      <c r="B970" s="8" t="str" cm="1">
        <f t="array" ref="B970">_xlfn.IFS(A970 &lt;= 25, "[18-25]", A970 &lt;= 35, "[26-35]", A970 &lt;=45, "[36-45]", A970 &lt;= 60, "[46- 60]")</f>
        <v>[36-45]</v>
      </c>
      <c r="C970" s="3" t="s">
        <v>43</v>
      </c>
      <c r="D970">
        <f t="shared" si="15"/>
        <v>0</v>
      </c>
      <c r="E970" t="s">
        <v>44</v>
      </c>
      <c r="F970" s="1">
        <v>607</v>
      </c>
      <c r="G970" s="3" t="s">
        <v>37</v>
      </c>
      <c r="H970" s="1">
        <v>7</v>
      </c>
      <c r="I970" s="9" t="str" cm="1">
        <f t="array" ref="I970">_xlfn.IFS(H970 &lt;= 2, "[1-2] very close", H970 &lt;= 10, "[3-10] close", H970 &lt;= 20, "[11-20] moderate", H970 &lt;= 30, "[21-30] far")</f>
        <v>[3-10] close</v>
      </c>
      <c r="J970" s="1">
        <v>3</v>
      </c>
      <c r="K970" s="3" t="s">
        <v>59</v>
      </c>
      <c r="L970" s="1">
        <v>1</v>
      </c>
      <c r="M970" s="1">
        <v>1362</v>
      </c>
      <c r="N970" s="1">
        <v>1</v>
      </c>
      <c r="O970" s="3" t="s">
        <v>39</v>
      </c>
      <c r="P970" s="1">
        <v>83</v>
      </c>
      <c r="Q970" s="1">
        <v>4</v>
      </c>
      <c r="R970" s="1">
        <v>2</v>
      </c>
      <c r="S970" s="3" t="s">
        <v>40</v>
      </c>
      <c r="T970" s="1">
        <v>1</v>
      </c>
      <c r="U970" s="3" t="s">
        <v>48</v>
      </c>
      <c r="V970" s="4">
        <v>4639</v>
      </c>
      <c r="W970" s="1">
        <v>2261</v>
      </c>
      <c r="X970" s="1">
        <v>2</v>
      </c>
      <c r="Y970" s="3" t="s">
        <v>42</v>
      </c>
      <c r="Z970" s="3" t="s">
        <v>43</v>
      </c>
      <c r="AA970" s="5">
        <v>0.16</v>
      </c>
      <c r="AB970" s="10" t="str" cm="1">
        <f t="array" ref="AB970">_xlfn.IFS(AA970 &lt;= 15%, "Low Hike[11-15%]", AA970 &lt;= 20%, "Moderate Hike[16-20%]", AA970 &lt;= 25%,"High Hike[21-25%]")</f>
        <v>Moderate Hike[16-20%]</v>
      </c>
      <c r="AC970" s="1">
        <v>3</v>
      </c>
      <c r="AD970" s="1">
        <v>4</v>
      </c>
      <c r="AE970" s="1">
        <v>80</v>
      </c>
      <c r="AF970" s="1">
        <v>1</v>
      </c>
      <c r="AG970" s="1">
        <v>17</v>
      </c>
      <c r="AH970" s="9" t="str" cm="1">
        <f t="array" ref="AH970">_xlfn.IFS(AG970 &lt;= 5, "New[1-5]", AG970 &lt;= 10, "Early Career[6-10]", AG970 &lt;= 20, "Established[11-20]", AG970 &lt;= 30, "Veteran[21-30]", AG970 &lt;= 40, "Late Career[31-40]")</f>
        <v>Established[11-20]</v>
      </c>
      <c r="AI970" s="1">
        <v>2</v>
      </c>
      <c r="AJ970" s="1">
        <v>2</v>
      </c>
      <c r="AK970" s="1">
        <v>15</v>
      </c>
      <c r="AL970" s="9" t="str" cm="1">
        <f t="array" ref="AL970">_xlfn.IFS(AK970 &lt;= 5, "New[1-5]", AK970 &lt;= 10, "Early Career[6-10]", AK970 &lt;= 20, "Established[11-20]", AK970 &lt;= 30, "Veteran[21-30]", AK970 &lt;= 40, "Late Career[31-40]")</f>
        <v>Established[11-20]</v>
      </c>
      <c r="AM970" s="1">
        <v>7</v>
      </c>
      <c r="AN970" s="9" t="str" cm="1">
        <f t="array" ref="AN970">_xlfn.IFS(AM970 &lt;= 3, "New to Role[1-3]", AM970 &lt;= 7, "Settled[4-7]", AM970 &lt;= 12, "Experienced[[8-12]", AM970 &lt;= 18, "Long Tenured[13-18]")</f>
        <v>Settled[4-7]</v>
      </c>
      <c r="AO970" s="1">
        <v>6</v>
      </c>
      <c r="AP970" s="9" t="str" cm="1">
        <f t="array" ref="AP970">_xlfn.IFS(AO970 &lt;= 3, "Recently[1-3]", AO970 &lt;= 6, "Due Soon[4-6]", AO970 &lt;= 10, "Overdue[7-10]", AO970 &lt;= 15, "Long Overdue[11-15]")</f>
        <v>Due Soon[4-6]</v>
      </c>
      <c r="AQ970" s="9" t="str" cm="1">
        <f t="array" ref="AQ970">_xlfn.IFS(AR970 &lt;= 3, "New Relationship[1-3]", AR970 &lt;= 7, "Established Relationship[4-7]", AR970 &lt;= 12, "Long Term Relationship[8-12]", AR970 &lt;= 17, "Very Long Term Relationship[13-17]")</f>
        <v>Very Long Term Relationship[13-17]</v>
      </c>
      <c r="AR970" s="1">
        <v>13</v>
      </c>
    </row>
    <row r="971" spans="1:44" x14ac:dyDescent="0.25">
      <c r="A971" s="1">
        <v>48</v>
      </c>
      <c r="B971" s="8" t="str" cm="1">
        <f t="array" ref="B971">_xlfn.IFS(A971 &lt;= 25, "[18-25]", A971 &lt;= 35, "[26-35]", A971 &lt;=45, "[36-45]", A971 &lt;= 60, "[46- 60]")</f>
        <v>[46- 60]</v>
      </c>
      <c r="C971" s="3" t="s">
        <v>43</v>
      </c>
      <c r="D971">
        <f t="shared" si="15"/>
        <v>0</v>
      </c>
      <c r="E971" t="s">
        <v>36</v>
      </c>
      <c r="F971" s="1">
        <v>855</v>
      </c>
      <c r="G971" s="3" t="s">
        <v>45</v>
      </c>
      <c r="H971" s="1">
        <v>4</v>
      </c>
      <c r="I971" s="9" t="str" cm="1">
        <f t="array" ref="I971">_xlfn.IFS(H971 &lt;= 2, "[1-2] very close", H971 &lt;= 10, "[3-10] close", H971 &lt;= 20, "[11-20] moderate", H971 &lt;= 30, "[21-30] far")</f>
        <v>[3-10] close</v>
      </c>
      <c r="J971" s="1">
        <v>3</v>
      </c>
      <c r="K971" s="3" t="s">
        <v>38</v>
      </c>
      <c r="L971" s="1">
        <v>1</v>
      </c>
      <c r="M971" s="1">
        <v>1363</v>
      </c>
      <c r="N971" s="1">
        <v>4</v>
      </c>
      <c r="O971" s="3" t="s">
        <v>46</v>
      </c>
      <c r="P971" s="1">
        <v>54</v>
      </c>
      <c r="Q971" s="1">
        <v>3</v>
      </c>
      <c r="R971" s="1">
        <v>3</v>
      </c>
      <c r="S971" s="3" t="s">
        <v>53</v>
      </c>
      <c r="T971" s="1">
        <v>4</v>
      </c>
      <c r="U971" s="3" t="s">
        <v>41</v>
      </c>
      <c r="V971" s="4">
        <v>7898</v>
      </c>
      <c r="W971" s="1">
        <v>18706</v>
      </c>
      <c r="X971" s="1">
        <v>1</v>
      </c>
      <c r="Y971" s="3" t="s">
        <v>42</v>
      </c>
      <c r="Z971" s="3" t="s">
        <v>43</v>
      </c>
      <c r="AA971" s="5">
        <v>0.11</v>
      </c>
      <c r="AB971" s="10" t="str" cm="1">
        <f t="array" ref="AB971">_xlfn.IFS(AA971 &lt;= 15%, "Low Hike[11-15%]", AA971 &lt;= 20%, "Moderate Hike[16-20%]", AA971 &lt;= 25%,"High Hike[21-25%]")</f>
        <v>Low Hike[11-15%]</v>
      </c>
      <c r="AC971" s="1">
        <v>3</v>
      </c>
      <c r="AD971" s="1">
        <v>3</v>
      </c>
      <c r="AE971" s="1">
        <v>80</v>
      </c>
      <c r="AF971" s="1">
        <v>0</v>
      </c>
      <c r="AG971" s="1">
        <v>11</v>
      </c>
      <c r="AH971" s="9" t="str" cm="1">
        <f t="array" ref="AH971">_xlfn.IFS(AG971 &lt;= 5, "New[1-5]", AG971 &lt;= 10, "Early Career[6-10]", AG971 &lt;= 20, "Established[11-20]", AG971 &lt;= 30, "Veteran[21-30]", AG971 &lt;= 40, "Late Career[31-40]")</f>
        <v>Established[11-20]</v>
      </c>
      <c r="AI971" s="1">
        <v>2</v>
      </c>
      <c r="AJ971" s="1">
        <v>3</v>
      </c>
      <c r="AK971" s="1">
        <v>10</v>
      </c>
      <c r="AL971" s="9" t="str" cm="1">
        <f t="array" ref="AL971">_xlfn.IFS(AK971 &lt;= 5, "New[1-5]", AK971 &lt;= 10, "Early Career[6-10]", AK971 &lt;= 20, "Established[11-20]", AK971 &lt;= 30, "Veteran[21-30]", AK971 &lt;= 40, "Late Career[31-40]")</f>
        <v>Early Career[6-10]</v>
      </c>
      <c r="AM971" s="1">
        <v>9</v>
      </c>
      <c r="AN971" s="9" t="str" cm="1">
        <f t="array" ref="AN971">_xlfn.IFS(AM971 &lt;= 3, "New to Role[1-3]", AM971 &lt;= 7, "Settled[4-7]", AM971 &lt;= 12, "Experienced[[8-12]", AM971 &lt;= 18, "Long Tenured[13-18]")</f>
        <v>Experienced[[8-12]</v>
      </c>
      <c r="AO971" s="1">
        <v>0</v>
      </c>
      <c r="AP971" s="9" t="str" cm="1">
        <f t="array" ref="AP971">_xlfn.IFS(AO971 &lt;= 3, "Recently[1-3]", AO971 &lt;= 6, "Due Soon[4-6]", AO971 &lt;= 10, "Overdue[7-10]", AO971 &lt;= 15, "Long Overdue[11-15]")</f>
        <v>Recently[1-3]</v>
      </c>
      <c r="AQ971" s="9" t="str" cm="1">
        <f t="array" ref="AQ971">_xlfn.IFS(AR971 &lt;= 3, "New Relationship[1-3]", AR971 &lt;= 7, "Established Relationship[4-7]", AR971 &lt;= 12, "Long Term Relationship[8-12]", AR971 &lt;= 17, "Very Long Term Relationship[13-17]")</f>
        <v>Long Term Relationship[8-12]</v>
      </c>
      <c r="AR971" s="1">
        <v>8</v>
      </c>
    </row>
    <row r="972" spans="1:44" x14ac:dyDescent="0.25">
      <c r="A972" s="1">
        <v>27</v>
      </c>
      <c r="B972" s="8" t="str" cm="1">
        <f t="array" ref="B972">_xlfn.IFS(A972 &lt;= 25, "[18-25]", A972 &lt;= 35, "[26-35]", A972 &lt;=45, "[36-45]", A972 &lt;= 60, "[46- 60]")</f>
        <v>[26-35]</v>
      </c>
      <c r="C972" s="3" t="s">
        <v>43</v>
      </c>
      <c r="D972">
        <f t="shared" si="15"/>
        <v>0</v>
      </c>
      <c r="E972" t="s">
        <v>36</v>
      </c>
      <c r="F972" s="1">
        <v>1291</v>
      </c>
      <c r="G972" s="3" t="s">
        <v>37</v>
      </c>
      <c r="H972" s="1">
        <v>11</v>
      </c>
      <c r="I972" s="9" t="str" cm="1">
        <f t="array" ref="I972">_xlfn.IFS(H972 &lt;= 2, "[1-2] very close", H972 &lt;= 10, "[3-10] close", H972 &lt;= 20, "[11-20] moderate", H972 &lt;= 30, "[21-30] far")</f>
        <v>[11-20] moderate</v>
      </c>
      <c r="J972" s="1">
        <v>3</v>
      </c>
      <c r="K972" s="3" t="s">
        <v>51</v>
      </c>
      <c r="L972" s="1">
        <v>1</v>
      </c>
      <c r="M972" s="1">
        <v>1364</v>
      </c>
      <c r="N972" s="1">
        <v>3</v>
      </c>
      <c r="O972" s="3" t="s">
        <v>39</v>
      </c>
      <c r="P972" s="1">
        <v>98</v>
      </c>
      <c r="Q972" s="1">
        <v>4</v>
      </c>
      <c r="R972" s="1">
        <v>1</v>
      </c>
      <c r="S972" s="3" t="s">
        <v>57</v>
      </c>
      <c r="T972" s="1">
        <v>4</v>
      </c>
      <c r="U972" s="3" t="s">
        <v>48</v>
      </c>
      <c r="V972" s="4">
        <v>2534</v>
      </c>
      <c r="W972" s="1">
        <v>6527</v>
      </c>
      <c r="X972" s="1">
        <v>8</v>
      </c>
      <c r="Y972" s="3" t="s">
        <v>42</v>
      </c>
      <c r="Z972" s="3" t="s">
        <v>43</v>
      </c>
      <c r="AA972" s="5">
        <v>0.14000000000000001</v>
      </c>
      <c r="AB972" s="10" t="str" cm="1">
        <f t="array" ref="AB972">_xlfn.IFS(AA972 &lt;= 15%, "Low Hike[11-15%]", AA972 &lt;= 20%, "Moderate Hike[16-20%]", AA972 &lt;= 25%,"High Hike[21-25%]")</f>
        <v>Low Hike[11-15%]</v>
      </c>
      <c r="AC972" s="1">
        <v>3</v>
      </c>
      <c r="AD972" s="1">
        <v>2</v>
      </c>
      <c r="AE972" s="1">
        <v>80</v>
      </c>
      <c r="AF972" s="1">
        <v>1</v>
      </c>
      <c r="AG972" s="1">
        <v>5</v>
      </c>
      <c r="AH972" s="9" t="str" cm="1">
        <f t="array" ref="AH972">_xlfn.IFS(AG972 &lt;= 5, "New[1-5]", AG972 &lt;= 10, "Early Career[6-10]", AG972 &lt;= 20, "Established[11-20]", AG972 &lt;= 30, "Veteran[21-30]", AG972 &lt;= 40, "Late Career[31-40]")</f>
        <v>New[1-5]</v>
      </c>
      <c r="AI972" s="1">
        <v>4</v>
      </c>
      <c r="AJ972" s="1">
        <v>3</v>
      </c>
      <c r="AK972" s="1">
        <v>1</v>
      </c>
      <c r="AL972" s="9" t="str" cm="1">
        <f t="array" ref="AL972">_xlfn.IFS(AK972 &lt;= 5, "New[1-5]", AK972 &lt;= 10, "Early Career[6-10]", AK972 &lt;= 20, "Established[11-20]", AK972 &lt;= 30, "Veteran[21-30]", AK972 &lt;= 40, "Late Career[31-40]")</f>
        <v>New[1-5]</v>
      </c>
      <c r="AM972" s="1">
        <v>0</v>
      </c>
      <c r="AN972" s="9" t="str" cm="1">
        <f t="array" ref="AN972">_xlfn.IFS(AM972 &lt;= 3, "New to Role[1-3]", AM972 &lt;= 7, "Settled[4-7]", AM972 &lt;= 12, "Experienced[[8-12]", AM972 &lt;= 18, "Long Tenured[13-18]")</f>
        <v>New to Role[1-3]</v>
      </c>
      <c r="AO972" s="1">
        <v>0</v>
      </c>
      <c r="AP972" s="9" t="str" cm="1">
        <f t="array" ref="AP972">_xlfn.IFS(AO972 &lt;= 3, "Recently[1-3]", AO972 &lt;= 6, "Due Soon[4-6]", AO972 &lt;= 10, "Overdue[7-10]", AO972 &lt;= 15, "Long Overdue[11-15]")</f>
        <v>Recently[1-3]</v>
      </c>
      <c r="AQ972" s="9" t="str" cm="1">
        <f t="array" ref="AQ972">_xlfn.IFS(AR972 &lt;= 3, "New Relationship[1-3]", AR972 &lt;= 7, "Established Relationship[4-7]", AR972 &lt;= 12, "Long Term Relationship[8-12]", AR972 &lt;= 17, "Very Long Term Relationship[13-17]")</f>
        <v>New Relationship[1-3]</v>
      </c>
      <c r="AR972" s="1">
        <v>0</v>
      </c>
    </row>
    <row r="973" spans="1:44" x14ac:dyDescent="0.25">
      <c r="A973" s="1">
        <v>51</v>
      </c>
      <c r="B973" s="8" t="str" cm="1">
        <f t="array" ref="B973">_xlfn.IFS(A973 &lt;= 25, "[18-25]", A973 &lt;= 35, "[26-35]", A973 &lt;=45, "[36-45]", A973 &lt;= 60, "[46- 60]")</f>
        <v>[46- 60]</v>
      </c>
      <c r="C973" s="3" t="s">
        <v>43</v>
      </c>
      <c r="D973">
        <f t="shared" si="15"/>
        <v>0</v>
      </c>
      <c r="E973" t="s">
        <v>36</v>
      </c>
      <c r="F973" s="1">
        <v>1405</v>
      </c>
      <c r="G973" s="3" t="s">
        <v>45</v>
      </c>
      <c r="H973" s="1">
        <v>11</v>
      </c>
      <c r="I973" s="9" t="str" cm="1">
        <f t="array" ref="I973">_xlfn.IFS(H973 &lt;= 2, "[1-2] very close", H973 &lt;= 10, "[3-10] close", H973 &lt;= 20, "[11-20] moderate", H973 &lt;= 30, "[21-30] far")</f>
        <v>[11-20] moderate</v>
      </c>
      <c r="J973" s="1">
        <v>2</v>
      </c>
      <c r="K973" s="3" t="s">
        <v>60</v>
      </c>
      <c r="L973" s="1">
        <v>1</v>
      </c>
      <c r="M973" s="1">
        <v>1367</v>
      </c>
      <c r="N973" s="1">
        <v>4</v>
      </c>
      <c r="O973" s="3" t="s">
        <v>39</v>
      </c>
      <c r="P973" s="1">
        <v>82</v>
      </c>
      <c r="Q973" s="1">
        <v>2</v>
      </c>
      <c r="R973" s="1">
        <v>4</v>
      </c>
      <c r="S973" s="3" t="s">
        <v>53</v>
      </c>
      <c r="T973" s="1">
        <v>2</v>
      </c>
      <c r="U973" s="3" t="s">
        <v>41</v>
      </c>
      <c r="V973" s="4">
        <v>13142</v>
      </c>
      <c r="W973" s="1">
        <v>24439</v>
      </c>
      <c r="X973" s="1">
        <v>3</v>
      </c>
      <c r="Y973" s="3" t="s">
        <v>42</v>
      </c>
      <c r="Z973" s="3" t="s">
        <v>43</v>
      </c>
      <c r="AA973" s="5">
        <v>0.16</v>
      </c>
      <c r="AB973" s="10" t="str" cm="1">
        <f t="array" ref="AB973">_xlfn.IFS(AA973 &lt;= 15%, "Low Hike[11-15%]", AA973 &lt;= 20%, "Moderate Hike[16-20%]", AA973 &lt;= 25%,"High Hike[21-25%]")</f>
        <v>Moderate Hike[16-20%]</v>
      </c>
      <c r="AC973" s="1">
        <v>3</v>
      </c>
      <c r="AD973" s="1">
        <v>2</v>
      </c>
      <c r="AE973" s="1">
        <v>80</v>
      </c>
      <c r="AF973" s="1">
        <v>0</v>
      </c>
      <c r="AG973" s="1">
        <v>29</v>
      </c>
      <c r="AH973" s="9" t="str" cm="1">
        <f t="array" ref="AH973">_xlfn.IFS(AG973 &lt;= 5, "New[1-5]", AG973 &lt;= 10, "Early Career[6-10]", AG973 &lt;= 20, "Established[11-20]", AG973 &lt;= 30, "Veteran[21-30]", AG973 &lt;= 40, "Late Career[31-40]")</f>
        <v>Veteran[21-30]</v>
      </c>
      <c r="AI973" s="1">
        <v>1</v>
      </c>
      <c r="AJ973" s="1">
        <v>2</v>
      </c>
      <c r="AK973" s="1">
        <v>5</v>
      </c>
      <c r="AL973" s="9" t="str" cm="1">
        <f t="array" ref="AL973">_xlfn.IFS(AK973 &lt;= 5, "New[1-5]", AK973 &lt;= 10, "Early Career[6-10]", AK973 &lt;= 20, "Established[11-20]", AK973 &lt;= 30, "Veteran[21-30]", AK973 &lt;= 40, "Late Career[31-40]")</f>
        <v>New[1-5]</v>
      </c>
      <c r="AM973" s="1">
        <v>2</v>
      </c>
      <c r="AN973" s="9" t="str" cm="1">
        <f t="array" ref="AN973">_xlfn.IFS(AM973 &lt;= 3, "New to Role[1-3]", AM973 &lt;= 7, "Settled[4-7]", AM973 &lt;= 12, "Experienced[[8-12]", AM973 &lt;= 18, "Long Tenured[13-18]")</f>
        <v>New to Role[1-3]</v>
      </c>
      <c r="AO973" s="1">
        <v>0</v>
      </c>
      <c r="AP973" s="9" t="str" cm="1">
        <f t="array" ref="AP973">_xlfn.IFS(AO973 &lt;= 3, "Recently[1-3]", AO973 &lt;= 6, "Due Soon[4-6]", AO973 &lt;= 10, "Overdue[7-10]", AO973 &lt;= 15, "Long Overdue[11-15]")</f>
        <v>Recently[1-3]</v>
      </c>
      <c r="AQ973" s="9" t="str" cm="1">
        <f t="array" ref="AQ973">_xlfn.IFS(AR973 &lt;= 3, "New Relationship[1-3]", AR973 &lt;= 7, "Established Relationship[4-7]", AR973 &lt;= 12, "Long Term Relationship[8-12]", AR973 &lt;= 17, "Very Long Term Relationship[13-17]")</f>
        <v>New Relationship[1-3]</v>
      </c>
      <c r="AR973" s="1">
        <v>3</v>
      </c>
    </row>
    <row r="974" spans="1:44" x14ac:dyDescent="0.25">
      <c r="A974" s="1">
        <v>18</v>
      </c>
      <c r="B974" s="8" t="str" cm="1">
        <f t="array" ref="B974">_xlfn.IFS(A974 &lt;= 25, "[18-25]", A974 &lt;= 35, "[26-35]", A974 &lt;=45, "[36-45]", A974 &lt;= 60, "[46- 60]")</f>
        <v>[18-25]</v>
      </c>
      <c r="C974" s="3" t="s">
        <v>43</v>
      </c>
      <c r="D974">
        <f t="shared" si="15"/>
        <v>0</v>
      </c>
      <c r="E974" t="s">
        <v>62</v>
      </c>
      <c r="F974" s="1">
        <v>1124</v>
      </c>
      <c r="G974" s="3" t="s">
        <v>45</v>
      </c>
      <c r="H974" s="1">
        <v>1</v>
      </c>
      <c r="I974" s="9" t="str" cm="1">
        <f t="array" ref="I974">_xlfn.IFS(H974 &lt;= 2, "[1-2] very close", H974 &lt;= 10, "[3-10] close", H974 &lt;= 20, "[11-20] moderate", H974 &lt;= 30, "[21-30] far")</f>
        <v>[1-2] very close</v>
      </c>
      <c r="J974" s="1">
        <v>3</v>
      </c>
      <c r="K974" s="3" t="s">
        <v>38</v>
      </c>
      <c r="L974" s="1">
        <v>1</v>
      </c>
      <c r="M974" s="1">
        <v>1368</v>
      </c>
      <c r="N974" s="1">
        <v>4</v>
      </c>
      <c r="O974" s="3" t="s">
        <v>39</v>
      </c>
      <c r="P974" s="1">
        <v>97</v>
      </c>
      <c r="Q974" s="1">
        <v>3</v>
      </c>
      <c r="R974" s="1">
        <v>1</v>
      </c>
      <c r="S974" s="3" t="s">
        <v>50</v>
      </c>
      <c r="T974" s="1">
        <v>4</v>
      </c>
      <c r="U974" s="3" t="s">
        <v>41</v>
      </c>
      <c r="V974" s="4">
        <v>1611</v>
      </c>
      <c r="W974" s="1">
        <v>19305</v>
      </c>
      <c r="X974" s="1">
        <v>1</v>
      </c>
      <c r="Y974" s="3" t="s">
        <v>42</v>
      </c>
      <c r="Z974" s="3" t="s">
        <v>43</v>
      </c>
      <c r="AA974" s="5">
        <v>0.15</v>
      </c>
      <c r="AB974" s="10" t="str" cm="1">
        <f t="array" ref="AB974">_xlfn.IFS(AA974 &lt;= 15%, "Low Hike[11-15%]", AA974 &lt;= 20%, "Moderate Hike[16-20%]", AA974 &lt;= 25%,"High Hike[21-25%]")</f>
        <v>Low Hike[11-15%]</v>
      </c>
      <c r="AC974" s="1">
        <v>3</v>
      </c>
      <c r="AD974" s="1">
        <v>3</v>
      </c>
      <c r="AE974" s="1">
        <v>80</v>
      </c>
      <c r="AF974" s="1">
        <v>0</v>
      </c>
      <c r="AG974" s="1">
        <v>0</v>
      </c>
      <c r="AH974" s="9" t="str" cm="1">
        <f t="array" ref="AH974">_xlfn.IFS(AG974 &lt;= 5, "New[1-5]", AG974 &lt;= 10, "Early Career[6-10]", AG974 &lt;= 20, "Established[11-20]", AG974 &lt;= 30, "Veteran[21-30]", AG974 &lt;= 40, "Late Career[31-40]")</f>
        <v>New[1-5]</v>
      </c>
      <c r="AI974" s="1">
        <v>5</v>
      </c>
      <c r="AJ974" s="1">
        <v>4</v>
      </c>
      <c r="AK974" s="1">
        <v>0</v>
      </c>
      <c r="AL974" s="9" t="str" cm="1">
        <f t="array" ref="AL974">_xlfn.IFS(AK974 &lt;= 5, "New[1-5]", AK974 &lt;= 10, "Early Career[6-10]", AK974 &lt;= 20, "Established[11-20]", AK974 &lt;= 30, "Veteran[21-30]", AK974 &lt;= 40, "Late Career[31-40]")</f>
        <v>New[1-5]</v>
      </c>
      <c r="AM974" s="1">
        <v>0</v>
      </c>
      <c r="AN974" s="9" t="str" cm="1">
        <f t="array" ref="AN974">_xlfn.IFS(AM974 &lt;= 3, "New to Role[1-3]", AM974 &lt;= 7, "Settled[4-7]", AM974 &lt;= 12, "Experienced[[8-12]", AM974 &lt;= 18, "Long Tenured[13-18]")</f>
        <v>New to Role[1-3]</v>
      </c>
      <c r="AO974" s="1">
        <v>0</v>
      </c>
      <c r="AP974" s="9" t="str" cm="1">
        <f t="array" ref="AP974">_xlfn.IFS(AO974 &lt;= 3, "Recently[1-3]", AO974 &lt;= 6, "Due Soon[4-6]", AO974 &lt;= 10, "Overdue[7-10]", AO974 &lt;= 15, "Long Overdue[11-15]")</f>
        <v>Recently[1-3]</v>
      </c>
      <c r="AQ974" s="9" t="str" cm="1">
        <f t="array" ref="AQ974">_xlfn.IFS(AR974 &lt;= 3, "New Relationship[1-3]", AR974 &lt;= 7, "Established Relationship[4-7]", AR974 &lt;= 12, "Long Term Relationship[8-12]", AR974 &lt;= 17, "Very Long Term Relationship[13-17]")</f>
        <v>New Relationship[1-3]</v>
      </c>
      <c r="AR974" s="1">
        <v>0</v>
      </c>
    </row>
    <row r="975" spans="1:44" x14ac:dyDescent="0.25">
      <c r="A975" s="1">
        <v>35</v>
      </c>
      <c r="B975" s="8" t="str" cm="1">
        <f t="array" ref="B975">_xlfn.IFS(A975 &lt;= 25, "[18-25]", A975 &lt;= 35, "[26-35]", A975 &lt;=45, "[36-45]", A975 &lt;= 60, "[46- 60]")</f>
        <v>[26-35]</v>
      </c>
      <c r="C975" s="3" t="s">
        <v>43</v>
      </c>
      <c r="D975">
        <f t="shared" si="15"/>
        <v>0</v>
      </c>
      <c r="E975" t="s">
        <v>36</v>
      </c>
      <c r="F975" s="1">
        <v>817</v>
      </c>
      <c r="G975" s="3" t="s">
        <v>45</v>
      </c>
      <c r="H975" s="1">
        <v>1</v>
      </c>
      <c r="I975" s="9" t="str" cm="1">
        <f t="array" ref="I975">_xlfn.IFS(H975 &lt;= 2, "[1-2] very close", H975 &lt;= 10, "[3-10] close", H975 &lt;= 20, "[11-20] moderate", H975 &lt;= 30, "[21-30] far")</f>
        <v>[1-2] very close</v>
      </c>
      <c r="J975" s="1">
        <v>3</v>
      </c>
      <c r="K975" s="3" t="s">
        <v>51</v>
      </c>
      <c r="L975" s="1">
        <v>1</v>
      </c>
      <c r="M975" s="1">
        <v>1369</v>
      </c>
      <c r="N975" s="1">
        <v>4</v>
      </c>
      <c r="O975" s="3" t="s">
        <v>39</v>
      </c>
      <c r="P975" s="1">
        <v>60</v>
      </c>
      <c r="Q975" s="1">
        <v>2</v>
      </c>
      <c r="R975" s="1">
        <v>2</v>
      </c>
      <c r="S975" s="3" t="s">
        <v>50</v>
      </c>
      <c r="T975" s="1">
        <v>4</v>
      </c>
      <c r="U975" s="3" t="s">
        <v>48</v>
      </c>
      <c r="V975" s="4">
        <v>5363</v>
      </c>
      <c r="W975" s="1">
        <v>10846</v>
      </c>
      <c r="X975" s="1">
        <v>0</v>
      </c>
      <c r="Y975" s="3" t="s">
        <v>42</v>
      </c>
      <c r="Z975" s="3" t="s">
        <v>43</v>
      </c>
      <c r="AA975" s="5">
        <v>0.12</v>
      </c>
      <c r="AB975" s="10" t="str" cm="1">
        <f t="array" ref="AB975">_xlfn.IFS(AA975 &lt;= 15%, "Low Hike[11-15%]", AA975 &lt;= 20%, "Moderate Hike[16-20%]", AA975 &lt;= 25%,"High Hike[21-25%]")</f>
        <v>Low Hike[11-15%]</v>
      </c>
      <c r="AC975" s="1">
        <v>3</v>
      </c>
      <c r="AD975" s="1">
        <v>2</v>
      </c>
      <c r="AE975" s="1">
        <v>80</v>
      </c>
      <c r="AF975" s="1">
        <v>1</v>
      </c>
      <c r="AG975" s="1">
        <v>10</v>
      </c>
      <c r="AH975" s="9" t="str" cm="1">
        <f t="array" ref="AH975">_xlfn.IFS(AG975 &lt;= 5, "New[1-5]", AG975 &lt;= 10, "Early Career[6-10]", AG975 &lt;= 20, "Established[11-20]", AG975 &lt;= 30, "Veteran[21-30]", AG975 &lt;= 40, "Late Career[31-40]")</f>
        <v>Early Career[6-10]</v>
      </c>
      <c r="AI975" s="1">
        <v>0</v>
      </c>
      <c r="AJ975" s="1">
        <v>3</v>
      </c>
      <c r="AK975" s="1">
        <v>9</v>
      </c>
      <c r="AL975" s="9" t="str" cm="1">
        <f t="array" ref="AL975">_xlfn.IFS(AK975 &lt;= 5, "New[1-5]", AK975 &lt;= 10, "Early Career[6-10]", AK975 &lt;= 20, "Established[11-20]", AK975 &lt;= 30, "Veteran[21-30]", AK975 &lt;= 40, "Late Career[31-40]")</f>
        <v>Early Career[6-10]</v>
      </c>
      <c r="AM975" s="1">
        <v>7</v>
      </c>
      <c r="AN975" s="9" t="str" cm="1">
        <f t="array" ref="AN975">_xlfn.IFS(AM975 &lt;= 3, "New to Role[1-3]", AM975 &lt;= 7, "Settled[4-7]", AM975 &lt;= 12, "Experienced[[8-12]", AM975 &lt;= 18, "Long Tenured[13-18]")</f>
        <v>Settled[4-7]</v>
      </c>
      <c r="AO975" s="1">
        <v>0</v>
      </c>
      <c r="AP975" s="9" t="str" cm="1">
        <f t="array" ref="AP975">_xlfn.IFS(AO975 &lt;= 3, "Recently[1-3]", AO975 &lt;= 6, "Due Soon[4-6]", AO975 &lt;= 10, "Overdue[7-10]", AO975 &lt;= 15, "Long Overdue[11-15]")</f>
        <v>Recently[1-3]</v>
      </c>
      <c r="AQ975" s="9" t="str" cm="1">
        <f t="array" ref="AQ975">_xlfn.IFS(AR975 &lt;= 3, "New Relationship[1-3]", AR975 &lt;= 7, "Established Relationship[4-7]", AR975 &lt;= 12, "Long Term Relationship[8-12]", AR975 &lt;= 17, "Very Long Term Relationship[13-17]")</f>
        <v>New Relationship[1-3]</v>
      </c>
      <c r="AR975" s="1">
        <v>0</v>
      </c>
    </row>
    <row r="976" spans="1:44" x14ac:dyDescent="0.25">
      <c r="A976" s="1">
        <v>27</v>
      </c>
      <c r="B976" s="8" t="str" cm="1">
        <f t="array" ref="B976">_xlfn.IFS(A976 &lt;= 25, "[18-25]", A976 &lt;= 35, "[26-35]", A976 &lt;=45, "[36-45]", A976 &lt;= 60, "[46- 60]")</f>
        <v>[26-35]</v>
      </c>
      <c r="C976" s="3" t="s">
        <v>43</v>
      </c>
      <c r="D976">
        <f t="shared" si="15"/>
        <v>0</v>
      </c>
      <c r="E976" t="s">
        <v>44</v>
      </c>
      <c r="F976" s="1">
        <v>793</v>
      </c>
      <c r="G976" s="3" t="s">
        <v>37</v>
      </c>
      <c r="H976" s="1">
        <v>2</v>
      </c>
      <c r="I976" s="9" t="str" cm="1">
        <f t="array" ref="I976">_xlfn.IFS(H976 &lt;= 2, "[1-2] very close", H976 &lt;= 10, "[3-10] close", H976 &lt;= 20, "[11-20] moderate", H976 &lt;= 30, "[21-30] far")</f>
        <v>[1-2] very close</v>
      </c>
      <c r="J976" s="1">
        <v>1</v>
      </c>
      <c r="K976" s="3" t="s">
        <v>38</v>
      </c>
      <c r="L976" s="1">
        <v>1</v>
      </c>
      <c r="M976" s="1">
        <v>1371</v>
      </c>
      <c r="N976" s="1">
        <v>4</v>
      </c>
      <c r="O976" s="3" t="s">
        <v>46</v>
      </c>
      <c r="P976" s="1">
        <v>43</v>
      </c>
      <c r="Q976" s="1">
        <v>1</v>
      </c>
      <c r="R976" s="1">
        <v>2</v>
      </c>
      <c r="S976" s="3" t="s">
        <v>40</v>
      </c>
      <c r="T976" s="1">
        <v>4</v>
      </c>
      <c r="U976" s="3" t="s">
        <v>41</v>
      </c>
      <c r="V976" s="4">
        <v>5071</v>
      </c>
      <c r="W976" s="1">
        <v>20392</v>
      </c>
      <c r="X976" s="1">
        <v>3</v>
      </c>
      <c r="Y976" s="3" t="s">
        <v>42</v>
      </c>
      <c r="Z976" s="3" t="s">
        <v>43</v>
      </c>
      <c r="AA976" s="5">
        <v>0.2</v>
      </c>
      <c r="AB976" s="10" t="str" cm="1">
        <f t="array" ref="AB976">_xlfn.IFS(AA976 &lt;= 15%, "Low Hike[11-15%]", AA976 &lt;= 20%, "Moderate Hike[16-20%]", AA976 &lt;= 25%,"High Hike[21-25%]")</f>
        <v>Moderate Hike[16-20%]</v>
      </c>
      <c r="AC976" s="1">
        <v>4</v>
      </c>
      <c r="AD976" s="1">
        <v>2</v>
      </c>
      <c r="AE976" s="1">
        <v>80</v>
      </c>
      <c r="AF976" s="1">
        <v>0</v>
      </c>
      <c r="AG976" s="1">
        <v>8</v>
      </c>
      <c r="AH976" s="9" t="str" cm="1">
        <f t="array" ref="AH976">_xlfn.IFS(AG976 &lt;= 5, "New[1-5]", AG976 &lt;= 10, "Early Career[6-10]", AG976 &lt;= 20, "Established[11-20]", AG976 &lt;= 30, "Veteran[21-30]", AG976 &lt;= 40, "Late Career[31-40]")</f>
        <v>Early Career[6-10]</v>
      </c>
      <c r="AI976" s="1">
        <v>3</v>
      </c>
      <c r="AJ976" s="1">
        <v>3</v>
      </c>
      <c r="AK976" s="1">
        <v>6</v>
      </c>
      <c r="AL976" s="9" t="str" cm="1">
        <f t="array" ref="AL976">_xlfn.IFS(AK976 &lt;= 5, "New[1-5]", AK976 &lt;= 10, "Early Career[6-10]", AK976 &lt;= 20, "Established[11-20]", AK976 &lt;= 30, "Veteran[21-30]", AK976 &lt;= 40, "Late Career[31-40]")</f>
        <v>Early Career[6-10]</v>
      </c>
      <c r="AM976" s="1">
        <v>2</v>
      </c>
      <c r="AN976" s="9" t="str" cm="1">
        <f t="array" ref="AN976">_xlfn.IFS(AM976 &lt;= 3, "New to Role[1-3]", AM976 &lt;= 7, "Settled[4-7]", AM976 &lt;= 12, "Experienced[[8-12]", AM976 &lt;= 18, "Long Tenured[13-18]")</f>
        <v>New to Role[1-3]</v>
      </c>
      <c r="AO976" s="1">
        <v>0</v>
      </c>
      <c r="AP976" s="9" t="str" cm="1">
        <f t="array" ref="AP976">_xlfn.IFS(AO976 &lt;= 3, "Recently[1-3]", AO976 &lt;= 6, "Due Soon[4-6]", AO976 &lt;= 10, "Overdue[7-10]", AO976 &lt;= 15, "Long Overdue[11-15]")</f>
        <v>Recently[1-3]</v>
      </c>
      <c r="AQ976" s="9" t="str" cm="1">
        <f t="array" ref="AQ976">_xlfn.IFS(AR976 &lt;= 3, "New Relationship[1-3]", AR976 &lt;= 7, "Established Relationship[4-7]", AR976 &lt;= 12, "Long Term Relationship[8-12]", AR976 &lt;= 17, "Very Long Term Relationship[13-17]")</f>
        <v>New Relationship[1-3]</v>
      </c>
      <c r="AR976" s="1">
        <v>0</v>
      </c>
    </row>
    <row r="977" spans="1:44" x14ac:dyDescent="0.25">
      <c r="A977" s="1">
        <v>55</v>
      </c>
      <c r="B977" s="8" t="str" cm="1">
        <f t="array" ref="B977">_xlfn.IFS(A977 &lt;= 25, "[18-25]", A977 &lt;= 35, "[26-35]", A977 &lt;=45, "[36-45]", A977 &lt;= 60, "[46- 60]")</f>
        <v>[46- 60]</v>
      </c>
      <c r="C977" s="3" t="s">
        <v>35</v>
      </c>
      <c r="D977">
        <f t="shared" si="15"/>
        <v>1</v>
      </c>
      <c r="E977" t="s">
        <v>36</v>
      </c>
      <c r="F977" s="1">
        <v>267</v>
      </c>
      <c r="G977" s="3" t="s">
        <v>37</v>
      </c>
      <c r="H977" s="1">
        <v>13</v>
      </c>
      <c r="I977" s="9" t="str" cm="1">
        <f t="array" ref="I977">_xlfn.IFS(H977 &lt;= 2, "[1-2] very close", H977 &lt;= 10, "[3-10] close", H977 &lt;= 20, "[11-20] moderate", H977 &lt;= 30, "[21-30] far")</f>
        <v>[11-20] moderate</v>
      </c>
      <c r="J977" s="1">
        <v>4</v>
      </c>
      <c r="K977" s="3" t="s">
        <v>59</v>
      </c>
      <c r="L977" s="1">
        <v>1</v>
      </c>
      <c r="M977" s="1">
        <v>1372</v>
      </c>
      <c r="N977" s="1">
        <v>1</v>
      </c>
      <c r="O977" s="3" t="s">
        <v>46</v>
      </c>
      <c r="P977" s="1">
        <v>85</v>
      </c>
      <c r="Q977" s="1">
        <v>4</v>
      </c>
      <c r="R977" s="1">
        <v>4</v>
      </c>
      <c r="S977" s="3" t="s">
        <v>40</v>
      </c>
      <c r="T977" s="1">
        <v>3</v>
      </c>
      <c r="U977" s="3" t="s">
        <v>41</v>
      </c>
      <c r="V977" s="4">
        <v>13695</v>
      </c>
      <c r="W977" s="1">
        <v>9277</v>
      </c>
      <c r="X977" s="1">
        <v>6</v>
      </c>
      <c r="Y977" s="3" t="s">
        <v>42</v>
      </c>
      <c r="Z977" s="3" t="s">
        <v>35</v>
      </c>
      <c r="AA977" s="5">
        <v>0.17</v>
      </c>
      <c r="AB977" s="10" t="str" cm="1">
        <f t="array" ref="AB977">_xlfn.IFS(AA977 &lt;= 15%, "Low Hike[11-15%]", AA977 &lt;= 20%, "Moderate Hike[16-20%]", AA977 &lt;= 25%,"High Hike[21-25%]")</f>
        <v>Moderate Hike[16-20%]</v>
      </c>
      <c r="AC977" s="1">
        <v>3</v>
      </c>
      <c r="AD977" s="1">
        <v>3</v>
      </c>
      <c r="AE977" s="1">
        <v>80</v>
      </c>
      <c r="AF977" s="1">
        <v>0</v>
      </c>
      <c r="AG977" s="1">
        <v>24</v>
      </c>
      <c r="AH977" s="9" t="str" cm="1">
        <f t="array" ref="AH977">_xlfn.IFS(AG977 &lt;= 5, "New[1-5]", AG977 &lt;= 10, "Early Career[6-10]", AG977 &lt;= 20, "Established[11-20]", AG977 &lt;= 30, "Veteran[21-30]", AG977 &lt;= 40, "Late Career[31-40]")</f>
        <v>Veteran[21-30]</v>
      </c>
      <c r="AI977" s="1">
        <v>2</v>
      </c>
      <c r="AJ977" s="1">
        <v>2</v>
      </c>
      <c r="AK977" s="1">
        <v>19</v>
      </c>
      <c r="AL977" s="9" t="str" cm="1">
        <f t="array" ref="AL977">_xlfn.IFS(AK977 &lt;= 5, "New[1-5]", AK977 &lt;= 10, "Early Career[6-10]", AK977 &lt;= 20, "Established[11-20]", AK977 &lt;= 30, "Veteran[21-30]", AK977 &lt;= 40, "Late Career[31-40]")</f>
        <v>Established[11-20]</v>
      </c>
      <c r="AM977" s="1">
        <v>7</v>
      </c>
      <c r="AN977" s="9" t="str" cm="1">
        <f t="array" ref="AN977">_xlfn.IFS(AM977 &lt;= 3, "New to Role[1-3]", AM977 &lt;= 7, "Settled[4-7]", AM977 &lt;= 12, "Experienced[[8-12]", AM977 &lt;= 18, "Long Tenured[13-18]")</f>
        <v>Settled[4-7]</v>
      </c>
      <c r="AO977" s="1">
        <v>3</v>
      </c>
      <c r="AP977" s="9" t="str" cm="1">
        <f t="array" ref="AP977">_xlfn.IFS(AO977 &lt;= 3, "Recently[1-3]", AO977 &lt;= 6, "Due Soon[4-6]", AO977 &lt;= 10, "Overdue[7-10]", AO977 &lt;= 15, "Long Overdue[11-15]")</f>
        <v>Recently[1-3]</v>
      </c>
      <c r="AQ977" s="9" t="str" cm="1">
        <f t="array" ref="AQ977">_xlfn.IFS(AR977 &lt;= 3, "New Relationship[1-3]", AR977 &lt;= 7, "Established Relationship[4-7]", AR977 &lt;= 12, "Long Term Relationship[8-12]", AR977 &lt;= 17, "Very Long Term Relationship[13-17]")</f>
        <v>Long Term Relationship[8-12]</v>
      </c>
      <c r="AR977" s="1">
        <v>8</v>
      </c>
    </row>
    <row r="978" spans="1:44" x14ac:dyDescent="0.25">
      <c r="A978" s="1">
        <v>56</v>
      </c>
      <c r="B978" s="8" t="str" cm="1">
        <f t="array" ref="B978">_xlfn.IFS(A978 &lt;= 25, "[18-25]", A978 &lt;= 35, "[26-35]", A978 &lt;=45, "[36-45]", A978 &lt;= 60, "[46- 60]")</f>
        <v>[46- 60]</v>
      </c>
      <c r="C978" s="3" t="s">
        <v>43</v>
      </c>
      <c r="D978">
        <f t="shared" si="15"/>
        <v>0</v>
      </c>
      <c r="E978" t="s">
        <v>36</v>
      </c>
      <c r="F978" s="1">
        <v>1369</v>
      </c>
      <c r="G978" s="3" t="s">
        <v>45</v>
      </c>
      <c r="H978" s="1">
        <v>23</v>
      </c>
      <c r="I978" s="9" t="str" cm="1">
        <f t="array" ref="I978">_xlfn.IFS(H978 &lt;= 2, "[1-2] very close", H978 &lt;= 10, "[3-10] close", H978 &lt;= 20, "[11-20] moderate", H978 &lt;= 30, "[21-30] far")</f>
        <v>[21-30] far</v>
      </c>
      <c r="J978" s="1">
        <v>3</v>
      </c>
      <c r="K978" s="3" t="s">
        <v>38</v>
      </c>
      <c r="L978" s="1">
        <v>1</v>
      </c>
      <c r="M978" s="1">
        <v>1373</v>
      </c>
      <c r="N978" s="1">
        <v>4</v>
      </c>
      <c r="O978" s="3" t="s">
        <v>46</v>
      </c>
      <c r="P978" s="1">
        <v>68</v>
      </c>
      <c r="Q978" s="1">
        <v>3</v>
      </c>
      <c r="R978" s="1">
        <v>4</v>
      </c>
      <c r="S978" s="3" t="s">
        <v>53</v>
      </c>
      <c r="T978" s="1">
        <v>2</v>
      </c>
      <c r="U978" s="3" t="s">
        <v>48</v>
      </c>
      <c r="V978" s="4">
        <v>13402</v>
      </c>
      <c r="W978" s="1">
        <v>18235</v>
      </c>
      <c r="X978" s="1">
        <v>4</v>
      </c>
      <c r="Y978" s="3" t="s">
        <v>42</v>
      </c>
      <c r="Z978" s="3" t="s">
        <v>35</v>
      </c>
      <c r="AA978" s="5">
        <v>0.12</v>
      </c>
      <c r="AB978" s="10" t="str" cm="1">
        <f t="array" ref="AB978">_xlfn.IFS(AA978 &lt;= 15%, "Low Hike[11-15%]", AA978 &lt;= 20%, "Moderate Hike[16-20%]", AA978 &lt;= 25%,"High Hike[21-25%]")</f>
        <v>Low Hike[11-15%]</v>
      </c>
      <c r="AC978" s="1">
        <v>3</v>
      </c>
      <c r="AD978" s="1">
        <v>1</v>
      </c>
      <c r="AE978" s="1">
        <v>80</v>
      </c>
      <c r="AF978" s="1">
        <v>1</v>
      </c>
      <c r="AG978" s="1">
        <v>33</v>
      </c>
      <c r="AH978" s="9" t="str" cm="1">
        <f t="array" ref="AH978">_xlfn.IFS(AG978 &lt;= 5, "New[1-5]", AG978 &lt;= 10, "Early Career[6-10]", AG978 &lt;= 20, "Established[11-20]", AG978 &lt;= 30, "Veteran[21-30]", AG978 &lt;= 40, "Late Career[31-40]")</f>
        <v>Late Career[31-40]</v>
      </c>
      <c r="AI978" s="1">
        <v>0</v>
      </c>
      <c r="AJ978" s="1">
        <v>3</v>
      </c>
      <c r="AK978" s="1">
        <v>19</v>
      </c>
      <c r="AL978" s="9" t="str" cm="1">
        <f t="array" ref="AL978">_xlfn.IFS(AK978 &lt;= 5, "New[1-5]", AK978 &lt;= 10, "Early Career[6-10]", AK978 &lt;= 20, "Established[11-20]", AK978 &lt;= 30, "Veteran[21-30]", AK978 &lt;= 40, "Late Career[31-40]")</f>
        <v>Established[11-20]</v>
      </c>
      <c r="AM978" s="1">
        <v>16</v>
      </c>
      <c r="AN978" s="9" t="str" cm="1">
        <f t="array" ref="AN978">_xlfn.IFS(AM978 &lt;= 3, "New to Role[1-3]", AM978 &lt;= 7, "Settled[4-7]", AM978 &lt;= 12, "Experienced[[8-12]", AM978 &lt;= 18, "Long Tenured[13-18]")</f>
        <v>Long Tenured[13-18]</v>
      </c>
      <c r="AO978" s="1">
        <v>15</v>
      </c>
      <c r="AP978" s="9" t="str" cm="1">
        <f t="array" ref="AP978">_xlfn.IFS(AO978 &lt;= 3, "Recently[1-3]", AO978 &lt;= 6, "Due Soon[4-6]", AO978 &lt;= 10, "Overdue[7-10]", AO978 &lt;= 15, "Long Overdue[11-15]")</f>
        <v>Long Overdue[11-15]</v>
      </c>
      <c r="AQ978" s="9" t="str" cm="1">
        <f t="array" ref="AQ978">_xlfn.IFS(AR978 &lt;= 3, "New Relationship[1-3]", AR978 &lt;= 7, "Established Relationship[4-7]", AR978 &lt;= 12, "Long Term Relationship[8-12]", AR978 &lt;= 17, "Very Long Term Relationship[13-17]")</f>
        <v>Long Term Relationship[8-12]</v>
      </c>
      <c r="AR978" s="1">
        <v>9</v>
      </c>
    </row>
    <row r="979" spans="1:44" x14ac:dyDescent="0.25">
      <c r="A979" s="1">
        <v>34</v>
      </c>
      <c r="B979" s="8" t="str" cm="1">
        <f t="array" ref="B979">_xlfn.IFS(A979 &lt;= 25, "[18-25]", A979 &lt;= 35, "[26-35]", A979 &lt;=45, "[36-45]", A979 &lt;= 60, "[46- 60]")</f>
        <v>[26-35]</v>
      </c>
      <c r="C979" s="3" t="s">
        <v>43</v>
      </c>
      <c r="D979">
        <f t="shared" si="15"/>
        <v>0</v>
      </c>
      <c r="E979" t="s">
        <v>62</v>
      </c>
      <c r="F979" s="1">
        <v>999</v>
      </c>
      <c r="G979" s="3" t="s">
        <v>45</v>
      </c>
      <c r="H979" s="1">
        <v>26</v>
      </c>
      <c r="I979" s="9" t="str" cm="1">
        <f t="array" ref="I979">_xlfn.IFS(H979 &lt;= 2, "[1-2] very close", H979 &lt;= 10, "[3-10] close", H979 &lt;= 20, "[11-20] moderate", H979 &lt;= 30, "[21-30] far")</f>
        <v>[21-30] far</v>
      </c>
      <c r="J979" s="1">
        <v>1</v>
      </c>
      <c r="K979" s="3" t="s">
        <v>60</v>
      </c>
      <c r="L979" s="1">
        <v>1</v>
      </c>
      <c r="M979" s="1">
        <v>1374</v>
      </c>
      <c r="N979" s="1">
        <v>1</v>
      </c>
      <c r="O979" s="3" t="s">
        <v>39</v>
      </c>
      <c r="P979" s="1">
        <v>92</v>
      </c>
      <c r="Q979" s="1">
        <v>2</v>
      </c>
      <c r="R979" s="1">
        <v>1</v>
      </c>
      <c r="S979" s="3" t="s">
        <v>47</v>
      </c>
      <c r="T979" s="1">
        <v>3</v>
      </c>
      <c r="U979" s="3" t="s">
        <v>52</v>
      </c>
      <c r="V979" s="4">
        <v>2029</v>
      </c>
      <c r="W979" s="1">
        <v>15891</v>
      </c>
      <c r="X979" s="1">
        <v>1</v>
      </c>
      <c r="Y979" s="3" t="s">
        <v>42</v>
      </c>
      <c r="Z979" s="3" t="s">
        <v>43</v>
      </c>
      <c r="AA979" s="5">
        <v>0.2</v>
      </c>
      <c r="AB979" s="10" t="str" cm="1">
        <f t="array" ref="AB979">_xlfn.IFS(AA979 &lt;= 15%, "Low Hike[11-15%]", AA979 &lt;= 20%, "Moderate Hike[16-20%]", AA979 &lt;= 25%,"High Hike[21-25%]")</f>
        <v>Moderate Hike[16-20%]</v>
      </c>
      <c r="AC979" s="1">
        <v>4</v>
      </c>
      <c r="AD979" s="1">
        <v>3</v>
      </c>
      <c r="AE979" s="1">
        <v>80</v>
      </c>
      <c r="AF979" s="1">
        <v>3</v>
      </c>
      <c r="AG979" s="1">
        <v>5</v>
      </c>
      <c r="AH979" s="9" t="str" cm="1">
        <f t="array" ref="AH979">_xlfn.IFS(AG979 &lt;= 5, "New[1-5]", AG979 &lt;= 10, "Early Career[6-10]", AG979 &lt;= 20, "Established[11-20]", AG979 &lt;= 30, "Veteran[21-30]", AG979 &lt;= 40, "Late Career[31-40]")</f>
        <v>New[1-5]</v>
      </c>
      <c r="AI979" s="1">
        <v>2</v>
      </c>
      <c r="AJ979" s="1">
        <v>3</v>
      </c>
      <c r="AK979" s="1">
        <v>5</v>
      </c>
      <c r="AL979" s="9" t="str" cm="1">
        <f t="array" ref="AL979">_xlfn.IFS(AK979 &lt;= 5, "New[1-5]", AK979 &lt;= 10, "Early Career[6-10]", AK979 &lt;= 20, "Established[11-20]", AK979 &lt;= 30, "Veteran[21-30]", AK979 &lt;= 40, "Late Career[31-40]")</f>
        <v>New[1-5]</v>
      </c>
      <c r="AM979" s="1">
        <v>4</v>
      </c>
      <c r="AN979" s="9" t="str" cm="1">
        <f t="array" ref="AN979">_xlfn.IFS(AM979 &lt;= 3, "New to Role[1-3]", AM979 &lt;= 7, "Settled[4-7]", AM979 &lt;= 12, "Experienced[[8-12]", AM979 &lt;= 18, "Long Tenured[13-18]")</f>
        <v>Settled[4-7]</v>
      </c>
      <c r="AO979" s="1">
        <v>0</v>
      </c>
      <c r="AP979" s="9" t="str" cm="1">
        <f t="array" ref="AP979">_xlfn.IFS(AO979 &lt;= 3, "Recently[1-3]", AO979 &lt;= 6, "Due Soon[4-6]", AO979 &lt;= 10, "Overdue[7-10]", AO979 &lt;= 15, "Long Overdue[11-15]")</f>
        <v>Recently[1-3]</v>
      </c>
      <c r="AQ979" s="9" t="str" cm="1">
        <f t="array" ref="AQ979">_xlfn.IFS(AR979 &lt;= 3, "New Relationship[1-3]", AR979 &lt;= 7, "Established Relationship[4-7]", AR979 &lt;= 12, "Long Term Relationship[8-12]", AR979 &lt;= 17, "Very Long Term Relationship[13-17]")</f>
        <v>New Relationship[1-3]</v>
      </c>
      <c r="AR979" s="1">
        <v>0</v>
      </c>
    </row>
    <row r="980" spans="1:44" x14ac:dyDescent="0.25">
      <c r="A980" s="1">
        <v>40</v>
      </c>
      <c r="B980" s="8" t="str" cm="1">
        <f t="array" ref="B980">_xlfn.IFS(A980 &lt;= 25, "[18-25]", A980 &lt;= 35, "[26-35]", A980 &lt;=45, "[36-45]", A980 &lt;= 60, "[46- 60]")</f>
        <v>[36-45]</v>
      </c>
      <c r="C980" s="3" t="s">
        <v>43</v>
      </c>
      <c r="D980">
        <f t="shared" si="15"/>
        <v>0</v>
      </c>
      <c r="E980" t="s">
        <v>36</v>
      </c>
      <c r="F980" s="1">
        <v>1202</v>
      </c>
      <c r="G980" s="3" t="s">
        <v>45</v>
      </c>
      <c r="H980" s="1">
        <v>2</v>
      </c>
      <c r="I980" s="9" t="str" cm="1">
        <f t="array" ref="I980">_xlfn.IFS(H980 &lt;= 2, "[1-2] very close", H980 &lt;= 10, "[3-10] close", H980 &lt;= 20, "[11-20] moderate", H980 &lt;= 30, "[21-30] far")</f>
        <v>[1-2] very close</v>
      </c>
      <c r="J980" s="1">
        <v>1</v>
      </c>
      <c r="K980" s="3" t="s">
        <v>51</v>
      </c>
      <c r="L980" s="1">
        <v>1</v>
      </c>
      <c r="M980" s="1">
        <v>1375</v>
      </c>
      <c r="N980" s="1">
        <v>2</v>
      </c>
      <c r="O980" s="3" t="s">
        <v>39</v>
      </c>
      <c r="P980" s="1">
        <v>89</v>
      </c>
      <c r="Q980" s="1">
        <v>4</v>
      </c>
      <c r="R980" s="1">
        <v>2</v>
      </c>
      <c r="S980" s="3" t="s">
        <v>54</v>
      </c>
      <c r="T980" s="1">
        <v>3</v>
      </c>
      <c r="U980" s="3" t="s">
        <v>52</v>
      </c>
      <c r="V980" s="4">
        <v>6377</v>
      </c>
      <c r="W980" s="1">
        <v>13888</v>
      </c>
      <c r="X980" s="1">
        <v>5</v>
      </c>
      <c r="Y980" s="3" t="s">
        <v>42</v>
      </c>
      <c r="Z980" s="3" t="s">
        <v>43</v>
      </c>
      <c r="AA980" s="5">
        <v>0.2</v>
      </c>
      <c r="AB980" s="10" t="str" cm="1">
        <f t="array" ref="AB980">_xlfn.IFS(AA980 &lt;= 15%, "Low Hike[11-15%]", AA980 &lt;= 20%, "Moderate Hike[16-20%]", AA980 &lt;= 25%,"High Hike[21-25%]")</f>
        <v>Moderate Hike[16-20%]</v>
      </c>
      <c r="AC980" s="1">
        <v>4</v>
      </c>
      <c r="AD980" s="1">
        <v>2</v>
      </c>
      <c r="AE980" s="1">
        <v>80</v>
      </c>
      <c r="AF980" s="1">
        <v>3</v>
      </c>
      <c r="AG980" s="1">
        <v>15</v>
      </c>
      <c r="AH980" s="9" t="str" cm="1">
        <f t="array" ref="AH980">_xlfn.IFS(AG980 &lt;= 5, "New[1-5]", AG980 &lt;= 10, "Early Career[6-10]", AG980 &lt;= 20, "Established[11-20]", AG980 &lt;= 30, "Veteran[21-30]", AG980 &lt;= 40, "Late Career[31-40]")</f>
        <v>Established[11-20]</v>
      </c>
      <c r="AI980" s="1">
        <v>0</v>
      </c>
      <c r="AJ980" s="1">
        <v>3</v>
      </c>
      <c r="AK980" s="1">
        <v>12</v>
      </c>
      <c r="AL980" s="9" t="str" cm="1">
        <f t="array" ref="AL980">_xlfn.IFS(AK980 &lt;= 5, "New[1-5]", AK980 &lt;= 10, "Early Career[6-10]", AK980 &lt;= 20, "Established[11-20]", AK980 &lt;= 30, "Veteran[21-30]", AK980 &lt;= 40, "Late Career[31-40]")</f>
        <v>Established[11-20]</v>
      </c>
      <c r="AM980" s="1">
        <v>11</v>
      </c>
      <c r="AN980" s="9" t="str" cm="1">
        <f t="array" ref="AN980">_xlfn.IFS(AM980 &lt;= 3, "New to Role[1-3]", AM980 &lt;= 7, "Settled[4-7]", AM980 &lt;= 12, "Experienced[[8-12]", AM980 &lt;= 18, "Long Tenured[13-18]")</f>
        <v>Experienced[[8-12]</v>
      </c>
      <c r="AO980" s="1">
        <v>11</v>
      </c>
      <c r="AP980" s="9" t="str" cm="1">
        <f t="array" ref="AP980">_xlfn.IFS(AO980 &lt;= 3, "Recently[1-3]", AO980 &lt;= 6, "Due Soon[4-6]", AO980 &lt;= 10, "Overdue[7-10]", AO980 &lt;= 15, "Long Overdue[11-15]")</f>
        <v>Long Overdue[11-15]</v>
      </c>
      <c r="AQ980" s="9" t="str" cm="1">
        <f t="array" ref="AQ980">_xlfn.IFS(AR980 &lt;= 3, "New Relationship[1-3]", AR980 &lt;= 7, "Established Relationship[4-7]", AR980 &lt;= 12, "Long Term Relationship[8-12]", AR980 &lt;= 17, "Very Long Term Relationship[13-17]")</f>
        <v>Long Term Relationship[8-12]</v>
      </c>
      <c r="AR980" s="1">
        <v>8</v>
      </c>
    </row>
    <row r="981" spans="1:44" x14ac:dyDescent="0.25">
      <c r="A981" s="1">
        <v>34</v>
      </c>
      <c r="B981" s="8" t="str" cm="1">
        <f t="array" ref="B981">_xlfn.IFS(A981 &lt;= 25, "[18-25]", A981 &lt;= 35, "[26-35]", A981 &lt;=45, "[36-45]", A981 &lt;= 60, "[46- 60]")</f>
        <v>[26-35]</v>
      </c>
      <c r="C981" s="3" t="s">
        <v>43</v>
      </c>
      <c r="D981">
        <f t="shared" si="15"/>
        <v>0</v>
      </c>
      <c r="E981" t="s">
        <v>36</v>
      </c>
      <c r="F981" s="1">
        <v>285</v>
      </c>
      <c r="G981" s="3" t="s">
        <v>45</v>
      </c>
      <c r="H981" s="1">
        <v>29</v>
      </c>
      <c r="I981" s="9" t="str" cm="1">
        <f t="array" ref="I981">_xlfn.IFS(H981 &lt;= 2, "[1-2] very close", H981 &lt;= 10, "[3-10] close", H981 &lt;= 20, "[11-20] moderate", H981 &lt;= 30, "[21-30] far")</f>
        <v>[21-30] far</v>
      </c>
      <c r="J981" s="1">
        <v>3</v>
      </c>
      <c r="K981" s="3" t="s">
        <v>51</v>
      </c>
      <c r="L981" s="1">
        <v>1</v>
      </c>
      <c r="M981" s="1">
        <v>1377</v>
      </c>
      <c r="N981" s="1">
        <v>2</v>
      </c>
      <c r="O981" s="3" t="s">
        <v>46</v>
      </c>
      <c r="P981" s="1">
        <v>86</v>
      </c>
      <c r="Q981" s="1">
        <v>3</v>
      </c>
      <c r="R981" s="1">
        <v>2</v>
      </c>
      <c r="S981" s="3" t="s">
        <v>50</v>
      </c>
      <c r="T981" s="1">
        <v>3</v>
      </c>
      <c r="U981" s="3" t="s">
        <v>48</v>
      </c>
      <c r="V981" s="4">
        <v>5429</v>
      </c>
      <c r="W981" s="1">
        <v>17491</v>
      </c>
      <c r="X981" s="1">
        <v>4</v>
      </c>
      <c r="Y981" s="3" t="s">
        <v>42</v>
      </c>
      <c r="Z981" s="3" t="s">
        <v>43</v>
      </c>
      <c r="AA981" s="5">
        <v>0.13</v>
      </c>
      <c r="AB981" s="10" t="str" cm="1">
        <f t="array" ref="AB981">_xlfn.IFS(AA981 &lt;= 15%, "Low Hike[11-15%]", AA981 &lt;= 20%, "Moderate Hike[16-20%]", AA981 &lt;= 25%,"High Hike[21-25%]")</f>
        <v>Low Hike[11-15%]</v>
      </c>
      <c r="AC981" s="1">
        <v>3</v>
      </c>
      <c r="AD981" s="1">
        <v>1</v>
      </c>
      <c r="AE981" s="1">
        <v>80</v>
      </c>
      <c r="AF981" s="1">
        <v>2</v>
      </c>
      <c r="AG981" s="1">
        <v>10</v>
      </c>
      <c r="AH981" s="9" t="str" cm="1">
        <f t="array" ref="AH981">_xlfn.IFS(AG981 &lt;= 5, "New[1-5]", AG981 &lt;= 10, "Early Career[6-10]", AG981 &lt;= 20, "Established[11-20]", AG981 &lt;= 30, "Veteran[21-30]", AG981 &lt;= 40, "Late Career[31-40]")</f>
        <v>Early Career[6-10]</v>
      </c>
      <c r="AI981" s="1">
        <v>1</v>
      </c>
      <c r="AJ981" s="1">
        <v>3</v>
      </c>
      <c r="AK981" s="1">
        <v>8</v>
      </c>
      <c r="AL981" s="9" t="str" cm="1">
        <f t="array" ref="AL981">_xlfn.IFS(AK981 &lt;= 5, "New[1-5]", AK981 &lt;= 10, "Early Career[6-10]", AK981 &lt;= 20, "Established[11-20]", AK981 &lt;= 30, "Veteran[21-30]", AK981 &lt;= 40, "Late Career[31-40]")</f>
        <v>Early Career[6-10]</v>
      </c>
      <c r="AM981" s="1">
        <v>7</v>
      </c>
      <c r="AN981" s="9" t="str" cm="1">
        <f t="array" ref="AN981">_xlfn.IFS(AM981 &lt;= 3, "New to Role[1-3]", AM981 &lt;= 7, "Settled[4-7]", AM981 &lt;= 12, "Experienced[[8-12]", AM981 &lt;= 18, "Long Tenured[13-18]")</f>
        <v>Settled[4-7]</v>
      </c>
      <c r="AO981" s="1">
        <v>7</v>
      </c>
      <c r="AP981" s="9" t="str" cm="1">
        <f t="array" ref="AP981">_xlfn.IFS(AO981 &lt;= 3, "Recently[1-3]", AO981 &lt;= 6, "Due Soon[4-6]", AO981 &lt;= 10, "Overdue[7-10]", AO981 &lt;= 15, "Long Overdue[11-15]")</f>
        <v>Overdue[7-10]</v>
      </c>
      <c r="AQ981" s="9" t="str" cm="1">
        <f t="array" ref="AQ981">_xlfn.IFS(AR981 &lt;= 3, "New Relationship[1-3]", AR981 &lt;= 7, "Established Relationship[4-7]", AR981 &lt;= 12, "Long Term Relationship[8-12]", AR981 &lt;= 17, "Very Long Term Relationship[13-17]")</f>
        <v>Established Relationship[4-7]</v>
      </c>
      <c r="AR981" s="1">
        <v>7</v>
      </c>
    </row>
    <row r="982" spans="1:44" x14ac:dyDescent="0.25">
      <c r="A982" s="1">
        <v>31</v>
      </c>
      <c r="B982" s="8" t="str" cm="1">
        <f t="array" ref="B982">_xlfn.IFS(A982 &lt;= 25, "[18-25]", A982 &lt;= 35, "[26-35]", A982 &lt;=45, "[36-45]", A982 &lt;= 60, "[46- 60]")</f>
        <v>[26-35]</v>
      </c>
      <c r="C982" s="3" t="s">
        <v>35</v>
      </c>
      <c r="D982">
        <f t="shared" si="15"/>
        <v>1</v>
      </c>
      <c r="E982" t="s">
        <v>44</v>
      </c>
      <c r="F982" s="1">
        <v>703</v>
      </c>
      <c r="G982" s="3" t="s">
        <v>37</v>
      </c>
      <c r="H982" s="1">
        <v>2</v>
      </c>
      <c r="I982" s="9" t="str" cm="1">
        <f t="array" ref="I982">_xlfn.IFS(H982 &lt;= 2, "[1-2] very close", H982 &lt;= 10, "[3-10] close", H982 &lt;= 20, "[11-20] moderate", H982 &lt;= 30, "[21-30] far")</f>
        <v>[1-2] very close</v>
      </c>
      <c r="J982" s="1">
        <v>3</v>
      </c>
      <c r="K982" s="3" t="s">
        <v>38</v>
      </c>
      <c r="L982" s="1">
        <v>1</v>
      </c>
      <c r="M982" s="1">
        <v>1379</v>
      </c>
      <c r="N982" s="1">
        <v>3</v>
      </c>
      <c r="O982" s="3" t="s">
        <v>39</v>
      </c>
      <c r="P982" s="1">
        <v>90</v>
      </c>
      <c r="Q982" s="1">
        <v>2</v>
      </c>
      <c r="R982" s="1">
        <v>1</v>
      </c>
      <c r="S982" s="3" t="s">
        <v>57</v>
      </c>
      <c r="T982" s="1">
        <v>4</v>
      </c>
      <c r="U982" s="3" t="s">
        <v>41</v>
      </c>
      <c r="V982" s="4">
        <v>2785</v>
      </c>
      <c r="W982" s="1">
        <v>11882</v>
      </c>
      <c r="X982" s="1">
        <v>7</v>
      </c>
      <c r="Y982" s="3" t="s">
        <v>42</v>
      </c>
      <c r="Z982" s="3" t="s">
        <v>43</v>
      </c>
      <c r="AA982" s="5">
        <v>0.14000000000000001</v>
      </c>
      <c r="AB982" s="10" t="str" cm="1">
        <f t="array" ref="AB982">_xlfn.IFS(AA982 &lt;= 15%, "Low Hike[11-15%]", AA982 &lt;= 20%, "Moderate Hike[16-20%]", AA982 &lt;= 25%,"High Hike[21-25%]")</f>
        <v>Low Hike[11-15%]</v>
      </c>
      <c r="AC982" s="1">
        <v>3</v>
      </c>
      <c r="AD982" s="1">
        <v>3</v>
      </c>
      <c r="AE982" s="1">
        <v>80</v>
      </c>
      <c r="AF982" s="1">
        <v>0</v>
      </c>
      <c r="AG982" s="1">
        <v>3</v>
      </c>
      <c r="AH982" s="9" t="str" cm="1">
        <f t="array" ref="AH982">_xlfn.IFS(AG982 &lt;= 5, "New[1-5]", AG982 &lt;= 10, "Early Career[6-10]", AG982 &lt;= 20, "Established[11-20]", AG982 &lt;= 30, "Veteran[21-30]", AG982 &lt;= 40, "Late Career[31-40]")</f>
        <v>New[1-5]</v>
      </c>
      <c r="AI982" s="1">
        <v>3</v>
      </c>
      <c r="AJ982" s="1">
        <v>4</v>
      </c>
      <c r="AK982" s="1">
        <v>1</v>
      </c>
      <c r="AL982" s="9" t="str" cm="1">
        <f t="array" ref="AL982">_xlfn.IFS(AK982 &lt;= 5, "New[1-5]", AK982 &lt;= 10, "Early Career[6-10]", AK982 &lt;= 20, "Established[11-20]", AK982 &lt;= 30, "Veteran[21-30]", AK982 &lt;= 40, "Late Career[31-40]")</f>
        <v>New[1-5]</v>
      </c>
      <c r="AM982" s="1">
        <v>0</v>
      </c>
      <c r="AN982" s="9" t="str" cm="1">
        <f t="array" ref="AN982">_xlfn.IFS(AM982 &lt;= 3, "New to Role[1-3]", AM982 &lt;= 7, "Settled[4-7]", AM982 &lt;= 12, "Experienced[[8-12]", AM982 &lt;= 18, "Long Tenured[13-18]")</f>
        <v>New to Role[1-3]</v>
      </c>
      <c r="AO982" s="1">
        <v>0</v>
      </c>
      <c r="AP982" s="9" t="str" cm="1">
        <f t="array" ref="AP982">_xlfn.IFS(AO982 &lt;= 3, "Recently[1-3]", AO982 &lt;= 6, "Due Soon[4-6]", AO982 &lt;= 10, "Overdue[7-10]", AO982 &lt;= 15, "Long Overdue[11-15]")</f>
        <v>Recently[1-3]</v>
      </c>
      <c r="AQ982" s="9" t="str" cm="1">
        <f t="array" ref="AQ982">_xlfn.IFS(AR982 &lt;= 3, "New Relationship[1-3]", AR982 &lt;= 7, "Established Relationship[4-7]", AR982 &lt;= 12, "Long Term Relationship[8-12]", AR982 &lt;= 17, "Very Long Term Relationship[13-17]")</f>
        <v>New Relationship[1-3]</v>
      </c>
      <c r="AR982" s="1">
        <v>0</v>
      </c>
    </row>
    <row r="983" spans="1:44" x14ac:dyDescent="0.25">
      <c r="A983" s="1">
        <v>35</v>
      </c>
      <c r="B983" s="8" t="str" cm="1">
        <f t="array" ref="B983">_xlfn.IFS(A983 &lt;= 25, "[18-25]", A983 &lt;= 35, "[26-35]", A983 &lt;=45, "[36-45]", A983 &lt;= 60, "[46- 60]")</f>
        <v>[26-35]</v>
      </c>
      <c r="C983" s="3" t="s">
        <v>35</v>
      </c>
      <c r="D983">
        <f t="shared" si="15"/>
        <v>1</v>
      </c>
      <c r="E983" t="s">
        <v>44</v>
      </c>
      <c r="F983" s="1">
        <v>662</v>
      </c>
      <c r="G983" s="3" t="s">
        <v>37</v>
      </c>
      <c r="H983" s="1">
        <v>18</v>
      </c>
      <c r="I983" s="9" t="str" cm="1">
        <f t="array" ref="I983">_xlfn.IFS(H983 &lt;= 2, "[1-2] very close", H983 &lt;= 10, "[3-10] close", H983 &lt;= 20, "[11-20] moderate", H983 &lt;= 30, "[21-30] far")</f>
        <v>[11-20] moderate</v>
      </c>
      <c r="J983" s="1">
        <v>4</v>
      </c>
      <c r="K983" s="3" t="s">
        <v>59</v>
      </c>
      <c r="L983" s="1">
        <v>1</v>
      </c>
      <c r="M983" s="1">
        <v>1380</v>
      </c>
      <c r="N983" s="1">
        <v>4</v>
      </c>
      <c r="O983" s="3" t="s">
        <v>39</v>
      </c>
      <c r="P983" s="1">
        <v>67</v>
      </c>
      <c r="Q983" s="1">
        <v>3</v>
      </c>
      <c r="R983" s="1">
        <v>2</v>
      </c>
      <c r="S983" s="3" t="s">
        <v>40</v>
      </c>
      <c r="T983" s="1">
        <v>3</v>
      </c>
      <c r="U983" s="3" t="s">
        <v>48</v>
      </c>
      <c r="V983" s="4">
        <v>4614</v>
      </c>
      <c r="W983" s="1">
        <v>23288</v>
      </c>
      <c r="X983" s="1">
        <v>0</v>
      </c>
      <c r="Y983" s="3" t="s">
        <v>42</v>
      </c>
      <c r="Z983" s="3" t="s">
        <v>35</v>
      </c>
      <c r="AA983" s="5">
        <v>0.18</v>
      </c>
      <c r="AB983" s="10" t="str" cm="1">
        <f t="array" ref="AB983">_xlfn.IFS(AA983 &lt;= 15%, "Low Hike[11-15%]", AA983 &lt;= 20%, "Moderate Hike[16-20%]", AA983 &lt;= 25%,"High Hike[21-25%]")</f>
        <v>Moderate Hike[16-20%]</v>
      </c>
      <c r="AC983" s="1">
        <v>3</v>
      </c>
      <c r="AD983" s="1">
        <v>3</v>
      </c>
      <c r="AE983" s="1">
        <v>80</v>
      </c>
      <c r="AF983" s="1">
        <v>1</v>
      </c>
      <c r="AG983" s="1">
        <v>5</v>
      </c>
      <c r="AH983" s="9" t="str" cm="1">
        <f t="array" ref="AH983">_xlfn.IFS(AG983 &lt;= 5, "New[1-5]", AG983 &lt;= 10, "Early Career[6-10]", AG983 &lt;= 20, "Established[11-20]", AG983 &lt;= 30, "Veteran[21-30]", AG983 &lt;= 40, "Late Career[31-40]")</f>
        <v>New[1-5]</v>
      </c>
      <c r="AI983" s="1">
        <v>0</v>
      </c>
      <c r="AJ983" s="1">
        <v>2</v>
      </c>
      <c r="AK983" s="1">
        <v>4</v>
      </c>
      <c r="AL983" s="9" t="str" cm="1">
        <f t="array" ref="AL983">_xlfn.IFS(AK983 &lt;= 5, "New[1-5]", AK983 &lt;= 10, "Early Career[6-10]", AK983 &lt;= 20, "Established[11-20]", AK983 &lt;= 30, "Veteran[21-30]", AK983 &lt;= 40, "Late Career[31-40]")</f>
        <v>New[1-5]</v>
      </c>
      <c r="AM983" s="1">
        <v>2</v>
      </c>
      <c r="AN983" s="9" t="str" cm="1">
        <f t="array" ref="AN983">_xlfn.IFS(AM983 &lt;= 3, "New to Role[1-3]", AM983 &lt;= 7, "Settled[4-7]", AM983 &lt;= 12, "Experienced[[8-12]", AM983 &lt;= 18, "Long Tenured[13-18]")</f>
        <v>New to Role[1-3]</v>
      </c>
      <c r="AO983" s="1">
        <v>3</v>
      </c>
      <c r="AP983" s="9" t="str" cm="1">
        <f t="array" ref="AP983">_xlfn.IFS(AO983 &lt;= 3, "Recently[1-3]", AO983 &lt;= 6, "Due Soon[4-6]", AO983 &lt;= 10, "Overdue[7-10]", AO983 &lt;= 15, "Long Overdue[11-15]")</f>
        <v>Recently[1-3]</v>
      </c>
      <c r="AQ983" s="9" t="str" cm="1">
        <f t="array" ref="AQ983">_xlfn.IFS(AR983 &lt;= 3, "New Relationship[1-3]", AR983 &lt;= 7, "Established Relationship[4-7]", AR983 &lt;= 12, "Long Term Relationship[8-12]", AR983 &lt;= 17, "Very Long Term Relationship[13-17]")</f>
        <v>New Relationship[1-3]</v>
      </c>
      <c r="AR983" s="1">
        <v>2</v>
      </c>
    </row>
    <row r="984" spans="1:44" x14ac:dyDescent="0.25">
      <c r="A984" s="1">
        <v>38</v>
      </c>
      <c r="B984" s="8" t="str" cm="1">
        <f t="array" ref="B984">_xlfn.IFS(A984 &lt;= 25, "[18-25]", A984 &lt;= 35, "[26-35]", A984 &lt;=45, "[36-45]", A984 &lt;= 60, "[46- 60]")</f>
        <v>[36-45]</v>
      </c>
      <c r="C984" s="3" t="s">
        <v>43</v>
      </c>
      <c r="D984">
        <f t="shared" si="15"/>
        <v>0</v>
      </c>
      <c r="E984" t="s">
        <v>44</v>
      </c>
      <c r="F984" s="1">
        <v>693</v>
      </c>
      <c r="G984" s="3" t="s">
        <v>45</v>
      </c>
      <c r="H984" s="1">
        <v>7</v>
      </c>
      <c r="I984" s="9" t="str" cm="1">
        <f t="array" ref="I984">_xlfn.IFS(H984 &lt;= 2, "[1-2] very close", H984 &lt;= 10, "[3-10] close", H984 &lt;= 20, "[11-20] moderate", H984 &lt;= 30, "[21-30] far")</f>
        <v>[3-10] close</v>
      </c>
      <c r="J984" s="1">
        <v>3</v>
      </c>
      <c r="K984" s="3" t="s">
        <v>38</v>
      </c>
      <c r="L984" s="1">
        <v>1</v>
      </c>
      <c r="M984" s="1">
        <v>1382</v>
      </c>
      <c r="N984" s="1">
        <v>4</v>
      </c>
      <c r="O984" s="3" t="s">
        <v>46</v>
      </c>
      <c r="P984" s="1">
        <v>57</v>
      </c>
      <c r="Q984" s="1">
        <v>4</v>
      </c>
      <c r="R984" s="1">
        <v>1</v>
      </c>
      <c r="S984" s="3" t="s">
        <v>47</v>
      </c>
      <c r="T984" s="1">
        <v>3</v>
      </c>
      <c r="U984" s="3" t="s">
        <v>52</v>
      </c>
      <c r="V984" s="4">
        <v>2610</v>
      </c>
      <c r="W984" s="1">
        <v>15748</v>
      </c>
      <c r="X984" s="1">
        <v>1</v>
      </c>
      <c r="Y984" s="3" t="s">
        <v>42</v>
      </c>
      <c r="Z984" s="3" t="s">
        <v>43</v>
      </c>
      <c r="AA984" s="5">
        <v>0.11</v>
      </c>
      <c r="AB984" s="10" t="str" cm="1">
        <f t="array" ref="AB984">_xlfn.IFS(AA984 &lt;= 15%, "Low Hike[11-15%]", AA984 &lt;= 20%, "Moderate Hike[16-20%]", AA984 &lt;= 25%,"High Hike[21-25%]")</f>
        <v>Low Hike[11-15%]</v>
      </c>
      <c r="AC984" s="1">
        <v>3</v>
      </c>
      <c r="AD984" s="1">
        <v>4</v>
      </c>
      <c r="AE984" s="1">
        <v>80</v>
      </c>
      <c r="AF984" s="1">
        <v>3</v>
      </c>
      <c r="AG984" s="1">
        <v>4</v>
      </c>
      <c r="AH984" s="9" t="str" cm="1">
        <f t="array" ref="AH984">_xlfn.IFS(AG984 &lt;= 5, "New[1-5]", AG984 &lt;= 10, "Early Career[6-10]", AG984 &lt;= 20, "Established[11-20]", AG984 &lt;= 30, "Veteran[21-30]", AG984 &lt;= 40, "Late Career[31-40]")</f>
        <v>New[1-5]</v>
      </c>
      <c r="AI984" s="1">
        <v>2</v>
      </c>
      <c r="AJ984" s="1">
        <v>3</v>
      </c>
      <c r="AK984" s="1">
        <v>4</v>
      </c>
      <c r="AL984" s="9" t="str" cm="1">
        <f t="array" ref="AL984">_xlfn.IFS(AK984 &lt;= 5, "New[1-5]", AK984 &lt;= 10, "Early Career[6-10]", AK984 &lt;= 20, "Established[11-20]", AK984 &lt;= 30, "Veteran[21-30]", AK984 &lt;= 40, "Late Career[31-40]")</f>
        <v>New[1-5]</v>
      </c>
      <c r="AM984" s="1">
        <v>2</v>
      </c>
      <c r="AN984" s="9" t="str" cm="1">
        <f t="array" ref="AN984">_xlfn.IFS(AM984 &lt;= 3, "New to Role[1-3]", AM984 &lt;= 7, "Settled[4-7]", AM984 &lt;= 12, "Experienced[[8-12]", AM984 &lt;= 18, "Long Tenured[13-18]")</f>
        <v>New to Role[1-3]</v>
      </c>
      <c r="AO984" s="1">
        <v>0</v>
      </c>
      <c r="AP984" s="9" t="str" cm="1">
        <f t="array" ref="AP984">_xlfn.IFS(AO984 &lt;= 3, "Recently[1-3]", AO984 &lt;= 6, "Due Soon[4-6]", AO984 &lt;= 10, "Overdue[7-10]", AO984 &lt;= 15, "Long Overdue[11-15]")</f>
        <v>Recently[1-3]</v>
      </c>
      <c r="AQ984" s="9" t="str" cm="1">
        <f t="array" ref="AQ984">_xlfn.IFS(AR984 &lt;= 3, "New Relationship[1-3]", AR984 &lt;= 7, "Established Relationship[4-7]", AR984 &lt;= 12, "Long Term Relationship[8-12]", AR984 &lt;= 17, "Very Long Term Relationship[13-17]")</f>
        <v>New Relationship[1-3]</v>
      </c>
      <c r="AR984" s="1">
        <v>3</v>
      </c>
    </row>
    <row r="985" spans="1:44" x14ac:dyDescent="0.25">
      <c r="A985" s="1">
        <v>34</v>
      </c>
      <c r="B985" s="8" t="str" cm="1">
        <f t="array" ref="B985">_xlfn.IFS(A985 &lt;= 25, "[18-25]", A985 &lt;= 35, "[26-35]", A985 &lt;=45, "[36-45]", A985 &lt;= 60, "[46- 60]")</f>
        <v>[26-35]</v>
      </c>
      <c r="C985" s="3" t="s">
        <v>43</v>
      </c>
      <c r="D985">
        <f t="shared" si="15"/>
        <v>0</v>
      </c>
      <c r="E985" t="s">
        <v>36</v>
      </c>
      <c r="F985" s="1">
        <v>404</v>
      </c>
      <c r="G985" s="3" t="s">
        <v>45</v>
      </c>
      <c r="H985" s="1">
        <v>2</v>
      </c>
      <c r="I985" s="9" t="str" cm="1">
        <f t="array" ref="I985">_xlfn.IFS(H985 &lt;= 2, "[1-2] very close", H985 &lt;= 10, "[3-10] close", H985 &lt;= 20, "[11-20] moderate", H985 &lt;= 30, "[21-30] far")</f>
        <v>[1-2] very close</v>
      </c>
      <c r="J985" s="1">
        <v>4</v>
      </c>
      <c r="K985" s="3" t="s">
        <v>60</v>
      </c>
      <c r="L985" s="1">
        <v>1</v>
      </c>
      <c r="M985" s="1">
        <v>1383</v>
      </c>
      <c r="N985" s="1">
        <v>3</v>
      </c>
      <c r="O985" s="3" t="s">
        <v>39</v>
      </c>
      <c r="P985" s="1">
        <v>98</v>
      </c>
      <c r="Q985" s="1">
        <v>3</v>
      </c>
      <c r="R985" s="1">
        <v>2</v>
      </c>
      <c r="S985" s="3" t="s">
        <v>54</v>
      </c>
      <c r="T985" s="1">
        <v>4</v>
      </c>
      <c r="U985" s="3" t="s">
        <v>41</v>
      </c>
      <c r="V985" s="4">
        <v>6687</v>
      </c>
      <c r="W985" s="1">
        <v>6163</v>
      </c>
      <c r="X985" s="1">
        <v>1</v>
      </c>
      <c r="Y985" s="3" t="s">
        <v>42</v>
      </c>
      <c r="Z985" s="3" t="s">
        <v>43</v>
      </c>
      <c r="AA985" s="5">
        <v>0.11</v>
      </c>
      <c r="AB985" s="10" t="str" cm="1">
        <f t="array" ref="AB985">_xlfn.IFS(AA985 &lt;= 15%, "Low Hike[11-15%]", AA985 &lt;= 20%, "Moderate Hike[16-20%]", AA985 &lt;= 25%,"High Hike[21-25%]")</f>
        <v>Low Hike[11-15%]</v>
      </c>
      <c r="AC985" s="1">
        <v>3</v>
      </c>
      <c r="AD985" s="1">
        <v>4</v>
      </c>
      <c r="AE985" s="1">
        <v>80</v>
      </c>
      <c r="AF985" s="1">
        <v>0</v>
      </c>
      <c r="AG985" s="1">
        <v>14</v>
      </c>
      <c r="AH985" s="9" t="str" cm="1">
        <f t="array" ref="AH985">_xlfn.IFS(AG985 &lt;= 5, "New[1-5]", AG985 &lt;= 10, "Early Career[6-10]", AG985 &lt;= 20, "Established[11-20]", AG985 &lt;= 30, "Veteran[21-30]", AG985 &lt;= 40, "Late Career[31-40]")</f>
        <v>Established[11-20]</v>
      </c>
      <c r="AI985" s="1">
        <v>2</v>
      </c>
      <c r="AJ985" s="1">
        <v>4</v>
      </c>
      <c r="AK985" s="1">
        <v>14</v>
      </c>
      <c r="AL985" s="9" t="str" cm="1">
        <f t="array" ref="AL985">_xlfn.IFS(AK985 &lt;= 5, "New[1-5]", AK985 &lt;= 10, "Early Career[6-10]", AK985 &lt;= 20, "Established[11-20]", AK985 &lt;= 30, "Veteran[21-30]", AK985 &lt;= 40, "Late Career[31-40]")</f>
        <v>Established[11-20]</v>
      </c>
      <c r="AM985" s="1">
        <v>11</v>
      </c>
      <c r="AN985" s="9" t="str" cm="1">
        <f t="array" ref="AN985">_xlfn.IFS(AM985 &lt;= 3, "New to Role[1-3]", AM985 &lt;= 7, "Settled[4-7]", AM985 &lt;= 12, "Experienced[[8-12]", AM985 &lt;= 18, "Long Tenured[13-18]")</f>
        <v>Experienced[[8-12]</v>
      </c>
      <c r="AO985" s="1">
        <v>4</v>
      </c>
      <c r="AP985" s="9" t="str" cm="1">
        <f t="array" ref="AP985">_xlfn.IFS(AO985 &lt;= 3, "Recently[1-3]", AO985 &lt;= 6, "Due Soon[4-6]", AO985 &lt;= 10, "Overdue[7-10]", AO985 &lt;= 15, "Long Overdue[11-15]")</f>
        <v>Due Soon[4-6]</v>
      </c>
      <c r="AQ985" s="9" t="str" cm="1">
        <f t="array" ref="AQ985">_xlfn.IFS(AR985 &lt;= 3, "New Relationship[1-3]", AR985 &lt;= 7, "Established Relationship[4-7]", AR985 &lt;= 12, "Long Term Relationship[8-12]", AR985 &lt;= 17, "Very Long Term Relationship[13-17]")</f>
        <v>Long Term Relationship[8-12]</v>
      </c>
      <c r="AR985" s="1">
        <v>11</v>
      </c>
    </row>
    <row r="986" spans="1:44" x14ac:dyDescent="0.25">
      <c r="A986" s="1">
        <v>28</v>
      </c>
      <c r="B986" s="8" t="str" cm="1">
        <f t="array" ref="B986">_xlfn.IFS(A986 &lt;= 25, "[18-25]", A986 &lt;= 35, "[26-35]", A986 &lt;=45, "[36-45]", A986 &lt;= 60, "[46- 60]")</f>
        <v>[26-35]</v>
      </c>
      <c r="C986" s="3" t="s">
        <v>43</v>
      </c>
      <c r="D986">
        <f t="shared" si="15"/>
        <v>0</v>
      </c>
      <c r="E986" t="s">
        <v>36</v>
      </c>
      <c r="F986" s="1">
        <v>736</v>
      </c>
      <c r="G986" s="3" t="s">
        <v>37</v>
      </c>
      <c r="H986" s="1">
        <v>26</v>
      </c>
      <c r="I986" s="9" t="str" cm="1">
        <f t="array" ref="I986">_xlfn.IFS(H986 &lt;= 2, "[1-2] very close", H986 &lt;= 10, "[3-10] close", H986 &lt;= 20, "[11-20] moderate", H986 &lt;= 30, "[21-30] far")</f>
        <v>[21-30] far</v>
      </c>
      <c r="J986" s="1">
        <v>3</v>
      </c>
      <c r="K986" s="3" t="s">
        <v>38</v>
      </c>
      <c r="L986" s="1">
        <v>1</v>
      </c>
      <c r="M986" s="1">
        <v>1387</v>
      </c>
      <c r="N986" s="1">
        <v>3</v>
      </c>
      <c r="O986" s="3" t="s">
        <v>46</v>
      </c>
      <c r="P986" s="1">
        <v>48</v>
      </c>
      <c r="Q986" s="1">
        <v>2</v>
      </c>
      <c r="R986" s="1">
        <v>2</v>
      </c>
      <c r="S986" s="3" t="s">
        <v>40</v>
      </c>
      <c r="T986" s="1">
        <v>1</v>
      </c>
      <c r="U986" s="3" t="s">
        <v>48</v>
      </c>
      <c r="V986" s="4">
        <v>4724</v>
      </c>
      <c r="W986" s="1">
        <v>24232</v>
      </c>
      <c r="X986" s="1">
        <v>1</v>
      </c>
      <c r="Y986" s="3" t="s">
        <v>42</v>
      </c>
      <c r="Z986" s="3" t="s">
        <v>43</v>
      </c>
      <c r="AA986" s="5">
        <v>0.11</v>
      </c>
      <c r="AB986" s="10" t="str" cm="1">
        <f t="array" ref="AB986">_xlfn.IFS(AA986 &lt;= 15%, "Low Hike[11-15%]", AA986 &lt;= 20%, "Moderate Hike[16-20%]", AA986 &lt;= 25%,"High Hike[21-25%]")</f>
        <v>Low Hike[11-15%]</v>
      </c>
      <c r="AC986" s="1">
        <v>3</v>
      </c>
      <c r="AD986" s="1">
        <v>3</v>
      </c>
      <c r="AE986" s="1">
        <v>80</v>
      </c>
      <c r="AF986" s="1">
        <v>1</v>
      </c>
      <c r="AG986" s="1">
        <v>5</v>
      </c>
      <c r="AH986" s="9" t="str" cm="1">
        <f t="array" ref="AH986">_xlfn.IFS(AG986 &lt;= 5, "New[1-5]", AG986 &lt;= 10, "Early Career[6-10]", AG986 &lt;= 20, "Established[11-20]", AG986 &lt;= 30, "Veteran[21-30]", AG986 &lt;= 40, "Late Career[31-40]")</f>
        <v>New[1-5]</v>
      </c>
      <c r="AI986" s="1">
        <v>0</v>
      </c>
      <c r="AJ986" s="1">
        <v>3</v>
      </c>
      <c r="AK986" s="1">
        <v>5</v>
      </c>
      <c r="AL986" s="9" t="str" cm="1">
        <f t="array" ref="AL986">_xlfn.IFS(AK986 &lt;= 5, "New[1-5]", AK986 &lt;= 10, "Early Career[6-10]", AK986 &lt;= 20, "Established[11-20]", AK986 &lt;= 30, "Veteran[21-30]", AK986 &lt;= 40, "Late Career[31-40]")</f>
        <v>New[1-5]</v>
      </c>
      <c r="AM986" s="1">
        <v>3</v>
      </c>
      <c r="AN986" s="9" t="str" cm="1">
        <f t="array" ref="AN986">_xlfn.IFS(AM986 &lt;= 3, "New to Role[1-3]", AM986 &lt;= 7, "Settled[4-7]", AM986 &lt;= 12, "Experienced[[8-12]", AM986 &lt;= 18, "Long Tenured[13-18]")</f>
        <v>New to Role[1-3]</v>
      </c>
      <c r="AO986" s="1">
        <v>0</v>
      </c>
      <c r="AP986" s="9" t="str" cm="1">
        <f t="array" ref="AP986">_xlfn.IFS(AO986 &lt;= 3, "Recently[1-3]", AO986 &lt;= 6, "Due Soon[4-6]", AO986 &lt;= 10, "Overdue[7-10]", AO986 &lt;= 15, "Long Overdue[11-15]")</f>
        <v>Recently[1-3]</v>
      </c>
      <c r="AQ986" s="9" t="str" cm="1">
        <f t="array" ref="AQ986">_xlfn.IFS(AR986 &lt;= 3, "New Relationship[1-3]", AR986 &lt;= 7, "Established Relationship[4-7]", AR986 &lt;= 12, "Long Term Relationship[8-12]", AR986 &lt;= 17, "Very Long Term Relationship[13-17]")</f>
        <v>Established Relationship[4-7]</v>
      </c>
      <c r="AR986" s="1">
        <v>4</v>
      </c>
    </row>
    <row r="987" spans="1:44" x14ac:dyDescent="0.25">
      <c r="A987" s="1">
        <v>31</v>
      </c>
      <c r="B987" s="8" t="str" cm="1">
        <f t="array" ref="B987">_xlfn.IFS(A987 &lt;= 25, "[18-25]", A987 &lt;= 35, "[26-35]", A987 &lt;=45, "[36-45]", A987 &lt;= 60, "[46- 60]")</f>
        <v>[26-35]</v>
      </c>
      <c r="C987" s="3" t="s">
        <v>35</v>
      </c>
      <c r="D987">
        <f t="shared" si="15"/>
        <v>1</v>
      </c>
      <c r="E987" t="s">
        <v>36</v>
      </c>
      <c r="F987" s="1">
        <v>330</v>
      </c>
      <c r="G987" s="3" t="s">
        <v>45</v>
      </c>
      <c r="H987" s="1">
        <v>22</v>
      </c>
      <c r="I987" s="9" t="str" cm="1">
        <f t="array" ref="I987">_xlfn.IFS(H987 &lt;= 2, "[1-2] very close", H987 &lt;= 10, "[3-10] close", H987 &lt;= 20, "[11-20] moderate", H987 &lt;= 30, "[21-30] far")</f>
        <v>[21-30] far</v>
      </c>
      <c r="J987" s="1">
        <v>4</v>
      </c>
      <c r="K987" s="3" t="s">
        <v>51</v>
      </c>
      <c r="L987" s="1">
        <v>1</v>
      </c>
      <c r="M987" s="1">
        <v>1389</v>
      </c>
      <c r="N987" s="1">
        <v>4</v>
      </c>
      <c r="O987" s="3" t="s">
        <v>46</v>
      </c>
      <c r="P987" s="1">
        <v>98</v>
      </c>
      <c r="Q987" s="1">
        <v>3</v>
      </c>
      <c r="R987" s="1">
        <v>2</v>
      </c>
      <c r="S987" s="3" t="s">
        <v>53</v>
      </c>
      <c r="T987" s="1">
        <v>3</v>
      </c>
      <c r="U987" s="3" t="s">
        <v>48</v>
      </c>
      <c r="V987" s="4">
        <v>6179</v>
      </c>
      <c r="W987" s="1">
        <v>21057</v>
      </c>
      <c r="X987" s="1">
        <v>1</v>
      </c>
      <c r="Y987" s="3" t="s">
        <v>42</v>
      </c>
      <c r="Z987" s="3" t="s">
        <v>35</v>
      </c>
      <c r="AA987" s="5">
        <v>0.15</v>
      </c>
      <c r="AB987" s="10" t="str" cm="1">
        <f t="array" ref="AB987">_xlfn.IFS(AA987 &lt;= 15%, "Low Hike[11-15%]", AA987 &lt;= 20%, "Moderate Hike[16-20%]", AA987 &lt;= 25%,"High Hike[21-25%]")</f>
        <v>Low Hike[11-15%]</v>
      </c>
      <c r="AC987" s="1">
        <v>3</v>
      </c>
      <c r="AD987" s="1">
        <v>4</v>
      </c>
      <c r="AE987" s="1">
        <v>80</v>
      </c>
      <c r="AF987" s="1">
        <v>2</v>
      </c>
      <c r="AG987" s="1">
        <v>10</v>
      </c>
      <c r="AH987" s="9" t="str" cm="1">
        <f t="array" ref="AH987">_xlfn.IFS(AG987 &lt;= 5, "New[1-5]", AG987 &lt;= 10, "Early Career[6-10]", AG987 &lt;= 20, "Established[11-20]", AG987 &lt;= 30, "Veteran[21-30]", AG987 &lt;= 40, "Late Career[31-40]")</f>
        <v>Early Career[6-10]</v>
      </c>
      <c r="AI987" s="1">
        <v>3</v>
      </c>
      <c r="AJ987" s="1">
        <v>2</v>
      </c>
      <c r="AK987" s="1">
        <v>10</v>
      </c>
      <c r="AL987" s="9" t="str" cm="1">
        <f t="array" ref="AL987">_xlfn.IFS(AK987 &lt;= 5, "New[1-5]", AK987 &lt;= 10, "Early Career[6-10]", AK987 &lt;= 20, "Established[11-20]", AK987 &lt;= 30, "Veteran[21-30]", AK987 &lt;= 40, "Late Career[31-40]")</f>
        <v>Early Career[6-10]</v>
      </c>
      <c r="AM987" s="1">
        <v>2</v>
      </c>
      <c r="AN987" s="9" t="str" cm="1">
        <f t="array" ref="AN987">_xlfn.IFS(AM987 &lt;= 3, "New to Role[1-3]", AM987 &lt;= 7, "Settled[4-7]", AM987 &lt;= 12, "Experienced[[8-12]", AM987 &lt;= 18, "Long Tenured[13-18]")</f>
        <v>New to Role[1-3]</v>
      </c>
      <c r="AO987" s="1">
        <v>6</v>
      </c>
      <c r="AP987" s="9" t="str" cm="1">
        <f t="array" ref="AP987">_xlfn.IFS(AO987 &lt;= 3, "Recently[1-3]", AO987 &lt;= 6, "Due Soon[4-6]", AO987 &lt;= 10, "Overdue[7-10]", AO987 &lt;= 15, "Long Overdue[11-15]")</f>
        <v>Due Soon[4-6]</v>
      </c>
      <c r="AQ987" s="9" t="str" cm="1">
        <f t="array" ref="AQ987">_xlfn.IFS(AR987 &lt;= 3, "New Relationship[1-3]", AR987 &lt;= 7, "Established Relationship[4-7]", AR987 &lt;= 12, "Long Term Relationship[8-12]", AR987 &lt;= 17, "Very Long Term Relationship[13-17]")</f>
        <v>Established Relationship[4-7]</v>
      </c>
      <c r="AR987" s="1">
        <v>7</v>
      </c>
    </row>
    <row r="988" spans="1:44" x14ac:dyDescent="0.25">
      <c r="A988" s="1">
        <v>39</v>
      </c>
      <c r="B988" s="8" t="str" cm="1">
        <f t="array" ref="B988">_xlfn.IFS(A988 &lt;= 25, "[18-25]", A988 &lt;= 35, "[26-35]", A988 &lt;=45, "[36-45]", A988 &lt;= 60, "[46- 60]")</f>
        <v>[36-45]</v>
      </c>
      <c r="C988" s="3" t="s">
        <v>43</v>
      </c>
      <c r="D988">
        <f t="shared" si="15"/>
        <v>0</v>
      </c>
      <c r="E988" t="s">
        <v>36</v>
      </c>
      <c r="F988" s="1">
        <v>1498</v>
      </c>
      <c r="G988" s="3" t="s">
        <v>37</v>
      </c>
      <c r="H988" s="1">
        <v>21</v>
      </c>
      <c r="I988" s="9" t="str" cm="1">
        <f t="array" ref="I988">_xlfn.IFS(H988 &lt;= 2, "[1-2] very close", H988 &lt;= 10, "[3-10] close", H988 &lt;= 20, "[11-20] moderate", H988 &lt;= 30, "[21-30] far")</f>
        <v>[21-30] far</v>
      </c>
      <c r="J988" s="1">
        <v>4</v>
      </c>
      <c r="K988" s="3" t="s">
        <v>38</v>
      </c>
      <c r="L988" s="1">
        <v>1</v>
      </c>
      <c r="M988" s="1">
        <v>1390</v>
      </c>
      <c r="N988" s="1">
        <v>1</v>
      </c>
      <c r="O988" s="3" t="s">
        <v>46</v>
      </c>
      <c r="P988" s="1">
        <v>44</v>
      </c>
      <c r="Q988" s="1">
        <v>2</v>
      </c>
      <c r="R988" s="1">
        <v>2</v>
      </c>
      <c r="S988" s="3" t="s">
        <v>40</v>
      </c>
      <c r="T988" s="1">
        <v>4</v>
      </c>
      <c r="U988" s="3" t="s">
        <v>48</v>
      </c>
      <c r="V988" s="4">
        <v>6120</v>
      </c>
      <c r="W988" s="1">
        <v>3567</v>
      </c>
      <c r="X988" s="1">
        <v>3</v>
      </c>
      <c r="Y988" s="3" t="s">
        <v>42</v>
      </c>
      <c r="Z988" s="3" t="s">
        <v>35</v>
      </c>
      <c r="AA988" s="5">
        <v>0.12</v>
      </c>
      <c r="AB988" s="10" t="str" cm="1">
        <f t="array" ref="AB988">_xlfn.IFS(AA988 &lt;= 15%, "Low Hike[11-15%]", AA988 &lt;= 20%, "Moderate Hike[16-20%]", AA988 &lt;= 25%,"High Hike[21-25%]")</f>
        <v>Low Hike[11-15%]</v>
      </c>
      <c r="AC988" s="1">
        <v>3</v>
      </c>
      <c r="AD988" s="1">
        <v>4</v>
      </c>
      <c r="AE988" s="1">
        <v>80</v>
      </c>
      <c r="AF988" s="1">
        <v>2</v>
      </c>
      <c r="AG988" s="1">
        <v>8</v>
      </c>
      <c r="AH988" s="9" t="str" cm="1">
        <f t="array" ref="AH988">_xlfn.IFS(AG988 &lt;= 5, "New[1-5]", AG988 &lt;= 10, "Early Career[6-10]", AG988 &lt;= 20, "Established[11-20]", AG988 &lt;= 30, "Veteran[21-30]", AG988 &lt;= 40, "Late Career[31-40]")</f>
        <v>Early Career[6-10]</v>
      </c>
      <c r="AI988" s="1">
        <v>2</v>
      </c>
      <c r="AJ988" s="1">
        <v>4</v>
      </c>
      <c r="AK988" s="1">
        <v>5</v>
      </c>
      <c r="AL988" s="9" t="str" cm="1">
        <f t="array" ref="AL988">_xlfn.IFS(AK988 &lt;= 5, "New[1-5]", AK988 &lt;= 10, "Early Career[6-10]", AK988 &lt;= 20, "Established[11-20]", AK988 &lt;= 30, "Veteran[21-30]", AK988 &lt;= 40, "Late Career[31-40]")</f>
        <v>New[1-5]</v>
      </c>
      <c r="AM988" s="1">
        <v>4</v>
      </c>
      <c r="AN988" s="9" t="str" cm="1">
        <f t="array" ref="AN988">_xlfn.IFS(AM988 &lt;= 3, "New to Role[1-3]", AM988 &lt;= 7, "Settled[4-7]", AM988 &lt;= 12, "Experienced[[8-12]", AM988 &lt;= 18, "Long Tenured[13-18]")</f>
        <v>Settled[4-7]</v>
      </c>
      <c r="AO988" s="1">
        <v>1</v>
      </c>
      <c r="AP988" s="9" t="str" cm="1">
        <f t="array" ref="AP988">_xlfn.IFS(AO988 &lt;= 3, "Recently[1-3]", AO988 &lt;= 6, "Due Soon[4-6]", AO988 &lt;= 10, "Overdue[7-10]", AO988 &lt;= 15, "Long Overdue[11-15]")</f>
        <v>Recently[1-3]</v>
      </c>
      <c r="AQ988" s="9" t="str" cm="1">
        <f t="array" ref="AQ988">_xlfn.IFS(AR988 &lt;= 3, "New Relationship[1-3]", AR988 &lt;= 7, "Established Relationship[4-7]", AR988 &lt;= 12, "Long Term Relationship[8-12]", AR988 &lt;= 17, "Very Long Term Relationship[13-17]")</f>
        <v>Established Relationship[4-7]</v>
      </c>
      <c r="AR988" s="1">
        <v>4</v>
      </c>
    </row>
    <row r="989" spans="1:44" x14ac:dyDescent="0.25">
      <c r="A989" s="1">
        <v>51</v>
      </c>
      <c r="B989" s="8" t="str" cm="1">
        <f t="array" ref="B989">_xlfn.IFS(A989 &lt;= 25, "[18-25]", A989 &lt;= 35, "[26-35]", A989 &lt;=45, "[36-45]", A989 &lt;= 60, "[46- 60]")</f>
        <v>[46- 60]</v>
      </c>
      <c r="C989" s="3" t="s">
        <v>43</v>
      </c>
      <c r="D989">
        <f t="shared" si="15"/>
        <v>0</v>
      </c>
      <c r="E989" t="s">
        <v>44</v>
      </c>
      <c r="F989" s="1">
        <v>541</v>
      </c>
      <c r="G989" s="3" t="s">
        <v>37</v>
      </c>
      <c r="H989" s="1">
        <v>2</v>
      </c>
      <c r="I989" s="9" t="str" cm="1">
        <f t="array" ref="I989">_xlfn.IFS(H989 &lt;= 2, "[1-2] very close", H989 &lt;= 10, "[3-10] close", H989 &lt;= 20, "[11-20] moderate", H989 &lt;= 30, "[21-30] far")</f>
        <v>[1-2] very close</v>
      </c>
      <c r="J989" s="1">
        <v>3</v>
      </c>
      <c r="K989" s="3" t="s">
        <v>59</v>
      </c>
      <c r="L989" s="1">
        <v>1</v>
      </c>
      <c r="M989" s="1">
        <v>1391</v>
      </c>
      <c r="N989" s="1">
        <v>2</v>
      </c>
      <c r="O989" s="3" t="s">
        <v>46</v>
      </c>
      <c r="P989" s="1">
        <v>52</v>
      </c>
      <c r="Q989" s="1">
        <v>3</v>
      </c>
      <c r="R989" s="1">
        <v>3</v>
      </c>
      <c r="S989" s="3" t="s">
        <v>40</v>
      </c>
      <c r="T989" s="1">
        <v>2</v>
      </c>
      <c r="U989" s="3" t="s">
        <v>48</v>
      </c>
      <c r="V989" s="4">
        <v>10596</v>
      </c>
      <c r="W989" s="1">
        <v>15395</v>
      </c>
      <c r="X989" s="1">
        <v>2</v>
      </c>
      <c r="Y989" s="3" t="s">
        <v>42</v>
      </c>
      <c r="Z989" s="3" t="s">
        <v>43</v>
      </c>
      <c r="AA989" s="5">
        <v>0.11</v>
      </c>
      <c r="AB989" s="10" t="str" cm="1">
        <f t="array" ref="AB989">_xlfn.IFS(AA989 &lt;= 15%, "Low Hike[11-15%]", AA989 &lt;= 20%, "Moderate Hike[16-20%]", AA989 &lt;= 25%,"High Hike[21-25%]")</f>
        <v>Low Hike[11-15%]</v>
      </c>
      <c r="AC989" s="1">
        <v>3</v>
      </c>
      <c r="AD989" s="1">
        <v>2</v>
      </c>
      <c r="AE989" s="1">
        <v>80</v>
      </c>
      <c r="AF989" s="1">
        <v>0</v>
      </c>
      <c r="AG989" s="1">
        <v>14</v>
      </c>
      <c r="AH989" s="9" t="str" cm="1">
        <f t="array" ref="AH989">_xlfn.IFS(AG989 &lt;= 5, "New[1-5]", AG989 &lt;= 10, "Early Career[6-10]", AG989 &lt;= 20, "Established[11-20]", AG989 &lt;= 30, "Veteran[21-30]", AG989 &lt;= 40, "Late Career[31-40]")</f>
        <v>Established[11-20]</v>
      </c>
      <c r="AI989" s="1">
        <v>5</v>
      </c>
      <c r="AJ989" s="1">
        <v>3</v>
      </c>
      <c r="AK989" s="1">
        <v>4</v>
      </c>
      <c r="AL989" s="9" t="str" cm="1">
        <f t="array" ref="AL989">_xlfn.IFS(AK989 &lt;= 5, "New[1-5]", AK989 &lt;= 10, "Early Career[6-10]", AK989 &lt;= 20, "Established[11-20]", AK989 &lt;= 30, "Veteran[21-30]", AK989 &lt;= 40, "Late Career[31-40]")</f>
        <v>New[1-5]</v>
      </c>
      <c r="AM989" s="1">
        <v>2</v>
      </c>
      <c r="AN989" s="9" t="str" cm="1">
        <f t="array" ref="AN989">_xlfn.IFS(AM989 &lt;= 3, "New to Role[1-3]", AM989 &lt;= 7, "Settled[4-7]", AM989 &lt;= 12, "Experienced[[8-12]", AM989 &lt;= 18, "Long Tenured[13-18]")</f>
        <v>New to Role[1-3]</v>
      </c>
      <c r="AO989" s="1">
        <v>3</v>
      </c>
      <c r="AP989" s="9" t="str" cm="1">
        <f t="array" ref="AP989">_xlfn.IFS(AO989 &lt;= 3, "Recently[1-3]", AO989 &lt;= 6, "Due Soon[4-6]", AO989 &lt;= 10, "Overdue[7-10]", AO989 &lt;= 15, "Long Overdue[11-15]")</f>
        <v>Recently[1-3]</v>
      </c>
      <c r="AQ989" s="9" t="str" cm="1">
        <f t="array" ref="AQ989">_xlfn.IFS(AR989 &lt;= 3, "New Relationship[1-3]", AR989 &lt;= 7, "Established Relationship[4-7]", AR989 &lt;= 12, "Long Term Relationship[8-12]", AR989 &lt;= 17, "Very Long Term Relationship[13-17]")</f>
        <v>New Relationship[1-3]</v>
      </c>
      <c r="AR989" s="1">
        <v>2</v>
      </c>
    </row>
    <row r="990" spans="1:44" x14ac:dyDescent="0.25">
      <c r="A990" s="1">
        <v>41</v>
      </c>
      <c r="B990" s="8" t="str" cm="1">
        <f t="array" ref="B990">_xlfn.IFS(A990 &lt;= 25, "[18-25]", A990 &lt;= 35, "[26-35]", A990 &lt;=45, "[36-45]", A990 &lt;= 60, "[46- 60]")</f>
        <v>[36-45]</v>
      </c>
      <c r="C990" s="3" t="s">
        <v>43</v>
      </c>
      <c r="D990">
        <f t="shared" si="15"/>
        <v>0</v>
      </c>
      <c r="E990" t="s">
        <v>44</v>
      </c>
      <c r="F990" s="1">
        <v>1200</v>
      </c>
      <c r="G990" s="3" t="s">
        <v>45</v>
      </c>
      <c r="H990" s="1">
        <v>22</v>
      </c>
      <c r="I990" s="9" t="str" cm="1">
        <f t="array" ref="I990">_xlfn.IFS(H990 &lt;= 2, "[1-2] very close", H990 &lt;= 10, "[3-10] close", H990 &lt;= 20, "[11-20] moderate", H990 &lt;= 30, "[21-30] far")</f>
        <v>[21-30] far</v>
      </c>
      <c r="J990" s="1">
        <v>3</v>
      </c>
      <c r="K990" s="3" t="s">
        <v>38</v>
      </c>
      <c r="L990" s="1">
        <v>1</v>
      </c>
      <c r="M990" s="1">
        <v>1392</v>
      </c>
      <c r="N990" s="1">
        <v>4</v>
      </c>
      <c r="O990" s="3" t="s">
        <v>39</v>
      </c>
      <c r="P990" s="1">
        <v>75</v>
      </c>
      <c r="Q990" s="1">
        <v>3</v>
      </c>
      <c r="R990" s="1">
        <v>2</v>
      </c>
      <c r="S990" s="3" t="s">
        <v>47</v>
      </c>
      <c r="T990" s="1">
        <v>4</v>
      </c>
      <c r="U990" s="3" t="s">
        <v>52</v>
      </c>
      <c r="V990" s="4">
        <v>5467</v>
      </c>
      <c r="W990" s="1">
        <v>13953</v>
      </c>
      <c r="X990" s="1">
        <v>3</v>
      </c>
      <c r="Y990" s="3" t="s">
        <v>42</v>
      </c>
      <c r="Z990" s="3" t="s">
        <v>35</v>
      </c>
      <c r="AA990" s="5">
        <v>0.14000000000000001</v>
      </c>
      <c r="AB990" s="10" t="str" cm="1">
        <f t="array" ref="AB990">_xlfn.IFS(AA990 &lt;= 15%, "Low Hike[11-15%]", AA990 &lt;= 20%, "Moderate Hike[16-20%]", AA990 &lt;= 25%,"High Hike[21-25%]")</f>
        <v>Low Hike[11-15%]</v>
      </c>
      <c r="AC990" s="1">
        <v>3</v>
      </c>
      <c r="AD990" s="1">
        <v>1</v>
      </c>
      <c r="AE990" s="1">
        <v>80</v>
      </c>
      <c r="AF990" s="1">
        <v>2</v>
      </c>
      <c r="AG990" s="1">
        <v>12</v>
      </c>
      <c r="AH990" s="9" t="str" cm="1">
        <f t="array" ref="AH990">_xlfn.IFS(AG990 &lt;= 5, "New[1-5]", AG990 &lt;= 10, "Early Career[6-10]", AG990 &lt;= 20, "Established[11-20]", AG990 &lt;= 30, "Veteran[21-30]", AG990 &lt;= 40, "Late Career[31-40]")</f>
        <v>Established[11-20]</v>
      </c>
      <c r="AI990" s="1">
        <v>4</v>
      </c>
      <c r="AJ990" s="1">
        <v>2</v>
      </c>
      <c r="AK990" s="1">
        <v>6</v>
      </c>
      <c r="AL990" s="9" t="str" cm="1">
        <f t="array" ref="AL990">_xlfn.IFS(AK990 &lt;= 5, "New[1-5]", AK990 &lt;= 10, "Early Career[6-10]", AK990 &lt;= 20, "Established[11-20]", AK990 &lt;= 30, "Veteran[21-30]", AK990 &lt;= 40, "Late Career[31-40]")</f>
        <v>Early Career[6-10]</v>
      </c>
      <c r="AM990" s="1">
        <v>2</v>
      </c>
      <c r="AN990" s="9" t="str" cm="1">
        <f t="array" ref="AN990">_xlfn.IFS(AM990 &lt;= 3, "New to Role[1-3]", AM990 &lt;= 7, "Settled[4-7]", AM990 &lt;= 12, "Experienced[[8-12]", AM990 &lt;= 18, "Long Tenured[13-18]")</f>
        <v>New to Role[1-3]</v>
      </c>
      <c r="AO990" s="1">
        <v>3</v>
      </c>
      <c r="AP990" s="9" t="str" cm="1">
        <f t="array" ref="AP990">_xlfn.IFS(AO990 &lt;= 3, "Recently[1-3]", AO990 &lt;= 6, "Due Soon[4-6]", AO990 &lt;= 10, "Overdue[7-10]", AO990 &lt;= 15, "Long Overdue[11-15]")</f>
        <v>Recently[1-3]</v>
      </c>
      <c r="AQ990" s="9" t="str" cm="1">
        <f t="array" ref="AQ990">_xlfn.IFS(AR990 &lt;= 3, "New Relationship[1-3]", AR990 &lt;= 7, "Established Relationship[4-7]", AR990 &lt;= 12, "Long Term Relationship[8-12]", AR990 &lt;= 17, "Very Long Term Relationship[13-17]")</f>
        <v>New Relationship[1-3]</v>
      </c>
      <c r="AR990" s="1">
        <v>3</v>
      </c>
    </row>
    <row r="991" spans="1:44" x14ac:dyDescent="0.25">
      <c r="A991" s="1">
        <v>37</v>
      </c>
      <c r="B991" s="8" t="str" cm="1">
        <f t="array" ref="B991">_xlfn.IFS(A991 &lt;= 25, "[18-25]", A991 &lt;= 35, "[26-35]", A991 &lt;=45, "[36-45]", A991 &lt;= 60, "[46- 60]")</f>
        <v>[36-45]</v>
      </c>
      <c r="C991" s="3" t="s">
        <v>43</v>
      </c>
      <c r="D991">
        <f t="shared" si="15"/>
        <v>0</v>
      </c>
      <c r="E991" t="s">
        <v>36</v>
      </c>
      <c r="F991" s="1">
        <v>1439</v>
      </c>
      <c r="G991" s="3" t="s">
        <v>45</v>
      </c>
      <c r="H991" s="1">
        <v>4</v>
      </c>
      <c r="I991" s="9" t="str" cm="1">
        <f t="array" ref="I991">_xlfn.IFS(H991 &lt;= 2, "[1-2] very close", H991 &lt;= 10, "[3-10] close", H991 &lt;= 20, "[11-20] moderate", H991 &lt;= 30, "[21-30] far")</f>
        <v>[3-10] close</v>
      </c>
      <c r="J991" s="1">
        <v>1</v>
      </c>
      <c r="K991" s="3" t="s">
        <v>38</v>
      </c>
      <c r="L991" s="1">
        <v>1</v>
      </c>
      <c r="M991" s="1">
        <v>1394</v>
      </c>
      <c r="N991" s="1">
        <v>3</v>
      </c>
      <c r="O991" s="3" t="s">
        <v>46</v>
      </c>
      <c r="P991" s="1">
        <v>54</v>
      </c>
      <c r="Q991" s="1">
        <v>3</v>
      </c>
      <c r="R991" s="1">
        <v>1</v>
      </c>
      <c r="S991" s="3" t="s">
        <v>47</v>
      </c>
      <c r="T991" s="1">
        <v>3</v>
      </c>
      <c r="U991" s="3" t="s">
        <v>48</v>
      </c>
      <c r="V991" s="4">
        <v>2996</v>
      </c>
      <c r="W991" s="1">
        <v>5182</v>
      </c>
      <c r="X991" s="1">
        <v>7</v>
      </c>
      <c r="Y991" s="3" t="s">
        <v>42</v>
      </c>
      <c r="Z991" s="3" t="s">
        <v>35</v>
      </c>
      <c r="AA991" s="5">
        <v>0.15</v>
      </c>
      <c r="AB991" s="10" t="str" cm="1">
        <f t="array" ref="AB991">_xlfn.IFS(AA991 &lt;= 15%, "Low Hike[11-15%]", AA991 &lt;= 20%, "Moderate Hike[16-20%]", AA991 &lt;= 25%,"High Hike[21-25%]")</f>
        <v>Low Hike[11-15%]</v>
      </c>
      <c r="AC991" s="1">
        <v>3</v>
      </c>
      <c r="AD991" s="1">
        <v>4</v>
      </c>
      <c r="AE991" s="1">
        <v>80</v>
      </c>
      <c r="AF991" s="1">
        <v>0</v>
      </c>
      <c r="AG991" s="1">
        <v>8</v>
      </c>
      <c r="AH991" s="9" t="str" cm="1">
        <f t="array" ref="AH991">_xlfn.IFS(AG991 &lt;= 5, "New[1-5]", AG991 &lt;= 10, "Early Career[6-10]", AG991 &lt;= 20, "Established[11-20]", AG991 &lt;= 30, "Veteran[21-30]", AG991 &lt;= 40, "Late Career[31-40]")</f>
        <v>Early Career[6-10]</v>
      </c>
      <c r="AI991" s="1">
        <v>2</v>
      </c>
      <c r="AJ991" s="1">
        <v>3</v>
      </c>
      <c r="AK991" s="1">
        <v>6</v>
      </c>
      <c r="AL991" s="9" t="str" cm="1">
        <f t="array" ref="AL991">_xlfn.IFS(AK991 &lt;= 5, "New[1-5]", AK991 &lt;= 10, "Early Career[6-10]", AK991 &lt;= 20, "Established[11-20]", AK991 &lt;= 30, "Veteran[21-30]", AK991 &lt;= 40, "Late Career[31-40]")</f>
        <v>Early Career[6-10]</v>
      </c>
      <c r="AM991" s="1">
        <v>4</v>
      </c>
      <c r="AN991" s="9" t="str" cm="1">
        <f t="array" ref="AN991">_xlfn.IFS(AM991 &lt;= 3, "New to Role[1-3]", AM991 &lt;= 7, "Settled[4-7]", AM991 &lt;= 12, "Experienced[[8-12]", AM991 &lt;= 18, "Long Tenured[13-18]")</f>
        <v>Settled[4-7]</v>
      </c>
      <c r="AO991" s="1">
        <v>1</v>
      </c>
      <c r="AP991" s="9" t="str" cm="1">
        <f t="array" ref="AP991">_xlfn.IFS(AO991 &lt;= 3, "Recently[1-3]", AO991 &lt;= 6, "Due Soon[4-6]", AO991 &lt;= 10, "Overdue[7-10]", AO991 &lt;= 15, "Long Overdue[11-15]")</f>
        <v>Recently[1-3]</v>
      </c>
      <c r="AQ991" s="9" t="str" cm="1">
        <f t="array" ref="AQ991">_xlfn.IFS(AR991 &lt;= 3, "New Relationship[1-3]", AR991 &lt;= 7, "Established Relationship[4-7]", AR991 &lt;= 12, "Long Term Relationship[8-12]", AR991 &lt;= 17, "Very Long Term Relationship[13-17]")</f>
        <v>New Relationship[1-3]</v>
      </c>
      <c r="AR991" s="1">
        <v>3</v>
      </c>
    </row>
    <row r="992" spans="1:44" x14ac:dyDescent="0.25">
      <c r="A992" s="1">
        <v>33</v>
      </c>
      <c r="B992" s="8" t="str" cm="1">
        <f t="array" ref="B992">_xlfn.IFS(A992 &lt;= 25, "[18-25]", A992 &lt;= 35, "[26-35]", A992 &lt;=45, "[36-45]", A992 &lt;= 60, "[46- 60]")</f>
        <v>[26-35]</v>
      </c>
      <c r="C992" s="3" t="s">
        <v>43</v>
      </c>
      <c r="D992">
        <f t="shared" si="15"/>
        <v>0</v>
      </c>
      <c r="E992" t="s">
        <v>44</v>
      </c>
      <c r="F992" s="1">
        <v>1111</v>
      </c>
      <c r="G992" s="3" t="s">
        <v>37</v>
      </c>
      <c r="H992" s="1">
        <v>5</v>
      </c>
      <c r="I992" s="9" t="str" cm="1">
        <f t="array" ref="I992">_xlfn.IFS(H992 &lt;= 2, "[1-2] very close", H992 &lt;= 10, "[3-10] close", H992 &lt;= 20, "[11-20] moderate", H992 &lt;= 30, "[21-30] far")</f>
        <v>[3-10] close</v>
      </c>
      <c r="J992" s="1">
        <v>1</v>
      </c>
      <c r="K992" s="3" t="s">
        <v>38</v>
      </c>
      <c r="L992" s="1">
        <v>1</v>
      </c>
      <c r="M992" s="1">
        <v>1395</v>
      </c>
      <c r="N992" s="1">
        <v>2</v>
      </c>
      <c r="O992" s="3" t="s">
        <v>46</v>
      </c>
      <c r="P992" s="1">
        <v>61</v>
      </c>
      <c r="Q992" s="1">
        <v>3</v>
      </c>
      <c r="R992" s="1">
        <v>2</v>
      </c>
      <c r="S992" s="3" t="s">
        <v>40</v>
      </c>
      <c r="T992" s="1">
        <v>4</v>
      </c>
      <c r="U992" s="3" t="s">
        <v>48</v>
      </c>
      <c r="V992" s="4">
        <v>9998</v>
      </c>
      <c r="W992" s="1">
        <v>19293</v>
      </c>
      <c r="X992" s="1">
        <v>6</v>
      </c>
      <c r="Y992" s="3" t="s">
        <v>42</v>
      </c>
      <c r="Z992" s="3" t="s">
        <v>43</v>
      </c>
      <c r="AA992" s="5">
        <v>0.13</v>
      </c>
      <c r="AB992" s="10" t="str" cm="1">
        <f t="array" ref="AB992">_xlfn.IFS(AA992 &lt;= 15%, "Low Hike[11-15%]", AA992 &lt;= 20%, "Moderate Hike[16-20%]", AA992 &lt;= 25%,"High Hike[21-25%]")</f>
        <v>Low Hike[11-15%]</v>
      </c>
      <c r="AC992" s="1">
        <v>3</v>
      </c>
      <c r="AD992" s="1">
        <v>1</v>
      </c>
      <c r="AE992" s="1">
        <v>80</v>
      </c>
      <c r="AF992" s="1">
        <v>0</v>
      </c>
      <c r="AG992" s="1">
        <v>8</v>
      </c>
      <c r="AH992" s="9" t="str" cm="1">
        <f t="array" ref="AH992">_xlfn.IFS(AG992 &lt;= 5, "New[1-5]", AG992 &lt;= 10, "Early Career[6-10]", AG992 &lt;= 20, "Established[11-20]", AG992 &lt;= 30, "Veteran[21-30]", AG992 &lt;= 40, "Late Career[31-40]")</f>
        <v>Early Career[6-10]</v>
      </c>
      <c r="AI992" s="1">
        <v>2</v>
      </c>
      <c r="AJ992" s="1">
        <v>4</v>
      </c>
      <c r="AK992" s="1">
        <v>5</v>
      </c>
      <c r="AL992" s="9" t="str" cm="1">
        <f t="array" ref="AL992">_xlfn.IFS(AK992 &lt;= 5, "New[1-5]", AK992 &lt;= 10, "Early Career[6-10]", AK992 &lt;= 20, "Established[11-20]", AK992 &lt;= 30, "Veteran[21-30]", AK992 &lt;= 40, "Late Career[31-40]")</f>
        <v>New[1-5]</v>
      </c>
      <c r="AM992" s="1">
        <v>4</v>
      </c>
      <c r="AN992" s="9" t="str" cm="1">
        <f t="array" ref="AN992">_xlfn.IFS(AM992 &lt;= 3, "New to Role[1-3]", AM992 &lt;= 7, "Settled[4-7]", AM992 &lt;= 12, "Experienced[[8-12]", AM992 &lt;= 18, "Long Tenured[13-18]")</f>
        <v>Settled[4-7]</v>
      </c>
      <c r="AO992" s="1">
        <v>1</v>
      </c>
      <c r="AP992" s="9" t="str" cm="1">
        <f t="array" ref="AP992">_xlfn.IFS(AO992 &lt;= 3, "Recently[1-3]", AO992 &lt;= 6, "Due Soon[4-6]", AO992 &lt;= 10, "Overdue[7-10]", AO992 &lt;= 15, "Long Overdue[11-15]")</f>
        <v>Recently[1-3]</v>
      </c>
      <c r="AQ992" s="9" t="str" cm="1">
        <f t="array" ref="AQ992">_xlfn.IFS(AR992 &lt;= 3, "New Relationship[1-3]", AR992 &lt;= 7, "Established Relationship[4-7]", AR992 &lt;= 12, "Long Term Relationship[8-12]", AR992 &lt;= 17, "Very Long Term Relationship[13-17]")</f>
        <v>New Relationship[1-3]</v>
      </c>
      <c r="AR992" s="1">
        <v>2</v>
      </c>
    </row>
    <row r="993" spans="1:44" x14ac:dyDescent="0.25">
      <c r="A993" s="1">
        <v>32</v>
      </c>
      <c r="B993" s="8" t="str" cm="1">
        <f t="array" ref="B993">_xlfn.IFS(A993 &lt;= 25, "[18-25]", A993 &lt;= 35, "[26-35]", A993 &lt;=45, "[36-45]", A993 &lt;= 60, "[46- 60]")</f>
        <v>[26-35]</v>
      </c>
      <c r="C993" s="3" t="s">
        <v>43</v>
      </c>
      <c r="D993">
        <f t="shared" si="15"/>
        <v>0</v>
      </c>
      <c r="E993" t="s">
        <v>36</v>
      </c>
      <c r="F993" s="1">
        <v>499</v>
      </c>
      <c r="G993" s="3" t="s">
        <v>37</v>
      </c>
      <c r="H993" s="1">
        <v>2</v>
      </c>
      <c r="I993" s="9" t="str" cm="1">
        <f t="array" ref="I993">_xlfn.IFS(H993 &lt;= 2, "[1-2] very close", H993 &lt;= 10, "[3-10] close", H993 &lt;= 20, "[11-20] moderate", H993 &lt;= 30, "[21-30] far")</f>
        <v>[1-2] very close</v>
      </c>
      <c r="J993" s="1">
        <v>1</v>
      </c>
      <c r="K993" s="3" t="s">
        <v>59</v>
      </c>
      <c r="L993" s="1">
        <v>1</v>
      </c>
      <c r="M993" s="1">
        <v>1396</v>
      </c>
      <c r="N993" s="1">
        <v>3</v>
      </c>
      <c r="O993" s="3" t="s">
        <v>46</v>
      </c>
      <c r="P993" s="1">
        <v>36</v>
      </c>
      <c r="Q993" s="1">
        <v>3</v>
      </c>
      <c r="R993" s="1">
        <v>2</v>
      </c>
      <c r="S993" s="3" t="s">
        <v>40</v>
      </c>
      <c r="T993" s="1">
        <v>2</v>
      </c>
      <c r="U993" s="3" t="s">
        <v>48</v>
      </c>
      <c r="V993" s="4">
        <v>4078</v>
      </c>
      <c r="W993" s="1">
        <v>20497</v>
      </c>
      <c r="X993" s="1">
        <v>0</v>
      </c>
      <c r="Y993" s="3" t="s">
        <v>42</v>
      </c>
      <c r="Z993" s="3" t="s">
        <v>35</v>
      </c>
      <c r="AA993" s="5">
        <v>0.13</v>
      </c>
      <c r="AB993" s="10" t="str" cm="1">
        <f t="array" ref="AB993">_xlfn.IFS(AA993 &lt;= 15%, "Low Hike[11-15%]", AA993 &lt;= 20%, "Moderate Hike[16-20%]", AA993 &lt;= 25%,"High Hike[21-25%]")</f>
        <v>Low Hike[11-15%]</v>
      </c>
      <c r="AC993" s="1">
        <v>3</v>
      </c>
      <c r="AD993" s="1">
        <v>1</v>
      </c>
      <c r="AE993" s="1">
        <v>80</v>
      </c>
      <c r="AF993" s="1">
        <v>3</v>
      </c>
      <c r="AG993" s="1">
        <v>4</v>
      </c>
      <c r="AH993" s="9" t="str" cm="1">
        <f t="array" ref="AH993">_xlfn.IFS(AG993 &lt;= 5, "New[1-5]", AG993 &lt;= 10, "Early Career[6-10]", AG993 &lt;= 20, "Established[11-20]", AG993 &lt;= 30, "Veteran[21-30]", AG993 &lt;= 40, "Late Career[31-40]")</f>
        <v>New[1-5]</v>
      </c>
      <c r="AI993" s="1">
        <v>3</v>
      </c>
      <c r="AJ993" s="1">
        <v>2</v>
      </c>
      <c r="AK993" s="1">
        <v>3</v>
      </c>
      <c r="AL993" s="9" t="str" cm="1">
        <f t="array" ref="AL993">_xlfn.IFS(AK993 &lt;= 5, "New[1-5]", AK993 &lt;= 10, "Early Career[6-10]", AK993 &lt;= 20, "Established[11-20]", AK993 &lt;= 30, "Veteran[21-30]", AK993 &lt;= 40, "Late Career[31-40]")</f>
        <v>New[1-5]</v>
      </c>
      <c r="AM993" s="1">
        <v>2</v>
      </c>
      <c r="AN993" s="9" t="str" cm="1">
        <f t="array" ref="AN993">_xlfn.IFS(AM993 &lt;= 3, "New to Role[1-3]", AM993 &lt;= 7, "Settled[4-7]", AM993 &lt;= 12, "Experienced[[8-12]", AM993 &lt;= 18, "Long Tenured[13-18]")</f>
        <v>New to Role[1-3]</v>
      </c>
      <c r="AO993" s="1">
        <v>1</v>
      </c>
      <c r="AP993" s="9" t="str" cm="1">
        <f t="array" ref="AP993">_xlfn.IFS(AO993 &lt;= 3, "Recently[1-3]", AO993 &lt;= 6, "Due Soon[4-6]", AO993 &lt;= 10, "Overdue[7-10]", AO993 &lt;= 15, "Long Overdue[11-15]")</f>
        <v>Recently[1-3]</v>
      </c>
      <c r="AQ993" s="9" t="str" cm="1">
        <f t="array" ref="AQ993">_xlfn.IFS(AR993 &lt;= 3, "New Relationship[1-3]", AR993 &lt;= 7, "Established Relationship[4-7]", AR993 &lt;= 12, "Long Term Relationship[8-12]", AR993 &lt;= 17, "Very Long Term Relationship[13-17]")</f>
        <v>New Relationship[1-3]</v>
      </c>
      <c r="AR993" s="1">
        <v>2</v>
      </c>
    </row>
    <row r="994" spans="1:44" x14ac:dyDescent="0.25">
      <c r="A994" s="1">
        <v>39</v>
      </c>
      <c r="B994" s="8" t="str" cm="1">
        <f t="array" ref="B994">_xlfn.IFS(A994 &lt;= 25, "[18-25]", A994 &lt;= 35, "[26-35]", A994 &lt;=45, "[36-45]", A994 &lt;= 60, "[46- 60]")</f>
        <v>[36-45]</v>
      </c>
      <c r="C994" s="3" t="s">
        <v>43</v>
      </c>
      <c r="D994">
        <f t="shared" si="15"/>
        <v>0</v>
      </c>
      <c r="E994" t="s">
        <v>62</v>
      </c>
      <c r="F994" s="1">
        <v>1485</v>
      </c>
      <c r="G994" s="3" t="s">
        <v>45</v>
      </c>
      <c r="H994" s="1">
        <v>25</v>
      </c>
      <c r="I994" s="9" t="str" cm="1">
        <f t="array" ref="I994">_xlfn.IFS(H994 &lt;= 2, "[1-2] very close", H994 &lt;= 10, "[3-10] close", H994 &lt;= 20, "[11-20] moderate", H994 &lt;= 30, "[21-30] far")</f>
        <v>[21-30] far</v>
      </c>
      <c r="J994" s="1">
        <v>2</v>
      </c>
      <c r="K994" s="3" t="s">
        <v>38</v>
      </c>
      <c r="L994" s="1">
        <v>1</v>
      </c>
      <c r="M994" s="1">
        <v>1397</v>
      </c>
      <c r="N994" s="1">
        <v>3</v>
      </c>
      <c r="O994" s="3" t="s">
        <v>46</v>
      </c>
      <c r="P994" s="1">
        <v>71</v>
      </c>
      <c r="Q994" s="1">
        <v>3</v>
      </c>
      <c r="R994" s="1">
        <v>3</v>
      </c>
      <c r="S994" s="3" t="s">
        <v>54</v>
      </c>
      <c r="T994" s="1">
        <v>3</v>
      </c>
      <c r="U994" s="3" t="s">
        <v>48</v>
      </c>
      <c r="V994" s="4">
        <v>10920</v>
      </c>
      <c r="W994" s="1">
        <v>3449</v>
      </c>
      <c r="X994" s="1">
        <v>3</v>
      </c>
      <c r="Y994" s="3" t="s">
        <v>42</v>
      </c>
      <c r="Z994" s="3" t="s">
        <v>43</v>
      </c>
      <c r="AA994" s="5">
        <v>0.21</v>
      </c>
      <c r="AB994" s="10" t="str" cm="1">
        <f t="array" ref="AB994">_xlfn.IFS(AA994 &lt;= 15%, "Low Hike[11-15%]", AA994 &lt;= 20%, "Moderate Hike[16-20%]", AA994 &lt;= 25%,"High Hike[21-25%]")</f>
        <v>High Hike[21-25%]</v>
      </c>
      <c r="AC994" s="1">
        <v>4</v>
      </c>
      <c r="AD994" s="1">
        <v>2</v>
      </c>
      <c r="AE994" s="1">
        <v>80</v>
      </c>
      <c r="AF994" s="1">
        <v>1</v>
      </c>
      <c r="AG994" s="1">
        <v>13</v>
      </c>
      <c r="AH994" s="9" t="str" cm="1">
        <f t="array" ref="AH994">_xlfn.IFS(AG994 &lt;= 5, "New[1-5]", AG994 &lt;= 10, "Early Career[6-10]", AG994 &lt;= 20, "Established[11-20]", AG994 &lt;= 30, "Veteran[21-30]", AG994 &lt;= 40, "Late Career[31-40]")</f>
        <v>Established[11-20]</v>
      </c>
      <c r="AI994" s="1">
        <v>2</v>
      </c>
      <c r="AJ994" s="1">
        <v>3</v>
      </c>
      <c r="AK994" s="1">
        <v>6</v>
      </c>
      <c r="AL994" s="9" t="str" cm="1">
        <f t="array" ref="AL994">_xlfn.IFS(AK994 &lt;= 5, "New[1-5]", AK994 &lt;= 10, "Early Career[6-10]", AK994 &lt;= 20, "Established[11-20]", AK994 &lt;= 30, "Veteran[21-30]", AK994 &lt;= 40, "Late Career[31-40]")</f>
        <v>Early Career[6-10]</v>
      </c>
      <c r="AM994" s="1">
        <v>4</v>
      </c>
      <c r="AN994" s="9" t="str" cm="1">
        <f t="array" ref="AN994">_xlfn.IFS(AM994 &lt;= 3, "New to Role[1-3]", AM994 &lt;= 7, "Settled[4-7]", AM994 &lt;= 12, "Experienced[[8-12]", AM994 &lt;= 18, "Long Tenured[13-18]")</f>
        <v>Settled[4-7]</v>
      </c>
      <c r="AO994" s="1">
        <v>0</v>
      </c>
      <c r="AP994" s="9" t="str" cm="1">
        <f t="array" ref="AP994">_xlfn.IFS(AO994 &lt;= 3, "Recently[1-3]", AO994 &lt;= 6, "Due Soon[4-6]", AO994 &lt;= 10, "Overdue[7-10]", AO994 &lt;= 15, "Long Overdue[11-15]")</f>
        <v>Recently[1-3]</v>
      </c>
      <c r="AQ994" s="9" t="str" cm="1">
        <f t="array" ref="AQ994">_xlfn.IFS(AR994 &lt;= 3, "New Relationship[1-3]", AR994 &lt;= 7, "Established Relationship[4-7]", AR994 &lt;= 12, "Long Term Relationship[8-12]", AR994 &lt;= 17, "Very Long Term Relationship[13-17]")</f>
        <v>Established Relationship[4-7]</v>
      </c>
      <c r="AR994" s="1">
        <v>5</v>
      </c>
    </row>
    <row r="995" spans="1:44" x14ac:dyDescent="0.25">
      <c r="A995" s="1">
        <v>25</v>
      </c>
      <c r="B995" s="8" t="str" cm="1">
        <f t="array" ref="B995">_xlfn.IFS(A995 &lt;= 25, "[18-25]", A995 &lt;= 35, "[26-35]", A995 &lt;=45, "[36-45]", A995 &lt;= 60, "[46- 60]")</f>
        <v>[18-25]</v>
      </c>
      <c r="C995" s="3" t="s">
        <v>43</v>
      </c>
      <c r="D995">
        <f t="shared" si="15"/>
        <v>0</v>
      </c>
      <c r="E995" t="s">
        <v>36</v>
      </c>
      <c r="F995" s="1">
        <v>1372</v>
      </c>
      <c r="G995" s="3" t="s">
        <v>37</v>
      </c>
      <c r="H995" s="1">
        <v>18</v>
      </c>
      <c r="I995" s="9" t="str" cm="1">
        <f t="array" ref="I995">_xlfn.IFS(H995 &lt;= 2, "[1-2] very close", H995 &lt;= 10, "[3-10] close", H995 &lt;= 20, "[11-20] moderate", H995 &lt;= 30, "[21-30] far")</f>
        <v>[11-20] moderate</v>
      </c>
      <c r="J995" s="1">
        <v>1</v>
      </c>
      <c r="K995" s="3" t="s">
        <v>38</v>
      </c>
      <c r="L995" s="1">
        <v>1</v>
      </c>
      <c r="M995" s="1">
        <v>1399</v>
      </c>
      <c r="N995" s="1">
        <v>1</v>
      </c>
      <c r="O995" s="3" t="s">
        <v>46</v>
      </c>
      <c r="P995" s="1">
        <v>93</v>
      </c>
      <c r="Q995" s="1">
        <v>4</v>
      </c>
      <c r="R995" s="1">
        <v>2</v>
      </c>
      <c r="S995" s="3" t="s">
        <v>40</v>
      </c>
      <c r="T995" s="1">
        <v>3</v>
      </c>
      <c r="U995" s="3" t="s">
        <v>48</v>
      </c>
      <c r="V995" s="4">
        <v>6232</v>
      </c>
      <c r="W995" s="1">
        <v>12477</v>
      </c>
      <c r="X995" s="1">
        <v>2</v>
      </c>
      <c r="Y995" s="3" t="s">
        <v>42</v>
      </c>
      <c r="Z995" s="3" t="s">
        <v>43</v>
      </c>
      <c r="AA995" s="5">
        <v>0.11</v>
      </c>
      <c r="AB995" s="10" t="str" cm="1">
        <f t="array" ref="AB995">_xlfn.IFS(AA995 &lt;= 15%, "Low Hike[11-15%]", AA995 &lt;= 20%, "Moderate Hike[16-20%]", AA995 &lt;= 25%,"High Hike[21-25%]")</f>
        <v>Low Hike[11-15%]</v>
      </c>
      <c r="AC995" s="1">
        <v>3</v>
      </c>
      <c r="AD995" s="1">
        <v>2</v>
      </c>
      <c r="AE995" s="1">
        <v>80</v>
      </c>
      <c r="AF995" s="1">
        <v>0</v>
      </c>
      <c r="AG995" s="1">
        <v>6</v>
      </c>
      <c r="AH995" s="9" t="str" cm="1">
        <f t="array" ref="AH995">_xlfn.IFS(AG995 &lt;= 5, "New[1-5]", AG995 &lt;= 10, "Early Career[6-10]", AG995 &lt;= 20, "Established[11-20]", AG995 &lt;= 30, "Veteran[21-30]", AG995 &lt;= 40, "Late Career[31-40]")</f>
        <v>Early Career[6-10]</v>
      </c>
      <c r="AI995" s="1">
        <v>3</v>
      </c>
      <c r="AJ995" s="1">
        <v>2</v>
      </c>
      <c r="AK995" s="1">
        <v>3</v>
      </c>
      <c r="AL995" s="9" t="str" cm="1">
        <f t="array" ref="AL995">_xlfn.IFS(AK995 &lt;= 5, "New[1-5]", AK995 &lt;= 10, "Early Career[6-10]", AK995 &lt;= 20, "Established[11-20]", AK995 &lt;= 30, "Veteran[21-30]", AK995 &lt;= 40, "Late Career[31-40]")</f>
        <v>New[1-5]</v>
      </c>
      <c r="AM995" s="1">
        <v>2</v>
      </c>
      <c r="AN995" s="9" t="str" cm="1">
        <f t="array" ref="AN995">_xlfn.IFS(AM995 &lt;= 3, "New to Role[1-3]", AM995 &lt;= 7, "Settled[4-7]", AM995 &lt;= 12, "Experienced[[8-12]", AM995 &lt;= 18, "Long Tenured[13-18]")</f>
        <v>New to Role[1-3]</v>
      </c>
      <c r="AO995" s="1">
        <v>1</v>
      </c>
      <c r="AP995" s="9" t="str" cm="1">
        <f t="array" ref="AP995">_xlfn.IFS(AO995 &lt;= 3, "Recently[1-3]", AO995 &lt;= 6, "Due Soon[4-6]", AO995 &lt;= 10, "Overdue[7-10]", AO995 &lt;= 15, "Long Overdue[11-15]")</f>
        <v>Recently[1-3]</v>
      </c>
      <c r="AQ995" s="9" t="str" cm="1">
        <f t="array" ref="AQ995">_xlfn.IFS(AR995 &lt;= 3, "New Relationship[1-3]", AR995 &lt;= 7, "Established Relationship[4-7]", AR995 &lt;= 12, "Long Term Relationship[8-12]", AR995 &lt;= 17, "Very Long Term Relationship[13-17]")</f>
        <v>New Relationship[1-3]</v>
      </c>
      <c r="AR995" s="1">
        <v>2</v>
      </c>
    </row>
    <row r="996" spans="1:44" x14ac:dyDescent="0.25">
      <c r="A996" s="1">
        <v>52</v>
      </c>
      <c r="B996" s="8" t="str" cm="1">
        <f t="array" ref="B996">_xlfn.IFS(A996 &lt;= 25, "[18-25]", A996 &lt;= 35, "[26-35]", A996 &lt;=45, "[36-45]", A996 &lt;= 60, "[46- 60]")</f>
        <v>[46- 60]</v>
      </c>
      <c r="C996" s="3" t="s">
        <v>43</v>
      </c>
      <c r="D996">
        <f t="shared" si="15"/>
        <v>0</v>
      </c>
      <c r="E996" t="s">
        <v>44</v>
      </c>
      <c r="F996" s="1">
        <v>322</v>
      </c>
      <c r="G996" s="3" t="s">
        <v>45</v>
      </c>
      <c r="H996" s="1">
        <v>28</v>
      </c>
      <c r="I996" s="9" t="str" cm="1">
        <f t="array" ref="I996">_xlfn.IFS(H996 &lt;= 2, "[1-2] very close", H996 &lt;= 10, "[3-10] close", H996 &lt;= 20, "[11-20] moderate", H996 &lt;= 30, "[21-30] far")</f>
        <v>[21-30] far</v>
      </c>
      <c r="J996" s="1">
        <v>2</v>
      </c>
      <c r="K996" s="3" t="s">
        <v>51</v>
      </c>
      <c r="L996" s="1">
        <v>1</v>
      </c>
      <c r="M996" s="1">
        <v>1401</v>
      </c>
      <c r="N996" s="1">
        <v>4</v>
      </c>
      <c r="O996" s="3" t="s">
        <v>39</v>
      </c>
      <c r="P996" s="1">
        <v>59</v>
      </c>
      <c r="Q996" s="1">
        <v>4</v>
      </c>
      <c r="R996" s="1">
        <v>4</v>
      </c>
      <c r="S996" s="3" t="s">
        <v>53</v>
      </c>
      <c r="T996" s="1">
        <v>3</v>
      </c>
      <c r="U996" s="3" t="s">
        <v>48</v>
      </c>
      <c r="V996" s="4">
        <v>13247</v>
      </c>
      <c r="W996" s="1">
        <v>9731</v>
      </c>
      <c r="X996" s="1">
        <v>2</v>
      </c>
      <c r="Y996" s="3" t="s">
        <v>42</v>
      </c>
      <c r="Z996" s="3" t="s">
        <v>35</v>
      </c>
      <c r="AA996" s="5">
        <v>0.11</v>
      </c>
      <c r="AB996" s="10" t="str" cm="1">
        <f t="array" ref="AB996">_xlfn.IFS(AA996 &lt;= 15%, "Low Hike[11-15%]", AA996 &lt;= 20%, "Moderate Hike[16-20%]", AA996 &lt;= 25%,"High Hike[21-25%]")</f>
        <v>Low Hike[11-15%]</v>
      </c>
      <c r="AC996" s="1">
        <v>3</v>
      </c>
      <c r="AD996" s="1">
        <v>2</v>
      </c>
      <c r="AE996" s="1">
        <v>80</v>
      </c>
      <c r="AF996" s="1">
        <v>1</v>
      </c>
      <c r="AG996" s="1">
        <v>24</v>
      </c>
      <c r="AH996" s="9" t="str" cm="1">
        <f t="array" ref="AH996">_xlfn.IFS(AG996 &lt;= 5, "New[1-5]", AG996 &lt;= 10, "Early Career[6-10]", AG996 &lt;= 20, "Established[11-20]", AG996 &lt;= 30, "Veteran[21-30]", AG996 &lt;= 40, "Late Career[31-40]")</f>
        <v>Veteran[21-30]</v>
      </c>
      <c r="AI996" s="1">
        <v>3</v>
      </c>
      <c r="AJ996" s="1">
        <v>2</v>
      </c>
      <c r="AK996" s="1">
        <v>5</v>
      </c>
      <c r="AL996" s="9" t="str" cm="1">
        <f t="array" ref="AL996">_xlfn.IFS(AK996 &lt;= 5, "New[1-5]", AK996 &lt;= 10, "Early Career[6-10]", AK996 &lt;= 20, "Established[11-20]", AK996 &lt;= 30, "Veteran[21-30]", AK996 &lt;= 40, "Late Career[31-40]")</f>
        <v>New[1-5]</v>
      </c>
      <c r="AM996" s="1">
        <v>3</v>
      </c>
      <c r="AN996" s="9" t="str" cm="1">
        <f t="array" ref="AN996">_xlfn.IFS(AM996 &lt;= 3, "New to Role[1-3]", AM996 &lt;= 7, "Settled[4-7]", AM996 &lt;= 12, "Experienced[[8-12]", AM996 &lt;= 18, "Long Tenured[13-18]")</f>
        <v>New to Role[1-3]</v>
      </c>
      <c r="AO996" s="1">
        <v>0</v>
      </c>
      <c r="AP996" s="9" t="str" cm="1">
        <f t="array" ref="AP996">_xlfn.IFS(AO996 &lt;= 3, "Recently[1-3]", AO996 &lt;= 6, "Due Soon[4-6]", AO996 &lt;= 10, "Overdue[7-10]", AO996 &lt;= 15, "Long Overdue[11-15]")</f>
        <v>Recently[1-3]</v>
      </c>
      <c r="AQ996" s="9" t="str" cm="1">
        <f t="array" ref="AQ996">_xlfn.IFS(AR996 &lt;= 3, "New Relationship[1-3]", AR996 &lt;= 7, "Established Relationship[4-7]", AR996 &lt;= 12, "Long Term Relationship[8-12]", AR996 &lt;= 17, "Very Long Term Relationship[13-17]")</f>
        <v>New Relationship[1-3]</v>
      </c>
      <c r="AR996" s="1">
        <v>2</v>
      </c>
    </row>
    <row r="997" spans="1:44" x14ac:dyDescent="0.25">
      <c r="A997" s="1">
        <v>43</v>
      </c>
      <c r="B997" s="8" t="str" cm="1">
        <f t="array" ref="B997">_xlfn.IFS(A997 &lt;= 25, "[18-25]", A997 &lt;= 35, "[26-35]", A997 &lt;=45, "[36-45]", A997 &lt;= 60, "[46- 60]")</f>
        <v>[36-45]</v>
      </c>
      <c r="C997" s="3" t="s">
        <v>43</v>
      </c>
      <c r="D997">
        <f t="shared" si="15"/>
        <v>0</v>
      </c>
      <c r="E997" t="s">
        <v>36</v>
      </c>
      <c r="F997" s="1">
        <v>930</v>
      </c>
      <c r="G997" s="3" t="s">
        <v>45</v>
      </c>
      <c r="H997" s="1">
        <v>6</v>
      </c>
      <c r="I997" s="9" t="str" cm="1">
        <f t="array" ref="I997">_xlfn.IFS(H997 &lt;= 2, "[1-2] very close", H997 &lt;= 10, "[3-10] close", H997 &lt;= 20, "[11-20] moderate", H997 &lt;= 30, "[21-30] far")</f>
        <v>[3-10] close</v>
      </c>
      <c r="J997" s="1">
        <v>3</v>
      </c>
      <c r="K997" s="3" t="s">
        <v>51</v>
      </c>
      <c r="L997" s="1">
        <v>1</v>
      </c>
      <c r="M997" s="1">
        <v>1402</v>
      </c>
      <c r="N997" s="1">
        <v>1</v>
      </c>
      <c r="O997" s="3" t="s">
        <v>39</v>
      </c>
      <c r="P997" s="1">
        <v>73</v>
      </c>
      <c r="Q997" s="1">
        <v>2</v>
      </c>
      <c r="R997" s="1">
        <v>2</v>
      </c>
      <c r="S997" s="3" t="s">
        <v>47</v>
      </c>
      <c r="T997" s="1">
        <v>3</v>
      </c>
      <c r="U997" s="3" t="s">
        <v>41</v>
      </c>
      <c r="V997" s="4">
        <v>4081</v>
      </c>
      <c r="W997" s="1">
        <v>20003</v>
      </c>
      <c r="X997" s="1">
        <v>1</v>
      </c>
      <c r="Y997" s="3" t="s">
        <v>42</v>
      </c>
      <c r="Z997" s="3" t="s">
        <v>35</v>
      </c>
      <c r="AA997" s="5">
        <v>0.14000000000000001</v>
      </c>
      <c r="AB997" s="10" t="str" cm="1">
        <f t="array" ref="AB997">_xlfn.IFS(AA997 &lt;= 15%, "Low Hike[11-15%]", AA997 &lt;= 20%, "Moderate Hike[16-20%]", AA997 &lt;= 25%,"High Hike[21-25%]")</f>
        <v>Low Hike[11-15%]</v>
      </c>
      <c r="AC997" s="1">
        <v>3</v>
      </c>
      <c r="AD997" s="1">
        <v>1</v>
      </c>
      <c r="AE997" s="1">
        <v>80</v>
      </c>
      <c r="AF997" s="1">
        <v>0</v>
      </c>
      <c r="AG997" s="1">
        <v>20</v>
      </c>
      <c r="AH997" s="9" t="str" cm="1">
        <f t="array" ref="AH997">_xlfn.IFS(AG997 &lt;= 5, "New[1-5]", AG997 &lt;= 10, "Early Career[6-10]", AG997 &lt;= 20, "Established[11-20]", AG997 &lt;= 30, "Veteran[21-30]", AG997 &lt;= 40, "Late Career[31-40]")</f>
        <v>Established[11-20]</v>
      </c>
      <c r="AI997" s="1">
        <v>3</v>
      </c>
      <c r="AJ997" s="1">
        <v>1</v>
      </c>
      <c r="AK997" s="1">
        <v>20</v>
      </c>
      <c r="AL997" s="9" t="str" cm="1">
        <f t="array" ref="AL997">_xlfn.IFS(AK997 &lt;= 5, "New[1-5]", AK997 &lt;= 10, "Early Career[6-10]", AK997 &lt;= 20, "Established[11-20]", AK997 &lt;= 30, "Veteran[21-30]", AK997 &lt;= 40, "Late Career[31-40]")</f>
        <v>Established[11-20]</v>
      </c>
      <c r="AM997" s="1">
        <v>7</v>
      </c>
      <c r="AN997" s="9" t="str" cm="1">
        <f t="array" ref="AN997">_xlfn.IFS(AM997 &lt;= 3, "New to Role[1-3]", AM997 &lt;= 7, "Settled[4-7]", AM997 &lt;= 12, "Experienced[[8-12]", AM997 &lt;= 18, "Long Tenured[13-18]")</f>
        <v>Settled[4-7]</v>
      </c>
      <c r="AO997" s="1">
        <v>1</v>
      </c>
      <c r="AP997" s="9" t="str" cm="1">
        <f t="array" ref="AP997">_xlfn.IFS(AO997 &lt;= 3, "Recently[1-3]", AO997 &lt;= 6, "Due Soon[4-6]", AO997 &lt;= 10, "Overdue[7-10]", AO997 &lt;= 15, "Long Overdue[11-15]")</f>
        <v>Recently[1-3]</v>
      </c>
      <c r="AQ997" s="9" t="str" cm="1">
        <f t="array" ref="AQ997">_xlfn.IFS(AR997 &lt;= 3, "New Relationship[1-3]", AR997 &lt;= 7, "Established Relationship[4-7]", AR997 &lt;= 12, "Long Term Relationship[8-12]", AR997 &lt;= 17, "Very Long Term Relationship[13-17]")</f>
        <v>Long Term Relationship[8-12]</v>
      </c>
      <c r="AR997" s="1">
        <v>8</v>
      </c>
    </row>
    <row r="998" spans="1:44" x14ac:dyDescent="0.25">
      <c r="A998" s="1">
        <v>27</v>
      </c>
      <c r="B998" s="8" t="str" cm="1">
        <f t="array" ref="B998">_xlfn.IFS(A998 &lt;= 25, "[18-25]", A998 &lt;= 35, "[26-35]", A998 &lt;=45, "[36-45]", A998 &lt;= 60, "[46- 60]")</f>
        <v>[26-35]</v>
      </c>
      <c r="C998" s="3" t="s">
        <v>43</v>
      </c>
      <c r="D998">
        <f t="shared" si="15"/>
        <v>0</v>
      </c>
      <c r="E998" t="s">
        <v>36</v>
      </c>
      <c r="F998" s="1">
        <v>205</v>
      </c>
      <c r="G998" s="3" t="s">
        <v>37</v>
      </c>
      <c r="H998" s="1">
        <v>10</v>
      </c>
      <c r="I998" s="9" t="str" cm="1">
        <f t="array" ref="I998">_xlfn.IFS(H998 &lt;= 2, "[1-2] very close", H998 &lt;= 10, "[3-10] close", H998 &lt;= 20, "[11-20] moderate", H998 &lt;= 30, "[21-30] far")</f>
        <v>[3-10] close</v>
      </c>
      <c r="J998" s="1">
        <v>3</v>
      </c>
      <c r="K998" s="3" t="s">
        <v>59</v>
      </c>
      <c r="L998" s="1">
        <v>1</v>
      </c>
      <c r="M998" s="1">
        <v>1403</v>
      </c>
      <c r="N998" s="1">
        <v>4</v>
      </c>
      <c r="O998" s="3" t="s">
        <v>39</v>
      </c>
      <c r="P998" s="1">
        <v>98</v>
      </c>
      <c r="Q998" s="1">
        <v>2</v>
      </c>
      <c r="R998" s="1">
        <v>2</v>
      </c>
      <c r="S998" s="3" t="s">
        <v>40</v>
      </c>
      <c r="T998" s="1">
        <v>4</v>
      </c>
      <c r="U998" s="3" t="s">
        <v>48</v>
      </c>
      <c r="V998" s="4">
        <v>5769</v>
      </c>
      <c r="W998" s="1">
        <v>7100</v>
      </c>
      <c r="X998" s="1">
        <v>1</v>
      </c>
      <c r="Y998" s="3" t="s">
        <v>42</v>
      </c>
      <c r="Z998" s="3" t="s">
        <v>35</v>
      </c>
      <c r="AA998" s="5">
        <v>0.11</v>
      </c>
      <c r="AB998" s="10" t="str" cm="1">
        <f t="array" ref="AB998">_xlfn.IFS(AA998 &lt;= 15%, "Low Hike[11-15%]", AA998 &lt;= 20%, "Moderate Hike[16-20%]", AA998 &lt;= 25%,"High Hike[21-25%]")</f>
        <v>Low Hike[11-15%]</v>
      </c>
      <c r="AC998" s="1">
        <v>3</v>
      </c>
      <c r="AD998" s="1">
        <v>4</v>
      </c>
      <c r="AE998" s="1">
        <v>80</v>
      </c>
      <c r="AF998" s="1">
        <v>0</v>
      </c>
      <c r="AG998" s="1">
        <v>6</v>
      </c>
      <c r="AH998" s="9" t="str" cm="1">
        <f t="array" ref="AH998">_xlfn.IFS(AG998 &lt;= 5, "New[1-5]", AG998 &lt;= 10, "Early Career[6-10]", AG998 &lt;= 20, "Established[11-20]", AG998 &lt;= 30, "Veteran[21-30]", AG998 &lt;= 40, "Late Career[31-40]")</f>
        <v>Early Career[6-10]</v>
      </c>
      <c r="AI998" s="1">
        <v>3</v>
      </c>
      <c r="AJ998" s="1">
        <v>3</v>
      </c>
      <c r="AK998" s="1">
        <v>6</v>
      </c>
      <c r="AL998" s="9" t="str" cm="1">
        <f t="array" ref="AL998">_xlfn.IFS(AK998 &lt;= 5, "New[1-5]", AK998 &lt;= 10, "Early Career[6-10]", AK998 &lt;= 20, "Established[11-20]", AK998 &lt;= 30, "Veteran[21-30]", AK998 &lt;= 40, "Late Career[31-40]")</f>
        <v>Early Career[6-10]</v>
      </c>
      <c r="AM998" s="1">
        <v>2</v>
      </c>
      <c r="AN998" s="9" t="str" cm="1">
        <f t="array" ref="AN998">_xlfn.IFS(AM998 &lt;= 3, "New to Role[1-3]", AM998 &lt;= 7, "Settled[4-7]", AM998 &lt;= 12, "Experienced[[8-12]", AM998 &lt;= 18, "Long Tenured[13-18]")</f>
        <v>New to Role[1-3]</v>
      </c>
      <c r="AO998" s="1">
        <v>4</v>
      </c>
      <c r="AP998" s="9" t="str" cm="1">
        <f t="array" ref="AP998">_xlfn.IFS(AO998 &lt;= 3, "Recently[1-3]", AO998 &lt;= 6, "Due Soon[4-6]", AO998 &lt;= 10, "Overdue[7-10]", AO998 &lt;= 15, "Long Overdue[11-15]")</f>
        <v>Due Soon[4-6]</v>
      </c>
      <c r="AQ998" s="9" t="str" cm="1">
        <f t="array" ref="AQ998">_xlfn.IFS(AR998 &lt;= 3, "New Relationship[1-3]", AR998 &lt;= 7, "Established Relationship[4-7]", AR998 &lt;= 12, "Long Term Relationship[8-12]", AR998 &lt;= 17, "Very Long Term Relationship[13-17]")</f>
        <v>Established Relationship[4-7]</v>
      </c>
      <c r="AR998" s="1">
        <v>4</v>
      </c>
    </row>
    <row r="999" spans="1:44" x14ac:dyDescent="0.25">
      <c r="A999" s="1">
        <v>27</v>
      </c>
      <c r="B999" s="8" t="str" cm="1">
        <f t="array" ref="B999">_xlfn.IFS(A999 &lt;= 25, "[18-25]", A999 &lt;= 35, "[26-35]", A999 &lt;=45, "[36-45]", A999 &lt;= 60, "[46- 60]")</f>
        <v>[26-35]</v>
      </c>
      <c r="C999" s="3" t="s">
        <v>35</v>
      </c>
      <c r="D999">
        <f t="shared" si="15"/>
        <v>1</v>
      </c>
      <c r="E999" t="s">
        <v>36</v>
      </c>
      <c r="F999" s="1">
        <v>135</v>
      </c>
      <c r="G999" s="3" t="s">
        <v>45</v>
      </c>
      <c r="H999" s="1">
        <v>17</v>
      </c>
      <c r="I999" s="9" t="str" cm="1">
        <f t="array" ref="I999">_xlfn.IFS(H999 &lt;= 2, "[1-2] very close", H999 &lt;= 10, "[3-10] close", H999 &lt;= 20, "[11-20] moderate", H999 &lt;= 30, "[21-30] far")</f>
        <v>[11-20] moderate</v>
      </c>
      <c r="J999" s="1">
        <v>4</v>
      </c>
      <c r="K999" s="3" t="s">
        <v>38</v>
      </c>
      <c r="L999" s="1">
        <v>1</v>
      </c>
      <c r="M999" s="1">
        <v>1405</v>
      </c>
      <c r="N999" s="1">
        <v>4</v>
      </c>
      <c r="O999" s="3" t="s">
        <v>39</v>
      </c>
      <c r="P999" s="1">
        <v>51</v>
      </c>
      <c r="Q999" s="1">
        <v>3</v>
      </c>
      <c r="R999" s="1">
        <v>1</v>
      </c>
      <c r="S999" s="3" t="s">
        <v>47</v>
      </c>
      <c r="T999" s="1">
        <v>3</v>
      </c>
      <c r="U999" s="3" t="s">
        <v>41</v>
      </c>
      <c r="V999" s="4">
        <v>2394</v>
      </c>
      <c r="W999" s="1">
        <v>25681</v>
      </c>
      <c r="X999" s="1">
        <v>1</v>
      </c>
      <c r="Y999" s="3" t="s">
        <v>42</v>
      </c>
      <c r="Z999" s="3" t="s">
        <v>35</v>
      </c>
      <c r="AA999" s="5">
        <v>0.13</v>
      </c>
      <c r="AB999" s="10" t="str" cm="1">
        <f t="array" ref="AB999">_xlfn.IFS(AA999 &lt;= 15%, "Low Hike[11-15%]", AA999 &lt;= 20%, "Moderate Hike[16-20%]", AA999 &lt;= 25%,"High Hike[21-25%]")</f>
        <v>Low Hike[11-15%]</v>
      </c>
      <c r="AC999" s="1">
        <v>3</v>
      </c>
      <c r="AD999" s="1">
        <v>4</v>
      </c>
      <c r="AE999" s="1">
        <v>80</v>
      </c>
      <c r="AF999" s="1">
        <v>0</v>
      </c>
      <c r="AG999" s="1">
        <v>8</v>
      </c>
      <c r="AH999" s="9" t="str" cm="1">
        <f t="array" ref="AH999">_xlfn.IFS(AG999 &lt;= 5, "New[1-5]", AG999 &lt;= 10, "Early Career[6-10]", AG999 &lt;= 20, "Established[11-20]", AG999 &lt;= 30, "Veteran[21-30]", AG999 &lt;= 40, "Late Career[31-40]")</f>
        <v>Early Career[6-10]</v>
      </c>
      <c r="AI999" s="1">
        <v>2</v>
      </c>
      <c r="AJ999" s="1">
        <v>3</v>
      </c>
      <c r="AK999" s="1">
        <v>8</v>
      </c>
      <c r="AL999" s="9" t="str" cm="1">
        <f t="array" ref="AL999">_xlfn.IFS(AK999 &lt;= 5, "New[1-5]", AK999 &lt;= 10, "Early Career[6-10]", AK999 &lt;= 20, "Established[11-20]", AK999 &lt;= 30, "Veteran[21-30]", AK999 &lt;= 40, "Late Career[31-40]")</f>
        <v>Early Career[6-10]</v>
      </c>
      <c r="AM999" s="1">
        <v>2</v>
      </c>
      <c r="AN999" s="9" t="str" cm="1">
        <f t="array" ref="AN999">_xlfn.IFS(AM999 &lt;= 3, "New to Role[1-3]", AM999 &lt;= 7, "Settled[4-7]", AM999 &lt;= 12, "Experienced[[8-12]", AM999 &lt;= 18, "Long Tenured[13-18]")</f>
        <v>New to Role[1-3]</v>
      </c>
      <c r="AO999" s="1">
        <v>7</v>
      </c>
      <c r="AP999" s="9" t="str" cm="1">
        <f t="array" ref="AP999">_xlfn.IFS(AO999 &lt;= 3, "Recently[1-3]", AO999 &lt;= 6, "Due Soon[4-6]", AO999 &lt;= 10, "Overdue[7-10]", AO999 &lt;= 15, "Long Overdue[11-15]")</f>
        <v>Overdue[7-10]</v>
      </c>
      <c r="AQ999" s="9" t="str" cm="1">
        <f t="array" ref="AQ999">_xlfn.IFS(AR999 &lt;= 3, "New Relationship[1-3]", AR999 &lt;= 7, "Established Relationship[4-7]", AR999 &lt;= 12, "Long Term Relationship[8-12]", AR999 &lt;= 17, "Very Long Term Relationship[13-17]")</f>
        <v>Established Relationship[4-7]</v>
      </c>
      <c r="AR999" s="1">
        <v>7</v>
      </c>
    </row>
    <row r="1000" spans="1:44" x14ac:dyDescent="0.25">
      <c r="A1000" s="1">
        <v>26</v>
      </c>
      <c r="B1000" s="8" t="str" cm="1">
        <f t="array" ref="B1000">_xlfn.IFS(A1000 &lt;= 25, "[18-25]", A1000 &lt;= 35, "[26-35]", A1000 &lt;=45, "[36-45]", A1000 &lt;= 60, "[46- 60]")</f>
        <v>[26-35]</v>
      </c>
      <c r="C1000" s="3" t="s">
        <v>43</v>
      </c>
      <c r="D1000">
        <f t="shared" si="15"/>
        <v>0</v>
      </c>
      <c r="E1000" t="s">
        <v>36</v>
      </c>
      <c r="F1000" s="1">
        <v>683</v>
      </c>
      <c r="G1000" s="3" t="s">
        <v>45</v>
      </c>
      <c r="H1000" s="1">
        <v>2</v>
      </c>
      <c r="I1000" s="9" t="str" cm="1">
        <f t="array" ref="I1000">_xlfn.IFS(H1000 &lt;= 2, "[1-2] very close", H1000 &lt;= 10, "[3-10] close", H1000 &lt;= 20, "[11-20] moderate", H1000 &lt;= 30, "[21-30] far")</f>
        <v>[1-2] very close</v>
      </c>
      <c r="J1000" s="1">
        <v>1</v>
      </c>
      <c r="K1000" s="3" t="s">
        <v>51</v>
      </c>
      <c r="L1000" s="1">
        <v>1</v>
      </c>
      <c r="M1000" s="1">
        <v>1407</v>
      </c>
      <c r="N1000" s="1">
        <v>1</v>
      </c>
      <c r="O1000" s="3" t="s">
        <v>46</v>
      </c>
      <c r="P1000" s="1">
        <v>36</v>
      </c>
      <c r="Q1000" s="1">
        <v>2</v>
      </c>
      <c r="R1000" s="1">
        <v>1</v>
      </c>
      <c r="S1000" s="3" t="s">
        <v>47</v>
      </c>
      <c r="T1000" s="1">
        <v>4</v>
      </c>
      <c r="U1000" s="3" t="s">
        <v>41</v>
      </c>
      <c r="V1000" s="4">
        <v>3904</v>
      </c>
      <c r="W1000" s="1">
        <v>4050</v>
      </c>
      <c r="X1000" s="1">
        <v>0</v>
      </c>
      <c r="Y1000" s="3" t="s">
        <v>42</v>
      </c>
      <c r="Z1000" s="3" t="s">
        <v>43</v>
      </c>
      <c r="AA1000" s="5">
        <v>0.12</v>
      </c>
      <c r="AB1000" s="10" t="str" cm="1">
        <f t="array" ref="AB1000">_xlfn.IFS(AA1000 &lt;= 15%, "Low Hike[11-15%]", AA1000 &lt;= 20%, "Moderate Hike[16-20%]", AA1000 &lt;= 25%,"High Hike[21-25%]")</f>
        <v>Low Hike[11-15%]</v>
      </c>
      <c r="AC1000" s="1">
        <v>3</v>
      </c>
      <c r="AD1000" s="1">
        <v>4</v>
      </c>
      <c r="AE1000" s="1">
        <v>80</v>
      </c>
      <c r="AF1000" s="1">
        <v>0</v>
      </c>
      <c r="AG1000" s="1">
        <v>5</v>
      </c>
      <c r="AH1000" s="9" t="str" cm="1">
        <f t="array" ref="AH1000">_xlfn.IFS(AG1000 &lt;= 5, "New[1-5]", AG1000 &lt;= 10, "Early Career[6-10]", AG1000 &lt;= 20, "Established[11-20]", AG1000 &lt;= 30, "Veteran[21-30]", AG1000 &lt;= 40, "Late Career[31-40]")</f>
        <v>New[1-5]</v>
      </c>
      <c r="AI1000" s="1">
        <v>2</v>
      </c>
      <c r="AJ1000" s="1">
        <v>3</v>
      </c>
      <c r="AK1000" s="1">
        <v>4</v>
      </c>
      <c r="AL1000" s="9" t="str" cm="1">
        <f t="array" ref="AL1000">_xlfn.IFS(AK1000 &lt;= 5, "New[1-5]", AK1000 &lt;= 10, "Early Career[6-10]", AK1000 &lt;= 20, "Established[11-20]", AK1000 &lt;= 30, "Veteran[21-30]", AK1000 &lt;= 40, "Late Career[31-40]")</f>
        <v>New[1-5]</v>
      </c>
      <c r="AM1000" s="1">
        <v>3</v>
      </c>
      <c r="AN1000" s="9" t="str" cm="1">
        <f t="array" ref="AN1000">_xlfn.IFS(AM1000 &lt;= 3, "New to Role[1-3]", AM1000 &lt;= 7, "Settled[4-7]", AM1000 &lt;= 12, "Experienced[[8-12]", AM1000 &lt;= 18, "Long Tenured[13-18]")</f>
        <v>New to Role[1-3]</v>
      </c>
      <c r="AO1000" s="1">
        <v>1</v>
      </c>
      <c r="AP1000" s="9" t="str" cm="1">
        <f t="array" ref="AP1000">_xlfn.IFS(AO1000 &lt;= 3, "Recently[1-3]", AO1000 &lt;= 6, "Due Soon[4-6]", AO1000 &lt;= 10, "Overdue[7-10]", AO1000 &lt;= 15, "Long Overdue[11-15]")</f>
        <v>Recently[1-3]</v>
      </c>
      <c r="AQ1000" s="9" t="str" cm="1">
        <f t="array" ref="AQ1000">_xlfn.IFS(AR1000 &lt;= 3, "New Relationship[1-3]", AR1000 &lt;= 7, "Established Relationship[4-7]", AR1000 &lt;= 12, "Long Term Relationship[8-12]", AR1000 &lt;= 17, "Very Long Term Relationship[13-17]")</f>
        <v>New Relationship[1-3]</v>
      </c>
      <c r="AR1000" s="1">
        <v>1</v>
      </c>
    </row>
    <row r="1001" spans="1:44" x14ac:dyDescent="0.25">
      <c r="A1001" s="1">
        <v>42</v>
      </c>
      <c r="B1001" s="8" t="str" cm="1">
        <f t="array" ref="B1001">_xlfn.IFS(A1001 &lt;= 25, "[18-25]", A1001 &lt;= 35, "[26-35]", A1001 &lt;=45, "[36-45]", A1001 &lt;= 60, "[46- 60]")</f>
        <v>[36-45]</v>
      </c>
      <c r="C1001" s="3" t="s">
        <v>43</v>
      </c>
      <c r="D1001">
        <f t="shared" si="15"/>
        <v>0</v>
      </c>
      <c r="E1001" t="s">
        <v>36</v>
      </c>
      <c r="F1001" s="1">
        <v>1147</v>
      </c>
      <c r="G1001" s="3" t="s">
        <v>61</v>
      </c>
      <c r="H1001" s="1">
        <v>10</v>
      </c>
      <c r="I1001" s="9" t="str" cm="1">
        <f t="array" ref="I1001">_xlfn.IFS(H1001 &lt;= 2, "[1-2] very close", H1001 &lt;= 10, "[3-10] close", H1001 &lt;= 20, "[11-20] moderate", H1001 &lt;= 30, "[21-30] far")</f>
        <v>[3-10] close</v>
      </c>
      <c r="J1001" s="1">
        <v>3</v>
      </c>
      <c r="K1001" s="3" t="s">
        <v>61</v>
      </c>
      <c r="L1001" s="1">
        <v>1</v>
      </c>
      <c r="M1001" s="1">
        <v>1408</v>
      </c>
      <c r="N1001" s="1">
        <v>3</v>
      </c>
      <c r="O1001" s="3" t="s">
        <v>39</v>
      </c>
      <c r="P1001" s="1">
        <v>31</v>
      </c>
      <c r="Q1001" s="1">
        <v>3</v>
      </c>
      <c r="R1001" s="1">
        <v>4</v>
      </c>
      <c r="S1001" s="3" t="s">
        <v>56</v>
      </c>
      <c r="T1001" s="1">
        <v>1</v>
      </c>
      <c r="U1001" s="3" t="s">
        <v>48</v>
      </c>
      <c r="V1001" s="4">
        <v>16799</v>
      </c>
      <c r="W1001" s="1">
        <v>16616</v>
      </c>
      <c r="X1001" s="1">
        <v>0</v>
      </c>
      <c r="Y1001" s="3" t="s">
        <v>42</v>
      </c>
      <c r="Z1001" s="3" t="s">
        <v>43</v>
      </c>
      <c r="AA1001" s="5">
        <v>0.14000000000000001</v>
      </c>
      <c r="AB1001" s="10" t="str" cm="1">
        <f t="array" ref="AB1001">_xlfn.IFS(AA1001 &lt;= 15%, "Low Hike[11-15%]", AA1001 &lt;= 20%, "Moderate Hike[16-20%]", AA1001 &lt;= 25%,"High Hike[21-25%]")</f>
        <v>Low Hike[11-15%]</v>
      </c>
      <c r="AC1001" s="1">
        <v>3</v>
      </c>
      <c r="AD1001" s="1">
        <v>3</v>
      </c>
      <c r="AE1001" s="1">
        <v>80</v>
      </c>
      <c r="AF1001" s="1">
        <v>1</v>
      </c>
      <c r="AG1001" s="1">
        <v>21</v>
      </c>
      <c r="AH1001" s="9" t="str" cm="1">
        <f t="array" ref="AH1001">_xlfn.IFS(AG1001 &lt;= 5, "New[1-5]", AG1001 &lt;= 10, "Early Career[6-10]", AG1001 &lt;= 20, "Established[11-20]", AG1001 &lt;= 30, "Veteran[21-30]", AG1001 &lt;= 40, "Late Career[31-40]")</f>
        <v>Veteran[21-30]</v>
      </c>
      <c r="AI1001" s="1">
        <v>5</v>
      </c>
      <c r="AJ1001" s="1">
        <v>3</v>
      </c>
      <c r="AK1001" s="1">
        <v>20</v>
      </c>
      <c r="AL1001" s="9" t="str" cm="1">
        <f t="array" ref="AL1001">_xlfn.IFS(AK1001 &lt;= 5, "New[1-5]", AK1001 &lt;= 10, "Early Career[6-10]", AK1001 &lt;= 20, "Established[11-20]", AK1001 &lt;= 30, "Veteran[21-30]", AK1001 &lt;= 40, "Late Career[31-40]")</f>
        <v>Established[11-20]</v>
      </c>
      <c r="AM1001" s="1">
        <v>7</v>
      </c>
      <c r="AN1001" s="9" t="str" cm="1">
        <f t="array" ref="AN1001">_xlfn.IFS(AM1001 &lt;= 3, "New to Role[1-3]", AM1001 &lt;= 7, "Settled[4-7]", AM1001 &lt;= 12, "Experienced[[8-12]", AM1001 &lt;= 18, "Long Tenured[13-18]")</f>
        <v>Settled[4-7]</v>
      </c>
      <c r="AO1001" s="1">
        <v>0</v>
      </c>
      <c r="AP1001" s="9" t="str" cm="1">
        <f t="array" ref="AP1001">_xlfn.IFS(AO1001 &lt;= 3, "Recently[1-3]", AO1001 &lt;= 6, "Due Soon[4-6]", AO1001 &lt;= 10, "Overdue[7-10]", AO1001 &lt;= 15, "Long Overdue[11-15]")</f>
        <v>Recently[1-3]</v>
      </c>
      <c r="AQ1001" s="9" t="str" cm="1">
        <f t="array" ref="AQ1001">_xlfn.IFS(AR1001 &lt;= 3, "New Relationship[1-3]", AR1001 &lt;= 7, "Established Relationship[4-7]", AR1001 &lt;= 12, "Long Term Relationship[8-12]", AR1001 &lt;= 17, "Very Long Term Relationship[13-17]")</f>
        <v>Long Term Relationship[8-12]</v>
      </c>
      <c r="AR1001" s="1">
        <v>9</v>
      </c>
    </row>
    <row r="1002" spans="1:44" x14ac:dyDescent="0.25">
      <c r="A1002" s="1">
        <v>52</v>
      </c>
      <c r="B1002" s="8" t="str" cm="1">
        <f t="array" ref="B1002">_xlfn.IFS(A1002 &lt;= 25, "[18-25]", A1002 &lt;= 35, "[26-35]", A1002 &lt;=45, "[36-45]", A1002 &lt;= 60, "[46- 60]")</f>
        <v>[46- 60]</v>
      </c>
      <c r="C1002" s="3" t="s">
        <v>43</v>
      </c>
      <c r="D1002">
        <f t="shared" si="15"/>
        <v>0</v>
      </c>
      <c r="E1002" t="s">
        <v>36</v>
      </c>
      <c r="F1002" s="1">
        <v>258</v>
      </c>
      <c r="G1002" s="3" t="s">
        <v>45</v>
      </c>
      <c r="H1002" s="1">
        <v>8</v>
      </c>
      <c r="I1002" s="9" t="str" cm="1">
        <f t="array" ref="I1002">_xlfn.IFS(H1002 &lt;= 2, "[1-2] very close", H1002 &lt;= 10, "[3-10] close", H1002 &lt;= 20, "[11-20] moderate", H1002 &lt;= 30, "[21-30] far")</f>
        <v>[3-10] close</v>
      </c>
      <c r="J1002" s="1">
        <v>4</v>
      </c>
      <c r="K1002" s="3" t="s">
        <v>49</v>
      </c>
      <c r="L1002" s="1">
        <v>1</v>
      </c>
      <c r="M1002" s="1">
        <v>1409</v>
      </c>
      <c r="N1002" s="1">
        <v>3</v>
      </c>
      <c r="O1002" s="3" t="s">
        <v>39</v>
      </c>
      <c r="P1002" s="1">
        <v>54</v>
      </c>
      <c r="Q1002" s="1">
        <v>3</v>
      </c>
      <c r="R1002" s="1">
        <v>1</v>
      </c>
      <c r="S1002" s="3" t="s">
        <v>50</v>
      </c>
      <c r="T1002" s="1">
        <v>1</v>
      </c>
      <c r="U1002" s="3" t="s">
        <v>48</v>
      </c>
      <c r="V1002" s="4">
        <v>2950</v>
      </c>
      <c r="W1002" s="1">
        <v>17363</v>
      </c>
      <c r="X1002" s="1">
        <v>9</v>
      </c>
      <c r="Y1002" s="3" t="s">
        <v>42</v>
      </c>
      <c r="Z1002" s="3" t="s">
        <v>43</v>
      </c>
      <c r="AA1002" s="5">
        <v>0.13</v>
      </c>
      <c r="AB1002" s="10" t="str" cm="1">
        <f t="array" ref="AB1002">_xlfn.IFS(AA1002 &lt;= 15%, "Low Hike[11-15%]", AA1002 &lt;= 20%, "Moderate Hike[16-20%]", AA1002 &lt;= 25%,"High Hike[21-25%]")</f>
        <v>Low Hike[11-15%]</v>
      </c>
      <c r="AC1002" s="1">
        <v>3</v>
      </c>
      <c r="AD1002" s="1">
        <v>3</v>
      </c>
      <c r="AE1002" s="1">
        <v>80</v>
      </c>
      <c r="AF1002" s="1">
        <v>0</v>
      </c>
      <c r="AG1002" s="1">
        <v>12</v>
      </c>
      <c r="AH1002" s="9" t="str" cm="1">
        <f t="array" ref="AH1002">_xlfn.IFS(AG1002 &lt;= 5, "New[1-5]", AG1002 &lt;= 10, "Early Career[6-10]", AG1002 &lt;= 20, "Established[11-20]", AG1002 &lt;= 30, "Veteran[21-30]", AG1002 &lt;= 40, "Late Career[31-40]")</f>
        <v>Established[11-20]</v>
      </c>
      <c r="AI1002" s="1">
        <v>2</v>
      </c>
      <c r="AJ1002" s="1">
        <v>1</v>
      </c>
      <c r="AK1002" s="1">
        <v>5</v>
      </c>
      <c r="AL1002" s="9" t="str" cm="1">
        <f t="array" ref="AL1002">_xlfn.IFS(AK1002 &lt;= 5, "New[1-5]", AK1002 &lt;= 10, "Early Career[6-10]", AK1002 &lt;= 20, "Established[11-20]", AK1002 &lt;= 30, "Veteran[21-30]", AK1002 &lt;= 40, "Late Career[31-40]")</f>
        <v>New[1-5]</v>
      </c>
      <c r="AM1002" s="1">
        <v>4</v>
      </c>
      <c r="AN1002" s="9" t="str" cm="1">
        <f t="array" ref="AN1002">_xlfn.IFS(AM1002 &lt;= 3, "New to Role[1-3]", AM1002 &lt;= 7, "Settled[4-7]", AM1002 &lt;= 12, "Experienced[[8-12]", AM1002 &lt;= 18, "Long Tenured[13-18]")</f>
        <v>Settled[4-7]</v>
      </c>
      <c r="AO1002" s="1">
        <v>0</v>
      </c>
      <c r="AP1002" s="9" t="str" cm="1">
        <f t="array" ref="AP1002">_xlfn.IFS(AO1002 &lt;= 3, "Recently[1-3]", AO1002 &lt;= 6, "Due Soon[4-6]", AO1002 &lt;= 10, "Overdue[7-10]", AO1002 &lt;= 15, "Long Overdue[11-15]")</f>
        <v>Recently[1-3]</v>
      </c>
      <c r="AQ1002" s="9" t="str" cm="1">
        <f t="array" ref="AQ1002">_xlfn.IFS(AR1002 &lt;= 3, "New Relationship[1-3]", AR1002 &lt;= 7, "Established Relationship[4-7]", AR1002 &lt;= 12, "Long Term Relationship[8-12]", AR1002 &lt;= 17, "Very Long Term Relationship[13-17]")</f>
        <v>Established Relationship[4-7]</v>
      </c>
      <c r="AR1002" s="1">
        <v>4</v>
      </c>
    </row>
    <row r="1003" spans="1:44" x14ac:dyDescent="0.25">
      <c r="A1003" s="1">
        <v>37</v>
      </c>
      <c r="B1003" s="8" t="str" cm="1">
        <f t="array" ref="B1003">_xlfn.IFS(A1003 &lt;= 25, "[18-25]", A1003 &lt;= 35, "[26-35]", A1003 &lt;=45, "[36-45]", A1003 &lt;= 60, "[46- 60]")</f>
        <v>[36-45]</v>
      </c>
      <c r="C1003" s="3" t="s">
        <v>43</v>
      </c>
      <c r="D1003">
        <f t="shared" si="15"/>
        <v>0</v>
      </c>
      <c r="E1003" t="s">
        <v>36</v>
      </c>
      <c r="F1003" s="1">
        <v>1462</v>
      </c>
      <c r="G1003" s="3" t="s">
        <v>45</v>
      </c>
      <c r="H1003" s="1">
        <v>11</v>
      </c>
      <c r="I1003" s="9" t="str" cm="1">
        <f t="array" ref="I1003">_xlfn.IFS(H1003 &lt;= 2, "[1-2] very close", H1003 &lt;= 10, "[3-10] close", H1003 &lt;= 20, "[11-20] moderate", H1003 &lt;= 30, "[21-30] far")</f>
        <v>[11-20] moderate</v>
      </c>
      <c r="J1003" s="1">
        <v>3</v>
      </c>
      <c r="K1003" s="3" t="s">
        <v>51</v>
      </c>
      <c r="L1003" s="1">
        <v>1</v>
      </c>
      <c r="M1003" s="1">
        <v>1411</v>
      </c>
      <c r="N1003" s="1">
        <v>1</v>
      </c>
      <c r="O1003" s="3" t="s">
        <v>39</v>
      </c>
      <c r="P1003" s="1">
        <v>94</v>
      </c>
      <c r="Q1003" s="1">
        <v>3</v>
      </c>
      <c r="R1003" s="1">
        <v>1</v>
      </c>
      <c r="S1003" s="3" t="s">
        <v>50</v>
      </c>
      <c r="T1003" s="1">
        <v>3</v>
      </c>
      <c r="U1003" s="3" t="s">
        <v>41</v>
      </c>
      <c r="V1003" s="4">
        <v>3629</v>
      </c>
      <c r="W1003" s="1">
        <v>19106</v>
      </c>
      <c r="X1003" s="1">
        <v>4</v>
      </c>
      <c r="Y1003" s="3" t="s">
        <v>42</v>
      </c>
      <c r="Z1003" s="3" t="s">
        <v>43</v>
      </c>
      <c r="AA1003" s="5">
        <v>0.18</v>
      </c>
      <c r="AB1003" s="10" t="str" cm="1">
        <f t="array" ref="AB1003">_xlfn.IFS(AA1003 &lt;= 15%, "Low Hike[11-15%]", AA1003 &lt;= 20%, "Moderate Hike[16-20%]", AA1003 &lt;= 25%,"High Hike[21-25%]")</f>
        <v>Moderate Hike[16-20%]</v>
      </c>
      <c r="AC1003" s="1">
        <v>3</v>
      </c>
      <c r="AD1003" s="1">
        <v>1</v>
      </c>
      <c r="AE1003" s="1">
        <v>80</v>
      </c>
      <c r="AF1003" s="1">
        <v>0</v>
      </c>
      <c r="AG1003" s="1">
        <v>8</v>
      </c>
      <c r="AH1003" s="9" t="str" cm="1">
        <f t="array" ref="AH1003">_xlfn.IFS(AG1003 &lt;= 5, "New[1-5]", AG1003 &lt;= 10, "Early Career[6-10]", AG1003 &lt;= 20, "Established[11-20]", AG1003 &lt;= 30, "Veteran[21-30]", AG1003 &lt;= 40, "Late Career[31-40]")</f>
        <v>Early Career[6-10]</v>
      </c>
      <c r="AI1003" s="1">
        <v>6</v>
      </c>
      <c r="AJ1003" s="1">
        <v>3</v>
      </c>
      <c r="AK1003" s="1">
        <v>3</v>
      </c>
      <c r="AL1003" s="9" t="str" cm="1">
        <f t="array" ref="AL1003">_xlfn.IFS(AK1003 &lt;= 5, "New[1-5]", AK1003 &lt;= 10, "Early Career[6-10]", AK1003 &lt;= 20, "Established[11-20]", AK1003 &lt;= 30, "Veteran[21-30]", AK1003 &lt;= 40, "Late Career[31-40]")</f>
        <v>New[1-5]</v>
      </c>
      <c r="AM1003" s="1">
        <v>2</v>
      </c>
      <c r="AN1003" s="9" t="str" cm="1">
        <f t="array" ref="AN1003">_xlfn.IFS(AM1003 &lt;= 3, "New to Role[1-3]", AM1003 &lt;= 7, "Settled[4-7]", AM1003 &lt;= 12, "Experienced[[8-12]", AM1003 &lt;= 18, "Long Tenured[13-18]")</f>
        <v>New to Role[1-3]</v>
      </c>
      <c r="AO1003" s="1">
        <v>0</v>
      </c>
      <c r="AP1003" s="9" t="str" cm="1">
        <f t="array" ref="AP1003">_xlfn.IFS(AO1003 &lt;= 3, "Recently[1-3]", AO1003 &lt;= 6, "Due Soon[4-6]", AO1003 &lt;= 10, "Overdue[7-10]", AO1003 &lt;= 15, "Long Overdue[11-15]")</f>
        <v>Recently[1-3]</v>
      </c>
      <c r="AQ1003" s="9" t="str" cm="1">
        <f t="array" ref="AQ1003">_xlfn.IFS(AR1003 &lt;= 3, "New Relationship[1-3]", AR1003 &lt;= 7, "Established Relationship[4-7]", AR1003 &lt;= 12, "Long Term Relationship[8-12]", AR1003 &lt;= 17, "Very Long Term Relationship[13-17]")</f>
        <v>New Relationship[1-3]</v>
      </c>
      <c r="AR1003" s="1">
        <v>2</v>
      </c>
    </row>
    <row r="1004" spans="1:44" x14ac:dyDescent="0.25">
      <c r="A1004" s="1">
        <v>35</v>
      </c>
      <c r="B1004" s="8" t="str" cm="1">
        <f t="array" ref="B1004">_xlfn.IFS(A1004 &lt;= 25, "[18-25]", A1004 &lt;= 35, "[26-35]", A1004 &lt;=45, "[36-45]", A1004 &lt;= 60, "[46- 60]")</f>
        <v>[26-35]</v>
      </c>
      <c r="C1004" s="3" t="s">
        <v>43</v>
      </c>
      <c r="D1004">
        <f t="shared" si="15"/>
        <v>0</v>
      </c>
      <c r="E1004" t="s">
        <v>44</v>
      </c>
      <c r="F1004" s="1">
        <v>200</v>
      </c>
      <c r="G1004" s="3" t="s">
        <v>45</v>
      </c>
      <c r="H1004" s="1">
        <v>18</v>
      </c>
      <c r="I1004" s="9" t="str" cm="1">
        <f t="array" ref="I1004">_xlfn.IFS(H1004 &lt;= 2, "[1-2] very close", H1004 &lt;= 10, "[3-10] close", H1004 &lt;= 20, "[11-20] moderate", H1004 &lt;= 30, "[21-30] far")</f>
        <v>[11-20] moderate</v>
      </c>
      <c r="J1004" s="1">
        <v>2</v>
      </c>
      <c r="K1004" s="3" t="s">
        <v>38</v>
      </c>
      <c r="L1004" s="1">
        <v>1</v>
      </c>
      <c r="M1004" s="1">
        <v>1412</v>
      </c>
      <c r="N1004" s="1">
        <v>3</v>
      </c>
      <c r="O1004" s="3" t="s">
        <v>46</v>
      </c>
      <c r="P1004" s="1">
        <v>60</v>
      </c>
      <c r="Q1004" s="1">
        <v>3</v>
      </c>
      <c r="R1004" s="1">
        <v>3</v>
      </c>
      <c r="S1004" s="3" t="s">
        <v>53</v>
      </c>
      <c r="T1004" s="1">
        <v>4</v>
      </c>
      <c r="U1004" s="3" t="s">
        <v>41</v>
      </c>
      <c r="V1004" s="4">
        <v>9362</v>
      </c>
      <c r="W1004" s="1">
        <v>19944</v>
      </c>
      <c r="X1004" s="1">
        <v>2</v>
      </c>
      <c r="Y1004" s="3" t="s">
        <v>42</v>
      </c>
      <c r="Z1004" s="3" t="s">
        <v>43</v>
      </c>
      <c r="AA1004" s="5">
        <v>0.11</v>
      </c>
      <c r="AB1004" s="10" t="str" cm="1">
        <f t="array" ref="AB1004">_xlfn.IFS(AA1004 &lt;= 15%, "Low Hike[11-15%]", AA1004 &lt;= 20%, "Moderate Hike[16-20%]", AA1004 &lt;= 25%,"High Hike[21-25%]")</f>
        <v>Low Hike[11-15%]</v>
      </c>
      <c r="AC1004" s="1">
        <v>3</v>
      </c>
      <c r="AD1004" s="1">
        <v>3</v>
      </c>
      <c r="AE1004" s="1">
        <v>80</v>
      </c>
      <c r="AF1004" s="1">
        <v>0</v>
      </c>
      <c r="AG1004" s="1">
        <v>10</v>
      </c>
      <c r="AH1004" s="9" t="str" cm="1">
        <f t="array" ref="AH1004">_xlfn.IFS(AG1004 &lt;= 5, "New[1-5]", AG1004 &lt;= 10, "Early Career[6-10]", AG1004 &lt;= 20, "Established[11-20]", AG1004 &lt;= 30, "Veteran[21-30]", AG1004 &lt;= 40, "Late Career[31-40]")</f>
        <v>Early Career[6-10]</v>
      </c>
      <c r="AI1004" s="1">
        <v>2</v>
      </c>
      <c r="AJ1004" s="1">
        <v>3</v>
      </c>
      <c r="AK1004" s="1">
        <v>2</v>
      </c>
      <c r="AL1004" s="9" t="str" cm="1">
        <f t="array" ref="AL1004">_xlfn.IFS(AK1004 &lt;= 5, "New[1-5]", AK1004 &lt;= 10, "Early Career[6-10]", AK1004 &lt;= 20, "Established[11-20]", AK1004 &lt;= 30, "Veteran[21-30]", AK1004 &lt;= 40, "Late Career[31-40]")</f>
        <v>New[1-5]</v>
      </c>
      <c r="AM1004" s="1">
        <v>2</v>
      </c>
      <c r="AN1004" s="9" t="str" cm="1">
        <f t="array" ref="AN1004">_xlfn.IFS(AM1004 &lt;= 3, "New to Role[1-3]", AM1004 &lt;= 7, "Settled[4-7]", AM1004 &lt;= 12, "Experienced[[8-12]", AM1004 &lt;= 18, "Long Tenured[13-18]")</f>
        <v>New to Role[1-3]</v>
      </c>
      <c r="AO1004" s="1">
        <v>2</v>
      </c>
      <c r="AP1004" s="9" t="str" cm="1">
        <f t="array" ref="AP1004">_xlfn.IFS(AO1004 &lt;= 3, "Recently[1-3]", AO1004 &lt;= 6, "Due Soon[4-6]", AO1004 &lt;= 10, "Overdue[7-10]", AO1004 &lt;= 15, "Long Overdue[11-15]")</f>
        <v>Recently[1-3]</v>
      </c>
      <c r="AQ1004" s="9" t="str" cm="1">
        <f t="array" ref="AQ1004">_xlfn.IFS(AR1004 &lt;= 3, "New Relationship[1-3]", AR1004 &lt;= 7, "Established Relationship[4-7]", AR1004 &lt;= 12, "Long Term Relationship[8-12]", AR1004 &lt;= 17, "Very Long Term Relationship[13-17]")</f>
        <v>New Relationship[1-3]</v>
      </c>
      <c r="AR1004" s="1">
        <v>2</v>
      </c>
    </row>
    <row r="1005" spans="1:44" x14ac:dyDescent="0.25">
      <c r="A1005" s="1">
        <v>25</v>
      </c>
      <c r="B1005" s="8" t="str" cm="1">
        <f t="array" ref="B1005">_xlfn.IFS(A1005 &lt;= 25, "[18-25]", A1005 &lt;= 35, "[26-35]", A1005 &lt;=45, "[36-45]", A1005 &lt;= 60, "[46- 60]")</f>
        <v>[18-25]</v>
      </c>
      <c r="C1005" s="3" t="s">
        <v>43</v>
      </c>
      <c r="D1005">
        <f t="shared" si="15"/>
        <v>0</v>
      </c>
      <c r="E1005" t="s">
        <v>36</v>
      </c>
      <c r="F1005" s="1">
        <v>949</v>
      </c>
      <c r="G1005" s="3" t="s">
        <v>45</v>
      </c>
      <c r="H1005" s="1">
        <v>1</v>
      </c>
      <c r="I1005" s="9" t="str" cm="1">
        <f t="array" ref="I1005">_xlfn.IFS(H1005 &lt;= 2, "[1-2] very close", H1005 &lt;= 10, "[3-10] close", H1005 &lt;= 20, "[11-20] moderate", H1005 &lt;= 30, "[21-30] far")</f>
        <v>[1-2] very close</v>
      </c>
      <c r="J1005" s="1">
        <v>3</v>
      </c>
      <c r="K1005" s="3" t="s">
        <v>60</v>
      </c>
      <c r="L1005" s="1">
        <v>1</v>
      </c>
      <c r="M1005" s="1">
        <v>1415</v>
      </c>
      <c r="N1005" s="1">
        <v>1</v>
      </c>
      <c r="O1005" s="3" t="s">
        <v>46</v>
      </c>
      <c r="P1005" s="1">
        <v>81</v>
      </c>
      <c r="Q1005" s="1">
        <v>3</v>
      </c>
      <c r="R1005" s="1">
        <v>1</v>
      </c>
      <c r="S1005" s="3" t="s">
        <v>50</v>
      </c>
      <c r="T1005" s="1">
        <v>4</v>
      </c>
      <c r="U1005" s="3" t="s">
        <v>48</v>
      </c>
      <c r="V1005" s="4">
        <v>3229</v>
      </c>
      <c r="W1005" s="1">
        <v>4910</v>
      </c>
      <c r="X1005" s="1">
        <v>4</v>
      </c>
      <c r="Y1005" s="3" t="s">
        <v>42</v>
      </c>
      <c r="Z1005" s="3" t="s">
        <v>43</v>
      </c>
      <c r="AA1005" s="5">
        <v>0.11</v>
      </c>
      <c r="AB1005" s="10" t="str" cm="1">
        <f t="array" ref="AB1005">_xlfn.IFS(AA1005 &lt;= 15%, "Low Hike[11-15%]", AA1005 &lt;= 20%, "Moderate Hike[16-20%]", AA1005 &lt;= 25%,"High Hike[21-25%]")</f>
        <v>Low Hike[11-15%]</v>
      </c>
      <c r="AC1005" s="1">
        <v>3</v>
      </c>
      <c r="AD1005" s="1">
        <v>2</v>
      </c>
      <c r="AE1005" s="1">
        <v>80</v>
      </c>
      <c r="AF1005" s="1">
        <v>1</v>
      </c>
      <c r="AG1005" s="1">
        <v>7</v>
      </c>
      <c r="AH1005" s="9" t="str" cm="1">
        <f t="array" ref="AH1005">_xlfn.IFS(AG1005 &lt;= 5, "New[1-5]", AG1005 &lt;= 10, "Early Career[6-10]", AG1005 &lt;= 20, "Established[11-20]", AG1005 &lt;= 30, "Veteran[21-30]", AG1005 &lt;= 40, "Late Career[31-40]")</f>
        <v>Early Career[6-10]</v>
      </c>
      <c r="AI1005" s="1">
        <v>2</v>
      </c>
      <c r="AJ1005" s="1">
        <v>2</v>
      </c>
      <c r="AK1005" s="1">
        <v>3</v>
      </c>
      <c r="AL1005" s="9" t="str" cm="1">
        <f t="array" ref="AL1005">_xlfn.IFS(AK1005 &lt;= 5, "New[1-5]", AK1005 &lt;= 10, "Early Career[6-10]", AK1005 &lt;= 20, "Established[11-20]", AK1005 &lt;= 30, "Veteran[21-30]", AK1005 &lt;= 40, "Late Career[31-40]")</f>
        <v>New[1-5]</v>
      </c>
      <c r="AM1005" s="1">
        <v>2</v>
      </c>
      <c r="AN1005" s="9" t="str" cm="1">
        <f t="array" ref="AN1005">_xlfn.IFS(AM1005 &lt;= 3, "New to Role[1-3]", AM1005 &lt;= 7, "Settled[4-7]", AM1005 &lt;= 12, "Experienced[[8-12]", AM1005 &lt;= 18, "Long Tenured[13-18]")</f>
        <v>New to Role[1-3]</v>
      </c>
      <c r="AO1005" s="1">
        <v>0</v>
      </c>
      <c r="AP1005" s="9" t="str" cm="1">
        <f t="array" ref="AP1005">_xlfn.IFS(AO1005 &lt;= 3, "Recently[1-3]", AO1005 &lt;= 6, "Due Soon[4-6]", AO1005 &lt;= 10, "Overdue[7-10]", AO1005 &lt;= 15, "Long Overdue[11-15]")</f>
        <v>Recently[1-3]</v>
      </c>
      <c r="AQ1005" s="9" t="str" cm="1">
        <f t="array" ref="AQ1005">_xlfn.IFS(AR1005 &lt;= 3, "New Relationship[1-3]", AR1005 &lt;= 7, "Established Relationship[4-7]", AR1005 &lt;= 12, "Long Term Relationship[8-12]", AR1005 &lt;= 17, "Very Long Term Relationship[13-17]")</f>
        <v>New Relationship[1-3]</v>
      </c>
      <c r="AR1005" s="1">
        <v>2</v>
      </c>
    </row>
    <row r="1006" spans="1:44" x14ac:dyDescent="0.25">
      <c r="A1006" s="1">
        <v>26</v>
      </c>
      <c r="B1006" s="8" t="str" cm="1">
        <f t="array" ref="B1006">_xlfn.IFS(A1006 &lt;= 25, "[18-25]", A1006 &lt;= 35, "[26-35]", A1006 &lt;=45, "[36-45]", A1006 &lt;= 60, "[46- 60]")</f>
        <v>[26-35]</v>
      </c>
      <c r="C1006" s="3" t="s">
        <v>43</v>
      </c>
      <c r="D1006">
        <f t="shared" si="15"/>
        <v>0</v>
      </c>
      <c r="E1006" t="s">
        <v>36</v>
      </c>
      <c r="F1006" s="1">
        <v>652</v>
      </c>
      <c r="G1006" s="3" t="s">
        <v>45</v>
      </c>
      <c r="H1006" s="1">
        <v>7</v>
      </c>
      <c r="I1006" s="9" t="str" cm="1">
        <f t="array" ref="I1006">_xlfn.IFS(H1006 &lt;= 2, "[1-2] very close", H1006 &lt;= 10, "[3-10] close", H1006 &lt;= 20, "[11-20] moderate", H1006 &lt;= 30, "[21-30] far")</f>
        <v>[3-10] close</v>
      </c>
      <c r="J1006" s="1">
        <v>3</v>
      </c>
      <c r="K1006" s="3" t="s">
        <v>49</v>
      </c>
      <c r="L1006" s="1">
        <v>1</v>
      </c>
      <c r="M1006" s="1">
        <v>1417</v>
      </c>
      <c r="N1006" s="1">
        <v>3</v>
      </c>
      <c r="O1006" s="3" t="s">
        <v>46</v>
      </c>
      <c r="P1006" s="1">
        <v>100</v>
      </c>
      <c r="Q1006" s="1">
        <v>4</v>
      </c>
      <c r="R1006" s="1">
        <v>1</v>
      </c>
      <c r="S1006" s="3" t="s">
        <v>50</v>
      </c>
      <c r="T1006" s="1">
        <v>1</v>
      </c>
      <c r="U1006" s="3" t="s">
        <v>41</v>
      </c>
      <c r="V1006" s="4">
        <v>3578</v>
      </c>
      <c r="W1006" s="1">
        <v>23577</v>
      </c>
      <c r="X1006" s="1">
        <v>0</v>
      </c>
      <c r="Y1006" s="3" t="s">
        <v>42</v>
      </c>
      <c r="Z1006" s="3" t="s">
        <v>43</v>
      </c>
      <c r="AA1006" s="5">
        <v>0.12</v>
      </c>
      <c r="AB1006" s="10" t="str" cm="1">
        <f t="array" ref="AB1006">_xlfn.IFS(AA1006 &lt;= 15%, "Low Hike[11-15%]", AA1006 &lt;= 20%, "Moderate Hike[16-20%]", AA1006 &lt;= 25%,"High Hike[21-25%]")</f>
        <v>Low Hike[11-15%]</v>
      </c>
      <c r="AC1006" s="1">
        <v>3</v>
      </c>
      <c r="AD1006" s="1">
        <v>4</v>
      </c>
      <c r="AE1006" s="1">
        <v>80</v>
      </c>
      <c r="AF1006" s="1">
        <v>0</v>
      </c>
      <c r="AG1006" s="1">
        <v>8</v>
      </c>
      <c r="AH1006" s="9" t="str" cm="1">
        <f t="array" ref="AH1006">_xlfn.IFS(AG1006 &lt;= 5, "New[1-5]", AG1006 &lt;= 10, "Early Career[6-10]", AG1006 &lt;= 20, "Established[11-20]", AG1006 &lt;= 30, "Veteran[21-30]", AG1006 &lt;= 40, "Late Career[31-40]")</f>
        <v>Early Career[6-10]</v>
      </c>
      <c r="AI1006" s="1">
        <v>2</v>
      </c>
      <c r="AJ1006" s="1">
        <v>3</v>
      </c>
      <c r="AK1006" s="1">
        <v>7</v>
      </c>
      <c r="AL1006" s="9" t="str" cm="1">
        <f t="array" ref="AL1006">_xlfn.IFS(AK1006 &lt;= 5, "New[1-5]", AK1006 &lt;= 10, "Early Career[6-10]", AK1006 &lt;= 20, "Established[11-20]", AK1006 &lt;= 30, "Veteran[21-30]", AK1006 &lt;= 40, "Late Career[31-40]")</f>
        <v>Early Career[6-10]</v>
      </c>
      <c r="AM1006" s="1">
        <v>7</v>
      </c>
      <c r="AN1006" s="9" t="str" cm="1">
        <f t="array" ref="AN1006">_xlfn.IFS(AM1006 &lt;= 3, "New to Role[1-3]", AM1006 &lt;= 7, "Settled[4-7]", AM1006 &lt;= 12, "Experienced[[8-12]", AM1006 &lt;= 18, "Long Tenured[13-18]")</f>
        <v>Settled[4-7]</v>
      </c>
      <c r="AO1006" s="1">
        <v>0</v>
      </c>
      <c r="AP1006" s="9" t="str" cm="1">
        <f t="array" ref="AP1006">_xlfn.IFS(AO1006 &lt;= 3, "Recently[1-3]", AO1006 &lt;= 6, "Due Soon[4-6]", AO1006 &lt;= 10, "Overdue[7-10]", AO1006 &lt;= 15, "Long Overdue[11-15]")</f>
        <v>Recently[1-3]</v>
      </c>
      <c r="AQ1006" s="9" t="str" cm="1">
        <f t="array" ref="AQ1006">_xlfn.IFS(AR1006 &lt;= 3, "New Relationship[1-3]", AR1006 &lt;= 7, "Established Relationship[4-7]", AR1006 &lt;= 12, "Long Term Relationship[8-12]", AR1006 &lt;= 17, "Very Long Term Relationship[13-17]")</f>
        <v>Established Relationship[4-7]</v>
      </c>
      <c r="AR1006" s="1">
        <v>7</v>
      </c>
    </row>
    <row r="1007" spans="1:44" x14ac:dyDescent="0.25">
      <c r="A1007" s="1">
        <v>29</v>
      </c>
      <c r="B1007" s="8" t="str" cm="1">
        <f t="array" ref="B1007">_xlfn.IFS(A1007 &lt;= 25, "[18-25]", A1007 &lt;= 35, "[26-35]", A1007 &lt;=45, "[36-45]", A1007 &lt;= 60, "[46- 60]")</f>
        <v>[26-35]</v>
      </c>
      <c r="C1007" s="3" t="s">
        <v>43</v>
      </c>
      <c r="D1007">
        <f t="shared" si="15"/>
        <v>0</v>
      </c>
      <c r="E1007" t="s">
        <v>36</v>
      </c>
      <c r="F1007" s="1">
        <v>332</v>
      </c>
      <c r="G1007" s="3" t="s">
        <v>61</v>
      </c>
      <c r="H1007" s="1">
        <v>17</v>
      </c>
      <c r="I1007" s="9" t="str" cm="1">
        <f t="array" ref="I1007">_xlfn.IFS(H1007 &lt;= 2, "[1-2] very close", H1007 &lt;= 10, "[3-10] close", H1007 &lt;= 20, "[11-20] moderate", H1007 &lt;= 30, "[21-30] far")</f>
        <v>[11-20] moderate</v>
      </c>
      <c r="J1007" s="1">
        <v>3</v>
      </c>
      <c r="K1007" s="3" t="s">
        <v>49</v>
      </c>
      <c r="L1007" s="1">
        <v>1</v>
      </c>
      <c r="M1007" s="1">
        <v>1419</v>
      </c>
      <c r="N1007" s="1">
        <v>2</v>
      </c>
      <c r="O1007" s="3" t="s">
        <v>46</v>
      </c>
      <c r="P1007" s="1">
        <v>51</v>
      </c>
      <c r="Q1007" s="1">
        <v>2</v>
      </c>
      <c r="R1007" s="1">
        <v>3</v>
      </c>
      <c r="S1007" s="3" t="s">
        <v>61</v>
      </c>
      <c r="T1007" s="1">
        <v>1</v>
      </c>
      <c r="U1007" s="3" t="s">
        <v>41</v>
      </c>
      <c r="V1007" s="4">
        <v>7988</v>
      </c>
      <c r="W1007" s="1">
        <v>9769</v>
      </c>
      <c r="X1007" s="1">
        <v>1</v>
      </c>
      <c r="Y1007" s="3" t="s">
        <v>42</v>
      </c>
      <c r="Z1007" s="3" t="s">
        <v>43</v>
      </c>
      <c r="AA1007" s="5">
        <v>0.13</v>
      </c>
      <c r="AB1007" s="10" t="str" cm="1">
        <f t="array" ref="AB1007">_xlfn.IFS(AA1007 &lt;= 15%, "Low Hike[11-15%]", AA1007 &lt;= 20%, "Moderate Hike[16-20%]", AA1007 &lt;= 25%,"High Hike[21-25%]")</f>
        <v>Low Hike[11-15%]</v>
      </c>
      <c r="AC1007" s="1">
        <v>3</v>
      </c>
      <c r="AD1007" s="1">
        <v>1</v>
      </c>
      <c r="AE1007" s="1">
        <v>80</v>
      </c>
      <c r="AF1007" s="1">
        <v>0</v>
      </c>
      <c r="AG1007" s="1">
        <v>10</v>
      </c>
      <c r="AH1007" s="9" t="str" cm="1">
        <f t="array" ref="AH1007">_xlfn.IFS(AG1007 &lt;= 5, "New[1-5]", AG1007 &lt;= 10, "Early Career[6-10]", AG1007 &lt;= 20, "Established[11-20]", AG1007 &lt;= 30, "Veteran[21-30]", AG1007 &lt;= 40, "Late Career[31-40]")</f>
        <v>Early Career[6-10]</v>
      </c>
      <c r="AI1007" s="1">
        <v>3</v>
      </c>
      <c r="AJ1007" s="1">
        <v>2</v>
      </c>
      <c r="AK1007" s="1">
        <v>10</v>
      </c>
      <c r="AL1007" s="9" t="str" cm="1">
        <f t="array" ref="AL1007">_xlfn.IFS(AK1007 &lt;= 5, "New[1-5]", AK1007 &lt;= 10, "Early Career[6-10]", AK1007 &lt;= 20, "Established[11-20]", AK1007 &lt;= 30, "Veteran[21-30]", AK1007 &lt;= 40, "Late Career[31-40]")</f>
        <v>Early Career[6-10]</v>
      </c>
      <c r="AM1007" s="1">
        <v>9</v>
      </c>
      <c r="AN1007" s="9" t="str" cm="1">
        <f t="array" ref="AN1007">_xlfn.IFS(AM1007 &lt;= 3, "New to Role[1-3]", AM1007 &lt;= 7, "Settled[4-7]", AM1007 &lt;= 12, "Experienced[[8-12]", AM1007 &lt;= 18, "Long Tenured[13-18]")</f>
        <v>Experienced[[8-12]</v>
      </c>
      <c r="AO1007" s="1">
        <v>0</v>
      </c>
      <c r="AP1007" s="9" t="str" cm="1">
        <f t="array" ref="AP1007">_xlfn.IFS(AO1007 &lt;= 3, "Recently[1-3]", AO1007 &lt;= 6, "Due Soon[4-6]", AO1007 &lt;= 10, "Overdue[7-10]", AO1007 &lt;= 15, "Long Overdue[11-15]")</f>
        <v>Recently[1-3]</v>
      </c>
      <c r="AQ1007" s="9" t="str" cm="1">
        <f t="array" ref="AQ1007">_xlfn.IFS(AR1007 &lt;= 3, "New Relationship[1-3]", AR1007 &lt;= 7, "Established Relationship[4-7]", AR1007 &lt;= 12, "Long Term Relationship[8-12]", AR1007 &lt;= 17, "Very Long Term Relationship[13-17]")</f>
        <v>Long Term Relationship[8-12]</v>
      </c>
      <c r="AR1007" s="1">
        <v>9</v>
      </c>
    </row>
    <row r="1008" spans="1:44" x14ac:dyDescent="0.25">
      <c r="A1008" s="1">
        <v>49</v>
      </c>
      <c r="B1008" s="8" t="str" cm="1">
        <f t="array" ref="B1008">_xlfn.IFS(A1008 &lt;= 25, "[18-25]", A1008 &lt;= 35, "[26-35]", A1008 &lt;=45, "[36-45]", A1008 &lt;= 60, "[46- 60]")</f>
        <v>[46- 60]</v>
      </c>
      <c r="C1008" s="3" t="s">
        <v>35</v>
      </c>
      <c r="D1008">
        <f t="shared" si="15"/>
        <v>1</v>
      </c>
      <c r="E1008" t="s">
        <v>44</v>
      </c>
      <c r="F1008" s="1">
        <v>1475</v>
      </c>
      <c r="G1008" s="3" t="s">
        <v>45</v>
      </c>
      <c r="H1008" s="1">
        <v>28</v>
      </c>
      <c r="I1008" s="9" t="str" cm="1">
        <f t="array" ref="I1008">_xlfn.IFS(H1008 &lt;= 2, "[1-2] very close", H1008 &lt;= 10, "[3-10] close", H1008 &lt;= 20, "[11-20] moderate", H1008 &lt;= 30, "[21-30] far")</f>
        <v>[21-30] far</v>
      </c>
      <c r="J1008" s="1">
        <v>2</v>
      </c>
      <c r="K1008" s="3" t="s">
        <v>38</v>
      </c>
      <c r="L1008" s="1">
        <v>1</v>
      </c>
      <c r="M1008" s="1">
        <v>1420</v>
      </c>
      <c r="N1008" s="1">
        <v>1</v>
      </c>
      <c r="O1008" s="3" t="s">
        <v>46</v>
      </c>
      <c r="P1008" s="1">
        <v>97</v>
      </c>
      <c r="Q1008" s="1">
        <v>2</v>
      </c>
      <c r="R1008" s="1">
        <v>2</v>
      </c>
      <c r="S1008" s="3" t="s">
        <v>50</v>
      </c>
      <c r="T1008" s="1">
        <v>1</v>
      </c>
      <c r="U1008" s="3" t="s">
        <v>41</v>
      </c>
      <c r="V1008" s="4">
        <v>4284</v>
      </c>
      <c r="W1008" s="1">
        <v>22710</v>
      </c>
      <c r="X1008" s="1">
        <v>3</v>
      </c>
      <c r="Y1008" s="3" t="s">
        <v>42</v>
      </c>
      <c r="Z1008" s="3" t="s">
        <v>43</v>
      </c>
      <c r="AA1008" s="5">
        <v>0.2</v>
      </c>
      <c r="AB1008" s="10" t="str" cm="1">
        <f t="array" ref="AB1008">_xlfn.IFS(AA1008 &lt;= 15%, "Low Hike[11-15%]", AA1008 &lt;= 20%, "Moderate Hike[16-20%]", AA1008 &lt;= 25%,"High Hike[21-25%]")</f>
        <v>Moderate Hike[16-20%]</v>
      </c>
      <c r="AC1008" s="1">
        <v>4</v>
      </c>
      <c r="AD1008" s="1">
        <v>1</v>
      </c>
      <c r="AE1008" s="1">
        <v>80</v>
      </c>
      <c r="AF1008" s="1">
        <v>0</v>
      </c>
      <c r="AG1008" s="1">
        <v>20</v>
      </c>
      <c r="AH1008" s="9" t="str" cm="1">
        <f t="array" ref="AH1008">_xlfn.IFS(AG1008 &lt;= 5, "New[1-5]", AG1008 &lt;= 10, "Early Career[6-10]", AG1008 &lt;= 20, "Established[11-20]", AG1008 &lt;= 30, "Veteran[21-30]", AG1008 &lt;= 40, "Late Career[31-40]")</f>
        <v>Established[11-20]</v>
      </c>
      <c r="AI1008" s="1">
        <v>2</v>
      </c>
      <c r="AJ1008" s="1">
        <v>3</v>
      </c>
      <c r="AK1008" s="1">
        <v>4</v>
      </c>
      <c r="AL1008" s="9" t="str" cm="1">
        <f t="array" ref="AL1008">_xlfn.IFS(AK1008 &lt;= 5, "New[1-5]", AK1008 &lt;= 10, "Early Career[6-10]", AK1008 &lt;= 20, "Established[11-20]", AK1008 &lt;= 30, "Veteran[21-30]", AK1008 &lt;= 40, "Late Career[31-40]")</f>
        <v>New[1-5]</v>
      </c>
      <c r="AM1008" s="1">
        <v>3</v>
      </c>
      <c r="AN1008" s="9" t="str" cm="1">
        <f t="array" ref="AN1008">_xlfn.IFS(AM1008 &lt;= 3, "New to Role[1-3]", AM1008 &lt;= 7, "Settled[4-7]", AM1008 &lt;= 12, "Experienced[[8-12]", AM1008 &lt;= 18, "Long Tenured[13-18]")</f>
        <v>New to Role[1-3]</v>
      </c>
      <c r="AO1008" s="1">
        <v>1</v>
      </c>
      <c r="AP1008" s="9" t="str" cm="1">
        <f t="array" ref="AP1008">_xlfn.IFS(AO1008 &lt;= 3, "Recently[1-3]", AO1008 &lt;= 6, "Due Soon[4-6]", AO1008 &lt;= 10, "Overdue[7-10]", AO1008 &lt;= 15, "Long Overdue[11-15]")</f>
        <v>Recently[1-3]</v>
      </c>
      <c r="AQ1008" s="9" t="str" cm="1">
        <f t="array" ref="AQ1008">_xlfn.IFS(AR1008 &lt;= 3, "New Relationship[1-3]", AR1008 &lt;= 7, "Established Relationship[4-7]", AR1008 &lt;= 12, "Long Term Relationship[8-12]", AR1008 &lt;= 17, "Very Long Term Relationship[13-17]")</f>
        <v>New Relationship[1-3]</v>
      </c>
      <c r="AR1008" s="1">
        <v>3</v>
      </c>
    </row>
    <row r="1009" spans="1:44" x14ac:dyDescent="0.25">
      <c r="A1009" s="1">
        <v>29</v>
      </c>
      <c r="B1009" s="8" t="str" cm="1">
        <f t="array" ref="B1009">_xlfn.IFS(A1009 &lt;= 25, "[18-25]", A1009 &lt;= 35, "[26-35]", A1009 &lt;=45, "[36-45]", A1009 &lt;= 60, "[46- 60]")</f>
        <v>[26-35]</v>
      </c>
      <c r="C1009" s="3" t="s">
        <v>35</v>
      </c>
      <c r="D1009">
        <f t="shared" si="15"/>
        <v>1</v>
      </c>
      <c r="E1009" t="s">
        <v>44</v>
      </c>
      <c r="F1009" s="1">
        <v>337</v>
      </c>
      <c r="G1009" s="3" t="s">
        <v>45</v>
      </c>
      <c r="H1009" s="1">
        <v>14</v>
      </c>
      <c r="I1009" s="9" t="str" cm="1">
        <f t="array" ref="I1009">_xlfn.IFS(H1009 &lt;= 2, "[1-2] very close", H1009 &lt;= 10, "[3-10] close", H1009 &lt;= 20, "[11-20] moderate", H1009 &lt;= 30, "[21-30] far")</f>
        <v>[11-20] moderate</v>
      </c>
      <c r="J1009" s="1">
        <v>1</v>
      </c>
      <c r="K1009" s="3" t="s">
        <v>49</v>
      </c>
      <c r="L1009" s="1">
        <v>1</v>
      </c>
      <c r="M1009" s="1">
        <v>1421</v>
      </c>
      <c r="N1009" s="1">
        <v>3</v>
      </c>
      <c r="O1009" s="3" t="s">
        <v>39</v>
      </c>
      <c r="P1009" s="1">
        <v>84</v>
      </c>
      <c r="Q1009" s="1">
        <v>3</v>
      </c>
      <c r="R1009" s="1">
        <v>3</v>
      </c>
      <c r="S1009" s="3" t="s">
        <v>54</v>
      </c>
      <c r="T1009" s="1">
        <v>4</v>
      </c>
      <c r="U1009" s="3" t="s">
        <v>41</v>
      </c>
      <c r="V1009" s="4">
        <v>7553</v>
      </c>
      <c r="W1009" s="1">
        <v>22930</v>
      </c>
      <c r="X1009" s="1">
        <v>0</v>
      </c>
      <c r="Y1009" s="3" t="s">
        <v>42</v>
      </c>
      <c r="Z1009" s="3" t="s">
        <v>35</v>
      </c>
      <c r="AA1009" s="5">
        <v>0.12</v>
      </c>
      <c r="AB1009" s="10" t="str" cm="1">
        <f t="array" ref="AB1009">_xlfn.IFS(AA1009 &lt;= 15%, "Low Hike[11-15%]", AA1009 &lt;= 20%, "Moderate Hike[16-20%]", AA1009 &lt;= 25%,"High Hike[21-25%]")</f>
        <v>Low Hike[11-15%]</v>
      </c>
      <c r="AC1009" s="1">
        <v>3</v>
      </c>
      <c r="AD1009" s="1">
        <v>1</v>
      </c>
      <c r="AE1009" s="1">
        <v>80</v>
      </c>
      <c r="AF1009" s="1">
        <v>0</v>
      </c>
      <c r="AG1009" s="1">
        <v>9</v>
      </c>
      <c r="AH1009" s="9" t="str" cm="1">
        <f t="array" ref="AH1009">_xlfn.IFS(AG1009 &lt;= 5, "New[1-5]", AG1009 &lt;= 10, "Early Career[6-10]", AG1009 &lt;= 20, "Established[11-20]", AG1009 &lt;= 30, "Veteran[21-30]", AG1009 &lt;= 40, "Late Career[31-40]")</f>
        <v>Early Career[6-10]</v>
      </c>
      <c r="AI1009" s="1">
        <v>1</v>
      </c>
      <c r="AJ1009" s="1">
        <v>3</v>
      </c>
      <c r="AK1009" s="1">
        <v>8</v>
      </c>
      <c r="AL1009" s="9" t="str" cm="1">
        <f t="array" ref="AL1009">_xlfn.IFS(AK1009 &lt;= 5, "New[1-5]", AK1009 &lt;= 10, "Early Career[6-10]", AK1009 &lt;= 20, "Established[11-20]", AK1009 &lt;= 30, "Veteran[21-30]", AK1009 &lt;= 40, "Late Career[31-40]")</f>
        <v>Early Career[6-10]</v>
      </c>
      <c r="AM1009" s="1">
        <v>7</v>
      </c>
      <c r="AN1009" s="9" t="str" cm="1">
        <f t="array" ref="AN1009">_xlfn.IFS(AM1009 &lt;= 3, "New to Role[1-3]", AM1009 &lt;= 7, "Settled[4-7]", AM1009 &lt;= 12, "Experienced[[8-12]", AM1009 &lt;= 18, "Long Tenured[13-18]")</f>
        <v>Settled[4-7]</v>
      </c>
      <c r="AO1009" s="1">
        <v>7</v>
      </c>
      <c r="AP1009" s="9" t="str" cm="1">
        <f t="array" ref="AP1009">_xlfn.IFS(AO1009 &lt;= 3, "Recently[1-3]", AO1009 &lt;= 6, "Due Soon[4-6]", AO1009 &lt;= 10, "Overdue[7-10]", AO1009 &lt;= 15, "Long Overdue[11-15]")</f>
        <v>Overdue[7-10]</v>
      </c>
      <c r="AQ1009" s="9" t="str" cm="1">
        <f t="array" ref="AQ1009">_xlfn.IFS(AR1009 &lt;= 3, "New Relationship[1-3]", AR1009 &lt;= 7, "Established Relationship[4-7]", AR1009 &lt;= 12, "Long Term Relationship[8-12]", AR1009 &lt;= 17, "Very Long Term Relationship[13-17]")</f>
        <v>Established Relationship[4-7]</v>
      </c>
      <c r="AR1009" s="1">
        <v>7</v>
      </c>
    </row>
    <row r="1010" spans="1:44" x14ac:dyDescent="0.25">
      <c r="A1010" s="1">
        <v>54</v>
      </c>
      <c r="B1010" s="8" t="str" cm="1">
        <f t="array" ref="B1010">_xlfn.IFS(A1010 &lt;= 25, "[18-25]", A1010 &lt;= 35, "[26-35]", A1010 &lt;=45, "[36-45]", A1010 &lt;= 60, "[46- 60]")</f>
        <v>[46- 60]</v>
      </c>
      <c r="C1010" s="3" t="s">
        <v>43</v>
      </c>
      <c r="D1010">
        <f t="shared" si="15"/>
        <v>0</v>
      </c>
      <c r="E1010" t="s">
        <v>36</v>
      </c>
      <c r="F1010" s="1">
        <v>971</v>
      </c>
      <c r="G1010" s="3" t="s">
        <v>45</v>
      </c>
      <c r="H1010" s="1">
        <v>1</v>
      </c>
      <c r="I1010" s="9" t="str" cm="1">
        <f t="array" ref="I1010">_xlfn.IFS(H1010 &lt;= 2, "[1-2] very close", H1010 &lt;= 10, "[3-10] close", H1010 &lt;= 20, "[11-20] moderate", H1010 &lt;= 30, "[21-30] far")</f>
        <v>[1-2] very close</v>
      </c>
      <c r="J1010" s="1">
        <v>3</v>
      </c>
      <c r="K1010" s="3" t="s">
        <v>51</v>
      </c>
      <c r="L1010" s="1">
        <v>1</v>
      </c>
      <c r="M1010" s="1">
        <v>1422</v>
      </c>
      <c r="N1010" s="1">
        <v>4</v>
      </c>
      <c r="O1010" s="3" t="s">
        <v>39</v>
      </c>
      <c r="P1010" s="1">
        <v>54</v>
      </c>
      <c r="Q1010" s="1">
        <v>3</v>
      </c>
      <c r="R1010" s="1">
        <v>4</v>
      </c>
      <c r="S1010" s="3" t="s">
        <v>58</v>
      </c>
      <c r="T1010" s="1">
        <v>4</v>
      </c>
      <c r="U1010" s="3" t="s">
        <v>41</v>
      </c>
      <c r="V1010" s="4">
        <v>17328</v>
      </c>
      <c r="W1010" s="1">
        <v>5652</v>
      </c>
      <c r="X1010" s="1">
        <v>6</v>
      </c>
      <c r="Y1010" s="3" t="s">
        <v>42</v>
      </c>
      <c r="Z1010" s="3" t="s">
        <v>43</v>
      </c>
      <c r="AA1010" s="5">
        <v>0.19</v>
      </c>
      <c r="AB1010" s="10" t="str" cm="1">
        <f t="array" ref="AB1010">_xlfn.IFS(AA1010 &lt;= 15%, "Low Hike[11-15%]", AA1010 &lt;= 20%, "Moderate Hike[16-20%]", AA1010 &lt;= 25%,"High Hike[21-25%]")</f>
        <v>Moderate Hike[16-20%]</v>
      </c>
      <c r="AC1010" s="1">
        <v>3</v>
      </c>
      <c r="AD1010" s="1">
        <v>4</v>
      </c>
      <c r="AE1010" s="1">
        <v>80</v>
      </c>
      <c r="AF1010" s="1">
        <v>0</v>
      </c>
      <c r="AG1010" s="1">
        <v>29</v>
      </c>
      <c r="AH1010" s="9" t="str" cm="1">
        <f t="array" ref="AH1010">_xlfn.IFS(AG1010 &lt;= 5, "New[1-5]", AG1010 &lt;= 10, "Early Career[6-10]", AG1010 &lt;= 20, "Established[11-20]", AG1010 &lt;= 30, "Veteran[21-30]", AG1010 &lt;= 40, "Late Career[31-40]")</f>
        <v>Veteran[21-30]</v>
      </c>
      <c r="AI1010" s="1">
        <v>3</v>
      </c>
      <c r="AJ1010" s="1">
        <v>2</v>
      </c>
      <c r="AK1010" s="1">
        <v>20</v>
      </c>
      <c r="AL1010" s="9" t="str" cm="1">
        <f t="array" ref="AL1010">_xlfn.IFS(AK1010 &lt;= 5, "New[1-5]", AK1010 &lt;= 10, "Early Career[6-10]", AK1010 &lt;= 20, "Established[11-20]", AK1010 &lt;= 30, "Veteran[21-30]", AK1010 &lt;= 40, "Late Career[31-40]")</f>
        <v>Established[11-20]</v>
      </c>
      <c r="AM1010" s="1">
        <v>7</v>
      </c>
      <c r="AN1010" s="9" t="str" cm="1">
        <f t="array" ref="AN1010">_xlfn.IFS(AM1010 &lt;= 3, "New to Role[1-3]", AM1010 &lt;= 7, "Settled[4-7]", AM1010 &lt;= 12, "Experienced[[8-12]", AM1010 &lt;= 18, "Long Tenured[13-18]")</f>
        <v>Settled[4-7]</v>
      </c>
      <c r="AO1010" s="1">
        <v>12</v>
      </c>
      <c r="AP1010" s="9" t="str" cm="1">
        <f t="array" ref="AP1010">_xlfn.IFS(AO1010 &lt;= 3, "Recently[1-3]", AO1010 &lt;= 6, "Due Soon[4-6]", AO1010 &lt;= 10, "Overdue[7-10]", AO1010 &lt;= 15, "Long Overdue[11-15]")</f>
        <v>Long Overdue[11-15]</v>
      </c>
      <c r="AQ1010" s="9" t="str" cm="1">
        <f t="array" ref="AQ1010">_xlfn.IFS(AR1010 &lt;= 3, "New Relationship[1-3]", AR1010 &lt;= 7, "Established Relationship[4-7]", AR1010 &lt;= 12, "Long Term Relationship[8-12]", AR1010 &lt;= 17, "Very Long Term Relationship[13-17]")</f>
        <v>Established Relationship[4-7]</v>
      </c>
      <c r="AR1010" s="1">
        <v>7</v>
      </c>
    </row>
    <row r="1011" spans="1:44" x14ac:dyDescent="0.25">
      <c r="A1011" s="1">
        <v>58</v>
      </c>
      <c r="B1011" s="8" t="str" cm="1">
        <f t="array" ref="B1011">_xlfn.IFS(A1011 &lt;= 25, "[18-25]", A1011 &lt;= 35, "[26-35]", A1011 &lt;=45, "[36-45]", A1011 &lt;= 60, "[46- 60]")</f>
        <v>[46- 60]</v>
      </c>
      <c r="C1011" s="3" t="s">
        <v>43</v>
      </c>
      <c r="D1011">
        <f t="shared" si="15"/>
        <v>0</v>
      </c>
      <c r="E1011" t="s">
        <v>36</v>
      </c>
      <c r="F1011" s="1">
        <v>1055</v>
      </c>
      <c r="G1011" s="3" t="s">
        <v>45</v>
      </c>
      <c r="H1011" s="1">
        <v>1</v>
      </c>
      <c r="I1011" s="9" t="str" cm="1">
        <f t="array" ref="I1011">_xlfn.IFS(H1011 &lt;= 2, "[1-2] very close", H1011 &lt;= 10, "[3-10] close", H1011 &lt;= 20, "[11-20] moderate", H1011 &lt;= 30, "[21-30] far")</f>
        <v>[1-2] very close</v>
      </c>
      <c r="J1011" s="1">
        <v>3</v>
      </c>
      <c r="K1011" s="3" t="s">
        <v>51</v>
      </c>
      <c r="L1011" s="1">
        <v>1</v>
      </c>
      <c r="M1011" s="1">
        <v>1423</v>
      </c>
      <c r="N1011" s="1">
        <v>4</v>
      </c>
      <c r="O1011" s="3" t="s">
        <v>39</v>
      </c>
      <c r="P1011" s="1">
        <v>76</v>
      </c>
      <c r="Q1011" s="1">
        <v>3</v>
      </c>
      <c r="R1011" s="1">
        <v>5</v>
      </c>
      <c r="S1011" s="3" t="s">
        <v>58</v>
      </c>
      <c r="T1011" s="1">
        <v>1</v>
      </c>
      <c r="U1011" s="3" t="s">
        <v>48</v>
      </c>
      <c r="V1011" s="4">
        <v>19701</v>
      </c>
      <c r="W1011" s="1">
        <v>22456</v>
      </c>
      <c r="X1011" s="1">
        <v>3</v>
      </c>
      <c r="Y1011" s="3" t="s">
        <v>42</v>
      </c>
      <c r="Z1011" s="3" t="s">
        <v>35</v>
      </c>
      <c r="AA1011" s="5">
        <v>0.21</v>
      </c>
      <c r="AB1011" s="10" t="str" cm="1">
        <f t="array" ref="AB1011">_xlfn.IFS(AA1011 &lt;= 15%, "Low Hike[11-15%]", AA1011 &lt;= 20%, "Moderate Hike[16-20%]", AA1011 &lt;= 25%,"High Hike[21-25%]")</f>
        <v>High Hike[21-25%]</v>
      </c>
      <c r="AC1011" s="1">
        <v>4</v>
      </c>
      <c r="AD1011" s="1">
        <v>3</v>
      </c>
      <c r="AE1011" s="1">
        <v>80</v>
      </c>
      <c r="AF1011" s="1">
        <v>1</v>
      </c>
      <c r="AG1011" s="1">
        <v>32</v>
      </c>
      <c r="AH1011" s="9" t="str" cm="1">
        <f t="array" ref="AH1011">_xlfn.IFS(AG1011 &lt;= 5, "New[1-5]", AG1011 &lt;= 10, "Early Career[6-10]", AG1011 &lt;= 20, "Established[11-20]", AG1011 &lt;= 30, "Veteran[21-30]", AG1011 &lt;= 40, "Late Career[31-40]")</f>
        <v>Late Career[31-40]</v>
      </c>
      <c r="AI1011" s="1">
        <v>3</v>
      </c>
      <c r="AJ1011" s="1">
        <v>3</v>
      </c>
      <c r="AK1011" s="1">
        <v>9</v>
      </c>
      <c r="AL1011" s="9" t="str" cm="1">
        <f t="array" ref="AL1011">_xlfn.IFS(AK1011 &lt;= 5, "New[1-5]", AK1011 &lt;= 10, "Early Career[6-10]", AK1011 &lt;= 20, "Established[11-20]", AK1011 &lt;= 30, "Veteran[21-30]", AK1011 &lt;= 40, "Late Career[31-40]")</f>
        <v>Early Career[6-10]</v>
      </c>
      <c r="AM1011" s="1">
        <v>8</v>
      </c>
      <c r="AN1011" s="9" t="str" cm="1">
        <f t="array" ref="AN1011">_xlfn.IFS(AM1011 &lt;= 3, "New to Role[1-3]", AM1011 &lt;= 7, "Settled[4-7]", AM1011 &lt;= 12, "Experienced[[8-12]", AM1011 &lt;= 18, "Long Tenured[13-18]")</f>
        <v>Experienced[[8-12]</v>
      </c>
      <c r="AO1011" s="1">
        <v>1</v>
      </c>
      <c r="AP1011" s="9" t="str" cm="1">
        <f t="array" ref="AP1011">_xlfn.IFS(AO1011 &lt;= 3, "Recently[1-3]", AO1011 &lt;= 6, "Due Soon[4-6]", AO1011 &lt;= 10, "Overdue[7-10]", AO1011 &lt;= 15, "Long Overdue[11-15]")</f>
        <v>Recently[1-3]</v>
      </c>
      <c r="AQ1011" s="9" t="str" cm="1">
        <f t="array" ref="AQ1011">_xlfn.IFS(AR1011 &lt;= 3, "New Relationship[1-3]", AR1011 &lt;= 7, "Established Relationship[4-7]", AR1011 &lt;= 12, "Long Term Relationship[8-12]", AR1011 &lt;= 17, "Very Long Term Relationship[13-17]")</f>
        <v>Established Relationship[4-7]</v>
      </c>
      <c r="AR1011" s="1">
        <v>5</v>
      </c>
    </row>
    <row r="1012" spans="1:44" x14ac:dyDescent="0.25">
      <c r="A1012" s="1">
        <v>55</v>
      </c>
      <c r="B1012" s="8" t="str" cm="1">
        <f t="array" ref="B1012">_xlfn.IFS(A1012 &lt;= 25, "[18-25]", A1012 &lt;= 35, "[26-35]", A1012 &lt;=45, "[36-45]", A1012 &lt;= 60, "[46- 60]")</f>
        <v>[46- 60]</v>
      </c>
      <c r="C1012" s="3" t="s">
        <v>43</v>
      </c>
      <c r="D1012">
        <f t="shared" si="15"/>
        <v>0</v>
      </c>
      <c r="E1012" t="s">
        <v>36</v>
      </c>
      <c r="F1012" s="1">
        <v>1136</v>
      </c>
      <c r="G1012" s="3" t="s">
        <v>45</v>
      </c>
      <c r="H1012" s="1">
        <v>1</v>
      </c>
      <c r="I1012" s="9" t="str" cm="1">
        <f t="array" ref="I1012">_xlfn.IFS(H1012 &lt;= 2, "[1-2] very close", H1012 &lt;= 10, "[3-10] close", H1012 &lt;= 20, "[11-20] moderate", H1012 &lt;= 30, "[21-30] far")</f>
        <v>[1-2] very close</v>
      </c>
      <c r="J1012" s="1">
        <v>4</v>
      </c>
      <c r="K1012" s="3" t="s">
        <v>51</v>
      </c>
      <c r="L1012" s="1">
        <v>1</v>
      </c>
      <c r="M1012" s="1">
        <v>1424</v>
      </c>
      <c r="N1012" s="1">
        <v>2</v>
      </c>
      <c r="O1012" s="3" t="s">
        <v>46</v>
      </c>
      <c r="P1012" s="1">
        <v>81</v>
      </c>
      <c r="Q1012" s="1">
        <v>4</v>
      </c>
      <c r="R1012" s="1">
        <v>4</v>
      </c>
      <c r="S1012" s="3" t="s">
        <v>58</v>
      </c>
      <c r="T1012" s="1">
        <v>4</v>
      </c>
      <c r="U1012" s="3" t="s">
        <v>52</v>
      </c>
      <c r="V1012" s="4">
        <v>14732</v>
      </c>
      <c r="W1012" s="1">
        <v>12414</v>
      </c>
      <c r="X1012" s="1">
        <v>2</v>
      </c>
      <c r="Y1012" s="3" t="s">
        <v>42</v>
      </c>
      <c r="Z1012" s="3" t="s">
        <v>43</v>
      </c>
      <c r="AA1012" s="5">
        <v>0.13</v>
      </c>
      <c r="AB1012" s="10" t="str" cm="1">
        <f t="array" ref="AB1012">_xlfn.IFS(AA1012 &lt;= 15%, "Low Hike[11-15%]", AA1012 &lt;= 20%, "Moderate Hike[16-20%]", AA1012 &lt;= 25%,"High Hike[21-25%]")</f>
        <v>Low Hike[11-15%]</v>
      </c>
      <c r="AC1012" s="1">
        <v>3</v>
      </c>
      <c r="AD1012" s="1">
        <v>4</v>
      </c>
      <c r="AE1012" s="1">
        <v>80</v>
      </c>
      <c r="AF1012" s="1">
        <v>2</v>
      </c>
      <c r="AG1012" s="1">
        <v>31</v>
      </c>
      <c r="AH1012" s="9" t="str" cm="1">
        <f t="array" ref="AH1012">_xlfn.IFS(AG1012 &lt;= 5, "New[1-5]", AG1012 &lt;= 10, "Early Career[6-10]", AG1012 &lt;= 20, "Established[11-20]", AG1012 &lt;= 30, "Veteran[21-30]", AG1012 &lt;= 40, "Late Career[31-40]")</f>
        <v>Late Career[31-40]</v>
      </c>
      <c r="AI1012" s="1">
        <v>4</v>
      </c>
      <c r="AJ1012" s="1">
        <v>4</v>
      </c>
      <c r="AK1012" s="1">
        <v>7</v>
      </c>
      <c r="AL1012" s="9" t="str" cm="1">
        <f t="array" ref="AL1012">_xlfn.IFS(AK1012 &lt;= 5, "New[1-5]", AK1012 &lt;= 10, "Early Career[6-10]", AK1012 &lt;= 20, "Established[11-20]", AK1012 &lt;= 30, "Veteran[21-30]", AK1012 &lt;= 40, "Late Career[31-40]")</f>
        <v>Early Career[6-10]</v>
      </c>
      <c r="AM1012" s="1">
        <v>7</v>
      </c>
      <c r="AN1012" s="9" t="str" cm="1">
        <f t="array" ref="AN1012">_xlfn.IFS(AM1012 &lt;= 3, "New to Role[1-3]", AM1012 &lt;= 7, "Settled[4-7]", AM1012 &lt;= 12, "Experienced[[8-12]", AM1012 &lt;= 18, "Long Tenured[13-18]")</f>
        <v>Settled[4-7]</v>
      </c>
      <c r="AO1012" s="1">
        <v>0</v>
      </c>
      <c r="AP1012" s="9" t="str" cm="1">
        <f t="array" ref="AP1012">_xlfn.IFS(AO1012 &lt;= 3, "Recently[1-3]", AO1012 &lt;= 6, "Due Soon[4-6]", AO1012 &lt;= 10, "Overdue[7-10]", AO1012 &lt;= 15, "Long Overdue[11-15]")</f>
        <v>Recently[1-3]</v>
      </c>
      <c r="AQ1012" s="9" t="str" cm="1">
        <f t="array" ref="AQ1012">_xlfn.IFS(AR1012 &lt;= 3, "New Relationship[1-3]", AR1012 &lt;= 7, "Established Relationship[4-7]", AR1012 &lt;= 12, "Long Term Relationship[8-12]", AR1012 &lt;= 17, "Very Long Term Relationship[13-17]")</f>
        <v>New Relationship[1-3]</v>
      </c>
      <c r="AR1012" s="1">
        <v>0</v>
      </c>
    </row>
    <row r="1013" spans="1:44" x14ac:dyDescent="0.25">
      <c r="A1013" s="1">
        <v>36</v>
      </c>
      <c r="B1013" s="8" t="str" cm="1">
        <f t="array" ref="B1013">_xlfn.IFS(A1013 &lt;= 25, "[18-25]", A1013 &lt;= 35, "[26-35]", A1013 &lt;=45, "[36-45]", A1013 &lt;= 60, "[46- 60]")</f>
        <v>[36-45]</v>
      </c>
      <c r="C1013" s="3" t="s">
        <v>43</v>
      </c>
      <c r="D1013">
        <f t="shared" si="15"/>
        <v>0</v>
      </c>
      <c r="E1013" t="s">
        <v>36</v>
      </c>
      <c r="F1013" s="1">
        <v>1174</v>
      </c>
      <c r="G1013" s="3" t="s">
        <v>37</v>
      </c>
      <c r="H1013" s="1">
        <v>3</v>
      </c>
      <c r="I1013" s="9" t="str" cm="1">
        <f t="array" ref="I1013">_xlfn.IFS(H1013 &lt;= 2, "[1-2] very close", H1013 &lt;= 10, "[3-10] close", H1013 &lt;= 20, "[11-20] moderate", H1013 &lt;= 30, "[21-30] far")</f>
        <v>[3-10] close</v>
      </c>
      <c r="J1013" s="1">
        <v>4</v>
      </c>
      <c r="K1013" s="3" t="s">
        <v>59</v>
      </c>
      <c r="L1013" s="1">
        <v>1</v>
      </c>
      <c r="M1013" s="1">
        <v>1425</v>
      </c>
      <c r="N1013" s="1">
        <v>1</v>
      </c>
      <c r="O1013" s="3" t="s">
        <v>39</v>
      </c>
      <c r="P1013" s="1">
        <v>99</v>
      </c>
      <c r="Q1013" s="1">
        <v>3</v>
      </c>
      <c r="R1013" s="1">
        <v>2</v>
      </c>
      <c r="S1013" s="3" t="s">
        <v>40</v>
      </c>
      <c r="T1013" s="1">
        <v>2</v>
      </c>
      <c r="U1013" s="3" t="s">
        <v>41</v>
      </c>
      <c r="V1013" s="4">
        <v>9278</v>
      </c>
      <c r="W1013" s="1">
        <v>20763</v>
      </c>
      <c r="X1013" s="1">
        <v>3</v>
      </c>
      <c r="Y1013" s="3" t="s">
        <v>42</v>
      </c>
      <c r="Z1013" s="3" t="s">
        <v>35</v>
      </c>
      <c r="AA1013" s="5">
        <v>0.16</v>
      </c>
      <c r="AB1013" s="10" t="str" cm="1">
        <f t="array" ref="AB1013">_xlfn.IFS(AA1013 &lt;= 15%, "Low Hike[11-15%]", AA1013 &lt;= 20%, "Moderate Hike[16-20%]", AA1013 &lt;= 25%,"High Hike[21-25%]")</f>
        <v>Moderate Hike[16-20%]</v>
      </c>
      <c r="AC1013" s="1">
        <v>3</v>
      </c>
      <c r="AD1013" s="1">
        <v>4</v>
      </c>
      <c r="AE1013" s="1">
        <v>80</v>
      </c>
      <c r="AF1013" s="1">
        <v>0</v>
      </c>
      <c r="AG1013" s="1">
        <v>15</v>
      </c>
      <c r="AH1013" s="9" t="str" cm="1">
        <f t="array" ref="AH1013">_xlfn.IFS(AG1013 &lt;= 5, "New[1-5]", AG1013 &lt;= 10, "Early Career[6-10]", AG1013 &lt;= 20, "Established[11-20]", AG1013 &lt;= 30, "Veteran[21-30]", AG1013 &lt;= 40, "Late Career[31-40]")</f>
        <v>Established[11-20]</v>
      </c>
      <c r="AI1013" s="1">
        <v>3</v>
      </c>
      <c r="AJ1013" s="1">
        <v>3</v>
      </c>
      <c r="AK1013" s="1">
        <v>5</v>
      </c>
      <c r="AL1013" s="9" t="str" cm="1">
        <f t="array" ref="AL1013">_xlfn.IFS(AK1013 &lt;= 5, "New[1-5]", AK1013 &lt;= 10, "Early Career[6-10]", AK1013 &lt;= 20, "Established[11-20]", AK1013 &lt;= 30, "Veteran[21-30]", AK1013 &lt;= 40, "Late Career[31-40]")</f>
        <v>New[1-5]</v>
      </c>
      <c r="AM1013" s="1">
        <v>4</v>
      </c>
      <c r="AN1013" s="9" t="str" cm="1">
        <f t="array" ref="AN1013">_xlfn.IFS(AM1013 &lt;= 3, "New to Role[1-3]", AM1013 &lt;= 7, "Settled[4-7]", AM1013 &lt;= 12, "Experienced[[8-12]", AM1013 &lt;= 18, "Long Tenured[13-18]")</f>
        <v>Settled[4-7]</v>
      </c>
      <c r="AO1013" s="1">
        <v>0</v>
      </c>
      <c r="AP1013" s="9" t="str" cm="1">
        <f t="array" ref="AP1013">_xlfn.IFS(AO1013 &lt;= 3, "Recently[1-3]", AO1013 &lt;= 6, "Due Soon[4-6]", AO1013 &lt;= 10, "Overdue[7-10]", AO1013 &lt;= 15, "Long Overdue[11-15]")</f>
        <v>Recently[1-3]</v>
      </c>
      <c r="AQ1013" s="9" t="str" cm="1">
        <f t="array" ref="AQ1013">_xlfn.IFS(AR1013 &lt;= 3, "New Relationship[1-3]", AR1013 &lt;= 7, "Established Relationship[4-7]", AR1013 &lt;= 12, "Long Term Relationship[8-12]", AR1013 &lt;= 17, "Very Long Term Relationship[13-17]")</f>
        <v>New Relationship[1-3]</v>
      </c>
      <c r="AR1013" s="1">
        <v>1</v>
      </c>
    </row>
    <row r="1014" spans="1:44" x14ac:dyDescent="0.25">
      <c r="A1014" s="1">
        <v>31</v>
      </c>
      <c r="B1014" s="8" t="str" cm="1">
        <f t="array" ref="B1014">_xlfn.IFS(A1014 &lt;= 25, "[18-25]", A1014 &lt;= 35, "[26-35]", A1014 &lt;=45, "[36-45]", A1014 &lt;= 60, "[46- 60]")</f>
        <v>[26-35]</v>
      </c>
      <c r="C1014" s="3" t="s">
        <v>35</v>
      </c>
      <c r="D1014">
        <f t="shared" si="15"/>
        <v>1</v>
      </c>
      <c r="E1014" t="s">
        <v>44</v>
      </c>
      <c r="F1014" s="1">
        <v>667</v>
      </c>
      <c r="G1014" s="3" t="s">
        <v>37</v>
      </c>
      <c r="H1014" s="1">
        <v>1</v>
      </c>
      <c r="I1014" s="9" t="str" cm="1">
        <f t="array" ref="I1014">_xlfn.IFS(H1014 &lt;= 2, "[1-2] very close", H1014 &lt;= 10, "[3-10] close", H1014 &lt;= 20, "[11-20] moderate", H1014 &lt;= 30, "[21-30] far")</f>
        <v>[1-2] very close</v>
      </c>
      <c r="J1014" s="1">
        <v>4</v>
      </c>
      <c r="K1014" s="3" t="s">
        <v>38</v>
      </c>
      <c r="L1014" s="1">
        <v>1</v>
      </c>
      <c r="M1014" s="1">
        <v>1427</v>
      </c>
      <c r="N1014" s="1">
        <v>2</v>
      </c>
      <c r="O1014" s="3" t="s">
        <v>39</v>
      </c>
      <c r="P1014" s="1">
        <v>50</v>
      </c>
      <c r="Q1014" s="1">
        <v>1</v>
      </c>
      <c r="R1014" s="1">
        <v>1</v>
      </c>
      <c r="S1014" s="3" t="s">
        <v>57</v>
      </c>
      <c r="T1014" s="1">
        <v>3</v>
      </c>
      <c r="U1014" s="3" t="s">
        <v>41</v>
      </c>
      <c r="V1014" s="4">
        <v>1359</v>
      </c>
      <c r="W1014" s="1">
        <v>16154</v>
      </c>
      <c r="X1014" s="1">
        <v>1</v>
      </c>
      <c r="Y1014" s="3" t="s">
        <v>42</v>
      </c>
      <c r="Z1014" s="3" t="s">
        <v>43</v>
      </c>
      <c r="AA1014" s="5">
        <v>0.12</v>
      </c>
      <c r="AB1014" s="10" t="str" cm="1">
        <f t="array" ref="AB1014">_xlfn.IFS(AA1014 &lt;= 15%, "Low Hike[11-15%]", AA1014 &lt;= 20%, "Moderate Hike[16-20%]", AA1014 &lt;= 25%,"High Hike[21-25%]")</f>
        <v>Low Hike[11-15%]</v>
      </c>
      <c r="AC1014" s="1">
        <v>3</v>
      </c>
      <c r="AD1014" s="1">
        <v>2</v>
      </c>
      <c r="AE1014" s="1">
        <v>80</v>
      </c>
      <c r="AF1014" s="1">
        <v>0</v>
      </c>
      <c r="AG1014" s="1">
        <v>1</v>
      </c>
      <c r="AH1014" s="9" t="str" cm="1">
        <f t="array" ref="AH1014">_xlfn.IFS(AG1014 &lt;= 5, "New[1-5]", AG1014 &lt;= 10, "Early Career[6-10]", AG1014 &lt;= 20, "Established[11-20]", AG1014 &lt;= 30, "Veteran[21-30]", AG1014 &lt;= 40, "Late Career[31-40]")</f>
        <v>New[1-5]</v>
      </c>
      <c r="AI1014" s="1">
        <v>3</v>
      </c>
      <c r="AJ1014" s="1">
        <v>3</v>
      </c>
      <c r="AK1014" s="1">
        <v>1</v>
      </c>
      <c r="AL1014" s="9" t="str" cm="1">
        <f t="array" ref="AL1014">_xlfn.IFS(AK1014 &lt;= 5, "New[1-5]", AK1014 &lt;= 10, "Early Career[6-10]", AK1014 &lt;= 20, "Established[11-20]", AK1014 &lt;= 30, "Veteran[21-30]", AK1014 &lt;= 40, "Late Career[31-40]")</f>
        <v>New[1-5]</v>
      </c>
      <c r="AM1014" s="1">
        <v>0</v>
      </c>
      <c r="AN1014" s="9" t="str" cm="1">
        <f t="array" ref="AN1014">_xlfn.IFS(AM1014 &lt;= 3, "New to Role[1-3]", AM1014 &lt;= 7, "Settled[4-7]", AM1014 &lt;= 12, "Experienced[[8-12]", AM1014 &lt;= 18, "Long Tenured[13-18]")</f>
        <v>New to Role[1-3]</v>
      </c>
      <c r="AO1014" s="1">
        <v>0</v>
      </c>
      <c r="AP1014" s="9" t="str" cm="1">
        <f t="array" ref="AP1014">_xlfn.IFS(AO1014 &lt;= 3, "Recently[1-3]", AO1014 &lt;= 6, "Due Soon[4-6]", AO1014 &lt;= 10, "Overdue[7-10]", AO1014 &lt;= 15, "Long Overdue[11-15]")</f>
        <v>Recently[1-3]</v>
      </c>
      <c r="AQ1014" s="9" t="str" cm="1">
        <f t="array" ref="AQ1014">_xlfn.IFS(AR1014 &lt;= 3, "New Relationship[1-3]", AR1014 &lt;= 7, "Established Relationship[4-7]", AR1014 &lt;= 12, "Long Term Relationship[8-12]", AR1014 &lt;= 17, "Very Long Term Relationship[13-17]")</f>
        <v>New Relationship[1-3]</v>
      </c>
      <c r="AR1014" s="1">
        <v>0</v>
      </c>
    </row>
    <row r="1015" spans="1:44" x14ac:dyDescent="0.25">
      <c r="A1015" s="1">
        <v>30</v>
      </c>
      <c r="B1015" s="8" t="str" cm="1">
        <f t="array" ref="B1015">_xlfn.IFS(A1015 &lt;= 25, "[18-25]", A1015 &lt;= 35, "[26-35]", A1015 &lt;=45, "[36-45]", A1015 &lt;= 60, "[46- 60]")</f>
        <v>[26-35]</v>
      </c>
      <c r="C1015" s="3" t="s">
        <v>43</v>
      </c>
      <c r="D1015">
        <f t="shared" si="15"/>
        <v>0</v>
      </c>
      <c r="E1015" t="s">
        <v>36</v>
      </c>
      <c r="F1015" s="1">
        <v>855</v>
      </c>
      <c r="G1015" s="3" t="s">
        <v>37</v>
      </c>
      <c r="H1015" s="1">
        <v>7</v>
      </c>
      <c r="I1015" s="9" t="str" cm="1">
        <f t="array" ref="I1015">_xlfn.IFS(H1015 &lt;= 2, "[1-2] very close", H1015 &lt;= 10, "[3-10] close", H1015 &lt;= 20, "[11-20] moderate", H1015 &lt;= 30, "[21-30] far")</f>
        <v>[3-10] close</v>
      </c>
      <c r="J1015" s="1">
        <v>4</v>
      </c>
      <c r="K1015" s="3" t="s">
        <v>59</v>
      </c>
      <c r="L1015" s="1">
        <v>1</v>
      </c>
      <c r="M1015" s="1">
        <v>1428</v>
      </c>
      <c r="N1015" s="1">
        <v>4</v>
      </c>
      <c r="O1015" s="3" t="s">
        <v>39</v>
      </c>
      <c r="P1015" s="1">
        <v>73</v>
      </c>
      <c r="Q1015" s="1">
        <v>3</v>
      </c>
      <c r="R1015" s="1">
        <v>2</v>
      </c>
      <c r="S1015" s="3" t="s">
        <v>40</v>
      </c>
      <c r="T1015" s="1">
        <v>1</v>
      </c>
      <c r="U1015" s="3" t="s">
        <v>52</v>
      </c>
      <c r="V1015" s="4">
        <v>4779</v>
      </c>
      <c r="W1015" s="1">
        <v>12761</v>
      </c>
      <c r="X1015" s="1">
        <v>7</v>
      </c>
      <c r="Y1015" s="3" t="s">
        <v>42</v>
      </c>
      <c r="Z1015" s="3" t="s">
        <v>43</v>
      </c>
      <c r="AA1015" s="5">
        <v>0.14000000000000001</v>
      </c>
      <c r="AB1015" s="10" t="str" cm="1">
        <f t="array" ref="AB1015">_xlfn.IFS(AA1015 &lt;= 15%, "Low Hike[11-15%]", AA1015 &lt;= 20%, "Moderate Hike[16-20%]", AA1015 &lt;= 25%,"High Hike[21-25%]")</f>
        <v>Low Hike[11-15%]</v>
      </c>
      <c r="AC1015" s="1">
        <v>3</v>
      </c>
      <c r="AD1015" s="1">
        <v>2</v>
      </c>
      <c r="AE1015" s="1">
        <v>80</v>
      </c>
      <c r="AF1015" s="1">
        <v>2</v>
      </c>
      <c r="AG1015" s="1">
        <v>8</v>
      </c>
      <c r="AH1015" s="9" t="str" cm="1">
        <f t="array" ref="AH1015">_xlfn.IFS(AG1015 &lt;= 5, "New[1-5]", AG1015 &lt;= 10, "Early Career[6-10]", AG1015 &lt;= 20, "Established[11-20]", AG1015 &lt;= 30, "Veteran[21-30]", AG1015 &lt;= 40, "Late Career[31-40]")</f>
        <v>Early Career[6-10]</v>
      </c>
      <c r="AI1015" s="1">
        <v>3</v>
      </c>
      <c r="AJ1015" s="1">
        <v>3</v>
      </c>
      <c r="AK1015" s="1">
        <v>3</v>
      </c>
      <c r="AL1015" s="9" t="str" cm="1">
        <f t="array" ref="AL1015">_xlfn.IFS(AK1015 &lt;= 5, "New[1-5]", AK1015 &lt;= 10, "Early Career[6-10]", AK1015 &lt;= 20, "Established[11-20]", AK1015 &lt;= 30, "Veteran[21-30]", AK1015 &lt;= 40, "Late Career[31-40]")</f>
        <v>New[1-5]</v>
      </c>
      <c r="AM1015" s="1">
        <v>2</v>
      </c>
      <c r="AN1015" s="9" t="str" cm="1">
        <f t="array" ref="AN1015">_xlfn.IFS(AM1015 &lt;= 3, "New to Role[1-3]", AM1015 &lt;= 7, "Settled[4-7]", AM1015 &lt;= 12, "Experienced[[8-12]", AM1015 &lt;= 18, "Long Tenured[13-18]")</f>
        <v>New to Role[1-3]</v>
      </c>
      <c r="AO1015" s="1">
        <v>0</v>
      </c>
      <c r="AP1015" s="9" t="str" cm="1">
        <f t="array" ref="AP1015">_xlfn.IFS(AO1015 &lt;= 3, "Recently[1-3]", AO1015 &lt;= 6, "Due Soon[4-6]", AO1015 &lt;= 10, "Overdue[7-10]", AO1015 &lt;= 15, "Long Overdue[11-15]")</f>
        <v>Recently[1-3]</v>
      </c>
      <c r="AQ1015" s="9" t="str" cm="1">
        <f t="array" ref="AQ1015">_xlfn.IFS(AR1015 &lt;= 3, "New Relationship[1-3]", AR1015 &lt;= 7, "Established Relationship[4-7]", AR1015 &lt;= 12, "Long Term Relationship[8-12]", AR1015 &lt;= 17, "Very Long Term Relationship[13-17]")</f>
        <v>New Relationship[1-3]</v>
      </c>
      <c r="AR1015" s="1">
        <v>2</v>
      </c>
    </row>
    <row r="1016" spans="1:44" x14ac:dyDescent="0.25">
      <c r="A1016" s="1">
        <v>31</v>
      </c>
      <c r="B1016" s="8" t="str" cm="1">
        <f t="array" ref="B1016">_xlfn.IFS(A1016 &lt;= 25, "[18-25]", A1016 &lt;= 35, "[26-35]", A1016 &lt;=45, "[36-45]", A1016 &lt;= 60, "[46- 60]")</f>
        <v>[26-35]</v>
      </c>
      <c r="C1016" s="3" t="s">
        <v>43</v>
      </c>
      <c r="D1016">
        <f t="shared" si="15"/>
        <v>0</v>
      </c>
      <c r="E1016" t="s">
        <v>36</v>
      </c>
      <c r="F1016" s="1">
        <v>182</v>
      </c>
      <c r="G1016" s="3" t="s">
        <v>45</v>
      </c>
      <c r="H1016" s="1">
        <v>8</v>
      </c>
      <c r="I1016" s="9" t="str" cm="1">
        <f t="array" ref="I1016">_xlfn.IFS(H1016 &lt;= 2, "[1-2] very close", H1016 &lt;= 10, "[3-10] close", H1016 &lt;= 20, "[11-20] moderate", H1016 &lt;= 30, "[21-30] far")</f>
        <v>[3-10] close</v>
      </c>
      <c r="J1016" s="1">
        <v>5</v>
      </c>
      <c r="K1016" s="3" t="s">
        <v>38</v>
      </c>
      <c r="L1016" s="1">
        <v>1</v>
      </c>
      <c r="M1016" s="1">
        <v>1430</v>
      </c>
      <c r="N1016" s="1">
        <v>1</v>
      </c>
      <c r="O1016" s="3" t="s">
        <v>39</v>
      </c>
      <c r="P1016" s="1">
        <v>93</v>
      </c>
      <c r="Q1016" s="1">
        <v>3</v>
      </c>
      <c r="R1016" s="1">
        <v>4</v>
      </c>
      <c r="S1016" s="3" t="s">
        <v>58</v>
      </c>
      <c r="T1016" s="1">
        <v>2</v>
      </c>
      <c r="U1016" s="3" t="s">
        <v>41</v>
      </c>
      <c r="V1016" s="4">
        <v>16422</v>
      </c>
      <c r="W1016" s="1">
        <v>8847</v>
      </c>
      <c r="X1016" s="1">
        <v>3</v>
      </c>
      <c r="Y1016" s="3" t="s">
        <v>42</v>
      </c>
      <c r="Z1016" s="3" t="s">
        <v>43</v>
      </c>
      <c r="AA1016" s="5">
        <v>0.11</v>
      </c>
      <c r="AB1016" s="10" t="str" cm="1">
        <f t="array" ref="AB1016">_xlfn.IFS(AA1016 &lt;= 15%, "Low Hike[11-15%]", AA1016 &lt;= 20%, "Moderate Hike[16-20%]", AA1016 &lt;= 25%,"High Hike[21-25%]")</f>
        <v>Low Hike[11-15%]</v>
      </c>
      <c r="AC1016" s="1">
        <v>3</v>
      </c>
      <c r="AD1016" s="1">
        <v>3</v>
      </c>
      <c r="AE1016" s="1">
        <v>80</v>
      </c>
      <c r="AF1016" s="1">
        <v>0</v>
      </c>
      <c r="AG1016" s="1">
        <v>9</v>
      </c>
      <c r="AH1016" s="9" t="str" cm="1">
        <f t="array" ref="AH1016">_xlfn.IFS(AG1016 &lt;= 5, "New[1-5]", AG1016 &lt;= 10, "Early Career[6-10]", AG1016 &lt;= 20, "Established[11-20]", AG1016 &lt;= 30, "Veteran[21-30]", AG1016 &lt;= 40, "Late Career[31-40]")</f>
        <v>Early Career[6-10]</v>
      </c>
      <c r="AI1016" s="1">
        <v>3</v>
      </c>
      <c r="AJ1016" s="1">
        <v>4</v>
      </c>
      <c r="AK1016" s="1">
        <v>3</v>
      </c>
      <c r="AL1016" s="9" t="str" cm="1">
        <f t="array" ref="AL1016">_xlfn.IFS(AK1016 &lt;= 5, "New[1-5]", AK1016 &lt;= 10, "Early Career[6-10]", AK1016 &lt;= 20, "Established[11-20]", AK1016 &lt;= 30, "Veteran[21-30]", AK1016 &lt;= 40, "Late Career[31-40]")</f>
        <v>New[1-5]</v>
      </c>
      <c r="AM1016" s="1">
        <v>2</v>
      </c>
      <c r="AN1016" s="9" t="str" cm="1">
        <f t="array" ref="AN1016">_xlfn.IFS(AM1016 &lt;= 3, "New to Role[1-3]", AM1016 &lt;= 7, "Settled[4-7]", AM1016 &lt;= 12, "Experienced[[8-12]", AM1016 &lt;= 18, "Long Tenured[13-18]")</f>
        <v>New to Role[1-3]</v>
      </c>
      <c r="AO1016" s="1">
        <v>1</v>
      </c>
      <c r="AP1016" s="9" t="str" cm="1">
        <f t="array" ref="AP1016">_xlfn.IFS(AO1016 &lt;= 3, "Recently[1-3]", AO1016 &lt;= 6, "Due Soon[4-6]", AO1016 &lt;= 10, "Overdue[7-10]", AO1016 &lt;= 15, "Long Overdue[11-15]")</f>
        <v>Recently[1-3]</v>
      </c>
      <c r="AQ1016" s="9" t="str" cm="1">
        <f t="array" ref="AQ1016">_xlfn.IFS(AR1016 &lt;= 3, "New Relationship[1-3]", AR1016 &lt;= 7, "Established Relationship[4-7]", AR1016 &lt;= 12, "Long Term Relationship[8-12]", AR1016 &lt;= 17, "Very Long Term Relationship[13-17]")</f>
        <v>New Relationship[1-3]</v>
      </c>
      <c r="AR1016" s="1">
        <v>0</v>
      </c>
    </row>
    <row r="1017" spans="1:44" x14ac:dyDescent="0.25">
      <c r="A1017" s="1">
        <v>34</v>
      </c>
      <c r="B1017" s="8" t="str" cm="1">
        <f t="array" ref="B1017">_xlfn.IFS(A1017 &lt;= 25, "[18-25]", A1017 &lt;= 35, "[26-35]", A1017 &lt;=45, "[36-45]", A1017 &lt;= 60, "[46- 60]")</f>
        <v>[26-35]</v>
      </c>
      <c r="C1017" s="3" t="s">
        <v>43</v>
      </c>
      <c r="D1017">
        <f t="shared" si="15"/>
        <v>0</v>
      </c>
      <c r="E1017" t="s">
        <v>44</v>
      </c>
      <c r="F1017" s="1">
        <v>560</v>
      </c>
      <c r="G1017" s="3" t="s">
        <v>45</v>
      </c>
      <c r="H1017" s="1">
        <v>1</v>
      </c>
      <c r="I1017" s="9" t="str" cm="1">
        <f t="array" ref="I1017">_xlfn.IFS(H1017 &lt;= 2, "[1-2] very close", H1017 &lt;= 10, "[3-10] close", H1017 &lt;= 20, "[11-20] moderate", H1017 &lt;= 30, "[21-30] far")</f>
        <v>[1-2] very close</v>
      </c>
      <c r="J1017" s="1">
        <v>4</v>
      </c>
      <c r="K1017" s="3" t="s">
        <v>49</v>
      </c>
      <c r="L1017" s="1">
        <v>1</v>
      </c>
      <c r="M1017" s="1">
        <v>1431</v>
      </c>
      <c r="N1017" s="1">
        <v>4</v>
      </c>
      <c r="O1017" s="3" t="s">
        <v>46</v>
      </c>
      <c r="P1017" s="1">
        <v>91</v>
      </c>
      <c r="Q1017" s="1">
        <v>3</v>
      </c>
      <c r="R1017" s="1">
        <v>1</v>
      </c>
      <c r="S1017" s="3" t="s">
        <v>47</v>
      </c>
      <c r="T1017" s="1">
        <v>1</v>
      </c>
      <c r="U1017" s="3" t="s">
        <v>52</v>
      </c>
      <c r="V1017" s="4">
        <v>2996</v>
      </c>
      <c r="W1017" s="1">
        <v>20284</v>
      </c>
      <c r="X1017" s="1">
        <v>5</v>
      </c>
      <c r="Y1017" s="3" t="s">
        <v>42</v>
      </c>
      <c r="Z1017" s="3" t="s">
        <v>43</v>
      </c>
      <c r="AA1017" s="5">
        <v>0.14000000000000001</v>
      </c>
      <c r="AB1017" s="10" t="str" cm="1">
        <f t="array" ref="AB1017">_xlfn.IFS(AA1017 &lt;= 15%, "Low Hike[11-15%]", AA1017 &lt;= 20%, "Moderate Hike[16-20%]", AA1017 &lt;= 25%,"High Hike[21-25%]")</f>
        <v>Low Hike[11-15%]</v>
      </c>
      <c r="AC1017" s="1">
        <v>3</v>
      </c>
      <c r="AD1017" s="1">
        <v>3</v>
      </c>
      <c r="AE1017" s="1">
        <v>80</v>
      </c>
      <c r="AF1017" s="1">
        <v>2</v>
      </c>
      <c r="AG1017" s="1">
        <v>10</v>
      </c>
      <c r="AH1017" s="9" t="str" cm="1">
        <f t="array" ref="AH1017">_xlfn.IFS(AG1017 &lt;= 5, "New[1-5]", AG1017 &lt;= 10, "Early Career[6-10]", AG1017 &lt;= 20, "Established[11-20]", AG1017 &lt;= 30, "Veteran[21-30]", AG1017 &lt;= 40, "Late Career[31-40]")</f>
        <v>Early Career[6-10]</v>
      </c>
      <c r="AI1017" s="1">
        <v>2</v>
      </c>
      <c r="AJ1017" s="1">
        <v>3</v>
      </c>
      <c r="AK1017" s="1">
        <v>4</v>
      </c>
      <c r="AL1017" s="9" t="str" cm="1">
        <f t="array" ref="AL1017">_xlfn.IFS(AK1017 &lt;= 5, "New[1-5]", AK1017 &lt;= 10, "Early Career[6-10]", AK1017 &lt;= 20, "Established[11-20]", AK1017 &lt;= 30, "Veteran[21-30]", AK1017 &lt;= 40, "Late Career[31-40]")</f>
        <v>New[1-5]</v>
      </c>
      <c r="AM1017" s="1">
        <v>3</v>
      </c>
      <c r="AN1017" s="9" t="str" cm="1">
        <f t="array" ref="AN1017">_xlfn.IFS(AM1017 &lt;= 3, "New to Role[1-3]", AM1017 &lt;= 7, "Settled[4-7]", AM1017 &lt;= 12, "Experienced[[8-12]", AM1017 &lt;= 18, "Long Tenured[13-18]")</f>
        <v>New to Role[1-3]</v>
      </c>
      <c r="AO1017" s="1">
        <v>1</v>
      </c>
      <c r="AP1017" s="9" t="str" cm="1">
        <f t="array" ref="AP1017">_xlfn.IFS(AO1017 &lt;= 3, "Recently[1-3]", AO1017 &lt;= 6, "Due Soon[4-6]", AO1017 &lt;= 10, "Overdue[7-10]", AO1017 &lt;= 15, "Long Overdue[11-15]")</f>
        <v>Recently[1-3]</v>
      </c>
      <c r="AQ1017" s="9" t="str" cm="1">
        <f t="array" ref="AQ1017">_xlfn.IFS(AR1017 &lt;= 3, "New Relationship[1-3]", AR1017 &lt;= 7, "Established Relationship[4-7]", AR1017 &lt;= 12, "Long Term Relationship[8-12]", AR1017 &lt;= 17, "Very Long Term Relationship[13-17]")</f>
        <v>New Relationship[1-3]</v>
      </c>
      <c r="AR1017" s="1">
        <v>3</v>
      </c>
    </row>
    <row r="1018" spans="1:44" x14ac:dyDescent="0.25">
      <c r="A1018" s="1">
        <v>31</v>
      </c>
      <c r="B1018" s="8" t="str" cm="1">
        <f t="array" ref="B1018">_xlfn.IFS(A1018 &lt;= 25, "[18-25]", A1018 &lt;= 35, "[26-35]", A1018 &lt;=45, "[36-45]", A1018 &lt;= 60, "[46- 60]")</f>
        <v>[26-35]</v>
      </c>
      <c r="C1018" s="3" t="s">
        <v>35</v>
      </c>
      <c r="D1018">
        <f t="shared" si="15"/>
        <v>1</v>
      </c>
      <c r="E1018" t="s">
        <v>36</v>
      </c>
      <c r="F1018" s="1">
        <v>202</v>
      </c>
      <c r="G1018" s="3" t="s">
        <v>45</v>
      </c>
      <c r="H1018" s="1">
        <v>8</v>
      </c>
      <c r="I1018" s="9" t="str" cm="1">
        <f t="array" ref="I1018">_xlfn.IFS(H1018 &lt;= 2, "[1-2] very close", H1018 &lt;= 10, "[3-10] close", H1018 &lt;= 20, "[11-20] moderate", H1018 &lt;= 30, "[21-30] far")</f>
        <v>[3-10] close</v>
      </c>
      <c r="J1018" s="1">
        <v>3</v>
      </c>
      <c r="K1018" s="3" t="s">
        <v>38</v>
      </c>
      <c r="L1018" s="1">
        <v>1</v>
      </c>
      <c r="M1018" s="1">
        <v>1433</v>
      </c>
      <c r="N1018" s="1">
        <v>1</v>
      </c>
      <c r="O1018" s="3" t="s">
        <v>39</v>
      </c>
      <c r="P1018" s="1">
        <v>34</v>
      </c>
      <c r="Q1018" s="1">
        <v>2</v>
      </c>
      <c r="R1018" s="1">
        <v>1</v>
      </c>
      <c r="S1018" s="3" t="s">
        <v>47</v>
      </c>
      <c r="T1018" s="1">
        <v>2</v>
      </c>
      <c r="U1018" s="3" t="s">
        <v>41</v>
      </c>
      <c r="V1018" s="4">
        <v>1261</v>
      </c>
      <c r="W1018" s="1">
        <v>22262</v>
      </c>
      <c r="X1018" s="1">
        <v>1</v>
      </c>
      <c r="Y1018" s="3" t="s">
        <v>42</v>
      </c>
      <c r="Z1018" s="3" t="s">
        <v>43</v>
      </c>
      <c r="AA1018" s="5">
        <v>0.12</v>
      </c>
      <c r="AB1018" s="10" t="str" cm="1">
        <f t="array" ref="AB1018">_xlfn.IFS(AA1018 &lt;= 15%, "Low Hike[11-15%]", AA1018 &lt;= 20%, "Moderate Hike[16-20%]", AA1018 &lt;= 25%,"High Hike[21-25%]")</f>
        <v>Low Hike[11-15%]</v>
      </c>
      <c r="AC1018" s="1">
        <v>3</v>
      </c>
      <c r="AD1018" s="1">
        <v>3</v>
      </c>
      <c r="AE1018" s="1">
        <v>80</v>
      </c>
      <c r="AF1018" s="1">
        <v>0</v>
      </c>
      <c r="AG1018" s="1">
        <v>1</v>
      </c>
      <c r="AH1018" s="9" t="str" cm="1">
        <f t="array" ref="AH1018">_xlfn.IFS(AG1018 &lt;= 5, "New[1-5]", AG1018 &lt;= 10, "Early Career[6-10]", AG1018 &lt;= 20, "Established[11-20]", AG1018 &lt;= 30, "Veteran[21-30]", AG1018 &lt;= 40, "Late Career[31-40]")</f>
        <v>New[1-5]</v>
      </c>
      <c r="AI1018" s="1">
        <v>3</v>
      </c>
      <c r="AJ1018" s="1">
        <v>4</v>
      </c>
      <c r="AK1018" s="1">
        <v>1</v>
      </c>
      <c r="AL1018" s="9" t="str" cm="1">
        <f t="array" ref="AL1018">_xlfn.IFS(AK1018 &lt;= 5, "New[1-5]", AK1018 &lt;= 10, "Early Career[6-10]", AK1018 &lt;= 20, "Established[11-20]", AK1018 &lt;= 30, "Veteran[21-30]", AK1018 &lt;= 40, "Late Career[31-40]")</f>
        <v>New[1-5]</v>
      </c>
      <c r="AM1018" s="1">
        <v>0</v>
      </c>
      <c r="AN1018" s="9" t="str" cm="1">
        <f t="array" ref="AN1018">_xlfn.IFS(AM1018 &lt;= 3, "New to Role[1-3]", AM1018 &lt;= 7, "Settled[4-7]", AM1018 &lt;= 12, "Experienced[[8-12]", AM1018 &lt;= 18, "Long Tenured[13-18]")</f>
        <v>New to Role[1-3]</v>
      </c>
      <c r="AO1018" s="1">
        <v>0</v>
      </c>
      <c r="AP1018" s="9" t="str" cm="1">
        <f t="array" ref="AP1018">_xlfn.IFS(AO1018 &lt;= 3, "Recently[1-3]", AO1018 &lt;= 6, "Due Soon[4-6]", AO1018 &lt;= 10, "Overdue[7-10]", AO1018 &lt;= 15, "Long Overdue[11-15]")</f>
        <v>Recently[1-3]</v>
      </c>
      <c r="AQ1018" s="9" t="str" cm="1">
        <f t="array" ref="AQ1018">_xlfn.IFS(AR1018 &lt;= 3, "New Relationship[1-3]", AR1018 &lt;= 7, "Established Relationship[4-7]", AR1018 &lt;= 12, "Long Term Relationship[8-12]", AR1018 &lt;= 17, "Very Long Term Relationship[13-17]")</f>
        <v>New Relationship[1-3]</v>
      </c>
      <c r="AR1018" s="1">
        <v>0</v>
      </c>
    </row>
    <row r="1019" spans="1:44" x14ac:dyDescent="0.25">
      <c r="A1019" s="1">
        <v>27</v>
      </c>
      <c r="B1019" s="8" t="str" cm="1">
        <f t="array" ref="B1019">_xlfn.IFS(A1019 &lt;= 25, "[18-25]", A1019 &lt;= 35, "[26-35]", A1019 &lt;=45, "[36-45]", A1019 &lt;= 60, "[46- 60]")</f>
        <v>[26-35]</v>
      </c>
      <c r="C1019" s="3" t="s">
        <v>43</v>
      </c>
      <c r="D1019">
        <f t="shared" si="15"/>
        <v>0</v>
      </c>
      <c r="E1019" t="s">
        <v>36</v>
      </c>
      <c r="F1019" s="1">
        <v>1377</v>
      </c>
      <c r="G1019" s="3" t="s">
        <v>45</v>
      </c>
      <c r="H1019" s="1">
        <v>11</v>
      </c>
      <c r="I1019" s="9" t="str" cm="1">
        <f t="array" ref="I1019">_xlfn.IFS(H1019 &lt;= 2, "[1-2] very close", H1019 &lt;= 10, "[3-10] close", H1019 &lt;= 20, "[11-20] moderate", H1019 &lt;= 30, "[21-30] far")</f>
        <v>[11-20] moderate</v>
      </c>
      <c r="J1019" s="1">
        <v>1</v>
      </c>
      <c r="K1019" s="3" t="s">
        <v>38</v>
      </c>
      <c r="L1019" s="1">
        <v>1</v>
      </c>
      <c r="M1019" s="1">
        <v>1434</v>
      </c>
      <c r="N1019" s="1">
        <v>2</v>
      </c>
      <c r="O1019" s="3" t="s">
        <v>46</v>
      </c>
      <c r="P1019" s="1">
        <v>91</v>
      </c>
      <c r="Q1019" s="1">
        <v>3</v>
      </c>
      <c r="R1019" s="1">
        <v>1</v>
      </c>
      <c r="S1019" s="3" t="s">
        <v>50</v>
      </c>
      <c r="T1019" s="1">
        <v>1</v>
      </c>
      <c r="U1019" s="3" t="s">
        <v>48</v>
      </c>
      <c r="V1019" s="4">
        <v>2099</v>
      </c>
      <c r="W1019" s="1">
        <v>7679</v>
      </c>
      <c r="X1019" s="1">
        <v>0</v>
      </c>
      <c r="Y1019" s="3" t="s">
        <v>42</v>
      </c>
      <c r="Z1019" s="3" t="s">
        <v>43</v>
      </c>
      <c r="AA1019" s="5">
        <v>0.14000000000000001</v>
      </c>
      <c r="AB1019" s="10" t="str" cm="1">
        <f t="array" ref="AB1019">_xlfn.IFS(AA1019 &lt;= 15%, "Low Hike[11-15%]", AA1019 &lt;= 20%, "Moderate Hike[16-20%]", AA1019 &lt;= 25%,"High Hike[21-25%]")</f>
        <v>Low Hike[11-15%]</v>
      </c>
      <c r="AC1019" s="1">
        <v>3</v>
      </c>
      <c r="AD1019" s="1">
        <v>2</v>
      </c>
      <c r="AE1019" s="1">
        <v>80</v>
      </c>
      <c r="AF1019" s="1">
        <v>0</v>
      </c>
      <c r="AG1019" s="1">
        <v>6</v>
      </c>
      <c r="AH1019" s="9" t="str" cm="1">
        <f t="array" ref="AH1019">_xlfn.IFS(AG1019 &lt;= 5, "New[1-5]", AG1019 &lt;= 10, "Early Career[6-10]", AG1019 &lt;= 20, "Established[11-20]", AG1019 &lt;= 30, "Veteran[21-30]", AG1019 &lt;= 40, "Late Career[31-40]")</f>
        <v>Early Career[6-10]</v>
      </c>
      <c r="AI1019" s="1">
        <v>3</v>
      </c>
      <c r="AJ1019" s="1">
        <v>4</v>
      </c>
      <c r="AK1019" s="1">
        <v>5</v>
      </c>
      <c r="AL1019" s="9" t="str" cm="1">
        <f t="array" ref="AL1019">_xlfn.IFS(AK1019 &lt;= 5, "New[1-5]", AK1019 &lt;= 10, "Early Career[6-10]", AK1019 &lt;= 20, "Established[11-20]", AK1019 &lt;= 30, "Veteran[21-30]", AK1019 &lt;= 40, "Late Career[31-40]")</f>
        <v>New[1-5]</v>
      </c>
      <c r="AM1019" s="1">
        <v>0</v>
      </c>
      <c r="AN1019" s="9" t="str" cm="1">
        <f t="array" ref="AN1019">_xlfn.IFS(AM1019 &lt;= 3, "New to Role[1-3]", AM1019 &lt;= 7, "Settled[4-7]", AM1019 &lt;= 12, "Experienced[[8-12]", AM1019 &lt;= 18, "Long Tenured[13-18]")</f>
        <v>New to Role[1-3]</v>
      </c>
      <c r="AO1019" s="1">
        <v>1</v>
      </c>
      <c r="AP1019" s="9" t="str" cm="1">
        <f t="array" ref="AP1019">_xlfn.IFS(AO1019 &lt;= 3, "Recently[1-3]", AO1019 &lt;= 6, "Due Soon[4-6]", AO1019 &lt;= 10, "Overdue[7-10]", AO1019 &lt;= 15, "Long Overdue[11-15]")</f>
        <v>Recently[1-3]</v>
      </c>
      <c r="AQ1019" s="9" t="str" cm="1">
        <f t="array" ref="AQ1019">_xlfn.IFS(AR1019 &lt;= 3, "New Relationship[1-3]", AR1019 &lt;= 7, "Established Relationship[4-7]", AR1019 &lt;= 12, "Long Term Relationship[8-12]", AR1019 &lt;= 17, "Very Long Term Relationship[13-17]")</f>
        <v>Established Relationship[4-7]</v>
      </c>
      <c r="AR1019" s="1">
        <v>4</v>
      </c>
    </row>
    <row r="1020" spans="1:44" x14ac:dyDescent="0.25">
      <c r="A1020" s="1">
        <v>36</v>
      </c>
      <c r="B1020" s="8" t="str" cm="1">
        <f t="array" ref="B1020">_xlfn.IFS(A1020 &lt;= 25, "[18-25]", A1020 &lt;= 35, "[26-35]", A1020 &lt;=45, "[36-45]", A1020 &lt;= 60, "[46- 60]")</f>
        <v>[36-45]</v>
      </c>
      <c r="C1020" s="3" t="s">
        <v>43</v>
      </c>
      <c r="D1020">
        <f t="shared" si="15"/>
        <v>0</v>
      </c>
      <c r="E1020" t="s">
        <v>36</v>
      </c>
      <c r="F1020" s="1">
        <v>172</v>
      </c>
      <c r="G1020" s="3" t="s">
        <v>45</v>
      </c>
      <c r="H1020" s="1">
        <v>4</v>
      </c>
      <c r="I1020" s="9" t="str" cm="1">
        <f t="array" ref="I1020">_xlfn.IFS(H1020 &lt;= 2, "[1-2] very close", H1020 &lt;= 10, "[3-10] close", H1020 &lt;= 20, "[11-20] moderate", H1020 &lt;= 30, "[21-30] far")</f>
        <v>[3-10] close</v>
      </c>
      <c r="J1020" s="1">
        <v>4</v>
      </c>
      <c r="K1020" s="3" t="s">
        <v>38</v>
      </c>
      <c r="L1020" s="1">
        <v>1</v>
      </c>
      <c r="M1020" s="1">
        <v>1435</v>
      </c>
      <c r="N1020" s="1">
        <v>1</v>
      </c>
      <c r="O1020" s="3" t="s">
        <v>46</v>
      </c>
      <c r="P1020" s="1">
        <v>37</v>
      </c>
      <c r="Q1020" s="1">
        <v>2</v>
      </c>
      <c r="R1020" s="1">
        <v>2</v>
      </c>
      <c r="S1020" s="3" t="s">
        <v>50</v>
      </c>
      <c r="T1020" s="1">
        <v>4</v>
      </c>
      <c r="U1020" s="3" t="s">
        <v>41</v>
      </c>
      <c r="V1020" s="4">
        <v>5810</v>
      </c>
      <c r="W1020" s="1">
        <v>22604</v>
      </c>
      <c r="X1020" s="1">
        <v>1</v>
      </c>
      <c r="Y1020" s="3" t="s">
        <v>42</v>
      </c>
      <c r="Z1020" s="3" t="s">
        <v>43</v>
      </c>
      <c r="AA1020" s="5">
        <v>0.16</v>
      </c>
      <c r="AB1020" s="10" t="str" cm="1">
        <f t="array" ref="AB1020">_xlfn.IFS(AA1020 &lt;= 15%, "Low Hike[11-15%]", AA1020 &lt;= 20%, "Moderate Hike[16-20%]", AA1020 &lt;= 25%,"High Hike[21-25%]")</f>
        <v>Moderate Hike[16-20%]</v>
      </c>
      <c r="AC1020" s="1">
        <v>3</v>
      </c>
      <c r="AD1020" s="1">
        <v>3</v>
      </c>
      <c r="AE1020" s="1">
        <v>80</v>
      </c>
      <c r="AF1020" s="1">
        <v>0</v>
      </c>
      <c r="AG1020" s="1">
        <v>10</v>
      </c>
      <c r="AH1020" s="9" t="str" cm="1">
        <f t="array" ref="AH1020">_xlfn.IFS(AG1020 &lt;= 5, "New[1-5]", AG1020 &lt;= 10, "Early Career[6-10]", AG1020 &lt;= 20, "Established[11-20]", AG1020 &lt;= 30, "Veteran[21-30]", AG1020 &lt;= 40, "Late Career[31-40]")</f>
        <v>Early Career[6-10]</v>
      </c>
      <c r="AI1020" s="1">
        <v>2</v>
      </c>
      <c r="AJ1020" s="1">
        <v>2</v>
      </c>
      <c r="AK1020" s="1">
        <v>10</v>
      </c>
      <c r="AL1020" s="9" t="str" cm="1">
        <f t="array" ref="AL1020">_xlfn.IFS(AK1020 &lt;= 5, "New[1-5]", AK1020 &lt;= 10, "Early Career[6-10]", AK1020 &lt;= 20, "Established[11-20]", AK1020 &lt;= 30, "Veteran[21-30]", AK1020 &lt;= 40, "Late Career[31-40]")</f>
        <v>Early Career[6-10]</v>
      </c>
      <c r="AM1020" s="1">
        <v>4</v>
      </c>
      <c r="AN1020" s="9" t="str" cm="1">
        <f t="array" ref="AN1020">_xlfn.IFS(AM1020 &lt;= 3, "New to Role[1-3]", AM1020 &lt;= 7, "Settled[4-7]", AM1020 &lt;= 12, "Experienced[[8-12]", AM1020 &lt;= 18, "Long Tenured[13-18]")</f>
        <v>Settled[4-7]</v>
      </c>
      <c r="AO1020" s="1">
        <v>1</v>
      </c>
      <c r="AP1020" s="9" t="str" cm="1">
        <f t="array" ref="AP1020">_xlfn.IFS(AO1020 &lt;= 3, "Recently[1-3]", AO1020 &lt;= 6, "Due Soon[4-6]", AO1020 &lt;= 10, "Overdue[7-10]", AO1020 &lt;= 15, "Long Overdue[11-15]")</f>
        <v>Recently[1-3]</v>
      </c>
      <c r="AQ1020" s="9" t="str" cm="1">
        <f t="array" ref="AQ1020">_xlfn.IFS(AR1020 &lt;= 3, "New Relationship[1-3]", AR1020 &lt;= 7, "Established Relationship[4-7]", AR1020 &lt;= 12, "Long Term Relationship[8-12]", AR1020 &lt;= 17, "Very Long Term Relationship[13-17]")</f>
        <v>Long Term Relationship[8-12]</v>
      </c>
      <c r="AR1020" s="1">
        <v>8</v>
      </c>
    </row>
    <row r="1021" spans="1:44" x14ac:dyDescent="0.25">
      <c r="A1021" s="1">
        <v>36</v>
      </c>
      <c r="B1021" s="8" t="str" cm="1">
        <f t="array" ref="B1021">_xlfn.IFS(A1021 &lt;= 25, "[18-25]", A1021 &lt;= 35, "[26-35]", A1021 &lt;=45, "[36-45]", A1021 &lt;= 60, "[46- 60]")</f>
        <v>[36-45]</v>
      </c>
      <c r="C1021" s="3" t="s">
        <v>43</v>
      </c>
      <c r="D1021">
        <f t="shared" si="15"/>
        <v>0</v>
      </c>
      <c r="E1021" t="s">
        <v>36</v>
      </c>
      <c r="F1021" s="1">
        <v>329</v>
      </c>
      <c r="G1021" s="3" t="s">
        <v>37</v>
      </c>
      <c r="H1021" s="1">
        <v>16</v>
      </c>
      <c r="I1021" s="9" t="str" cm="1">
        <f t="array" ref="I1021">_xlfn.IFS(H1021 &lt;= 2, "[1-2] very close", H1021 &lt;= 10, "[3-10] close", H1021 &lt;= 20, "[11-20] moderate", H1021 &lt;= 30, "[21-30] far")</f>
        <v>[11-20] moderate</v>
      </c>
      <c r="J1021" s="1">
        <v>4</v>
      </c>
      <c r="K1021" s="3" t="s">
        <v>59</v>
      </c>
      <c r="L1021" s="1">
        <v>1</v>
      </c>
      <c r="M1021" s="1">
        <v>1436</v>
      </c>
      <c r="N1021" s="1">
        <v>3</v>
      </c>
      <c r="O1021" s="3" t="s">
        <v>39</v>
      </c>
      <c r="P1021" s="1">
        <v>98</v>
      </c>
      <c r="Q1021" s="1">
        <v>2</v>
      </c>
      <c r="R1021" s="1">
        <v>2</v>
      </c>
      <c r="S1021" s="3" t="s">
        <v>40</v>
      </c>
      <c r="T1021" s="1">
        <v>1</v>
      </c>
      <c r="U1021" s="3" t="s">
        <v>48</v>
      </c>
      <c r="V1021" s="4">
        <v>5647</v>
      </c>
      <c r="W1021" s="1">
        <v>13494</v>
      </c>
      <c r="X1021" s="1">
        <v>4</v>
      </c>
      <c r="Y1021" s="3" t="s">
        <v>42</v>
      </c>
      <c r="Z1021" s="3" t="s">
        <v>43</v>
      </c>
      <c r="AA1021" s="5">
        <v>0.13</v>
      </c>
      <c r="AB1021" s="10" t="str" cm="1">
        <f t="array" ref="AB1021">_xlfn.IFS(AA1021 &lt;= 15%, "Low Hike[11-15%]", AA1021 &lt;= 20%, "Moderate Hike[16-20%]", AA1021 &lt;= 25%,"High Hike[21-25%]")</f>
        <v>Low Hike[11-15%]</v>
      </c>
      <c r="AC1021" s="1">
        <v>3</v>
      </c>
      <c r="AD1021" s="1">
        <v>1</v>
      </c>
      <c r="AE1021" s="1">
        <v>80</v>
      </c>
      <c r="AF1021" s="1">
        <v>2</v>
      </c>
      <c r="AG1021" s="1">
        <v>11</v>
      </c>
      <c r="AH1021" s="9" t="str" cm="1">
        <f t="array" ref="AH1021">_xlfn.IFS(AG1021 &lt;= 5, "New[1-5]", AG1021 &lt;= 10, "Early Career[6-10]", AG1021 &lt;= 20, "Established[11-20]", AG1021 &lt;= 30, "Veteran[21-30]", AG1021 &lt;= 40, "Late Career[31-40]")</f>
        <v>Established[11-20]</v>
      </c>
      <c r="AI1021" s="1">
        <v>3</v>
      </c>
      <c r="AJ1021" s="1">
        <v>2</v>
      </c>
      <c r="AK1021" s="1">
        <v>3</v>
      </c>
      <c r="AL1021" s="9" t="str" cm="1">
        <f t="array" ref="AL1021">_xlfn.IFS(AK1021 &lt;= 5, "New[1-5]", AK1021 &lt;= 10, "Early Career[6-10]", AK1021 &lt;= 20, "Established[11-20]", AK1021 &lt;= 30, "Veteran[21-30]", AK1021 &lt;= 40, "Late Career[31-40]")</f>
        <v>New[1-5]</v>
      </c>
      <c r="AM1021" s="1">
        <v>2</v>
      </c>
      <c r="AN1021" s="9" t="str" cm="1">
        <f t="array" ref="AN1021">_xlfn.IFS(AM1021 &lt;= 3, "New to Role[1-3]", AM1021 &lt;= 7, "Settled[4-7]", AM1021 &lt;= 12, "Experienced[[8-12]", AM1021 &lt;= 18, "Long Tenured[13-18]")</f>
        <v>New to Role[1-3]</v>
      </c>
      <c r="AO1021" s="1">
        <v>0</v>
      </c>
      <c r="AP1021" s="9" t="str" cm="1">
        <f t="array" ref="AP1021">_xlfn.IFS(AO1021 &lt;= 3, "Recently[1-3]", AO1021 &lt;= 6, "Due Soon[4-6]", AO1021 &lt;= 10, "Overdue[7-10]", AO1021 &lt;= 15, "Long Overdue[11-15]")</f>
        <v>Recently[1-3]</v>
      </c>
      <c r="AQ1021" s="9" t="str" cm="1">
        <f t="array" ref="AQ1021">_xlfn.IFS(AR1021 &lt;= 3, "New Relationship[1-3]", AR1021 &lt;= 7, "Established Relationship[4-7]", AR1021 &lt;= 12, "Long Term Relationship[8-12]", AR1021 &lt;= 17, "Very Long Term Relationship[13-17]")</f>
        <v>New Relationship[1-3]</v>
      </c>
      <c r="AR1021" s="1">
        <v>2</v>
      </c>
    </row>
    <row r="1022" spans="1:44" x14ac:dyDescent="0.25">
      <c r="A1022" s="1">
        <v>47</v>
      </c>
      <c r="B1022" s="8" t="str" cm="1">
        <f t="array" ref="B1022">_xlfn.IFS(A1022 &lt;= 25, "[18-25]", A1022 &lt;= 35, "[26-35]", A1022 &lt;=45, "[36-45]", A1022 &lt;= 60, "[46- 60]")</f>
        <v>[46- 60]</v>
      </c>
      <c r="C1022" s="3" t="s">
        <v>43</v>
      </c>
      <c r="D1022">
        <f t="shared" si="15"/>
        <v>0</v>
      </c>
      <c r="E1022" t="s">
        <v>36</v>
      </c>
      <c r="F1022" s="1">
        <v>465</v>
      </c>
      <c r="G1022" s="3" t="s">
        <v>45</v>
      </c>
      <c r="H1022" s="1">
        <v>1</v>
      </c>
      <c r="I1022" s="9" t="str" cm="1">
        <f t="array" ref="I1022">_xlfn.IFS(H1022 &lt;= 2, "[1-2] very close", H1022 &lt;= 10, "[3-10] close", H1022 &lt;= 20, "[11-20] moderate", H1022 &lt;= 30, "[21-30] far")</f>
        <v>[1-2] very close</v>
      </c>
      <c r="J1022" s="1">
        <v>3</v>
      </c>
      <c r="K1022" s="3" t="s">
        <v>60</v>
      </c>
      <c r="L1022" s="1">
        <v>1</v>
      </c>
      <c r="M1022" s="1">
        <v>1438</v>
      </c>
      <c r="N1022" s="1">
        <v>1</v>
      </c>
      <c r="O1022" s="3" t="s">
        <v>46</v>
      </c>
      <c r="P1022" s="1">
        <v>74</v>
      </c>
      <c r="Q1022" s="1">
        <v>3</v>
      </c>
      <c r="R1022" s="1">
        <v>1</v>
      </c>
      <c r="S1022" s="3" t="s">
        <v>47</v>
      </c>
      <c r="T1022" s="1">
        <v>4</v>
      </c>
      <c r="U1022" s="3" t="s">
        <v>48</v>
      </c>
      <c r="V1022" s="4">
        <v>3420</v>
      </c>
      <c r="W1022" s="1">
        <v>10205</v>
      </c>
      <c r="X1022" s="1">
        <v>7</v>
      </c>
      <c r="Y1022" s="3" t="s">
        <v>42</v>
      </c>
      <c r="Z1022" s="3" t="s">
        <v>43</v>
      </c>
      <c r="AA1022" s="5">
        <v>0.12</v>
      </c>
      <c r="AB1022" s="10" t="str" cm="1">
        <f t="array" ref="AB1022">_xlfn.IFS(AA1022 &lt;= 15%, "Low Hike[11-15%]", AA1022 &lt;= 20%, "Moderate Hike[16-20%]", AA1022 &lt;= 25%,"High Hike[21-25%]")</f>
        <v>Low Hike[11-15%]</v>
      </c>
      <c r="AC1022" s="1">
        <v>3</v>
      </c>
      <c r="AD1022" s="1">
        <v>3</v>
      </c>
      <c r="AE1022" s="1">
        <v>80</v>
      </c>
      <c r="AF1022" s="1">
        <v>1</v>
      </c>
      <c r="AG1022" s="1">
        <v>17</v>
      </c>
      <c r="AH1022" s="9" t="str" cm="1">
        <f t="array" ref="AH1022">_xlfn.IFS(AG1022 &lt;= 5, "New[1-5]", AG1022 &lt;= 10, "Early Career[6-10]", AG1022 &lt;= 20, "Established[11-20]", AG1022 &lt;= 30, "Veteran[21-30]", AG1022 &lt;= 40, "Late Career[31-40]")</f>
        <v>Established[11-20]</v>
      </c>
      <c r="AI1022" s="1">
        <v>2</v>
      </c>
      <c r="AJ1022" s="1">
        <v>2</v>
      </c>
      <c r="AK1022" s="1">
        <v>6</v>
      </c>
      <c r="AL1022" s="9" t="str" cm="1">
        <f t="array" ref="AL1022">_xlfn.IFS(AK1022 &lt;= 5, "New[1-5]", AK1022 &lt;= 10, "Early Career[6-10]", AK1022 &lt;= 20, "Established[11-20]", AK1022 &lt;= 30, "Veteran[21-30]", AK1022 &lt;= 40, "Late Career[31-40]")</f>
        <v>Early Career[6-10]</v>
      </c>
      <c r="AM1022" s="1">
        <v>5</v>
      </c>
      <c r="AN1022" s="9" t="str" cm="1">
        <f t="array" ref="AN1022">_xlfn.IFS(AM1022 &lt;= 3, "New to Role[1-3]", AM1022 &lt;= 7, "Settled[4-7]", AM1022 &lt;= 12, "Experienced[[8-12]", AM1022 &lt;= 18, "Long Tenured[13-18]")</f>
        <v>Settled[4-7]</v>
      </c>
      <c r="AO1022" s="1">
        <v>1</v>
      </c>
      <c r="AP1022" s="9" t="str" cm="1">
        <f t="array" ref="AP1022">_xlfn.IFS(AO1022 &lt;= 3, "Recently[1-3]", AO1022 &lt;= 6, "Due Soon[4-6]", AO1022 &lt;= 10, "Overdue[7-10]", AO1022 &lt;= 15, "Long Overdue[11-15]")</f>
        <v>Recently[1-3]</v>
      </c>
      <c r="AQ1022" s="9" t="str" cm="1">
        <f t="array" ref="AQ1022">_xlfn.IFS(AR1022 &lt;= 3, "New Relationship[1-3]", AR1022 &lt;= 7, "Established Relationship[4-7]", AR1022 &lt;= 12, "Long Term Relationship[8-12]", AR1022 &lt;= 17, "Very Long Term Relationship[13-17]")</f>
        <v>New Relationship[1-3]</v>
      </c>
      <c r="AR1022" s="1">
        <v>2</v>
      </c>
    </row>
    <row r="1023" spans="1:44" x14ac:dyDescent="0.25">
      <c r="A1023" s="1">
        <v>25</v>
      </c>
      <c r="B1023" s="8" t="str" cm="1">
        <f t="array" ref="B1023">_xlfn.IFS(A1023 &lt;= 25, "[18-25]", A1023 &lt;= 35, "[26-35]", A1023 &lt;=45, "[36-45]", A1023 &lt;= 60, "[46- 60]")</f>
        <v>[18-25]</v>
      </c>
      <c r="C1023" s="3" t="s">
        <v>35</v>
      </c>
      <c r="D1023">
        <f t="shared" si="15"/>
        <v>1</v>
      </c>
      <c r="E1023" t="s">
        <v>36</v>
      </c>
      <c r="F1023" s="1">
        <v>383</v>
      </c>
      <c r="G1023" s="3" t="s">
        <v>37</v>
      </c>
      <c r="H1023" s="1">
        <v>9</v>
      </c>
      <c r="I1023" s="9" t="str" cm="1">
        <f t="array" ref="I1023">_xlfn.IFS(H1023 &lt;= 2, "[1-2] very close", H1023 &lt;= 10, "[3-10] close", H1023 &lt;= 20, "[11-20] moderate", H1023 &lt;= 30, "[21-30] far")</f>
        <v>[3-10] close</v>
      </c>
      <c r="J1023" s="1">
        <v>2</v>
      </c>
      <c r="K1023" s="3" t="s">
        <v>38</v>
      </c>
      <c r="L1023" s="1">
        <v>1</v>
      </c>
      <c r="M1023" s="1">
        <v>1439</v>
      </c>
      <c r="N1023" s="1">
        <v>1</v>
      </c>
      <c r="O1023" s="3" t="s">
        <v>46</v>
      </c>
      <c r="P1023" s="1">
        <v>68</v>
      </c>
      <c r="Q1023" s="1">
        <v>2</v>
      </c>
      <c r="R1023" s="1">
        <v>1</v>
      </c>
      <c r="S1023" s="3" t="s">
        <v>57</v>
      </c>
      <c r="T1023" s="1">
        <v>1</v>
      </c>
      <c r="U1023" s="3" t="s">
        <v>48</v>
      </c>
      <c r="V1023" s="4">
        <v>4400</v>
      </c>
      <c r="W1023" s="1">
        <v>15182</v>
      </c>
      <c r="X1023" s="1">
        <v>3</v>
      </c>
      <c r="Y1023" s="3" t="s">
        <v>42</v>
      </c>
      <c r="Z1023" s="3" t="s">
        <v>43</v>
      </c>
      <c r="AA1023" s="5">
        <v>0.12</v>
      </c>
      <c r="AB1023" s="10" t="str" cm="1">
        <f t="array" ref="AB1023">_xlfn.IFS(AA1023 &lt;= 15%, "Low Hike[11-15%]", AA1023 &lt;= 20%, "Moderate Hike[16-20%]", AA1023 &lt;= 25%,"High Hike[21-25%]")</f>
        <v>Low Hike[11-15%]</v>
      </c>
      <c r="AC1023" s="1">
        <v>3</v>
      </c>
      <c r="AD1023" s="1">
        <v>1</v>
      </c>
      <c r="AE1023" s="1">
        <v>80</v>
      </c>
      <c r="AF1023" s="1">
        <v>0</v>
      </c>
      <c r="AG1023" s="1">
        <v>6</v>
      </c>
      <c r="AH1023" s="9" t="str" cm="1">
        <f t="array" ref="AH1023">_xlfn.IFS(AG1023 &lt;= 5, "New[1-5]", AG1023 &lt;= 10, "Early Career[6-10]", AG1023 &lt;= 20, "Established[11-20]", AG1023 &lt;= 30, "Veteran[21-30]", AG1023 &lt;= 40, "Late Career[31-40]")</f>
        <v>Early Career[6-10]</v>
      </c>
      <c r="AI1023" s="1">
        <v>2</v>
      </c>
      <c r="AJ1023" s="1">
        <v>3</v>
      </c>
      <c r="AK1023" s="1">
        <v>3</v>
      </c>
      <c r="AL1023" s="9" t="str" cm="1">
        <f t="array" ref="AL1023">_xlfn.IFS(AK1023 &lt;= 5, "New[1-5]", AK1023 &lt;= 10, "Early Career[6-10]", AK1023 &lt;= 20, "Established[11-20]", AK1023 &lt;= 30, "Veteran[21-30]", AK1023 &lt;= 40, "Late Career[31-40]")</f>
        <v>New[1-5]</v>
      </c>
      <c r="AM1023" s="1">
        <v>2</v>
      </c>
      <c r="AN1023" s="9" t="str" cm="1">
        <f t="array" ref="AN1023">_xlfn.IFS(AM1023 &lt;= 3, "New to Role[1-3]", AM1023 &lt;= 7, "Settled[4-7]", AM1023 &lt;= 12, "Experienced[[8-12]", AM1023 &lt;= 18, "Long Tenured[13-18]")</f>
        <v>New to Role[1-3]</v>
      </c>
      <c r="AO1023" s="1">
        <v>2</v>
      </c>
      <c r="AP1023" s="9" t="str" cm="1">
        <f t="array" ref="AP1023">_xlfn.IFS(AO1023 &lt;= 3, "Recently[1-3]", AO1023 &lt;= 6, "Due Soon[4-6]", AO1023 &lt;= 10, "Overdue[7-10]", AO1023 &lt;= 15, "Long Overdue[11-15]")</f>
        <v>Recently[1-3]</v>
      </c>
      <c r="AQ1023" s="9" t="str" cm="1">
        <f t="array" ref="AQ1023">_xlfn.IFS(AR1023 &lt;= 3, "New Relationship[1-3]", AR1023 &lt;= 7, "Established Relationship[4-7]", AR1023 &lt;= 12, "Long Term Relationship[8-12]", AR1023 &lt;= 17, "Very Long Term Relationship[13-17]")</f>
        <v>New Relationship[1-3]</v>
      </c>
      <c r="AR1023" s="1">
        <v>2</v>
      </c>
    </row>
    <row r="1024" spans="1:44" x14ac:dyDescent="0.25">
      <c r="A1024" s="1">
        <v>37</v>
      </c>
      <c r="B1024" s="8" t="str" cm="1">
        <f t="array" ref="B1024">_xlfn.IFS(A1024 &lt;= 25, "[18-25]", A1024 &lt;= 35, "[26-35]", A1024 &lt;=45, "[36-45]", A1024 &lt;= 60, "[46- 60]")</f>
        <v>[36-45]</v>
      </c>
      <c r="C1024" s="3" t="s">
        <v>43</v>
      </c>
      <c r="D1024">
        <f t="shared" si="15"/>
        <v>0</v>
      </c>
      <c r="E1024" t="s">
        <v>62</v>
      </c>
      <c r="F1024" s="1">
        <v>1413</v>
      </c>
      <c r="G1024" s="3" t="s">
        <v>45</v>
      </c>
      <c r="H1024" s="1">
        <v>5</v>
      </c>
      <c r="I1024" s="9" t="str" cm="1">
        <f t="array" ref="I1024">_xlfn.IFS(H1024 &lt;= 2, "[1-2] very close", H1024 &lt;= 10, "[3-10] close", H1024 &lt;= 20, "[11-20] moderate", H1024 &lt;= 30, "[21-30] far")</f>
        <v>[3-10] close</v>
      </c>
      <c r="J1024" s="1">
        <v>2</v>
      </c>
      <c r="K1024" s="3" t="s">
        <v>60</v>
      </c>
      <c r="L1024" s="1">
        <v>1</v>
      </c>
      <c r="M1024" s="1">
        <v>1440</v>
      </c>
      <c r="N1024" s="1">
        <v>3</v>
      </c>
      <c r="O1024" s="3" t="s">
        <v>46</v>
      </c>
      <c r="P1024" s="1">
        <v>84</v>
      </c>
      <c r="Q1024" s="1">
        <v>4</v>
      </c>
      <c r="R1024" s="1">
        <v>1</v>
      </c>
      <c r="S1024" s="3" t="s">
        <v>50</v>
      </c>
      <c r="T1024" s="1">
        <v>3</v>
      </c>
      <c r="U1024" s="3" t="s">
        <v>41</v>
      </c>
      <c r="V1024" s="4">
        <v>3500</v>
      </c>
      <c r="W1024" s="1">
        <v>25470</v>
      </c>
      <c r="X1024" s="1">
        <v>0</v>
      </c>
      <c r="Y1024" s="3" t="s">
        <v>42</v>
      </c>
      <c r="Z1024" s="3" t="s">
        <v>43</v>
      </c>
      <c r="AA1024" s="5">
        <v>0.14000000000000001</v>
      </c>
      <c r="AB1024" s="10" t="str" cm="1">
        <f t="array" ref="AB1024">_xlfn.IFS(AA1024 &lt;= 15%, "Low Hike[11-15%]", AA1024 &lt;= 20%, "Moderate Hike[16-20%]", AA1024 &lt;= 25%,"High Hike[21-25%]")</f>
        <v>Low Hike[11-15%]</v>
      </c>
      <c r="AC1024" s="1">
        <v>3</v>
      </c>
      <c r="AD1024" s="1">
        <v>1</v>
      </c>
      <c r="AE1024" s="1">
        <v>80</v>
      </c>
      <c r="AF1024" s="1">
        <v>0</v>
      </c>
      <c r="AG1024" s="1">
        <v>7</v>
      </c>
      <c r="AH1024" s="9" t="str" cm="1">
        <f t="array" ref="AH1024">_xlfn.IFS(AG1024 &lt;= 5, "New[1-5]", AG1024 &lt;= 10, "Early Career[6-10]", AG1024 &lt;= 20, "Established[11-20]", AG1024 &lt;= 30, "Veteran[21-30]", AG1024 &lt;= 40, "Late Career[31-40]")</f>
        <v>Early Career[6-10]</v>
      </c>
      <c r="AI1024" s="1">
        <v>2</v>
      </c>
      <c r="AJ1024" s="1">
        <v>1</v>
      </c>
      <c r="AK1024" s="1">
        <v>6</v>
      </c>
      <c r="AL1024" s="9" t="str" cm="1">
        <f t="array" ref="AL1024">_xlfn.IFS(AK1024 &lt;= 5, "New[1-5]", AK1024 &lt;= 10, "Early Career[6-10]", AK1024 &lt;= 20, "Established[11-20]", AK1024 &lt;= 30, "Veteran[21-30]", AK1024 &lt;= 40, "Late Career[31-40]")</f>
        <v>Early Career[6-10]</v>
      </c>
      <c r="AM1024" s="1">
        <v>5</v>
      </c>
      <c r="AN1024" s="9" t="str" cm="1">
        <f t="array" ref="AN1024">_xlfn.IFS(AM1024 &lt;= 3, "New to Role[1-3]", AM1024 &lt;= 7, "Settled[4-7]", AM1024 &lt;= 12, "Experienced[[8-12]", AM1024 &lt;= 18, "Long Tenured[13-18]")</f>
        <v>Settled[4-7]</v>
      </c>
      <c r="AO1024" s="1">
        <v>1</v>
      </c>
      <c r="AP1024" s="9" t="str" cm="1">
        <f t="array" ref="AP1024">_xlfn.IFS(AO1024 &lt;= 3, "Recently[1-3]", AO1024 &lt;= 6, "Due Soon[4-6]", AO1024 &lt;= 10, "Overdue[7-10]", AO1024 &lt;= 15, "Long Overdue[11-15]")</f>
        <v>Recently[1-3]</v>
      </c>
      <c r="AQ1024" s="9" t="str" cm="1">
        <f t="array" ref="AQ1024">_xlfn.IFS(AR1024 &lt;= 3, "New Relationship[1-3]", AR1024 &lt;= 7, "Established Relationship[4-7]", AR1024 &lt;= 12, "Long Term Relationship[8-12]", AR1024 &lt;= 17, "Very Long Term Relationship[13-17]")</f>
        <v>New Relationship[1-3]</v>
      </c>
      <c r="AR1024" s="1">
        <v>3</v>
      </c>
    </row>
    <row r="1025" spans="1:44" x14ac:dyDescent="0.25">
      <c r="A1025" s="1">
        <v>56</v>
      </c>
      <c r="B1025" s="8" t="str" cm="1">
        <f t="array" ref="B1025">_xlfn.IFS(A1025 &lt;= 25, "[18-25]", A1025 &lt;= 35, "[26-35]", A1025 &lt;=45, "[36-45]", A1025 &lt;= 60, "[46- 60]")</f>
        <v>[46- 60]</v>
      </c>
      <c r="C1025" s="3" t="s">
        <v>43</v>
      </c>
      <c r="D1025">
        <f t="shared" si="15"/>
        <v>0</v>
      </c>
      <c r="E1025" t="s">
        <v>36</v>
      </c>
      <c r="F1025" s="1">
        <v>1255</v>
      </c>
      <c r="G1025" s="3" t="s">
        <v>45</v>
      </c>
      <c r="H1025" s="1">
        <v>1</v>
      </c>
      <c r="I1025" s="9" t="str" cm="1">
        <f t="array" ref="I1025">_xlfn.IFS(H1025 &lt;= 2, "[1-2] very close", H1025 &lt;= 10, "[3-10] close", H1025 &lt;= 20, "[11-20] moderate", H1025 &lt;= 30, "[21-30] far")</f>
        <v>[1-2] very close</v>
      </c>
      <c r="J1025" s="1">
        <v>2</v>
      </c>
      <c r="K1025" s="3" t="s">
        <v>38</v>
      </c>
      <c r="L1025" s="1">
        <v>1</v>
      </c>
      <c r="M1025" s="1">
        <v>1441</v>
      </c>
      <c r="N1025" s="1">
        <v>1</v>
      </c>
      <c r="O1025" s="3" t="s">
        <v>39</v>
      </c>
      <c r="P1025" s="1">
        <v>90</v>
      </c>
      <c r="Q1025" s="1">
        <v>3</v>
      </c>
      <c r="R1025" s="1">
        <v>1</v>
      </c>
      <c r="S1025" s="3" t="s">
        <v>47</v>
      </c>
      <c r="T1025" s="1">
        <v>1</v>
      </c>
      <c r="U1025" s="3" t="s">
        <v>48</v>
      </c>
      <c r="V1025" s="4">
        <v>2066</v>
      </c>
      <c r="W1025" s="1">
        <v>10494</v>
      </c>
      <c r="X1025" s="1">
        <v>2</v>
      </c>
      <c r="Y1025" s="3" t="s">
        <v>42</v>
      </c>
      <c r="Z1025" s="3" t="s">
        <v>43</v>
      </c>
      <c r="AA1025" s="5">
        <v>0.22</v>
      </c>
      <c r="AB1025" s="10" t="str" cm="1">
        <f t="array" ref="AB1025">_xlfn.IFS(AA1025 &lt;= 15%, "Low Hike[11-15%]", AA1025 &lt;= 20%, "Moderate Hike[16-20%]", AA1025 &lt;= 25%,"High Hike[21-25%]")</f>
        <v>High Hike[21-25%]</v>
      </c>
      <c r="AC1025" s="1">
        <v>4</v>
      </c>
      <c r="AD1025" s="1">
        <v>4</v>
      </c>
      <c r="AE1025" s="1">
        <v>80</v>
      </c>
      <c r="AF1025" s="1">
        <v>1</v>
      </c>
      <c r="AG1025" s="1">
        <v>5</v>
      </c>
      <c r="AH1025" s="9" t="str" cm="1">
        <f t="array" ref="AH1025">_xlfn.IFS(AG1025 &lt;= 5, "New[1-5]", AG1025 &lt;= 10, "Early Career[6-10]", AG1025 &lt;= 20, "Established[11-20]", AG1025 &lt;= 30, "Veteran[21-30]", AG1025 &lt;= 40, "Late Career[31-40]")</f>
        <v>New[1-5]</v>
      </c>
      <c r="AI1025" s="1">
        <v>3</v>
      </c>
      <c r="AJ1025" s="1">
        <v>4</v>
      </c>
      <c r="AK1025" s="1">
        <v>3</v>
      </c>
      <c r="AL1025" s="9" t="str" cm="1">
        <f t="array" ref="AL1025">_xlfn.IFS(AK1025 &lt;= 5, "New[1-5]", AK1025 &lt;= 10, "Early Career[6-10]", AK1025 &lt;= 20, "Established[11-20]", AK1025 &lt;= 30, "Veteran[21-30]", AK1025 &lt;= 40, "Late Career[31-40]")</f>
        <v>New[1-5]</v>
      </c>
      <c r="AM1025" s="1">
        <v>2</v>
      </c>
      <c r="AN1025" s="9" t="str" cm="1">
        <f t="array" ref="AN1025">_xlfn.IFS(AM1025 &lt;= 3, "New to Role[1-3]", AM1025 &lt;= 7, "Settled[4-7]", AM1025 &lt;= 12, "Experienced[[8-12]", AM1025 &lt;= 18, "Long Tenured[13-18]")</f>
        <v>New to Role[1-3]</v>
      </c>
      <c r="AO1025" s="1">
        <v>1</v>
      </c>
      <c r="AP1025" s="9" t="str" cm="1">
        <f t="array" ref="AP1025">_xlfn.IFS(AO1025 &lt;= 3, "Recently[1-3]", AO1025 &lt;= 6, "Due Soon[4-6]", AO1025 &lt;= 10, "Overdue[7-10]", AO1025 &lt;= 15, "Long Overdue[11-15]")</f>
        <v>Recently[1-3]</v>
      </c>
      <c r="AQ1025" s="9" t="str" cm="1">
        <f t="array" ref="AQ1025">_xlfn.IFS(AR1025 &lt;= 3, "New Relationship[1-3]", AR1025 &lt;= 7, "Established Relationship[4-7]", AR1025 &lt;= 12, "Long Term Relationship[8-12]", AR1025 &lt;= 17, "Very Long Term Relationship[13-17]")</f>
        <v>New Relationship[1-3]</v>
      </c>
      <c r="AR1025" s="1">
        <v>0</v>
      </c>
    </row>
    <row r="1026" spans="1:44" x14ac:dyDescent="0.25">
      <c r="A1026" s="1">
        <v>47</v>
      </c>
      <c r="B1026" s="8" t="str" cm="1">
        <f t="array" ref="B1026">_xlfn.IFS(A1026 &lt;= 25, "[18-25]", A1026 &lt;= 35, "[26-35]", A1026 &lt;=45, "[36-45]", A1026 &lt;= 60, "[46- 60]")</f>
        <v>[46- 60]</v>
      </c>
      <c r="C1026" s="3" t="s">
        <v>43</v>
      </c>
      <c r="D1026">
        <f t="shared" ref="D1026:D1089" si="16">IF(C1026 = "Yes",1, 0)</f>
        <v>0</v>
      </c>
      <c r="E1026" t="s">
        <v>36</v>
      </c>
      <c r="F1026" s="1">
        <v>359</v>
      </c>
      <c r="G1026" s="3" t="s">
        <v>45</v>
      </c>
      <c r="H1026" s="1">
        <v>2</v>
      </c>
      <c r="I1026" s="9" t="str" cm="1">
        <f t="array" ref="I1026">_xlfn.IFS(H1026 &lt;= 2, "[1-2] very close", H1026 &lt;= 10, "[3-10] close", H1026 &lt;= 20, "[11-20] moderate", H1026 &lt;= 30, "[21-30] far")</f>
        <v>[1-2] very close</v>
      </c>
      <c r="J1026" s="1">
        <v>4</v>
      </c>
      <c r="K1026" s="3" t="s">
        <v>51</v>
      </c>
      <c r="L1026" s="1">
        <v>1</v>
      </c>
      <c r="M1026" s="1">
        <v>1443</v>
      </c>
      <c r="N1026" s="1">
        <v>1</v>
      </c>
      <c r="O1026" s="3" t="s">
        <v>39</v>
      </c>
      <c r="P1026" s="1">
        <v>82</v>
      </c>
      <c r="Q1026" s="1">
        <v>3</v>
      </c>
      <c r="R1026" s="1">
        <v>4</v>
      </c>
      <c r="S1026" s="3" t="s">
        <v>58</v>
      </c>
      <c r="T1026" s="1">
        <v>3</v>
      </c>
      <c r="U1026" s="3" t="s">
        <v>48</v>
      </c>
      <c r="V1026" s="4">
        <v>17169</v>
      </c>
      <c r="W1026" s="1">
        <v>26703</v>
      </c>
      <c r="X1026" s="1">
        <v>3</v>
      </c>
      <c r="Y1026" s="3" t="s">
        <v>42</v>
      </c>
      <c r="Z1026" s="3" t="s">
        <v>43</v>
      </c>
      <c r="AA1026" s="5">
        <v>0.19</v>
      </c>
      <c r="AB1026" s="10" t="str" cm="1">
        <f t="array" ref="AB1026">_xlfn.IFS(AA1026 &lt;= 15%, "Low Hike[11-15%]", AA1026 &lt;= 20%, "Moderate Hike[16-20%]", AA1026 &lt;= 25%,"High Hike[21-25%]")</f>
        <v>Moderate Hike[16-20%]</v>
      </c>
      <c r="AC1026" s="1">
        <v>3</v>
      </c>
      <c r="AD1026" s="1">
        <v>2</v>
      </c>
      <c r="AE1026" s="1">
        <v>80</v>
      </c>
      <c r="AF1026" s="1">
        <v>2</v>
      </c>
      <c r="AG1026" s="1">
        <v>26</v>
      </c>
      <c r="AH1026" s="9" t="str" cm="1">
        <f t="array" ref="AH1026">_xlfn.IFS(AG1026 &lt;= 5, "New[1-5]", AG1026 &lt;= 10, "Early Career[6-10]", AG1026 &lt;= 20, "Established[11-20]", AG1026 &lt;= 30, "Veteran[21-30]", AG1026 &lt;= 40, "Late Career[31-40]")</f>
        <v>Veteran[21-30]</v>
      </c>
      <c r="AI1026" s="1">
        <v>2</v>
      </c>
      <c r="AJ1026" s="1">
        <v>4</v>
      </c>
      <c r="AK1026" s="1">
        <v>20</v>
      </c>
      <c r="AL1026" s="9" t="str" cm="1">
        <f t="array" ref="AL1026">_xlfn.IFS(AK1026 &lt;= 5, "New[1-5]", AK1026 &lt;= 10, "Early Career[6-10]", AK1026 &lt;= 20, "Established[11-20]", AK1026 &lt;= 30, "Veteran[21-30]", AK1026 &lt;= 40, "Late Career[31-40]")</f>
        <v>Established[11-20]</v>
      </c>
      <c r="AM1026" s="1">
        <v>17</v>
      </c>
      <c r="AN1026" s="9" t="str" cm="1">
        <f t="array" ref="AN1026">_xlfn.IFS(AM1026 &lt;= 3, "New to Role[1-3]", AM1026 &lt;= 7, "Settled[4-7]", AM1026 &lt;= 12, "Experienced[[8-12]", AM1026 &lt;= 18, "Long Tenured[13-18]")</f>
        <v>Long Tenured[13-18]</v>
      </c>
      <c r="AO1026" s="1">
        <v>5</v>
      </c>
      <c r="AP1026" s="9" t="str" cm="1">
        <f t="array" ref="AP1026">_xlfn.IFS(AO1026 &lt;= 3, "Recently[1-3]", AO1026 &lt;= 6, "Due Soon[4-6]", AO1026 &lt;= 10, "Overdue[7-10]", AO1026 &lt;= 15, "Long Overdue[11-15]")</f>
        <v>Due Soon[4-6]</v>
      </c>
      <c r="AQ1026" s="9" t="str" cm="1">
        <f t="array" ref="AQ1026">_xlfn.IFS(AR1026 &lt;= 3, "New Relationship[1-3]", AR1026 &lt;= 7, "Established Relationship[4-7]", AR1026 &lt;= 12, "Long Term Relationship[8-12]", AR1026 &lt;= 17, "Very Long Term Relationship[13-17]")</f>
        <v>Established Relationship[4-7]</v>
      </c>
      <c r="AR1026" s="1">
        <v>6</v>
      </c>
    </row>
    <row r="1027" spans="1:44" x14ac:dyDescent="0.25">
      <c r="A1027" s="1">
        <v>24</v>
      </c>
      <c r="B1027" s="8" t="str" cm="1">
        <f t="array" ref="B1027">_xlfn.IFS(A1027 &lt;= 25, "[18-25]", A1027 &lt;= 35, "[26-35]", A1027 &lt;=45, "[36-45]", A1027 &lt;= 60, "[46- 60]")</f>
        <v>[18-25]</v>
      </c>
      <c r="C1027" s="3" t="s">
        <v>43</v>
      </c>
      <c r="D1027">
        <f t="shared" si="16"/>
        <v>0</v>
      </c>
      <c r="E1027" t="s">
        <v>36</v>
      </c>
      <c r="F1027" s="1">
        <v>1476</v>
      </c>
      <c r="G1027" s="3" t="s">
        <v>37</v>
      </c>
      <c r="H1027" s="1">
        <v>4</v>
      </c>
      <c r="I1027" s="9" t="str" cm="1">
        <f t="array" ref="I1027">_xlfn.IFS(H1027 &lt;= 2, "[1-2] very close", H1027 &lt;= 10, "[3-10] close", H1027 &lt;= 20, "[11-20] moderate", H1027 &lt;= 30, "[21-30] far")</f>
        <v>[3-10] close</v>
      </c>
      <c r="J1027" s="1">
        <v>1</v>
      </c>
      <c r="K1027" s="3" t="s">
        <v>51</v>
      </c>
      <c r="L1027" s="1">
        <v>1</v>
      </c>
      <c r="M1027" s="1">
        <v>1445</v>
      </c>
      <c r="N1027" s="1">
        <v>4</v>
      </c>
      <c r="O1027" s="3" t="s">
        <v>39</v>
      </c>
      <c r="P1027" s="1">
        <v>42</v>
      </c>
      <c r="Q1027" s="1">
        <v>3</v>
      </c>
      <c r="R1027" s="1">
        <v>2</v>
      </c>
      <c r="S1027" s="3" t="s">
        <v>40</v>
      </c>
      <c r="T1027" s="1">
        <v>3</v>
      </c>
      <c r="U1027" s="3" t="s">
        <v>48</v>
      </c>
      <c r="V1027" s="4">
        <v>4162</v>
      </c>
      <c r="W1027" s="1">
        <v>15211</v>
      </c>
      <c r="X1027" s="1">
        <v>1</v>
      </c>
      <c r="Y1027" s="3" t="s">
        <v>42</v>
      </c>
      <c r="Z1027" s="3" t="s">
        <v>35</v>
      </c>
      <c r="AA1027" s="5">
        <v>0.12</v>
      </c>
      <c r="AB1027" s="10" t="str" cm="1">
        <f t="array" ref="AB1027">_xlfn.IFS(AA1027 &lt;= 15%, "Low Hike[11-15%]", AA1027 &lt;= 20%, "Moderate Hike[16-20%]", AA1027 &lt;= 25%,"High Hike[21-25%]")</f>
        <v>Low Hike[11-15%]</v>
      </c>
      <c r="AC1027" s="1">
        <v>3</v>
      </c>
      <c r="AD1027" s="1">
        <v>3</v>
      </c>
      <c r="AE1027" s="1">
        <v>80</v>
      </c>
      <c r="AF1027" s="1">
        <v>2</v>
      </c>
      <c r="AG1027" s="1">
        <v>5</v>
      </c>
      <c r="AH1027" s="9" t="str" cm="1">
        <f t="array" ref="AH1027">_xlfn.IFS(AG1027 &lt;= 5, "New[1-5]", AG1027 &lt;= 10, "Early Career[6-10]", AG1027 &lt;= 20, "Established[11-20]", AG1027 &lt;= 30, "Veteran[21-30]", AG1027 &lt;= 40, "Late Career[31-40]")</f>
        <v>New[1-5]</v>
      </c>
      <c r="AI1027" s="1">
        <v>3</v>
      </c>
      <c r="AJ1027" s="1">
        <v>3</v>
      </c>
      <c r="AK1027" s="1">
        <v>5</v>
      </c>
      <c r="AL1027" s="9" t="str" cm="1">
        <f t="array" ref="AL1027">_xlfn.IFS(AK1027 &lt;= 5, "New[1-5]", AK1027 &lt;= 10, "Early Career[6-10]", AK1027 &lt;= 20, "Established[11-20]", AK1027 &lt;= 30, "Veteran[21-30]", AK1027 &lt;= 40, "Late Career[31-40]")</f>
        <v>New[1-5]</v>
      </c>
      <c r="AM1027" s="1">
        <v>4</v>
      </c>
      <c r="AN1027" s="9" t="str" cm="1">
        <f t="array" ref="AN1027">_xlfn.IFS(AM1027 &lt;= 3, "New to Role[1-3]", AM1027 &lt;= 7, "Settled[4-7]", AM1027 &lt;= 12, "Experienced[[8-12]", AM1027 &lt;= 18, "Long Tenured[13-18]")</f>
        <v>Settled[4-7]</v>
      </c>
      <c r="AO1027" s="1">
        <v>0</v>
      </c>
      <c r="AP1027" s="9" t="str" cm="1">
        <f t="array" ref="AP1027">_xlfn.IFS(AO1027 &lt;= 3, "Recently[1-3]", AO1027 &lt;= 6, "Due Soon[4-6]", AO1027 &lt;= 10, "Overdue[7-10]", AO1027 &lt;= 15, "Long Overdue[11-15]")</f>
        <v>Recently[1-3]</v>
      </c>
      <c r="AQ1027" s="9" t="str" cm="1">
        <f t="array" ref="AQ1027">_xlfn.IFS(AR1027 &lt;= 3, "New Relationship[1-3]", AR1027 &lt;= 7, "Established Relationship[4-7]", AR1027 &lt;= 12, "Long Term Relationship[8-12]", AR1027 &lt;= 17, "Very Long Term Relationship[13-17]")</f>
        <v>New Relationship[1-3]</v>
      </c>
      <c r="AR1027" s="1">
        <v>3</v>
      </c>
    </row>
    <row r="1028" spans="1:44" x14ac:dyDescent="0.25">
      <c r="A1028" s="1">
        <v>32</v>
      </c>
      <c r="B1028" s="8" t="str" cm="1">
        <f t="array" ref="B1028">_xlfn.IFS(A1028 &lt;= 25, "[18-25]", A1028 &lt;= 35, "[26-35]", A1028 &lt;=45, "[36-45]", A1028 &lt;= 60, "[46- 60]")</f>
        <v>[26-35]</v>
      </c>
      <c r="C1028" s="3" t="s">
        <v>43</v>
      </c>
      <c r="D1028">
        <f t="shared" si="16"/>
        <v>0</v>
      </c>
      <c r="E1028" t="s">
        <v>36</v>
      </c>
      <c r="F1028" s="1">
        <v>601</v>
      </c>
      <c r="G1028" s="3" t="s">
        <v>37</v>
      </c>
      <c r="H1028" s="1">
        <v>7</v>
      </c>
      <c r="I1028" s="9" t="str" cm="1">
        <f t="array" ref="I1028">_xlfn.IFS(H1028 &lt;= 2, "[1-2] very close", H1028 &lt;= 10, "[3-10] close", H1028 &lt;= 20, "[11-20] moderate", H1028 &lt;= 30, "[21-30] far")</f>
        <v>[3-10] close</v>
      </c>
      <c r="J1028" s="1">
        <v>5</v>
      </c>
      <c r="K1028" s="3" t="s">
        <v>59</v>
      </c>
      <c r="L1028" s="1">
        <v>1</v>
      </c>
      <c r="M1028" s="1">
        <v>1446</v>
      </c>
      <c r="N1028" s="1">
        <v>4</v>
      </c>
      <c r="O1028" s="3" t="s">
        <v>46</v>
      </c>
      <c r="P1028" s="1">
        <v>97</v>
      </c>
      <c r="Q1028" s="1">
        <v>3</v>
      </c>
      <c r="R1028" s="1">
        <v>2</v>
      </c>
      <c r="S1028" s="3" t="s">
        <v>40</v>
      </c>
      <c r="T1028" s="1">
        <v>4</v>
      </c>
      <c r="U1028" s="3" t="s">
        <v>48</v>
      </c>
      <c r="V1028" s="4">
        <v>9204</v>
      </c>
      <c r="W1028" s="1">
        <v>23343</v>
      </c>
      <c r="X1028" s="1">
        <v>4</v>
      </c>
      <c r="Y1028" s="3" t="s">
        <v>42</v>
      </c>
      <c r="Z1028" s="3" t="s">
        <v>43</v>
      </c>
      <c r="AA1028" s="5">
        <v>0.12</v>
      </c>
      <c r="AB1028" s="10" t="str" cm="1">
        <f t="array" ref="AB1028">_xlfn.IFS(AA1028 &lt;= 15%, "Low Hike[11-15%]", AA1028 &lt;= 20%, "Moderate Hike[16-20%]", AA1028 &lt;= 25%,"High Hike[21-25%]")</f>
        <v>Low Hike[11-15%]</v>
      </c>
      <c r="AC1028" s="1">
        <v>3</v>
      </c>
      <c r="AD1028" s="1">
        <v>3</v>
      </c>
      <c r="AE1028" s="1">
        <v>80</v>
      </c>
      <c r="AF1028" s="1">
        <v>1</v>
      </c>
      <c r="AG1028" s="1">
        <v>7</v>
      </c>
      <c r="AH1028" s="9" t="str" cm="1">
        <f t="array" ref="AH1028">_xlfn.IFS(AG1028 &lt;= 5, "New[1-5]", AG1028 &lt;= 10, "Early Career[6-10]", AG1028 &lt;= 20, "Established[11-20]", AG1028 &lt;= 30, "Veteran[21-30]", AG1028 &lt;= 40, "Late Career[31-40]")</f>
        <v>Early Career[6-10]</v>
      </c>
      <c r="AI1028" s="1">
        <v>3</v>
      </c>
      <c r="AJ1028" s="1">
        <v>2</v>
      </c>
      <c r="AK1028" s="1">
        <v>4</v>
      </c>
      <c r="AL1028" s="9" t="str" cm="1">
        <f t="array" ref="AL1028">_xlfn.IFS(AK1028 &lt;= 5, "New[1-5]", AK1028 &lt;= 10, "Early Career[6-10]", AK1028 &lt;= 20, "Established[11-20]", AK1028 &lt;= 30, "Veteran[21-30]", AK1028 &lt;= 40, "Late Career[31-40]")</f>
        <v>New[1-5]</v>
      </c>
      <c r="AM1028" s="1">
        <v>3</v>
      </c>
      <c r="AN1028" s="9" t="str" cm="1">
        <f t="array" ref="AN1028">_xlfn.IFS(AM1028 &lt;= 3, "New to Role[1-3]", AM1028 &lt;= 7, "Settled[4-7]", AM1028 &lt;= 12, "Experienced[[8-12]", AM1028 &lt;= 18, "Long Tenured[13-18]")</f>
        <v>New to Role[1-3]</v>
      </c>
      <c r="AO1028" s="1">
        <v>0</v>
      </c>
      <c r="AP1028" s="9" t="str" cm="1">
        <f t="array" ref="AP1028">_xlfn.IFS(AO1028 &lt;= 3, "Recently[1-3]", AO1028 &lt;= 6, "Due Soon[4-6]", AO1028 &lt;= 10, "Overdue[7-10]", AO1028 &lt;= 15, "Long Overdue[11-15]")</f>
        <v>Recently[1-3]</v>
      </c>
      <c r="AQ1028" s="9" t="str" cm="1">
        <f t="array" ref="AQ1028">_xlfn.IFS(AR1028 &lt;= 3, "New Relationship[1-3]", AR1028 &lt;= 7, "Established Relationship[4-7]", AR1028 &lt;= 12, "Long Term Relationship[8-12]", AR1028 &lt;= 17, "Very Long Term Relationship[13-17]")</f>
        <v>New Relationship[1-3]</v>
      </c>
      <c r="AR1028" s="1">
        <v>3</v>
      </c>
    </row>
    <row r="1029" spans="1:44" x14ac:dyDescent="0.25">
      <c r="A1029" s="1">
        <v>34</v>
      </c>
      <c r="B1029" s="8" t="str" cm="1">
        <f t="array" ref="B1029">_xlfn.IFS(A1029 &lt;= 25, "[18-25]", A1029 &lt;= 35, "[26-35]", A1029 &lt;=45, "[36-45]", A1029 &lt;= 60, "[46- 60]")</f>
        <v>[26-35]</v>
      </c>
      <c r="C1029" s="3" t="s">
        <v>43</v>
      </c>
      <c r="D1029">
        <f t="shared" si="16"/>
        <v>0</v>
      </c>
      <c r="E1029" t="s">
        <v>36</v>
      </c>
      <c r="F1029" s="1">
        <v>401</v>
      </c>
      <c r="G1029" s="3" t="s">
        <v>45</v>
      </c>
      <c r="H1029" s="1">
        <v>1</v>
      </c>
      <c r="I1029" s="9" t="str" cm="1">
        <f t="array" ref="I1029">_xlfn.IFS(H1029 &lt;= 2, "[1-2] very close", H1029 &lt;= 10, "[3-10] close", H1029 &lt;= 20, "[11-20] moderate", H1029 &lt;= 30, "[21-30] far")</f>
        <v>[1-2] very close</v>
      </c>
      <c r="J1029" s="1">
        <v>3</v>
      </c>
      <c r="K1029" s="3" t="s">
        <v>38</v>
      </c>
      <c r="L1029" s="1">
        <v>1</v>
      </c>
      <c r="M1029" s="1">
        <v>1447</v>
      </c>
      <c r="N1029" s="1">
        <v>4</v>
      </c>
      <c r="O1029" s="3" t="s">
        <v>39</v>
      </c>
      <c r="P1029" s="1">
        <v>86</v>
      </c>
      <c r="Q1029" s="1">
        <v>2</v>
      </c>
      <c r="R1029" s="1">
        <v>1</v>
      </c>
      <c r="S1029" s="3" t="s">
        <v>50</v>
      </c>
      <c r="T1029" s="1">
        <v>2</v>
      </c>
      <c r="U1029" s="3" t="s">
        <v>48</v>
      </c>
      <c r="V1029" s="4">
        <v>3294</v>
      </c>
      <c r="W1029" s="1">
        <v>3708</v>
      </c>
      <c r="X1029" s="1">
        <v>5</v>
      </c>
      <c r="Y1029" s="3" t="s">
        <v>42</v>
      </c>
      <c r="Z1029" s="3" t="s">
        <v>43</v>
      </c>
      <c r="AA1029" s="5">
        <v>0.17</v>
      </c>
      <c r="AB1029" s="10" t="str" cm="1">
        <f t="array" ref="AB1029">_xlfn.IFS(AA1029 &lt;= 15%, "Low Hike[11-15%]", AA1029 &lt;= 20%, "Moderate Hike[16-20%]", AA1029 &lt;= 25%,"High Hike[21-25%]")</f>
        <v>Moderate Hike[16-20%]</v>
      </c>
      <c r="AC1029" s="1">
        <v>3</v>
      </c>
      <c r="AD1029" s="1">
        <v>1</v>
      </c>
      <c r="AE1029" s="1">
        <v>80</v>
      </c>
      <c r="AF1029" s="1">
        <v>1</v>
      </c>
      <c r="AG1029" s="1">
        <v>7</v>
      </c>
      <c r="AH1029" s="9" t="str" cm="1">
        <f t="array" ref="AH1029">_xlfn.IFS(AG1029 &lt;= 5, "New[1-5]", AG1029 &lt;= 10, "Early Career[6-10]", AG1029 &lt;= 20, "Established[11-20]", AG1029 &lt;= 30, "Veteran[21-30]", AG1029 &lt;= 40, "Late Career[31-40]")</f>
        <v>Early Career[6-10]</v>
      </c>
      <c r="AI1029" s="1">
        <v>2</v>
      </c>
      <c r="AJ1029" s="1">
        <v>2</v>
      </c>
      <c r="AK1029" s="1">
        <v>5</v>
      </c>
      <c r="AL1029" s="9" t="str" cm="1">
        <f t="array" ref="AL1029">_xlfn.IFS(AK1029 &lt;= 5, "New[1-5]", AK1029 &lt;= 10, "Early Career[6-10]", AK1029 &lt;= 20, "Established[11-20]", AK1029 &lt;= 30, "Veteran[21-30]", AK1029 &lt;= 40, "Late Career[31-40]")</f>
        <v>New[1-5]</v>
      </c>
      <c r="AM1029" s="1">
        <v>4</v>
      </c>
      <c r="AN1029" s="9" t="str" cm="1">
        <f t="array" ref="AN1029">_xlfn.IFS(AM1029 &lt;= 3, "New to Role[1-3]", AM1029 &lt;= 7, "Settled[4-7]", AM1029 &lt;= 12, "Experienced[[8-12]", AM1029 &lt;= 18, "Long Tenured[13-18]")</f>
        <v>Settled[4-7]</v>
      </c>
      <c r="AO1029" s="1">
        <v>0</v>
      </c>
      <c r="AP1029" s="9" t="str" cm="1">
        <f t="array" ref="AP1029">_xlfn.IFS(AO1029 &lt;= 3, "Recently[1-3]", AO1029 &lt;= 6, "Due Soon[4-6]", AO1029 &lt;= 10, "Overdue[7-10]", AO1029 &lt;= 15, "Long Overdue[11-15]")</f>
        <v>Recently[1-3]</v>
      </c>
      <c r="AQ1029" s="9" t="str" cm="1">
        <f t="array" ref="AQ1029">_xlfn.IFS(AR1029 &lt;= 3, "New Relationship[1-3]", AR1029 &lt;= 7, "Established Relationship[4-7]", AR1029 &lt;= 12, "Long Term Relationship[8-12]", AR1029 &lt;= 17, "Very Long Term Relationship[13-17]")</f>
        <v>New Relationship[1-3]</v>
      </c>
      <c r="AR1029" s="1">
        <v>2</v>
      </c>
    </row>
    <row r="1030" spans="1:44" x14ac:dyDescent="0.25">
      <c r="A1030" s="1">
        <v>41</v>
      </c>
      <c r="B1030" s="8" t="str" cm="1">
        <f t="array" ref="B1030">_xlfn.IFS(A1030 &lt;= 25, "[18-25]", A1030 &lt;= 35, "[26-35]", A1030 &lt;=45, "[36-45]", A1030 &lt;= 60, "[46- 60]")</f>
        <v>[36-45]</v>
      </c>
      <c r="C1030" s="3" t="s">
        <v>43</v>
      </c>
      <c r="D1030">
        <f t="shared" si="16"/>
        <v>0</v>
      </c>
      <c r="E1030" t="s">
        <v>36</v>
      </c>
      <c r="F1030" s="1">
        <v>1283</v>
      </c>
      <c r="G1030" s="3" t="s">
        <v>45</v>
      </c>
      <c r="H1030" s="1">
        <v>5</v>
      </c>
      <c r="I1030" s="9" t="str" cm="1">
        <f t="array" ref="I1030">_xlfn.IFS(H1030 &lt;= 2, "[1-2] very close", H1030 &lt;= 10, "[3-10] close", H1030 &lt;= 20, "[11-20] moderate", H1030 &lt;= 30, "[21-30] far")</f>
        <v>[3-10] close</v>
      </c>
      <c r="J1030" s="1">
        <v>5</v>
      </c>
      <c r="K1030" s="3" t="s">
        <v>51</v>
      </c>
      <c r="L1030" s="1">
        <v>1</v>
      </c>
      <c r="M1030" s="1">
        <v>1448</v>
      </c>
      <c r="N1030" s="1">
        <v>2</v>
      </c>
      <c r="O1030" s="3" t="s">
        <v>46</v>
      </c>
      <c r="P1030" s="1">
        <v>90</v>
      </c>
      <c r="Q1030" s="1">
        <v>4</v>
      </c>
      <c r="R1030" s="1">
        <v>1</v>
      </c>
      <c r="S1030" s="3" t="s">
        <v>47</v>
      </c>
      <c r="T1030" s="1">
        <v>3</v>
      </c>
      <c r="U1030" s="3" t="s">
        <v>48</v>
      </c>
      <c r="V1030" s="4">
        <v>2127</v>
      </c>
      <c r="W1030" s="1">
        <v>5561</v>
      </c>
      <c r="X1030" s="1">
        <v>2</v>
      </c>
      <c r="Y1030" s="3" t="s">
        <v>42</v>
      </c>
      <c r="Z1030" s="3" t="s">
        <v>35</v>
      </c>
      <c r="AA1030" s="5">
        <v>0.12</v>
      </c>
      <c r="AB1030" s="10" t="str" cm="1">
        <f t="array" ref="AB1030">_xlfn.IFS(AA1030 &lt;= 15%, "Low Hike[11-15%]", AA1030 &lt;= 20%, "Moderate Hike[16-20%]", AA1030 &lt;= 25%,"High Hike[21-25%]")</f>
        <v>Low Hike[11-15%]</v>
      </c>
      <c r="AC1030" s="1">
        <v>3</v>
      </c>
      <c r="AD1030" s="1">
        <v>1</v>
      </c>
      <c r="AE1030" s="1">
        <v>80</v>
      </c>
      <c r="AF1030" s="1">
        <v>0</v>
      </c>
      <c r="AG1030" s="1">
        <v>7</v>
      </c>
      <c r="AH1030" s="9" t="str" cm="1">
        <f t="array" ref="AH1030">_xlfn.IFS(AG1030 &lt;= 5, "New[1-5]", AG1030 &lt;= 10, "Early Career[6-10]", AG1030 &lt;= 20, "Established[11-20]", AG1030 &lt;= 30, "Veteran[21-30]", AG1030 &lt;= 40, "Late Career[31-40]")</f>
        <v>Early Career[6-10]</v>
      </c>
      <c r="AI1030" s="1">
        <v>5</v>
      </c>
      <c r="AJ1030" s="1">
        <v>2</v>
      </c>
      <c r="AK1030" s="1">
        <v>4</v>
      </c>
      <c r="AL1030" s="9" t="str" cm="1">
        <f t="array" ref="AL1030">_xlfn.IFS(AK1030 &lt;= 5, "New[1-5]", AK1030 &lt;= 10, "Early Career[6-10]", AK1030 &lt;= 20, "Established[11-20]", AK1030 &lt;= 30, "Veteran[21-30]", AK1030 &lt;= 40, "Late Career[31-40]")</f>
        <v>New[1-5]</v>
      </c>
      <c r="AM1030" s="1">
        <v>2</v>
      </c>
      <c r="AN1030" s="9" t="str" cm="1">
        <f t="array" ref="AN1030">_xlfn.IFS(AM1030 &lt;= 3, "New to Role[1-3]", AM1030 &lt;= 7, "Settled[4-7]", AM1030 &lt;= 12, "Experienced[[8-12]", AM1030 &lt;= 18, "Long Tenured[13-18]")</f>
        <v>New to Role[1-3]</v>
      </c>
      <c r="AO1030" s="1">
        <v>0</v>
      </c>
      <c r="AP1030" s="9" t="str" cm="1">
        <f t="array" ref="AP1030">_xlfn.IFS(AO1030 &lt;= 3, "Recently[1-3]", AO1030 &lt;= 6, "Due Soon[4-6]", AO1030 &lt;= 10, "Overdue[7-10]", AO1030 &lt;= 15, "Long Overdue[11-15]")</f>
        <v>Recently[1-3]</v>
      </c>
      <c r="AQ1030" s="9" t="str" cm="1">
        <f t="array" ref="AQ1030">_xlfn.IFS(AR1030 &lt;= 3, "New Relationship[1-3]", AR1030 &lt;= 7, "Established Relationship[4-7]", AR1030 &lt;= 12, "Long Term Relationship[8-12]", AR1030 &lt;= 17, "Very Long Term Relationship[13-17]")</f>
        <v>New Relationship[1-3]</v>
      </c>
      <c r="AR1030" s="1">
        <v>3</v>
      </c>
    </row>
    <row r="1031" spans="1:44" x14ac:dyDescent="0.25">
      <c r="A1031" s="1">
        <v>40</v>
      </c>
      <c r="B1031" s="8" t="str" cm="1">
        <f t="array" ref="B1031">_xlfn.IFS(A1031 &lt;= 25, "[18-25]", A1031 &lt;= 35, "[26-35]", A1031 &lt;=45, "[36-45]", A1031 &lt;= 60, "[46- 60]")</f>
        <v>[36-45]</v>
      </c>
      <c r="C1031" s="3" t="s">
        <v>43</v>
      </c>
      <c r="D1031">
        <f t="shared" si="16"/>
        <v>0</v>
      </c>
      <c r="E1031" t="s">
        <v>62</v>
      </c>
      <c r="F1031" s="1">
        <v>663</v>
      </c>
      <c r="G1031" s="3" t="s">
        <v>45</v>
      </c>
      <c r="H1031" s="1">
        <v>9</v>
      </c>
      <c r="I1031" s="9" t="str" cm="1">
        <f t="array" ref="I1031">_xlfn.IFS(H1031 &lt;= 2, "[1-2] very close", H1031 &lt;= 10, "[3-10] close", H1031 &lt;= 20, "[11-20] moderate", H1031 &lt;= 30, "[21-30] far")</f>
        <v>[3-10] close</v>
      </c>
      <c r="J1031" s="1">
        <v>4</v>
      </c>
      <c r="K1031" s="3" t="s">
        <v>49</v>
      </c>
      <c r="L1031" s="1">
        <v>1</v>
      </c>
      <c r="M1031" s="1">
        <v>1449</v>
      </c>
      <c r="N1031" s="1">
        <v>3</v>
      </c>
      <c r="O1031" s="3" t="s">
        <v>46</v>
      </c>
      <c r="P1031" s="1">
        <v>81</v>
      </c>
      <c r="Q1031" s="1">
        <v>3</v>
      </c>
      <c r="R1031" s="1">
        <v>2</v>
      </c>
      <c r="S1031" s="3" t="s">
        <v>50</v>
      </c>
      <c r="T1031" s="1">
        <v>3</v>
      </c>
      <c r="U1031" s="3" t="s">
        <v>52</v>
      </c>
      <c r="V1031" s="4">
        <v>3975</v>
      </c>
      <c r="W1031" s="1">
        <v>23099</v>
      </c>
      <c r="X1031" s="1">
        <v>3</v>
      </c>
      <c r="Y1031" s="3" t="s">
        <v>42</v>
      </c>
      <c r="Z1031" s="3" t="s">
        <v>43</v>
      </c>
      <c r="AA1031" s="5">
        <v>0.11</v>
      </c>
      <c r="AB1031" s="10" t="str" cm="1">
        <f t="array" ref="AB1031">_xlfn.IFS(AA1031 &lt;= 15%, "Low Hike[11-15%]", AA1031 &lt;= 20%, "Moderate Hike[16-20%]", AA1031 &lt;= 25%,"High Hike[21-25%]")</f>
        <v>Low Hike[11-15%]</v>
      </c>
      <c r="AC1031" s="1">
        <v>3</v>
      </c>
      <c r="AD1031" s="1">
        <v>3</v>
      </c>
      <c r="AE1031" s="1">
        <v>80</v>
      </c>
      <c r="AF1031" s="1">
        <v>2</v>
      </c>
      <c r="AG1031" s="1">
        <v>11</v>
      </c>
      <c r="AH1031" s="9" t="str" cm="1">
        <f t="array" ref="AH1031">_xlfn.IFS(AG1031 &lt;= 5, "New[1-5]", AG1031 &lt;= 10, "Early Career[6-10]", AG1031 &lt;= 20, "Established[11-20]", AG1031 &lt;= 30, "Veteran[21-30]", AG1031 &lt;= 40, "Late Career[31-40]")</f>
        <v>Established[11-20]</v>
      </c>
      <c r="AI1031" s="1">
        <v>2</v>
      </c>
      <c r="AJ1031" s="1">
        <v>4</v>
      </c>
      <c r="AK1031" s="1">
        <v>8</v>
      </c>
      <c r="AL1031" s="9" t="str" cm="1">
        <f t="array" ref="AL1031">_xlfn.IFS(AK1031 &lt;= 5, "New[1-5]", AK1031 &lt;= 10, "Early Career[6-10]", AK1031 &lt;= 20, "Established[11-20]", AK1031 &lt;= 30, "Veteran[21-30]", AK1031 &lt;= 40, "Late Career[31-40]")</f>
        <v>Early Career[6-10]</v>
      </c>
      <c r="AM1031" s="1">
        <v>7</v>
      </c>
      <c r="AN1031" s="9" t="str" cm="1">
        <f t="array" ref="AN1031">_xlfn.IFS(AM1031 &lt;= 3, "New to Role[1-3]", AM1031 &lt;= 7, "Settled[4-7]", AM1031 &lt;= 12, "Experienced[[8-12]", AM1031 &lt;= 18, "Long Tenured[13-18]")</f>
        <v>Settled[4-7]</v>
      </c>
      <c r="AO1031" s="1">
        <v>0</v>
      </c>
      <c r="AP1031" s="9" t="str" cm="1">
        <f t="array" ref="AP1031">_xlfn.IFS(AO1031 &lt;= 3, "Recently[1-3]", AO1031 &lt;= 6, "Due Soon[4-6]", AO1031 &lt;= 10, "Overdue[7-10]", AO1031 &lt;= 15, "Long Overdue[11-15]")</f>
        <v>Recently[1-3]</v>
      </c>
      <c r="AQ1031" s="9" t="str" cm="1">
        <f t="array" ref="AQ1031">_xlfn.IFS(AR1031 &lt;= 3, "New Relationship[1-3]", AR1031 &lt;= 7, "Established Relationship[4-7]", AR1031 &lt;= 12, "Long Term Relationship[8-12]", AR1031 &lt;= 17, "Very Long Term Relationship[13-17]")</f>
        <v>Established Relationship[4-7]</v>
      </c>
      <c r="AR1031" s="1">
        <v>7</v>
      </c>
    </row>
    <row r="1032" spans="1:44" x14ac:dyDescent="0.25">
      <c r="A1032" s="1">
        <v>31</v>
      </c>
      <c r="B1032" s="8" t="str" cm="1">
        <f t="array" ref="B1032">_xlfn.IFS(A1032 &lt;= 25, "[18-25]", A1032 &lt;= 35, "[26-35]", A1032 &lt;=45, "[36-45]", A1032 &lt;= 60, "[46- 60]")</f>
        <v>[26-35]</v>
      </c>
      <c r="C1032" s="3" t="s">
        <v>43</v>
      </c>
      <c r="D1032">
        <f t="shared" si="16"/>
        <v>0</v>
      </c>
      <c r="E1032" t="s">
        <v>36</v>
      </c>
      <c r="F1032" s="1">
        <v>326</v>
      </c>
      <c r="G1032" s="3" t="s">
        <v>37</v>
      </c>
      <c r="H1032" s="1">
        <v>8</v>
      </c>
      <c r="I1032" s="9" t="str" cm="1">
        <f t="array" ref="I1032">_xlfn.IFS(H1032 &lt;= 2, "[1-2] very close", H1032 &lt;= 10, "[3-10] close", H1032 &lt;= 20, "[11-20] moderate", H1032 &lt;= 30, "[21-30] far")</f>
        <v>[3-10] close</v>
      </c>
      <c r="J1032" s="1">
        <v>2</v>
      </c>
      <c r="K1032" s="3" t="s">
        <v>38</v>
      </c>
      <c r="L1032" s="1">
        <v>1</v>
      </c>
      <c r="M1032" s="1">
        <v>1453</v>
      </c>
      <c r="N1032" s="1">
        <v>1</v>
      </c>
      <c r="O1032" s="3" t="s">
        <v>46</v>
      </c>
      <c r="P1032" s="1">
        <v>31</v>
      </c>
      <c r="Q1032" s="1">
        <v>3</v>
      </c>
      <c r="R1032" s="1">
        <v>3</v>
      </c>
      <c r="S1032" s="3" t="s">
        <v>40</v>
      </c>
      <c r="T1032" s="1">
        <v>4</v>
      </c>
      <c r="U1032" s="3" t="s">
        <v>52</v>
      </c>
      <c r="V1032" s="4">
        <v>10793</v>
      </c>
      <c r="W1032" s="1">
        <v>8386</v>
      </c>
      <c r="X1032" s="1">
        <v>1</v>
      </c>
      <c r="Y1032" s="3" t="s">
        <v>42</v>
      </c>
      <c r="Z1032" s="3" t="s">
        <v>43</v>
      </c>
      <c r="AA1032" s="5">
        <v>0.18</v>
      </c>
      <c r="AB1032" s="10" t="str" cm="1">
        <f t="array" ref="AB1032">_xlfn.IFS(AA1032 &lt;= 15%, "Low Hike[11-15%]", AA1032 &lt;= 20%, "Moderate Hike[16-20%]", AA1032 &lt;= 25%,"High Hike[21-25%]")</f>
        <v>Moderate Hike[16-20%]</v>
      </c>
      <c r="AC1032" s="1">
        <v>3</v>
      </c>
      <c r="AD1032" s="1">
        <v>1</v>
      </c>
      <c r="AE1032" s="1">
        <v>80</v>
      </c>
      <c r="AF1032" s="1">
        <v>1</v>
      </c>
      <c r="AG1032" s="1">
        <v>13</v>
      </c>
      <c r="AH1032" s="9" t="str" cm="1">
        <f t="array" ref="AH1032">_xlfn.IFS(AG1032 &lt;= 5, "New[1-5]", AG1032 &lt;= 10, "Early Career[6-10]", AG1032 &lt;= 20, "Established[11-20]", AG1032 &lt;= 30, "Veteran[21-30]", AG1032 &lt;= 40, "Late Career[31-40]")</f>
        <v>Established[11-20]</v>
      </c>
      <c r="AI1032" s="1">
        <v>5</v>
      </c>
      <c r="AJ1032" s="1">
        <v>3</v>
      </c>
      <c r="AK1032" s="1">
        <v>13</v>
      </c>
      <c r="AL1032" s="9" t="str" cm="1">
        <f t="array" ref="AL1032">_xlfn.IFS(AK1032 &lt;= 5, "New[1-5]", AK1032 &lt;= 10, "Early Career[6-10]", AK1032 &lt;= 20, "Established[11-20]", AK1032 &lt;= 30, "Veteran[21-30]", AK1032 &lt;= 40, "Late Career[31-40]")</f>
        <v>Established[11-20]</v>
      </c>
      <c r="AM1032" s="1">
        <v>7</v>
      </c>
      <c r="AN1032" s="9" t="str" cm="1">
        <f t="array" ref="AN1032">_xlfn.IFS(AM1032 &lt;= 3, "New to Role[1-3]", AM1032 &lt;= 7, "Settled[4-7]", AM1032 &lt;= 12, "Experienced[[8-12]", AM1032 &lt;= 18, "Long Tenured[13-18]")</f>
        <v>Settled[4-7]</v>
      </c>
      <c r="AO1032" s="1">
        <v>9</v>
      </c>
      <c r="AP1032" s="9" t="str" cm="1">
        <f t="array" ref="AP1032">_xlfn.IFS(AO1032 &lt;= 3, "Recently[1-3]", AO1032 &lt;= 6, "Due Soon[4-6]", AO1032 &lt;= 10, "Overdue[7-10]", AO1032 &lt;= 15, "Long Overdue[11-15]")</f>
        <v>Overdue[7-10]</v>
      </c>
      <c r="AQ1032" s="9" t="str" cm="1">
        <f t="array" ref="AQ1032">_xlfn.IFS(AR1032 &lt;= 3, "New Relationship[1-3]", AR1032 &lt;= 7, "Established Relationship[4-7]", AR1032 &lt;= 12, "Long Term Relationship[8-12]", AR1032 &lt;= 17, "Very Long Term Relationship[13-17]")</f>
        <v>Long Term Relationship[8-12]</v>
      </c>
      <c r="AR1032" s="1">
        <v>9</v>
      </c>
    </row>
    <row r="1033" spans="1:44" x14ac:dyDescent="0.25">
      <c r="A1033" s="1">
        <v>46</v>
      </c>
      <c r="B1033" s="8" t="str" cm="1">
        <f t="array" ref="B1033">_xlfn.IFS(A1033 &lt;= 25, "[18-25]", A1033 &lt;= 35, "[26-35]", A1033 &lt;=45, "[36-45]", A1033 &lt;= 60, "[46- 60]")</f>
        <v>[46- 60]</v>
      </c>
      <c r="C1033" s="3" t="s">
        <v>35</v>
      </c>
      <c r="D1033">
        <f t="shared" si="16"/>
        <v>1</v>
      </c>
      <c r="E1033" t="s">
        <v>36</v>
      </c>
      <c r="F1033" s="1">
        <v>377</v>
      </c>
      <c r="G1033" s="3" t="s">
        <v>37</v>
      </c>
      <c r="H1033" s="1">
        <v>9</v>
      </c>
      <c r="I1033" s="9" t="str" cm="1">
        <f t="array" ref="I1033">_xlfn.IFS(H1033 &lt;= 2, "[1-2] very close", H1033 &lt;= 10, "[3-10] close", H1033 &lt;= 20, "[11-20] moderate", H1033 &lt;= 30, "[21-30] far")</f>
        <v>[3-10] close</v>
      </c>
      <c r="J1033" s="1">
        <v>3</v>
      </c>
      <c r="K1033" s="3" t="s">
        <v>59</v>
      </c>
      <c r="L1033" s="1">
        <v>1</v>
      </c>
      <c r="M1033" s="1">
        <v>1457</v>
      </c>
      <c r="N1033" s="1">
        <v>1</v>
      </c>
      <c r="O1033" s="3" t="s">
        <v>46</v>
      </c>
      <c r="P1033" s="1">
        <v>52</v>
      </c>
      <c r="Q1033" s="1">
        <v>3</v>
      </c>
      <c r="R1033" s="1">
        <v>3</v>
      </c>
      <c r="S1033" s="3" t="s">
        <v>40</v>
      </c>
      <c r="T1033" s="1">
        <v>4</v>
      </c>
      <c r="U1033" s="3" t="s">
        <v>52</v>
      </c>
      <c r="V1033" s="4">
        <v>10096</v>
      </c>
      <c r="W1033" s="1">
        <v>15986</v>
      </c>
      <c r="X1033" s="1">
        <v>4</v>
      </c>
      <c r="Y1033" s="3" t="s">
        <v>42</v>
      </c>
      <c r="Z1033" s="3" t="s">
        <v>43</v>
      </c>
      <c r="AA1033" s="5">
        <v>0.11</v>
      </c>
      <c r="AB1033" s="10" t="str" cm="1">
        <f t="array" ref="AB1033">_xlfn.IFS(AA1033 &lt;= 15%, "Low Hike[11-15%]", AA1033 &lt;= 20%, "Moderate Hike[16-20%]", AA1033 &lt;= 25%,"High Hike[21-25%]")</f>
        <v>Low Hike[11-15%]</v>
      </c>
      <c r="AC1033" s="1">
        <v>3</v>
      </c>
      <c r="AD1033" s="1">
        <v>1</v>
      </c>
      <c r="AE1033" s="1">
        <v>80</v>
      </c>
      <c r="AF1033" s="1">
        <v>1</v>
      </c>
      <c r="AG1033" s="1">
        <v>28</v>
      </c>
      <c r="AH1033" s="9" t="str" cm="1">
        <f t="array" ref="AH1033">_xlfn.IFS(AG1033 &lt;= 5, "New[1-5]", AG1033 &lt;= 10, "Early Career[6-10]", AG1033 &lt;= 20, "Established[11-20]", AG1033 &lt;= 30, "Veteran[21-30]", AG1033 &lt;= 40, "Late Career[31-40]")</f>
        <v>Veteran[21-30]</v>
      </c>
      <c r="AI1033" s="1">
        <v>1</v>
      </c>
      <c r="AJ1033" s="1">
        <v>4</v>
      </c>
      <c r="AK1033" s="1">
        <v>7</v>
      </c>
      <c r="AL1033" s="9" t="str" cm="1">
        <f t="array" ref="AL1033">_xlfn.IFS(AK1033 &lt;= 5, "New[1-5]", AK1033 &lt;= 10, "Early Career[6-10]", AK1033 &lt;= 20, "Established[11-20]", AK1033 &lt;= 30, "Veteran[21-30]", AK1033 &lt;= 40, "Late Career[31-40]")</f>
        <v>Early Career[6-10]</v>
      </c>
      <c r="AM1033" s="1">
        <v>7</v>
      </c>
      <c r="AN1033" s="9" t="str" cm="1">
        <f t="array" ref="AN1033">_xlfn.IFS(AM1033 &lt;= 3, "New to Role[1-3]", AM1033 &lt;= 7, "Settled[4-7]", AM1033 &lt;= 12, "Experienced[[8-12]", AM1033 &lt;= 18, "Long Tenured[13-18]")</f>
        <v>Settled[4-7]</v>
      </c>
      <c r="AO1033" s="1">
        <v>4</v>
      </c>
      <c r="AP1033" s="9" t="str" cm="1">
        <f t="array" ref="AP1033">_xlfn.IFS(AO1033 &lt;= 3, "Recently[1-3]", AO1033 &lt;= 6, "Due Soon[4-6]", AO1033 &lt;= 10, "Overdue[7-10]", AO1033 &lt;= 15, "Long Overdue[11-15]")</f>
        <v>Due Soon[4-6]</v>
      </c>
      <c r="AQ1033" s="9" t="str" cm="1">
        <f t="array" ref="AQ1033">_xlfn.IFS(AR1033 &lt;= 3, "New Relationship[1-3]", AR1033 &lt;= 7, "Established Relationship[4-7]", AR1033 &lt;= 12, "Long Term Relationship[8-12]", AR1033 &lt;= 17, "Very Long Term Relationship[13-17]")</f>
        <v>New Relationship[1-3]</v>
      </c>
      <c r="AR1033" s="1">
        <v>3</v>
      </c>
    </row>
    <row r="1034" spans="1:44" x14ac:dyDescent="0.25">
      <c r="A1034" s="1">
        <v>39</v>
      </c>
      <c r="B1034" s="8" t="str" cm="1">
        <f t="array" ref="B1034">_xlfn.IFS(A1034 &lt;= 25, "[18-25]", A1034 &lt;= 35, "[26-35]", A1034 &lt;=45, "[36-45]", A1034 &lt;= 60, "[46- 60]")</f>
        <v>[36-45]</v>
      </c>
      <c r="C1034" s="3" t="s">
        <v>35</v>
      </c>
      <c r="D1034">
        <f t="shared" si="16"/>
        <v>1</v>
      </c>
      <c r="E1034" t="s">
        <v>62</v>
      </c>
      <c r="F1034" s="1">
        <v>592</v>
      </c>
      <c r="G1034" s="3" t="s">
        <v>45</v>
      </c>
      <c r="H1034" s="1">
        <v>2</v>
      </c>
      <c r="I1034" s="9" t="str" cm="1">
        <f t="array" ref="I1034">_xlfn.IFS(H1034 &lt;= 2, "[1-2] very close", H1034 &lt;= 10, "[3-10] close", H1034 &lt;= 20, "[11-20] moderate", H1034 &lt;= 30, "[21-30] far")</f>
        <v>[1-2] very close</v>
      </c>
      <c r="J1034" s="1">
        <v>3</v>
      </c>
      <c r="K1034" s="3" t="s">
        <v>38</v>
      </c>
      <c r="L1034" s="1">
        <v>1</v>
      </c>
      <c r="M1034" s="1">
        <v>1458</v>
      </c>
      <c r="N1034" s="1">
        <v>1</v>
      </c>
      <c r="O1034" s="3" t="s">
        <v>39</v>
      </c>
      <c r="P1034" s="1">
        <v>54</v>
      </c>
      <c r="Q1034" s="1">
        <v>2</v>
      </c>
      <c r="R1034" s="1">
        <v>1</v>
      </c>
      <c r="S1034" s="3" t="s">
        <v>50</v>
      </c>
      <c r="T1034" s="1">
        <v>1</v>
      </c>
      <c r="U1034" s="3" t="s">
        <v>41</v>
      </c>
      <c r="V1034" s="4">
        <v>3646</v>
      </c>
      <c r="W1034" s="1">
        <v>17181</v>
      </c>
      <c r="X1034" s="1">
        <v>2</v>
      </c>
      <c r="Y1034" s="3" t="s">
        <v>42</v>
      </c>
      <c r="Z1034" s="3" t="s">
        <v>35</v>
      </c>
      <c r="AA1034" s="5">
        <v>0.23</v>
      </c>
      <c r="AB1034" s="10" t="str" cm="1">
        <f t="array" ref="AB1034">_xlfn.IFS(AA1034 &lt;= 15%, "Low Hike[11-15%]", AA1034 &lt;= 20%, "Moderate Hike[16-20%]", AA1034 &lt;= 25%,"High Hike[21-25%]")</f>
        <v>High Hike[21-25%]</v>
      </c>
      <c r="AC1034" s="1">
        <v>4</v>
      </c>
      <c r="AD1034" s="1">
        <v>2</v>
      </c>
      <c r="AE1034" s="1">
        <v>80</v>
      </c>
      <c r="AF1034" s="1">
        <v>0</v>
      </c>
      <c r="AG1034" s="1">
        <v>11</v>
      </c>
      <c r="AH1034" s="9" t="str" cm="1">
        <f t="array" ref="AH1034">_xlfn.IFS(AG1034 &lt;= 5, "New[1-5]", AG1034 &lt;= 10, "Early Career[6-10]", AG1034 &lt;= 20, "Established[11-20]", AG1034 &lt;= 30, "Veteran[21-30]", AG1034 &lt;= 40, "Late Career[31-40]")</f>
        <v>Established[11-20]</v>
      </c>
      <c r="AI1034" s="1">
        <v>2</v>
      </c>
      <c r="AJ1034" s="1">
        <v>4</v>
      </c>
      <c r="AK1034" s="1">
        <v>1</v>
      </c>
      <c r="AL1034" s="9" t="str" cm="1">
        <f t="array" ref="AL1034">_xlfn.IFS(AK1034 &lt;= 5, "New[1-5]", AK1034 &lt;= 10, "Early Career[6-10]", AK1034 &lt;= 20, "Established[11-20]", AK1034 &lt;= 30, "Veteran[21-30]", AK1034 &lt;= 40, "Late Career[31-40]")</f>
        <v>New[1-5]</v>
      </c>
      <c r="AM1034" s="1">
        <v>0</v>
      </c>
      <c r="AN1034" s="9" t="str" cm="1">
        <f t="array" ref="AN1034">_xlfn.IFS(AM1034 &lt;= 3, "New to Role[1-3]", AM1034 &lt;= 7, "Settled[4-7]", AM1034 &lt;= 12, "Experienced[[8-12]", AM1034 &lt;= 18, "Long Tenured[13-18]")</f>
        <v>New to Role[1-3]</v>
      </c>
      <c r="AO1034" s="1">
        <v>0</v>
      </c>
      <c r="AP1034" s="9" t="str" cm="1">
        <f t="array" ref="AP1034">_xlfn.IFS(AO1034 &lt;= 3, "Recently[1-3]", AO1034 &lt;= 6, "Due Soon[4-6]", AO1034 &lt;= 10, "Overdue[7-10]", AO1034 &lt;= 15, "Long Overdue[11-15]")</f>
        <v>Recently[1-3]</v>
      </c>
      <c r="AQ1034" s="9" t="str" cm="1">
        <f t="array" ref="AQ1034">_xlfn.IFS(AR1034 &lt;= 3, "New Relationship[1-3]", AR1034 &lt;= 7, "Established Relationship[4-7]", AR1034 &lt;= 12, "Long Term Relationship[8-12]", AR1034 &lt;= 17, "Very Long Term Relationship[13-17]")</f>
        <v>New Relationship[1-3]</v>
      </c>
      <c r="AR1034" s="1">
        <v>0</v>
      </c>
    </row>
    <row r="1035" spans="1:44" x14ac:dyDescent="0.25">
      <c r="A1035" s="1">
        <v>31</v>
      </c>
      <c r="B1035" s="8" t="str" cm="1">
        <f t="array" ref="B1035">_xlfn.IFS(A1035 &lt;= 25, "[18-25]", A1035 &lt;= 35, "[26-35]", A1035 &lt;=45, "[36-45]", A1035 &lt;= 60, "[46- 60]")</f>
        <v>[26-35]</v>
      </c>
      <c r="C1035" s="3" t="s">
        <v>35</v>
      </c>
      <c r="D1035">
        <f t="shared" si="16"/>
        <v>1</v>
      </c>
      <c r="E1035" t="s">
        <v>44</v>
      </c>
      <c r="F1035" s="1">
        <v>1445</v>
      </c>
      <c r="G1035" s="3" t="s">
        <v>45</v>
      </c>
      <c r="H1035" s="1">
        <v>1</v>
      </c>
      <c r="I1035" s="9" t="str" cm="1">
        <f t="array" ref="I1035">_xlfn.IFS(H1035 &lt;= 2, "[1-2] very close", H1035 &lt;= 10, "[3-10] close", H1035 &lt;= 20, "[11-20] moderate", H1035 &lt;= 30, "[21-30] far")</f>
        <v>[1-2] very close</v>
      </c>
      <c r="J1035" s="1">
        <v>5</v>
      </c>
      <c r="K1035" s="3" t="s">
        <v>38</v>
      </c>
      <c r="L1035" s="1">
        <v>1</v>
      </c>
      <c r="M1035" s="1">
        <v>1459</v>
      </c>
      <c r="N1035" s="1">
        <v>3</v>
      </c>
      <c r="O1035" s="3" t="s">
        <v>39</v>
      </c>
      <c r="P1035" s="1">
        <v>100</v>
      </c>
      <c r="Q1035" s="1">
        <v>4</v>
      </c>
      <c r="R1035" s="1">
        <v>3</v>
      </c>
      <c r="S1035" s="3" t="s">
        <v>53</v>
      </c>
      <c r="T1035" s="1">
        <v>2</v>
      </c>
      <c r="U1035" s="3" t="s">
        <v>41</v>
      </c>
      <c r="V1035" s="4">
        <v>7446</v>
      </c>
      <c r="W1035" s="1">
        <v>8931</v>
      </c>
      <c r="X1035" s="1">
        <v>1</v>
      </c>
      <c r="Y1035" s="3" t="s">
        <v>42</v>
      </c>
      <c r="Z1035" s="3" t="s">
        <v>43</v>
      </c>
      <c r="AA1035" s="5">
        <v>0.11</v>
      </c>
      <c r="AB1035" s="10" t="str" cm="1">
        <f t="array" ref="AB1035">_xlfn.IFS(AA1035 &lt;= 15%, "Low Hike[11-15%]", AA1035 &lt;= 20%, "Moderate Hike[16-20%]", AA1035 &lt;= 25%,"High Hike[21-25%]")</f>
        <v>Low Hike[11-15%]</v>
      </c>
      <c r="AC1035" s="1">
        <v>3</v>
      </c>
      <c r="AD1035" s="1">
        <v>1</v>
      </c>
      <c r="AE1035" s="1">
        <v>80</v>
      </c>
      <c r="AF1035" s="1">
        <v>0</v>
      </c>
      <c r="AG1035" s="1">
        <v>10</v>
      </c>
      <c r="AH1035" s="9" t="str" cm="1">
        <f t="array" ref="AH1035">_xlfn.IFS(AG1035 &lt;= 5, "New[1-5]", AG1035 &lt;= 10, "Early Career[6-10]", AG1035 &lt;= 20, "Established[11-20]", AG1035 &lt;= 30, "Veteran[21-30]", AG1035 &lt;= 40, "Late Career[31-40]")</f>
        <v>Early Career[6-10]</v>
      </c>
      <c r="AI1035" s="1">
        <v>2</v>
      </c>
      <c r="AJ1035" s="1">
        <v>3</v>
      </c>
      <c r="AK1035" s="1">
        <v>10</v>
      </c>
      <c r="AL1035" s="9" t="str" cm="1">
        <f t="array" ref="AL1035">_xlfn.IFS(AK1035 &lt;= 5, "New[1-5]", AK1035 &lt;= 10, "Early Career[6-10]", AK1035 &lt;= 20, "Established[11-20]", AK1035 &lt;= 30, "Veteran[21-30]", AK1035 &lt;= 40, "Late Career[31-40]")</f>
        <v>Early Career[6-10]</v>
      </c>
      <c r="AM1035" s="1">
        <v>8</v>
      </c>
      <c r="AN1035" s="9" t="str" cm="1">
        <f t="array" ref="AN1035">_xlfn.IFS(AM1035 &lt;= 3, "New to Role[1-3]", AM1035 &lt;= 7, "Settled[4-7]", AM1035 &lt;= 12, "Experienced[[8-12]", AM1035 &lt;= 18, "Long Tenured[13-18]")</f>
        <v>Experienced[[8-12]</v>
      </c>
      <c r="AO1035" s="1">
        <v>4</v>
      </c>
      <c r="AP1035" s="9" t="str" cm="1">
        <f t="array" ref="AP1035">_xlfn.IFS(AO1035 &lt;= 3, "Recently[1-3]", AO1035 &lt;= 6, "Due Soon[4-6]", AO1035 &lt;= 10, "Overdue[7-10]", AO1035 &lt;= 15, "Long Overdue[11-15]")</f>
        <v>Due Soon[4-6]</v>
      </c>
      <c r="AQ1035" s="9" t="str" cm="1">
        <f t="array" ref="AQ1035">_xlfn.IFS(AR1035 &lt;= 3, "New Relationship[1-3]", AR1035 &lt;= 7, "Established Relationship[4-7]", AR1035 &lt;= 12, "Long Term Relationship[8-12]", AR1035 &lt;= 17, "Very Long Term Relationship[13-17]")</f>
        <v>Established Relationship[4-7]</v>
      </c>
      <c r="AR1035" s="1">
        <v>7</v>
      </c>
    </row>
    <row r="1036" spans="1:44" x14ac:dyDescent="0.25">
      <c r="A1036" s="1">
        <v>45</v>
      </c>
      <c r="B1036" s="8" t="str" cm="1">
        <f t="array" ref="B1036">_xlfn.IFS(A1036 &lt;= 25, "[18-25]", A1036 &lt;= 35, "[26-35]", A1036 &lt;=45, "[36-45]", A1036 &lt;= 60, "[46- 60]")</f>
        <v>[36-45]</v>
      </c>
      <c r="C1036" s="3" t="s">
        <v>43</v>
      </c>
      <c r="D1036">
        <f t="shared" si="16"/>
        <v>0</v>
      </c>
      <c r="E1036" t="s">
        <v>36</v>
      </c>
      <c r="F1036" s="1">
        <v>1038</v>
      </c>
      <c r="G1036" s="3" t="s">
        <v>45</v>
      </c>
      <c r="H1036" s="1">
        <v>20</v>
      </c>
      <c r="I1036" s="9" t="str" cm="1">
        <f t="array" ref="I1036">_xlfn.IFS(H1036 &lt;= 2, "[1-2] very close", H1036 &lt;= 10, "[3-10] close", H1036 &lt;= 20, "[11-20] moderate", H1036 &lt;= 30, "[21-30] far")</f>
        <v>[11-20] moderate</v>
      </c>
      <c r="J1036" s="1">
        <v>3</v>
      </c>
      <c r="K1036" s="3" t="s">
        <v>51</v>
      </c>
      <c r="L1036" s="1">
        <v>1</v>
      </c>
      <c r="M1036" s="1">
        <v>1460</v>
      </c>
      <c r="N1036" s="1">
        <v>2</v>
      </c>
      <c r="O1036" s="3" t="s">
        <v>46</v>
      </c>
      <c r="P1036" s="1">
        <v>95</v>
      </c>
      <c r="Q1036" s="1">
        <v>1</v>
      </c>
      <c r="R1036" s="1">
        <v>3</v>
      </c>
      <c r="S1036" s="3" t="s">
        <v>54</v>
      </c>
      <c r="T1036" s="1">
        <v>1</v>
      </c>
      <c r="U1036" s="3" t="s">
        <v>52</v>
      </c>
      <c r="V1036" s="4">
        <v>10851</v>
      </c>
      <c r="W1036" s="1">
        <v>19863</v>
      </c>
      <c r="X1036" s="1">
        <v>2</v>
      </c>
      <c r="Y1036" s="3" t="s">
        <v>42</v>
      </c>
      <c r="Z1036" s="3" t="s">
        <v>35</v>
      </c>
      <c r="AA1036" s="5">
        <v>0.18</v>
      </c>
      <c r="AB1036" s="10" t="str" cm="1">
        <f t="array" ref="AB1036">_xlfn.IFS(AA1036 &lt;= 15%, "Low Hike[11-15%]", AA1036 &lt;= 20%, "Moderate Hike[16-20%]", AA1036 &lt;= 25%,"High Hike[21-25%]")</f>
        <v>Moderate Hike[16-20%]</v>
      </c>
      <c r="AC1036" s="1">
        <v>3</v>
      </c>
      <c r="AD1036" s="1">
        <v>2</v>
      </c>
      <c r="AE1036" s="1">
        <v>80</v>
      </c>
      <c r="AF1036" s="1">
        <v>1</v>
      </c>
      <c r="AG1036" s="1">
        <v>24</v>
      </c>
      <c r="AH1036" s="9" t="str" cm="1">
        <f t="array" ref="AH1036">_xlfn.IFS(AG1036 &lt;= 5, "New[1-5]", AG1036 &lt;= 10, "Early Career[6-10]", AG1036 &lt;= 20, "Established[11-20]", AG1036 &lt;= 30, "Veteran[21-30]", AG1036 &lt;= 40, "Late Career[31-40]")</f>
        <v>Veteran[21-30]</v>
      </c>
      <c r="AI1036" s="1">
        <v>2</v>
      </c>
      <c r="AJ1036" s="1">
        <v>3</v>
      </c>
      <c r="AK1036" s="1">
        <v>7</v>
      </c>
      <c r="AL1036" s="9" t="str" cm="1">
        <f t="array" ref="AL1036">_xlfn.IFS(AK1036 &lt;= 5, "New[1-5]", AK1036 &lt;= 10, "Early Career[6-10]", AK1036 &lt;= 20, "Established[11-20]", AK1036 &lt;= 30, "Veteran[21-30]", AK1036 &lt;= 40, "Late Career[31-40]")</f>
        <v>Early Career[6-10]</v>
      </c>
      <c r="AM1036" s="1">
        <v>7</v>
      </c>
      <c r="AN1036" s="9" t="str" cm="1">
        <f t="array" ref="AN1036">_xlfn.IFS(AM1036 &lt;= 3, "New to Role[1-3]", AM1036 &lt;= 7, "Settled[4-7]", AM1036 &lt;= 12, "Experienced[[8-12]", AM1036 &lt;= 18, "Long Tenured[13-18]")</f>
        <v>Settled[4-7]</v>
      </c>
      <c r="AO1036" s="1">
        <v>0</v>
      </c>
      <c r="AP1036" s="9" t="str" cm="1">
        <f t="array" ref="AP1036">_xlfn.IFS(AO1036 &lt;= 3, "Recently[1-3]", AO1036 &lt;= 6, "Due Soon[4-6]", AO1036 &lt;= 10, "Overdue[7-10]", AO1036 &lt;= 15, "Long Overdue[11-15]")</f>
        <v>Recently[1-3]</v>
      </c>
      <c r="AQ1036" s="9" t="str" cm="1">
        <f t="array" ref="AQ1036">_xlfn.IFS(AR1036 &lt;= 3, "New Relationship[1-3]", AR1036 &lt;= 7, "Established Relationship[4-7]", AR1036 &lt;= 12, "Long Term Relationship[8-12]", AR1036 &lt;= 17, "Very Long Term Relationship[13-17]")</f>
        <v>Established Relationship[4-7]</v>
      </c>
      <c r="AR1036" s="1">
        <v>7</v>
      </c>
    </row>
    <row r="1037" spans="1:44" x14ac:dyDescent="0.25">
      <c r="A1037" s="1">
        <v>31</v>
      </c>
      <c r="B1037" s="8" t="str" cm="1">
        <f t="array" ref="B1037">_xlfn.IFS(A1037 &lt;= 25, "[18-25]", A1037 &lt;= 35, "[26-35]", A1037 &lt;=45, "[36-45]", A1037 &lt;= 60, "[46- 60]")</f>
        <v>[26-35]</v>
      </c>
      <c r="C1037" s="3" t="s">
        <v>43</v>
      </c>
      <c r="D1037">
        <f t="shared" si="16"/>
        <v>0</v>
      </c>
      <c r="E1037" t="s">
        <v>36</v>
      </c>
      <c r="F1037" s="1">
        <v>1398</v>
      </c>
      <c r="G1037" s="3" t="s">
        <v>61</v>
      </c>
      <c r="H1037" s="1">
        <v>8</v>
      </c>
      <c r="I1037" s="9" t="str" cm="1">
        <f t="array" ref="I1037">_xlfn.IFS(H1037 &lt;= 2, "[1-2] very close", H1037 &lt;= 10, "[3-10] close", H1037 &lt;= 20, "[11-20] moderate", H1037 &lt;= 30, "[21-30] far")</f>
        <v>[3-10] close</v>
      </c>
      <c r="J1037" s="1">
        <v>2</v>
      </c>
      <c r="K1037" s="3" t="s">
        <v>51</v>
      </c>
      <c r="L1037" s="1">
        <v>1</v>
      </c>
      <c r="M1037" s="1">
        <v>1461</v>
      </c>
      <c r="N1037" s="1">
        <v>4</v>
      </c>
      <c r="O1037" s="3" t="s">
        <v>39</v>
      </c>
      <c r="P1037" s="1">
        <v>96</v>
      </c>
      <c r="Q1037" s="1">
        <v>4</v>
      </c>
      <c r="R1037" s="1">
        <v>1</v>
      </c>
      <c r="S1037" s="3" t="s">
        <v>61</v>
      </c>
      <c r="T1037" s="1">
        <v>2</v>
      </c>
      <c r="U1037" s="3" t="s">
        <v>41</v>
      </c>
      <c r="V1037" s="4">
        <v>2109</v>
      </c>
      <c r="W1037" s="1">
        <v>24609</v>
      </c>
      <c r="X1037" s="1">
        <v>9</v>
      </c>
      <c r="Y1037" s="3" t="s">
        <v>42</v>
      </c>
      <c r="Z1037" s="3" t="s">
        <v>43</v>
      </c>
      <c r="AA1037" s="5">
        <v>0.18</v>
      </c>
      <c r="AB1037" s="10" t="str" cm="1">
        <f t="array" ref="AB1037">_xlfn.IFS(AA1037 &lt;= 15%, "Low Hike[11-15%]", AA1037 &lt;= 20%, "Moderate Hike[16-20%]", AA1037 &lt;= 25%,"High Hike[21-25%]")</f>
        <v>Moderate Hike[16-20%]</v>
      </c>
      <c r="AC1037" s="1">
        <v>3</v>
      </c>
      <c r="AD1037" s="1">
        <v>4</v>
      </c>
      <c r="AE1037" s="1">
        <v>80</v>
      </c>
      <c r="AF1037" s="1">
        <v>0</v>
      </c>
      <c r="AG1037" s="1">
        <v>8</v>
      </c>
      <c r="AH1037" s="9" t="str" cm="1">
        <f t="array" ref="AH1037">_xlfn.IFS(AG1037 &lt;= 5, "New[1-5]", AG1037 &lt;= 10, "Early Career[6-10]", AG1037 &lt;= 20, "Established[11-20]", AG1037 &lt;= 30, "Veteran[21-30]", AG1037 &lt;= 40, "Late Career[31-40]")</f>
        <v>Early Career[6-10]</v>
      </c>
      <c r="AI1037" s="1">
        <v>3</v>
      </c>
      <c r="AJ1037" s="1">
        <v>3</v>
      </c>
      <c r="AK1037" s="1">
        <v>3</v>
      </c>
      <c r="AL1037" s="9" t="str" cm="1">
        <f t="array" ref="AL1037">_xlfn.IFS(AK1037 &lt;= 5, "New[1-5]", AK1037 &lt;= 10, "Early Career[6-10]", AK1037 &lt;= 20, "Established[11-20]", AK1037 &lt;= 30, "Veteran[21-30]", AK1037 &lt;= 40, "Late Career[31-40]")</f>
        <v>New[1-5]</v>
      </c>
      <c r="AM1037" s="1">
        <v>2</v>
      </c>
      <c r="AN1037" s="9" t="str" cm="1">
        <f t="array" ref="AN1037">_xlfn.IFS(AM1037 &lt;= 3, "New to Role[1-3]", AM1037 &lt;= 7, "Settled[4-7]", AM1037 &lt;= 12, "Experienced[[8-12]", AM1037 &lt;= 18, "Long Tenured[13-18]")</f>
        <v>New to Role[1-3]</v>
      </c>
      <c r="AO1037" s="1">
        <v>0</v>
      </c>
      <c r="AP1037" s="9" t="str" cm="1">
        <f t="array" ref="AP1037">_xlfn.IFS(AO1037 &lt;= 3, "Recently[1-3]", AO1037 &lt;= 6, "Due Soon[4-6]", AO1037 &lt;= 10, "Overdue[7-10]", AO1037 &lt;= 15, "Long Overdue[11-15]")</f>
        <v>Recently[1-3]</v>
      </c>
      <c r="AQ1037" s="9" t="str" cm="1">
        <f t="array" ref="AQ1037">_xlfn.IFS(AR1037 &lt;= 3, "New Relationship[1-3]", AR1037 &lt;= 7, "Established Relationship[4-7]", AR1037 &lt;= 12, "Long Term Relationship[8-12]", AR1037 &lt;= 17, "Very Long Term Relationship[13-17]")</f>
        <v>New Relationship[1-3]</v>
      </c>
      <c r="AR1037" s="1">
        <v>2</v>
      </c>
    </row>
    <row r="1038" spans="1:44" x14ac:dyDescent="0.25">
      <c r="A1038" s="1">
        <v>31</v>
      </c>
      <c r="B1038" s="8" t="str" cm="1">
        <f t="array" ref="B1038">_xlfn.IFS(A1038 &lt;= 25, "[18-25]", A1038 &lt;= 35, "[26-35]", A1038 &lt;=45, "[36-45]", A1038 &lt;= 60, "[46- 60]")</f>
        <v>[26-35]</v>
      </c>
      <c r="C1038" s="3" t="s">
        <v>35</v>
      </c>
      <c r="D1038">
        <f t="shared" si="16"/>
        <v>1</v>
      </c>
      <c r="E1038" t="s">
        <v>44</v>
      </c>
      <c r="F1038" s="1">
        <v>523</v>
      </c>
      <c r="G1038" s="3" t="s">
        <v>45</v>
      </c>
      <c r="H1038" s="1">
        <v>2</v>
      </c>
      <c r="I1038" s="9" t="str" cm="1">
        <f t="array" ref="I1038">_xlfn.IFS(H1038 &lt;= 2, "[1-2] very close", H1038 &lt;= 10, "[3-10] close", H1038 &lt;= 20, "[11-20] moderate", H1038 &lt;= 30, "[21-30] far")</f>
        <v>[1-2] very close</v>
      </c>
      <c r="J1038" s="1">
        <v>3</v>
      </c>
      <c r="K1038" s="3" t="s">
        <v>38</v>
      </c>
      <c r="L1038" s="1">
        <v>1</v>
      </c>
      <c r="M1038" s="1">
        <v>1464</v>
      </c>
      <c r="N1038" s="1">
        <v>2</v>
      </c>
      <c r="O1038" s="3" t="s">
        <v>46</v>
      </c>
      <c r="P1038" s="1">
        <v>94</v>
      </c>
      <c r="Q1038" s="1">
        <v>3</v>
      </c>
      <c r="R1038" s="1">
        <v>1</v>
      </c>
      <c r="S1038" s="3" t="s">
        <v>50</v>
      </c>
      <c r="T1038" s="1">
        <v>4</v>
      </c>
      <c r="U1038" s="3" t="s">
        <v>48</v>
      </c>
      <c r="V1038" s="4">
        <v>3722</v>
      </c>
      <c r="W1038" s="1">
        <v>21081</v>
      </c>
      <c r="X1038" s="1">
        <v>6</v>
      </c>
      <c r="Y1038" s="3" t="s">
        <v>42</v>
      </c>
      <c r="Z1038" s="3" t="s">
        <v>35</v>
      </c>
      <c r="AA1038" s="5">
        <v>0.13</v>
      </c>
      <c r="AB1038" s="10" t="str" cm="1">
        <f t="array" ref="AB1038">_xlfn.IFS(AA1038 &lt;= 15%, "Low Hike[11-15%]", AA1038 &lt;= 20%, "Moderate Hike[16-20%]", AA1038 &lt;= 25%,"High Hike[21-25%]")</f>
        <v>Low Hike[11-15%]</v>
      </c>
      <c r="AC1038" s="1">
        <v>3</v>
      </c>
      <c r="AD1038" s="1">
        <v>3</v>
      </c>
      <c r="AE1038" s="1">
        <v>80</v>
      </c>
      <c r="AF1038" s="1">
        <v>1</v>
      </c>
      <c r="AG1038" s="1">
        <v>7</v>
      </c>
      <c r="AH1038" s="9" t="str" cm="1">
        <f t="array" ref="AH1038">_xlfn.IFS(AG1038 &lt;= 5, "New[1-5]", AG1038 &lt;= 10, "Early Career[6-10]", AG1038 &lt;= 20, "Established[11-20]", AG1038 &lt;= 30, "Veteran[21-30]", AG1038 &lt;= 40, "Late Career[31-40]")</f>
        <v>Early Career[6-10]</v>
      </c>
      <c r="AI1038" s="1">
        <v>2</v>
      </c>
      <c r="AJ1038" s="1">
        <v>1</v>
      </c>
      <c r="AK1038" s="1">
        <v>2</v>
      </c>
      <c r="AL1038" s="9" t="str" cm="1">
        <f t="array" ref="AL1038">_xlfn.IFS(AK1038 &lt;= 5, "New[1-5]", AK1038 &lt;= 10, "Early Career[6-10]", AK1038 &lt;= 20, "Established[11-20]", AK1038 &lt;= 30, "Veteran[21-30]", AK1038 &lt;= 40, "Late Career[31-40]")</f>
        <v>New[1-5]</v>
      </c>
      <c r="AM1038" s="1">
        <v>2</v>
      </c>
      <c r="AN1038" s="9" t="str" cm="1">
        <f t="array" ref="AN1038">_xlfn.IFS(AM1038 &lt;= 3, "New to Role[1-3]", AM1038 &lt;= 7, "Settled[4-7]", AM1038 &lt;= 12, "Experienced[[8-12]", AM1038 &lt;= 18, "Long Tenured[13-18]")</f>
        <v>New to Role[1-3]</v>
      </c>
      <c r="AO1038" s="1">
        <v>2</v>
      </c>
      <c r="AP1038" s="9" t="str" cm="1">
        <f t="array" ref="AP1038">_xlfn.IFS(AO1038 &lt;= 3, "Recently[1-3]", AO1038 &lt;= 6, "Due Soon[4-6]", AO1038 &lt;= 10, "Overdue[7-10]", AO1038 &lt;= 15, "Long Overdue[11-15]")</f>
        <v>Recently[1-3]</v>
      </c>
      <c r="AQ1038" s="9" t="str" cm="1">
        <f t="array" ref="AQ1038">_xlfn.IFS(AR1038 &lt;= 3, "New Relationship[1-3]", AR1038 &lt;= 7, "Established Relationship[4-7]", AR1038 &lt;= 12, "Long Term Relationship[8-12]", AR1038 &lt;= 17, "Very Long Term Relationship[13-17]")</f>
        <v>New Relationship[1-3]</v>
      </c>
      <c r="AR1038" s="1">
        <v>2</v>
      </c>
    </row>
    <row r="1039" spans="1:44" x14ac:dyDescent="0.25">
      <c r="A1039" s="1">
        <v>45</v>
      </c>
      <c r="B1039" s="8" t="str" cm="1">
        <f t="array" ref="B1039">_xlfn.IFS(A1039 &lt;= 25, "[18-25]", A1039 &lt;= 35, "[26-35]", A1039 &lt;=45, "[36-45]", A1039 &lt;= 60, "[46- 60]")</f>
        <v>[36-45]</v>
      </c>
      <c r="C1039" s="3" t="s">
        <v>43</v>
      </c>
      <c r="D1039">
        <f t="shared" si="16"/>
        <v>0</v>
      </c>
      <c r="E1039" t="s">
        <v>36</v>
      </c>
      <c r="F1039" s="1">
        <v>1448</v>
      </c>
      <c r="G1039" s="3" t="s">
        <v>45</v>
      </c>
      <c r="H1039" s="1">
        <v>29</v>
      </c>
      <c r="I1039" s="9" t="str" cm="1">
        <f t="array" ref="I1039">_xlfn.IFS(H1039 &lt;= 2, "[1-2] very close", H1039 &lt;= 10, "[3-10] close", H1039 &lt;= 20, "[11-20] moderate", H1039 &lt;= 30, "[21-30] far")</f>
        <v>[21-30] far</v>
      </c>
      <c r="J1039" s="1">
        <v>3</v>
      </c>
      <c r="K1039" s="3" t="s">
        <v>60</v>
      </c>
      <c r="L1039" s="1">
        <v>1</v>
      </c>
      <c r="M1039" s="1">
        <v>1465</v>
      </c>
      <c r="N1039" s="1">
        <v>2</v>
      </c>
      <c r="O1039" s="3" t="s">
        <v>46</v>
      </c>
      <c r="P1039" s="1">
        <v>55</v>
      </c>
      <c r="Q1039" s="1">
        <v>3</v>
      </c>
      <c r="R1039" s="1">
        <v>3</v>
      </c>
      <c r="S1039" s="3" t="s">
        <v>53</v>
      </c>
      <c r="T1039" s="1">
        <v>4</v>
      </c>
      <c r="U1039" s="3" t="s">
        <v>48</v>
      </c>
      <c r="V1039" s="4">
        <v>9380</v>
      </c>
      <c r="W1039" s="1">
        <v>14720</v>
      </c>
      <c r="X1039" s="1">
        <v>4</v>
      </c>
      <c r="Y1039" s="3" t="s">
        <v>42</v>
      </c>
      <c r="Z1039" s="3" t="s">
        <v>35</v>
      </c>
      <c r="AA1039" s="5">
        <v>0.18</v>
      </c>
      <c r="AB1039" s="10" t="str" cm="1">
        <f t="array" ref="AB1039">_xlfn.IFS(AA1039 &lt;= 15%, "Low Hike[11-15%]", AA1039 &lt;= 20%, "Moderate Hike[16-20%]", AA1039 &lt;= 25%,"High Hike[21-25%]")</f>
        <v>Moderate Hike[16-20%]</v>
      </c>
      <c r="AC1039" s="1">
        <v>3</v>
      </c>
      <c r="AD1039" s="1">
        <v>4</v>
      </c>
      <c r="AE1039" s="1">
        <v>80</v>
      </c>
      <c r="AF1039" s="1">
        <v>2</v>
      </c>
      <c r="AG1039" s="1">
        <v>10</v>
      </c>
      <c r="AH1039" s="9" t="str" cm="1">
        <f t="array" ref="AH1039">_xlfn.IFS(AG1039 &lt;= 5, "New[1-5]", AG1039 &lt;= 10, "Early Career[6-10]", AG1039 &lt;= 20, "Established[11-20]", AG1039 &lt;= 30, "Veteran[21-30]", AG1039 &lt;= 40, "Late Career[31-40]")</f>
        <v>Early Career[6-10]</v>
      </c>
      <c r="AI1039" s="1">
        <v>4</v>
      </c>
      <c r="AJ1039" s="1">
        <v>4</v>
      </c>
      <c r="AK1039" s="1">
        <v>3</v>
      </c>
      <c r="AL1039" s="9" t="str" cm="1">
        <f t="array" ref="AL1039">_xlfn.IFS(AK1039 &lt;= 5, "New[1-5]", AK1039 &lt;= 10, "Early Career[6-10]", AK1039 &lt;= 20, "Established[11-20]", AK1039 &lt;= 30, "Veteran[21-30]", AK1039 &lt;= 40, "Late Career[31-40]")</f>
        <v>New[1-5]</v>
      </c>
      <c r="AM1039" s="1">
        <v>1</v>
      </c>
      <c r="AN1039" s="9" t="str" cm="1">
        <f t="array" ref="AN1039">_xlfn.IFS(AM1039 &lt;= 3, "New to Role[1-3]", AM1039 &lt;= 7, "Settled[4-7]", AM1039 &lt;= 12, "Experienced[[8-12]", AM1039 &lt;= 18, "Long Tenured[13-18]")</f>
        <v>New to Role[1-3]</v>
      </c>
      <c r="AO1039" s="1">
        <v>1</v>
      </c>
      <c r="AP1039" s="9" t="str" cm="1">
        <f t="array" ref="AP1039">_xlfn.IFS(AO1039 &lt;= 3, "Recently[1-3]", AO1039 &lt;= 6, "Due Soon[4-6]", AO1039 &lt;= 10, "Overdue[7-10]", AO1039 &lt;= 15, "Long Overdue[11-15]")</f>
        <v>Recently[1-3]</v>
      </c>
      <c r="AQ1039" s="9" t="str" cm="1">
        <f t="array" ref="AQ1039">_xlfn.IFS(AR1039 &lt;= 3, "New Relationship[1-3]", AR1039 &lt;= 7, "Established Relationship[4-7]", AR1039 &lt;= 12, "Long Term Relationship[8-12]", AR1039 &lt;= 17, "Very Long Term Relationship[13-17]")</f>
        <v>New Relationship[1-3]</v>
      </c>
      <c r="AR1039" s="1">
        <v>2</v>
      </c>
    </row>
    <row r="1040" spans="1:44" x14ac:dyDescent="0.25">
      <c r="A1040" s="1">
        <v>48</v>
      </c>
      <c r="B1040" s="8" t="str" cm="1">
        <f t="array" ref="B1040">_xlfn.IFS(A1040 &lt;= 25, "[18-25]", A1040 &lt;= 35, "[26-35]", A1040 &lt;=45, "[36-45]", A1040 &lt;= 60, "[46- 60]")</f>
        <v>[46- 60]</v>
      </c>
      <c r="C1040" s="3" t="s">
        <v>43</v>
      </c>
      <c r="D1040">
        <f t="shared" si="16"/>
        <v>0</v>
      </c>
      <c r="E1040" t="s">
        <v>36</v>
      </c>
      <c r="F1040" s="1">
        <v>1221</v>
      </c>
      <c r="G1040" s="3" t="s">
        <v>37</v>
      </c>
      <c r="H1040" s="1">
        <v>7</v>
      </c>
      <c r="I1040" s="9" t="str" cm="1">
        <f t="array" ref="I1040">_xlfn.IFS(H1040 &lt;= 2, "[1-2] very close", H1040 &lt;= 10, "[3-10] close", H1040 &lt;= 20, "[11-20] moderate", H1040 &lt;= 30, "[21-30] far")</f>
        <v>[3-10] close</v>
      </c>
      <c r="J1040" s="1">
        <v>3</v>
      </c>
      <c r="K1040" s="3" t="s">
        <v>59</v>
      </c>
      <c r="L1040" s="1">
        <v>1</v>
      </c>
      <c r="M1040" s="1">
        <v>1466</v>
      </c>
      <c r="N1040" s="1">
        <v>3</v>
      </c>
      <c r="O1040" s="3" t="s">
        <v>46</v>
      </c>
      <c r="P1040" s="1">
        <v>96</v>
      </c>
      <c r="Q1040" s="1">
        <v>3</v>
      </c>
      <c r="R1040" s="1">
        <v>2</v>
      </c>
      <c r="S1040" s="3" t="s">
        <v>40</v>
      </c>
      <c r="T1040" s="1">
        <v>1</v>
      </c>
      <c r="U1040" s="3" t="s">
        <v>52</v>
      </c>
      <c r="V1040" s="4">
        <v>5486</v>
      </c>
      <c r="W1040" s="1">
        <v>24795</v>
      </c>
      <c r="X1040" s="1">
        <v>4</v>
      </c>
      <c r="Y1040" s="3" t="s">
        <v>42</v>
      </c>
      <c r="Z1040" s="3" t="s">
        <v>43</v>
      </c>
      <c r="AA1040" s="5">
        <v>0.11</v>
      </c>
      <c r="AB1040" s="10" t="str" cm="1">
        <f t="array" ref="AB1040">_xlfn.IFS(AA1040 &lt;= 15%, "Low Hike[11-15%]", AA1040 &lt;= 20%, "Moderate Hike[16-20%]", AA1040 &lt;= 25%,"High Hike[21-25%]")</f>
        <v>Low Hike[11-15%]</v>
      </c>
      <c r="AC1040" s="1">
        <v>3</v>
      </c>
      <c r="AD1040" s="1">
        <v>1</v>
      </c>
      <c r="AE1040" s="1">
        <v>80</v>
      </c>
      <c r="AF1040" s="1">
        <v>3</v>
      </c>
      <c r="AG1040" s="1">
        <v>15</v>
      </c>
      <c r="AH1040" s="9" t="str" cm="1">
        <f t="array" ref="AH1040">_xlfn.IFS(AG1040 &lt;= 5, "New[1-5]", AG1040 &lt;= 10, "Early Career[6-10]", AG1040 &lt;= 20, "Established[11-20]", AG1040 &lt;= 30, "Veteran[21-30]", AG1040 &lt;= 40, "Late Career[31-40]")</f>
        <v>Established[11-20]</v>
      </c>
      <c r="AI1040" s="1">
        <v>3</v>
      </c>
      <c r="AJ1040" s="1">
        <v>3</v>
      </c>
      <c r="AK1040" s="1">
        <v>2</v>
      </c>
      <c r="AL1040" s="9" t="str" cm="1">
        <f t="array" ref="AL1040">_xlfn.IFS(AK1040 &lt;= 5, "New[1-5]", AK1040 &lt;= 10, "Early Career[6-10]", AK1040 &lt;= 20, "Established[11-20]", AK1040 &lt;= 30, "Veteran[21-30]", AK1040 &lt;= 40, "Late Career[31-40]")</f>
        <v>New[1-5]</v>
      </c>
      <c r="AM1040" s="1">
        <v>2</v>
      </c>
      <c r="AN1040" s="9" t="str" cm="1">
        <f t="array" ref="AN1040">_xlfn.IFS(AM1040 &lt;= 3, "New to Role[1-3]", AM1040 &lt;= 7, "Settled[4-7]", AM1040 &lt;= 12, "Experienced[[8-12]", AM1040 &lt;= 18, "Long Tenured[13-18]")</f>
        <v>New to Role[1-3]</v>
      </c>
      <c r="AO1040" s="1">
        <v>2</v>
      </c>
      <c r="AP1040" s="9" t="str" cm="1">
        <f t="array" ref="AP1040">_xlfn.IFS(AO1040 &lt;= 3, "Recently[1-3]", AO1040 &lt;= 6, "Due Soon[4-6]", AO1040 &lt;= 10, "Overdue[7-10]", AO1040 &lt;= 15, "Long Overdue[11-15]")</f>
        <v>Recently[1-3]</v>
      </c>
      <c r="AQ1040" s="9" t="str" cm="1">
        <f t="array" ref="AQ1040">_xlfn.IFS(AR1040 &lt;= 3, "New Relationship[1-3]", AR1040 &lt;= 7, "Established Relationship[4-7]", AR1040 &lt;= 12, "Long Term Relationship[8-12]", AR1040 &lt;= 17, "Very Long Term Relationship[13-17]")</f>
        <v>New Relationship[1-3]</v>
      </c>
      <c r="AR1040" s="1">
        <v>2</v>
      </c>
    </row>
    <row r="1041" spans="1:44" x14ac:dyDescent="0.25">
      <c r="A1041" s="1">
        <v>34</v>
      </c>
      <c r="B1041" s="8" t="str" cm="1">
        <f t="array" ref="B1041">_xlfn.IFS(A1041 &lt;= 25, "[18-25]", A1041 &lt;= 35, "[26-35]", A1041 &lt;=45, "[36-45]", A1041 &lt;= 60, "[46- 60]")</f>
        <v>[26-35]</v>
      </c>
      <c r="C1041" s="3" t="s">
        <v>35</v>
      </c>
      <c r="D1041">
        <f t="shared" si="16"/>
        <v>1</v>
      </c>
      <c r="E1041" t="s">
        <v>36</v>
      </c>
      <c r="F1041" s="1">
        <v>1107</v>
      </c>
      <c r="G1041" s="3" t="s">
        <v>61</v>
      </c>
      <c r="H1041" s="1">
        <v>9</v>
      </c>
      <c r="I1041" s="9" t="str" cm="1">
        <f t="array" ref="I1041">_xlfn.IFS(H1041 &lt;= 2, "[1-2] very close", H1041 &lt;= 10, "[3-10] close", H1041 &lt;= 20, "[11-20] moderate", H1041 &lt;= 30, "[21-30] far")</f>
        <v>[3-10] close</v>
      </c>
      <c r="J1041" s="1">
        <v>4</v>
      </c>
      <c r="K1041" s="3" t="s">
        <v>60</v>
      </c>
      <c r="L1041" s="1">
        <v>1</v>
      </c>
      <c r="M1041" s="1">
        <v>1467</v>
      </c>
      <c r="N1041" s="1">
        <v>1</v>
      </c>
      <c r="O1041" s="3" t="s">
        <v>39</v>
      </c>
      <c r="P1041" s="1">
        <v>52</v>
      </c>
      <c r="Q1041" s="1">
        <v>3</v>
      </c>
      <c r="R1041" s="1">
        <v>1</v>
      </c>
      <c r="S1041" s="3" t="s">
        <v>61</v>
      </c>
      <c r="T1041" s="1">
        <v>3</v>
      </c>
      <c r="U1041" s="3" t="s">
        <v>48</v>
      </c>
      <c r="V1041" s="4">
        <v>2742</v>
      </c>
      <c r="W1041" s="1">
        <v>3072</v>
      </c>
      <c r="X1041" s="1">
        <v>1</v>
      </c>
      <c r="Y1041" s="3" t="s">
        <v>42</v>
      </c>
      <c r="Z1041" s="3" t="s">
        <v>43</v>
      </c>
      <c r="AA1041" s="5">
        <v>0.15</v>
      </c>
      <c r="AB1041" s="10" t="str" cm="1">
        <f t="array" ref="AB1041">_xlfn.IFS(AA1041 &lt;= 15%, "Low Hike[11-15%]", AA1041 &lt;= 20%, "Moderate Hike[16-20%]", AA1041 &lt;= 25%,"High Hike[21-25%]")</f>
        <v>Low Hike[11-15%]</v>
      </c>
      <c r="AC1041" s="1">
        <v>3</v>
      </c>
      <c r="AD1041" s="1">
        <v>4</v>
      </c>
      <c r="AE1041" s="1">
        <v>80</v>
      </c>
      <c r="AF1041" s="1">
        <v>0</v>
      </c>
      <c r="AG1041" s="1">
        <v>2</v>
      </c>
      <c r="AH1041" s="9" t="str" cm="1">
        <f t="array" ref="AH1041">_xlfn.IFS(AG1041 &lt;= 5, "New[1-5]", AG1041 &lt;= 10, "Early Career[6-10]", AG1041 &lt;= 20, "Established[11-20]", AG1041 &lt;= 30, "Veteran[21-30]", AG1041 &lt;= 40, "Late Career[31-40]")</f>
        <v>New[1-5]</v>
      </c>
      <c r="AI1041" s="1">
        <v>0</v>
      </c>
      <c r="AJ1041" s="1">
        <v>3</v>
      </c>
      <c r="AK1041" s="1">
        <v>2</v>
      </c>
      <c r="AL1041" s="9" t="str" cm="1">
        <f t="array" ref="AL1041">_xlfn.IFS(AK1041 &lt;= 5, "New[1-5]", AK1041 &lt;= 10, "Early Career[6-10]", AK1041 &lt;= 20, "Established[11-20]", AK1041 &lt;= 30, "Veteran[21-30]", AK1041 &lt;= 40, "Late Career[31-40]")</f>
        <v>New[1-5]</v>
      </c>
      <c r="AM1041" s="1">
        <v>2</v>
      </c>
      <c r="AN1041" s="9" t="str" cm="1">
        <f t="array" ref="AN1041">_xlfn.IFS(AM1041 &lt;= 3, "New to Role[1-3]", AM1041 &lt;= 7, "Settled[4-7]", AM1041 &lt;= 12, "Experienced[[8-12]", AM1041 &lt;= 18, "Long Tenured[13-18]")</f>
        <v>New to Role[1-3]</v>
      </c>
      <c r="AO1041" s="1">
        <v>2</v>
      </c>
      <c r="AP1041" s="9" t="str" cm="1">
        <f t="array" ref="AP1041">_xlfn.IFS(AO1041 &lt;= 3, "Recently[1-3]", AO1041 &lt;= 6, "Due Soon[4-6]", AO1041 &lt;= 10, "Overdue[7-10]", AO1041 &lt;= 15, "Long Overdue[11-15]")</f>
        <v>Recently[1-3]</v>
      </c>
      <c r="AQ1041" s="9" t="str" cm="1">
        <f t="array" ref="AQ1041">_xlfn.IFS(AR1041 &lt;= 3, "New Relationship[1-3]", AR1041 &lt;= 7, "Established Relationship[4-7]", AR1041 &lt;= 12, "Long Term Relationship[8-12]", AR1041 &lt;= 17, "Very Long Term Relationship[13-17]")</f>
        <v>New Relationship[1-3]</v>
      </c>
      <c r="AR1041" s="1">
        <v>2</v>
      </c>
    </row>
    <row r="1042" spans="1:44" x14ac:dyDescent="0.25">
      <c r="A1042" s="1">
        <v>40</v>
      </c>
      <c r="B1042" s="8" t="str" cm="1">
        <f t="array" ref="B1042">_xlfn.IFS(A1042 &lt;= 25, "[18-25]", A1042 &lt;= 35, "[26-35]", A1042 &lt;=45, "[36-45]", A1042 &lt;= 60, "[46- 60]")</f>
        <v>[36-45]</v>
      </c>
      <c r="C1042" s="3" t="s">
        <v>43</v>
      </c>
      <c r="D1042">
        <f t="shared" si="16"/>
        <v>0</v>
      </c>
      <c r="E1042" t="s">
        <v>62</v>
      </c>
      <c r="F1042" s="1">
        <v>218</v>
      </c>
      <c r="G1042" s="3" t="s">
        <v>45</v>
      </c>
      <c r="H1042" s="1">
        <v>8</v>
      </c>
      <c r="I1042" s="9" t="str" cm="1">
        <f t="array" ref="I1042">_xlfn.IFS(H1042 &lt;= 2, "[1-2] very close", H1042 &lt;= 10, "[3-10] close", H1042 &lt;= 20, "[11-20] moderate", H1042 &lt;= 30, "[21-30] far")</f>
        <v>[3-10] close</v>
      </c>
      <c r="J1042" s="1">
        <v>1</v>
      </c>
      <c r="K1042" s="3" t="s">
        <v>51</v>
      </c>
      <c r="L1042" s="1">
        <v>1</v>
      </c>
      <c r="M1042" s="1">
        <v>1468</v>
      </c>
      <c r="N1042" s="1">
        <v>4</v>
      </c>
      <c r="O1042" s="3" t="s">
        <v>46</v>
      </c>
      <c r="P1042" s="1">
        <v>55</v>
      </c>
      <c r="Q1042" s="1">
        <v>2</v>
      </c>
      <c r="R1042" s="1">
        <v>3</v>
      </c>
      <c r="S1042" s="3" t="s">
        <v>58</v>
      </c>
      <c r="T1042" s="1">
        <v>2</v>
      </c>
      <c r="U1042" s="3" t="s">
        <v>52</v>
      </c>
      <c r="V1042" s="4">
        <v>13757</v>
      </c>
      <c r="W1042" s="1">
        <v>25178</v>
      </c>
      <c r="X1042" s="1">
        <v>2</v>
      </c>
      <c r="Y1042" s="3" t="s">
        <v>42</v>
      </c>
      <c r="Z1042" s="3" t="s">
        <v>43</v>
      </c>
      <c r="AA1042" s="5">
        <v>0.11</v>
      </c>
      <c r="AB1042" s="10" t="str" cm="1">
        <f t="array" ref="AB1042">_xlfn.IFS(AA1042 &lt;= 15%, "Low Hike[11-15%]", AA1042 &lt;= 20%, "Moderate Hike[16-20%]", AA1042 &lt;= 25%,"High Hike[21-25%]")</f>
        <v>Low Hike[11-15%]</v>
      </c>
      <c r="AC1042" s="1">
        <v>3</v>
      </c>
      <c r="AD1042" s="1">
        <v>3</v>
      </c>
      <c r="AE1042" s="1">
        <v>80</v>
      </c>
      <c r="AF1042" s="1">
        <v>1</v>
      </c>
      <c r="AG1042" s="1">
        <v>16</v>
      </c>
      <c r="AH1042" s="9" t="str" cm="1">
        <f t="array" ref="AH1042">_xlfn.IFS(AG1042 &lt;= 5, "New[1-5]", AG1042 &lt;= 10, "Early Career[6-10]", AG1042 &lt;= 20, "Established[11-20]", AG1042 &lt;= 30, "Veteran[21-30]", AG1042 &lt;= 40, "Late Career[31-40]")</f>
        <v>Established[11-20]</v>
      </c>
      <c r="AI1042" s="1">
        <v>5</v>
      </c>
      <c r="AJ1042" s="1">
        <v>3</v>
      </c>
      <c r="AK1042" s="1">
        <v>9</v>
      </c>
      <c r="AL1042" s="9" t="str" cm="1">
        <f t="array" ref="AL1042">_xlfn.IFS(AK1042 &lt;= 5, "New[1-5]", AK1042 &lt;= 10, "Early Career[6-10]", AK1042 &lt;= 20, "Established[11-20]", AK1042 &lt;= 30, "Veteran[21-30]", AK1042 &lt;= 40, "Late Career[31-40]")</f>
        <v>Early Career[6-10]</v>
      </c>
      <c r="AM1042" s="1">
        <v>8</v>
      </c>
      <c r="AN1042" s="9" t="str" cm="1">
        <f t="array" ref="AN1042">_xlfn.IFS(AM1042 &lt;= 3, "New to Role[1-3]", AM1042 &lt;= 7, "Settled[4-7]", AM1042 &lt;= 12, "Experienced[[8-12]", AM1042 &lt;= 18, "Long Tenured[13-18]")</f>
        <v>Experienced[[8-12]</v>
      </c>
      <c r="AO1042" s="1">
        <v>4</v>
      </c>
      <c r="AP1042" s="9" t="str" cm="1">
        <f t="array" ref="AP1042">_xlfn.IFS(AO1042 &lt;= 3, "Recently[1-3]", AO1042 &lt;= 6, "Due Soon[4-6]", AO1042 &lt;= 10, "Overdue[7-10]", AO1042 &lt;= 15, "Long Overdue[11-15]")</f>
        <v>Due Soon[4-6]</v>
      </c>
      <c r="AQ1042" s="9" t="str" cm="1">
        <f t="array" ref="AQ1042">_xlfn.IFS(AR1042 &lt;= 3, "New Relationship[1-3]", AR1042 &lt;= 7, "Established Relationship[4-7]", AR1042 &lt;= 12, "Long Term Relationship[8-12]", AR1042 &lt;= 17, "Very Long Term Relationship[13-17]")</f>
        <v>Long Term Relationship[8-12]</v>
      </c>
      <c r="AR1042" s="1">
        <v>8</v>
      </c>
    </row>
    <row r="1043" spans="1:44" x14ac:dyDescent="0.25">
      <c r="A1043" s="1">
        <v>28</v>
      </c>
      <c r="B1043" s="8" t="str" cm="1">
        <f t="array" ref="B1043">_xlfn.IFS(A1043 &lt;= 25, "[18-25]", A1043 &lt;= 35, "[26-35]", A1043 &lt;=45, "[36-45]", A1043 &lt;= 60, "[46- 60]")</f>
        <v>[26-35]</v>
      </c>
      <c r="C1043" s="3" t="s">
        <v>43</v>
      </c>
      <c r="D1043">
        <f t="shared" si="16"/>
        <v>0</v>
      </c>
      <c r="E1043" t="s">
        <v>36</v>
      </c>
      <c r="F1043" s="1">
        <v>866</v>
      </c>
      <c r="G1043" s="3" t="s">
        <v>37</v>
      </c>
      <c r="H1043" s="1">
        <v>5</v>
      </c>
      <c r="I1043" s="9" t="str" cm="1">
        <f t="array" ref="I1043">_xlfn.IFS(H1043 &lt;= 2, "[1-2] very close", H1043 &lt;= 10, "[3-10] close", H1043 &lt;= 20, "[11-20] moderate", H1043 &lt;= 30, "[21-30] far")</f>
        <v>[3-10] close</v>
      </c>
      <c r="J1043" s="1">
        <v>3</v>
      </c>
      <c r="K1043" s="3" t="s">
        <v>51</v>
      </c>
      <c r="L1043" s="1">
        <v>1</v>
      </c>
      <c r="M1043" s="1">
        <v>1469</v>
      </c>
      <c r="N1043" s="1">
        <v>4</v>
      </c>
      <c r="O1043" s="3" t="s">
        <v>46</v>
      </c>
      <c r="P1043" s="1">
        <v>84</v>
      </c>
      <c r="Q1043" s="1">
        <v>3</v>
      </c>
      <c r="R1043" s="1">
        <v>2</v>
      </c>
      <c r="S1043" s="3" t="s">
        <v>40</v>
      </c>
      <c r="T1043" s="1">
        <v>1</v>
      </c>
      <c r="U1043" s="3" t="s">
        <v>41</v>
      </c>
      <c r="V1043" s="4">
        <v>8463</v>
      </c>
      <c r="W1043" s="1">
        <v>23490</v>
      </c>
      <c r="X1043" s="1">
        <v>0</v>
      </c>
      <c r="Y1043" s="3" t="s">
        <v>42</v>
      </c>
      <c r="Z1043" s="3" t="s">
        <v>43</v>
      </c>
      <c r="AA1043" s="5">
        <v>0.18</v>
      </c>
      <c r="AB1043" s="10" t="str" cm="1">
        <f t="array" ref="AB1043">_xlfn.IFS(AA1043 &lt;= 15%, "Low Hike[11-15%]", AA1043 &lt;= 20%, "Moderate Hike[16-20%]", AA1043 &lt;= 25%,"High Hike[21-25%]")</f>
        <v>Moderate Hike[16-20%]</v>
      </c>
      <c r="AC1043" s="1">
        <v>3</v>
      </c>
      <c r="AD1043" s="1">
        <v>4</v>
      </c>
      <c r="AE1043" s="1">
        <v>80</v>
      </c>
      <c r="AF1043" s="1">
        <v>0</v>
      </c>
      <c r="AG1043" s="1">
        <v>6</v>
      </c>
      <c r="AH1043" s="9" t="str" cm="1">
        <f t="array" ref="AH1043">_xlfn.IFS(AG1043 &lt;= 5, "New[1-5]", AG1043 &lt;= 10, "Early Career[6-10]", AG1043 &lt;= 20, "Established[11-20]", AG1043 &lt;= 30, "Veteran[21-30]", AG1043 &lt;= 40, "Late Career[31-40]")</f>
        <v>Early Career[6-10]</v>
      </c>
      <c r="AI1043" s="1">
        <v>4</v>
      </c>
      <c r="AJ1043" s="1">
        <v>3</v>
      </c>
      <c r="AK1043" s="1">
        <v>5</v>
      </c>
      <c r="AL1043" s="9" t="str" cm="1">
        <f t="array" ref="AL1043">_xlfn.IFS(AK1043 &lt;= 5, "New[1-5]", AK1043 &lt;= 10, "Early Career[6-10]", AK1043 &lt;= 20, "Established[11-20]", AK1043 &lt;= 30, "Veteran[21-30]", AK1043 &lt;= 40, "Late Career[31-40]")</f>
        <v>New[1-5]</v>
      </c>
      <c r="AM1043" s="1">
        <v>4</v>
      </c>
      <c r="AN1043" s="9" t="str" cm="1">
        <f t="array" ref="AN1043">_xlfn.IFS(AM1043 &lt;= 3, "New to Role[1-3]", AM1043 &lt;= 7, "Settled[4-7]", AM1043 &lt;= 12, "Experienced[[8-12]", AM1043 &lt;= 18, "Long Tenured[13-18]")</f>
        <v>Settled[4-7]</v>
      </c>
      <c r="AO1043" s="1">
        <v>1</v>
      </c>
      <c r="AP1043" s="9" t="str" cm="1">
        <f t="array" ref="AP1043">_xlfn.IFS(AO1043 &lt;= 3, "Recently[1-3]", AO1043 &lt;= 6, "Due Soon[4-6]", AO1043 &lt;= 10, "Overdue[7-10]", AO1043 &lt;= 15, "Long Overdue[11-15]")</f>
        <v>Recently[1-3]</v>
      </c>
      <c r="AQ1043" s="9" t="str" cm="1">
        <f t="array" ref="AQ1043">_xlfn.IFS(AR1043 &lt;= 3, "New Relationship[1-3]", AR1043 &lt;= 7, "Established Relationship[4-7]", AR1043 &lt;= 12, "Long Term Relationship[8-12]", AR1043 &lt;= 17, "Very Long Term Relationship[13-17]")</f>
        <v>New Relationship[1-3]</v>
      </c>
      <c r="AR1043" s="1">
        <v>3</v>
      </c>
    </row>
    <row r="1044" spans="1:44" x14ac:dyDescent="0.25">
      <c r="A1044" s="1">
        <v>44</v>
      </c>
      <c r="B1044" s="8" t="str" cm="1">
        <f t="array" ref="B1044">_xlfn.IFS(A1044 &lt;= 25, "[18-25]", A1044 &lt;= 35, "[26-35]", A1044 &lt;=45, "[36-45]", A1044 &lt;= 60, "[46- 60]")</f>
        <v>[36-45]</v>
      </c>
      <c r="C1044" s="3" t="s">
        <v>43</v>
      </c>
      <c r="D1044">
        <f t="shared" si="16"/>
        <v>0</v>
      </c>
      <c r="E1044" t="s">
        <v>62</v>
      </c>
      <c r="F1044" s="1">
        <v>981</v>
      </c>
      <c r="G1044" s="3" t="s">
        <v>45</v>
      </c>
      <c r="H1044" s="1">
        <v>5</v>
      </c>
      <c r="I1044" s="9" t="str" cm="1">
        <f t="array" ref="I1044">_xlfn.IFS(H1044 &lt;= 2, "[1-2] very close", H1044 &lt;= 10, "[3-10] close", H1044 &lt;= 20, "[11-20] moderate", H1044 &lt;= 30, "[21-30] far")</f>
        <v>[3-10] close</v>
      </c>
      <c r="J1044" s="1">
        <v>3</v>
      </c>
      <c r="K1044" s="3" t="s">
        <v>38</v>
      </c>
      <c r="L1044" s="1">
        <v>1</v>
      </c>
      <c r="M1044" s="1">
        <v>1471</v>
      </c>
      <c r="N1044" s="1">
        <v>3</v>
      </c>
      <c r="O1044" s="3" t="s">
        <v>46</v>
      </c>
      <c r="P1044" s="1">
        <v>90</v>
      </c>
      <c r="Q1044" s="1">
        <v>2</v>
      </c>
      <c r="R1044" s="1">
        <v>1</v>
      </c>
      <c r="S1044" s="3" t="s">
        <v>50</v>
      </c>
      <c r="T1044" s="1">
        <v>3</v>
      </c>
      <c r="U1044" s="3" t="s">
        <v>41</v>
      </c>
      <c r="V1044" s="4">
        <v>3162</v>
      </c>
      <c r="W1044" s="1">
        <v>7973</v>
      </c>
      <c r="X1044" s="1">
        <v>3</v>
      </c>
      <c r="Y1044" s="3" t="s">
        <v>42</v>
      </c>
      <c r="Z1044" s="3" t="s">
        <v>43</v>
      </c>
      <c r="AA1044" s="5">
        <v>0.14000000000000001</v>
      </c>
      <c r="AB1044" s="10" t="str" cm="1">
        <f t="array" ref="AB1044">_xlfn.IFS(AA1044 &lt;= 15%, "Low Hike[11-15%]", AA1044 &lt;= 20%, "Moderate Hike[16-20%]", AA1044 &lt;= 25%,"High Hike[21-25%]")</f>
        <v>Low Hike[11-15%]</v>
      </c>
      <c r="AC1044" s="1">
        <v>3</v>
      </c>
      <c r="AD1044" s="1">
        <v>4</v>
      </c>
      <c r="AE1044" s="1">
        <v>80</v>
      </c>
      <c r="AF1044" s="1">
        <v>0</v>
      </c>
      <c r="AG1044" s="1">
        <v>7</v>
      </c>
      <c r="AH1044" s="9" t="str" cm="1">
        <f t="array" ref="AH1044">_xlfn.IFS(AG1044 &lt;= 5, "New[1-5]", AG1044 &lt;= 10, "Early Career[6-10]", AG1044 &lt;= 20, "Established[11-20]", AG1044 &lt;= 30, "Veteran[21-30]", AG1044 &lt;= 40, "Late Career[31-40]")</f>
        <v>Early Career[6-10]</v>
      </c>
      <c r="AI1044" s="1">
        <v>5</v>
      </c>
      <c r="AJ1044" s="1">
        <v>3</v>
      </c>
      <c r="AK1044" s="1">
        <v>5</v>
      </c>
      <c r="AL1044" s="9" t="str" cm="1">
        <f t="array" ref="AL1044">_xlfn.IFS(AK1044 &lt;= 5, "New[1-5]", AK1044 &lt;= 10, "Early Career[6-10]", AK1044 &lt;= 20, "Established[11-20]", AK1044 &lt;= 30, "Veteran[21-30]", AK1044 &lt;= 40, "Late Career[31-40]")</f>
        <v>New[1-5]</v>
      </c>
      <c r="AM1044" s="1">
        <v>2</v>
      </c>
      <c r="AN1044" s="9" t="str" cm="1">
        <f t="array" ref="AN1044">_xlfn.IFS(AM1044 &lt;= 3, "New to Role[1-3]", AM1044 &lt;= 7, "Settled[4-7]", AM1044 &lt;= 12, "Experienced[[8-12]", AM1044 &lt;= 18, "Long Tenured[13-18]")</f>
        <v>New to Role[1-3]</v>
      </c>
      <c r="AO1044" s="1">
        <v>0</v>
      </c>
      <c r="AP1044" s="9" t="str" cm="1">
        <f t="array" ref="AP1044">_xlfn.IFS(AO1044 &lt;= 3, "Recently[1-3]", AO1044 &lt;= 6, "Due Soon[4-6]", AO1044 &lt;= 10, "Overdue[7-10]", AO1044 &lt;= 15, "Long Overdue[11-15]")</f>
        <v>Recently[1-3]</v>
      </c>
      <c r="AQ1044" s="9" t="str" cm="1">
        <f t="array" ref="AQ1044">_xlfn.IFS(AR1044 &lt;= 3, "New Relationship[1-3]", AR1044 &lt;= 7, "Established Relationship[4-7]", AR1044 &lt;= 12, "Long Term Relationship[8-12]", AR1044 &lt;= 17, "Very Long Term Relationship[13-17]")</f>
        <v>New Relationship[1-3]</v>
      </c>
      <c r="AR1044" s="1">
        <v>3</v>
      </c>
    </row>
    <row r="1045" spans="1:44" x14ac:dyDescent="0.25">
      <c r="A1045" s="1">
        <v>53</v>
      </c>
      <c r="B1045" s="8" t="str" cm="1">
        <f t="array" ref="B1045">_xlfn.IFS(A1045 &lt;= 25, "[18-25]", A1045 &lt;= 35, "[26-35]", A1045 &lt;=45, "[36-45]", A1045 &lt;= 60, "[46- 60]")</f>
        <v>[46- 60]</v>
      </c>
      <c r="C1045" s="3" t="s">
        <v>43</v>
      </c>
      <c r="D1045">
        <f t="shared" si="16"/>
        <v>0</v>
      </c>
      <c r="E1045" t="s">
        <v>36</v>
      </c>
      <c r="F1045" s="1">
        <v>447</v>
      </c>
      <c r="G1045" s="3" t="s">
        <v>45</v>
      </c>
      <c r="H1045" s="1">
        <v>2</v>
      </c>
      <c r="I1045" s="9" t="str" cm="1">
        <f t="array" ref="I1045">_xlfn.IFS(H1045 &lt;= 2, "[1-2] very close", H1045 &lt;= 10, "[3-10] close", H1045 &lt;= 20, "[11-20] moderate", H1045 &lt;= 30, "[21-30] far")</f>
        <v>[1-2] very close</v>
      </c>
      <c r="J1045" s="1">
        <v>3</v>
      </c>
      <c r="K1045" s="3" t="s">
        <v>51</v>
      </c>
      <c r="L1045" s="1">
        <v>1</v>
      </c>
      <c r="M1045" s="1">
        <v>1472</v>
      </c>
      <c r="N1045" s="1">
        <v>4</v>
      </c>
      <c r="O1045" s="3" t="s">
        <v>46</v>
      </c>
      <c r="P1045" s="1">
        <v>39</v>
      </c>
      <c r="Q1045" s="1">
        <v>4</v>
      </c>
      <c r="R1045" s="1">
        <v>4</v>
      </c>
      <c r="S1045" s="3" t="s">
        <v>58</v>
      </c>
      <c r="T1045" s="1">
        <v>2</v>
      </c>
      <c r="U1045" s="3" t="s">
        <v>41</v>
      </c>
      <c r="V1045" s="4">
        <v>16598</v>
      </c>
      <c r="W1045" s="1">
        <v>19764</v>
      </c>
      <c r="X1045" s="1">
        <v>4</v>
      </c>
      <c r="Y1045" s="3" t="s">
        <v>42</v>
      </c>
      <c r="Z1045" s="3" t="s">
        <v>43</v>
      </c>
      <c r="AA1045" s="5">
        <v>0.12</v>
      </c>
      <c r="AB1045" s="10" t="str" cm="1">
        <f t="array" ref="AB1045">_xlfn.IFS(AA1045 &lt;= 15%, "Low Hike[11-15%]", AA1045 &lt;= 20%, "Moderate Hike[16-20%]", AA1045 &lt;= 25%,"High Hike[21-25%]")</f>
        <v>Low Hike[11-15%]</v>
      </c>
      <c r="AC1045" s="1">
        <v>3</v>
      </c>
      <c r="AD1045" s="1">
        <v>2</v>
      </c>
      <c r="AE1045" s="1">
        <v>80</v>
      </c>
      <c r="AF1045" s="1">
        <v>0</v>
      </c>
      <c r="AG1045" s="1">
        <v>35</v>
      </c>
      <c r="AH1045" s="9" t="str" cm="1">
        <f t="array" ref="AH1045">_xlfn.IFS(AG1045 &lt;= 5, "New[1-5]", AG1045 &lt;= 10, "Early Career[6-10]", AG1045 &lt;= 20, "Established[11-20]", AG1045 &lt;= 30, "Veteran[21-30]", AG1045 &lt;= 40, "Late Career[31-40]")</f>
        <v>Late Career[31-40]</v>
      </c>
      <c r="AI1045" s="1">
        <v>2</v>
      </c>
      <c r="AJ1045" s="1">
        <v>2</v>
      </c>
      <c r="AK1045" s="1">
        <v>9</v>
      </c>
      <c r="AL1045" s="9" t="str" cm="1">
        <f t="array" ref="AL1045">_xlfn.IFS(AK1045 &lt;= 5, "New[1-5]", AK1045 &lt;= 10, "Early Career[6-10]", AK1045 &lt;= 20, "Established[11-20]", AK1045 &lt;= 30, "Veteran[21-30]", AK1045 &lt;= 40, "Late Career[31-40]")</f>
        <v>Early Career[6-10]</v>
      </c>
      <c r="AM1045" s="1">
        <v>8</v>
      </c>
      <c r="AN1045" s="9" t="str" cm="1">
        <f t="array" ref="AN1045">_xlfn.IFS(AM1045 &lt;= 3, "New to Role[1-3]", AM1045 &lt;= 7, "Settled[4-7]", AM1045 &lt;= 12, "Experienced[[8-12]", AM1045 &lt;= 18, "Long Tenured[13-18]")</f>
        <v>Experienced[[8-12]</v>
      </c>
      <c r="AO1045" s="1">
        <v>8</v>
      </c>
      <c r="AP1045" s="9" t="str" cm="1">
        <f t="array" ref="AP1045">_xlfn.IFS(AO1045 &lt;= 3, "Recently[1-3]", AO1045 &lt;= 6, "Due Soon[4-6]", AO1045 &lt;= 10, "Overdue[7-10]", AO1045 &lt;= 15, "Long Overdue[11-15]")</f>
        <v>Overdue[7-10]</v>
      </c>
      <c r="AQ1045" s="9" t="str" cm="1">
        <f t="array" ref="AQ1045">_xlfn.IFS(AR1045 &lt;= 3, "New Relationship[1-3]", AR1045 &lt;= 7, "Established Relationship[4-7]", AR1045 &lt;= 12, "Long Term Relationship[8-12]", AR1045 &lt;= 17, "Very Long Term Relationship[13-17]")</f>
        <v>Long Term Relationship[8-12]</v>
      </c>
      <c r="AR1045" s="1">
        <v>8</v>
      </c>
    </row>
    <row r="1046" spans="1:44" x14ac:dyDescent="0.25">
      <c r="A1046" s="1">
        <v>49</v>
      </c>
      <c r="B1046" s="8" t="str" cm="1">
        <f t="array" ref="B1046">_xlfn.IFS(A1046 &lt;= 25, "[18-25]", A1046 &lt;= 35, "[26-35]", A1046 &lt;=45, "[36-45]", A1046 &lt;= 60, "[46- 60]")</f>
        <v>[46- 60]</v>
      </c>
      <c r="C1046" s="3" t="s">
        <v>43</v>
      </c>
      <c r="D1046">
        <f t="shared" si="16"/>
        <v>0</v>
      </c>
      <c r="E1046" t="s">
        <v>36</v>
      </c>
      <c r="F1046" s="1">
        <v>1495</v>
      </c>
      <c r="G1046" s="3" t="s">
        <v>45</v>
      </c>
      <c r="H1046" s="1">
        <v>5</v>
      </c>
      <c r="I1046" s="9" t="str" cm="1">
        <f t="array" ref="I1046">_xlfn.IFS(H1046 &lt;= 2, "[1-2] very close", H1046 &lt;= 10, "[3-10] close", H1046 &lt;= 20, "[11-20] moderate", H1046 &lt;= 30, "[21-30] far")</f>
        <v>[3-10] close</v>
      </c>
      <c r="J1046" s="1">
        <v>4</v>
      </c>
      <c r="K1046" s="3" t="s">
        <v>60</v>
      </c>
      <c r="L1046" s="1">
        <v>1</v>
      </c>
      <c r="M1046" s="1">
        <v>1473</v>
      </c>
      <c r="N1046" s="1">
        <v>1</v>
      </c>
      <c r="O1046" s="3" t="s">
        <v>46</v>
      </c>
      <c r="P1046" s="1">
        <v>96</v>
      </c>
      <c r="Q1046" s="1">
        <v>3</v>
      </c>
      <c r="R1046" s="1">
        <v>2</v>
      </c>
      <c r="S1046" s="3" t="s">
        <v>54</v>
      </c>
      <c r="T1046" s="1">
        <v>3</v>
      </c>
      <c r="U1046" s="3" t="s">
        <v>48</v>
      </c>
      <c r="V1046" s="4">
        <v>6651</v>
      </c>
      <c r="W1046" s="1">
        <v>21534</v>
      </c>
      <c r="X1046" s="1">
        <v>2</v>
      </c>
      <c r="Y1046" s="3" t="s">
        <v>42</v>
      </c>
      <c r="Z1046" s="3" t="s">
        <v>43</v>
      </c>
      <c r="AA1046" s="5">
        <v>0.14000000000000001</v>
      </c>
      <c r="AB1046" s="10" t="str" cm="1">
        <f t="array" ref="AB1046">_xlfn.IFS(AA1046 &lt;= 15%, "Low Hike[11-15%]", AA1046 &lt;= 20%, "Moderate Hike[16-20%]", AA1046 &lt;= 25%,"High Hike[21-25%]")</f>
        <v>Low Hike[11-15%]</v>
      </c>
      <c r="AC1046" s="1">
        <v>3</v>
      </c>
      <c r="AD1046" s="1">
        <v>2</v>
      </c>
      <c r="AE1046" s="1">
        <v>80</v>
      </c>
      <c r="AF1046" s="1">
        <v>1</v>
      </c>
      <c r="AG1046" s="1">
        <v>20</v>
      </c>
      <c r="AH1046" s="9" t="str" cm="1">
        <f t="array" ref="AH1046">_xlfn.IFS(AG1046 &lt;= 5, "New[1-5]", AG1046 &lt;= 10, "Early Career[6-10]", AG1046 &lt;= 20, "Established[11-20]", AG1046 &lt;= 30, "Veteran[21-30]", AG1046 &lt;= 40, "Late Career[31-40]")</f>
        <v>Established[11-20]</v>
      </c>
      <c r="AI1046" s="1">
        <v>0</v>
      </c>
      <c r="AJ1046" s="1">
        <v>2</v>
      </c>
      <c r="AK1046" s="1">
        <v>3</v>
      </c>
      <c r="AL1046" s="9" t="str" cm="1">
        <f t="array" ref="AL1046">_xlfn.IFS(AK1046 &lt;= 5, "New[1-5]", AK1046 &lt;= 10, "Early Career[6-10]", AK1046 &lt;= 20, "Established[11-20]", AK1046 &lt;= 30, "Veteran[21-30]", AK1046 &lt;= 40, "Late Career[31-40]")</f>
        <v>New[1-5]</v>
      </c>
      <c r="AM1046" s="1">
        <v>2</v>
      </c>
      <c r="AN1046" s="9" t="str" cm="1">
        <f t="array" ref="AN1046">_xlfn.IFS(AM1046 &lt;= 3, "New to Role[1-3]", AM1046 &lt;= 7, "Settled[4-7]", AM1046 &lt;= 12, "Experienced[[8-12]", AM1046 &lt;= 18, "Long Tenured[13-18]")</f>
        <v>New to Role[1-3]</v>
      </c>
      <c r="AO1046" s="1">
        <v>1</v>
      </c>
      <c r="AP1046" s="9" t="str" cm="1">
        <f t="array" ref="AP1046">_xlfn.IFS(AO1046 &lt;= 3, "Recently[1-3]", AO1046 &lt;= 6, "Due Soon[4-6]", AO1046 &lt;= 10, "Overdue[7-10]", AO1046 &lt;= 15, "Long Overdue[11-15]")</f>
        <v>Recently[1-3]</v>
      </c>
      <c r="AQ1046" s="9" t="str" cm="1">
        <f t="array" ref="AQ1046">_xlfn.IFS(AR1046 &lt;= 3, "New Relationship[1-3]", AR1046 &lt;= 7, "Established Relationship[4-7]", AR1046 &lt;= 12, "Long Term Relationship[8-12]", AR1046 &lt;= 17, "Very Long Term Relationship[13-17]")</f>
        <v>New Relationship[1-3]</v>
      </c>
      <c r="AR1046" s="1">
        <v>2</v>
      </c>
    </row>
    <row r="1047" spans="1:44" x14ac:dyDescent="0.25">
      <c r="A1047" s="1">
        <v>40</v>
      </c>
      <c r="B1047" s="8" t="str" cm="1">
        <f t="array" ref="B1047">_xlfn.IFS(A1047 &lt;= 25, "[18-25]", A1047 &lt;= 35, "[26-35]", A1047 &lt;=45, "[36-45]", A1047 &lt;= 60, "[46- 60]")</f>
        <v>[36-45]</v>
      </c>
      <c r="C1047" s="3" t="s">
        <v>43</v>
      </c>
      <c r="D1047">
        <f t="shared" si="16"/>
        <v>0</v>
      </c>
      <c r="E1047" t="s">
        <v>36</v>
      </c>
      <c r="F1047" s="1">
        <v>896</v>
      </c>
      <c r="G1047" s="3" t="s">
        <v>45</v>
      </c>
      <c r="H1047" s="1">
        <v>2</v>
      </c>
      <c r="I1047" s="9" t="str" cm="1">
        <f t="array" ref="I1047">_xlfn.IFS(H1047 &lt;= 2, "[1-2] very close", H1047 &lt;= 10, "[3-10] close", H1047 &lt;= 20, "[11-20] moderate", H1047 &lt;= 30, "[21-30] far")</f>
        <v>[1-2] very close</v>
      </c>
      <c r="J1047" s="1">
        <v>3</v>
      </c>
      <c r="K1047" s="3" t="s">
        <v>51</v>
      </c>
      <c r="L1047" s="1">
        <v>1</v>
      </c>
      <c r="M1047" s="1">
        <v>1474</v>
      </c>
      <c r="N1047" s="1">
        <v>3</v>
      </c>
      <c r="O1047" s="3" t="s">
        <v>46</v>
      </c>
      <c r="P1047" s="1">
        <v>68</v>
      </c>
      <c r="Q1047" s="1">
        <v>3</v>
      </c>
      <c r="R1047" s="1">
        <v>1</v>
      </c>
      <c r="S1047" s="3" t="s">
        <v>47</v>
      </c>
      <c r="T1047" s="1">
        <v>3</v>
      </c>
      <c r="U1047" s="3" t="s">
        <v>52</v>
      </c>
      <c r="V1047" s="4">
        <v>2345</v>
      </c>
      <c r="W1047" s="1">
        <v>8045</v>
      </c>
      <c r="X1047" s="1">
        <v>2</v>
      </c>
      <c r="Y1047" s="3" t="s">
        <v>42</v>
      </c>
      <c r="Z1047" s="3" t="s">
        <v>43</v>
      </c>
      <c r="AA1047" s="5">
        <v>0.14000000000000001</v>
      </c>
      <c r="AB1047" s="10" t="str" cm="1">
        <f t="array" ref="AB1047">_xlfn.IFS(AA1047 &lt;= 15%, "Low Hike[11-15%]", AA1047 &lt;= 20%, "Moderate Hike[16-20%]", AA1047 &lt;= 25%,"High Hike[21-25%]")</f>
        <v>Low Hike[11-15%]</v>
      </c>
      <c r="AC1047" s="1">
        <v>3</v>
      </c>
      <c r="AD1047" s="1">
        <v>3</v>
      </c>
      <c r="AE1047" s="1">
        <v>80</v>
      </c>
      <c r="AF1047" s="1">
        <v>1</v>
      </c>
      <c r="AG1047" s="1">
        <v>8</v>
      </c>
      <c r="AH1047" s="9" t="str" cm="1">
        <f t="array" ref="AH1047">_xlfn.IFS(AG1047 &lt;= 5, "New[1-5]", AG1047 &lt;= 10, "Early Career[6-10]", AG1047 &lt;= 20, "Established[11-20]", AG1047 &lt;= 30, "Veteran[21-30]", AG1047 &lt;= 40, "Late Career[31-40]")</f>
        <v>Early Career[6-10]</v>
      </c>
      <c r="AI1047" s="1">
        <v>3</v>
      </c>
      <c r="AJ1047" s="1">
        <v>4</v>
      </c>
      <c r="AK1047" s="1">
        <v>3</v>
      </c>
      <c r="AL1047" s="9" t="str" cm="1">
        <f t="array" ref="AL1047">_xlfn.IFS(AK1047 &lt;= 5, "New[1-5]", AK1047 &lt;= 10, "Early Career[6-10]", AK1047 &lt;= 20, "Established[11-20]", AK1047 &lt;= 30, "Veteran[21-30]", AK1047 &lt;= 40, "Late Career[31-40]")</f>
        <v>New[1-5]</v>
      </c>
      <c r="AM1047" s="1">
        <v>1</v>
      </c>
      <c r="AN1047" s="9" t="str" cm="1">
        <f t="array" ref="AN1047">_xlfn.IFS(AM1047 &lt;= 3, "New to Role[1-3]", AM1047 &lt;= 7, "Settled[4-7]", AM1047 &lt;= 12, "Experienced[[8-12]", AM1047 &lt;= 18, "Long Tenured[13-18]")</f>
        <v>New to Role[1-3]</v>
      </c>
      <c r="AO1047" s="1">
        <v>1</v>
      </c>
      <c r="AP1047" s="9" t="str" cm="1">
        <f t="array" ref="AP1047">_xlfn.IFS(AO1047 &lt;= 3, "Recently[1-3]", AO1047 &lt;= 6, "Due Soon[4-6]", AO1047 &lt;= 10, "Overdue[7-10]", AO1047 &lt;= 15, "Long Overdue[11-15]")</f>
        <v>Recently[1-3]</v>
      </c>
      <c r="AQ1047" s="9" t="str" cm="1">
        <f t="array" ref="AQ1047">_xlfn.IFS(AR1047 &lt;= 3, "New Relationship[1-3]", AR1047 &lt;= 7, "Established Relationship[4-7]", AR1047 &lt;= 12, "Long Term Relationship[8-12]", AR1047 &lt;= 17, "Very Long Term Relationship[13-17]")</f>
        <v>New Relationship[1-3]</v>
      </c>
      <c r="AR1047" s="1">
        <v>2</v>
      </c>
    </row>
    <row r="1048" spans="1:44" x14ac:dyDescent="0.25">
      <c r="A1048" s="1">
        <v>44</v>
      </c>
      <c r="B1048" s="8" t="str" cm="1">
        <f t="array" ref="B1048">_xlfn.IFS(A1048 &lt;= 25, "[18-25]", A1048 &lt;= 35, "[26-35]", A1048 &lt;=45, "[36-45]", A1048 &lt;= 60, "[46- 60]")</f>
        <v>[36-45]</v>
      </c>
      <c r="C1048" s="3" t="s">
        <v>43</v>
      </c>
      <c r="D1048">
        <f t="shared" si="16"/>
        <v>0</v>
      </c>
      <c r="E1048" t="s">
        <v>36</v>
      </c>
      <c r="F1048" s="1">
        <v>1467</v>
      </c>
      <c r="G1048" s="3" t="s">
        <v>45</v>
      </c>
      <c r="H1048" s="1">
        <v>20</v>
      </c>
      <c r="I1048" s="9" t="str" cm="1">
        <f t="array" ref="I1048">_xlfn.IFS(H1048 &lt;= 2, "[1-2] very close", H1048 &lt;= 10, "[3-10] close", H1048 &lt;= 20, "[11-20] moderate", H1048 &lt;= 30, "[21-30] far")</f>
        <v>[11-20] moderate</v>
      </c>
      <c r="J1048" s="1">
        <v>3</v>
      </c>
      <c r="K1048" s="3" t="s">
        <v>38</v>
      </c>
      <c r="L1048" s="1">
        <v>1</v>
      </c>
      <c r="M1048" s="1">
        <v>1475</v>
      </c>
      <c r="N1048" s="1">
        <v>4</v>
      </c>
      <c r="O1048" s="3" t="s">
        <v>46</v>
      </c>
      <c r="P1048" s="1">
        <v>49</v>
      </c>
      <c r="Q1048" s="1">
        <v>3</v>
      </c>
      <c r="R1048" s="1">
        <v>1</v>
      </c>
      <c r="S1048" s="3" t="s">
        <v>47</v>
      </c>
      <c r="T1048" s="1">
        <v>2</v>
      </c>
      <c r="U1048" s="3" t="s">
        <v>41</v>
      </c>
      <c r="V1048" s="4">
        <v>3420</v>
      </c>
      <c r="W1048" s="1">
        <v>21158</v>
      </c>
      <c r="X1048" s="1">
        <v>1</v>
      </c>
      <c r="Y1048" s="3" t="s">
        <v>42</v>
      </c>
      <c r="Z1048" s="3" t="s">
        <v>43</v>
      </c>
      <c r="AA1048" s="5">
        <v>0.13</v>
      </c>
      <c r="AB1048" s="10" t="str" cm="1">
        <f t="array" ref="AB1048">_xlfn.IFS(AA1048 &lt;= 15%, "Low Hike[11-15%]", AA1048 &lt;= 20%, "Moderate Hike[16-20%]", AA1048 &lt;= 25%,"High Hike[21-25%]")</f>
        <v>Low Hike[11-15%]</v>
      </c>
      <c r="AC1048" s="1">
        <v>3</v>
      </c>
      <c r="AD1048" s="1">
        <v>3</v>
      </c>
      <c r="AE1048" s="1">
        <v>80</v>
      </c>
      <c r="AF1048" s="1">
        <v>0</v>
      </c>
      <c r="AG1048" s="1">
        <v>6</v>
      </c>
      <c r="AH1048" s="9" t="str" cm="1">
        <f t="array" ref="AH1048">_xlfn.IFS(AG1048 &lt;= 5, "New[1-5]", AG1048 &lt;= 10, "Early Career[6-10]", AG1048 &lt;= 20, "Established[11-20]", AG1048 &lt;= 30, "Veteran[21-30]", AG1048 &lt;= 40, "Late Career[31-40]")</f>
        <v>Early Career[6-10]</v>
      </c>
      <c r="AI1048" s="1">
        <v>3</v>
      </c>
      <c r="AJ1048" s="1">
        <v>2</v>
      </c>
      <c r="AK1048" s="1">
        <v>5</v>
      </c>
      <c r="AL1048" s="9" t="str" cm="1">
        <f t="array" ref="AL1048">_xlfn.IFS(AK1048 &lt;= 5, "New[1-5]", AK1048 &lt;= 10, "Early Career[6-10]", AK1048 &lt;= 20, "Established[11-20]", AK1048 &lt;= 30, "Veteran[21-30]", AK1048 &lt;= 40, "Late Career[31-40]")</f>
        <v>New[1-5]</v>
      </c>
      <c r="AM1048" s="1">
        <v>2</v>
      </c>
      <c r="AN1048" s="9" t="str" cm="1">
        <f t="array" ref="AN1048">_xlfn.IFS(AM1048 &lt;= 3, "New to Role[1-3]", AM1048 &lt;= 7, "Settled[4-7]", AM1048 &lt;= 12, "Experienced[[8-12]", AM1048 &lt;= 18, "Long Tenured[13-18]")</f>
        <v>New to Role[1-3]</v>
      </c>
      <c r="AO1048" s="1">
        <v>1</v>
      </c>
      <c r="AP1048" s="9" t="str" cm="1">
        <f t="array" ref="AP1048">_xlfn.IFS(AO1048 &lt;= 3, "Recently[1-3]", AO1048 &lt;= 6, "Due Soon[4-6]", AO1048 &lt;= 10, "Overdue[7-10]", AO1048 &lt;= 15, "Long Overdue[11-15]")</f>
        <v>Recently[1-3]</v>
      </c>
      <c r="AQ1048" s="9" t="str" cm="1">
        <f t="array" ref="AQ1048">_xlfn.IFS(AR1048 &lt;= 3, "New Relationship[1-3]", AR1048 &lt;= 7, "Established Relationship[4-7]", AR1048 &lt;= 12, "Long Term Relationship[8-12]", AR1048 &lt;= 17, "Very Long Term Relationship[13-17]")</f>
        <v>New Relationship[1-3]</v>
      </c>
      <c r="AR1048" s="1">
        <v>3</v>
      </c>
    </row>
    <row r="1049" spans="1:44" x14ac:dyDescent="0.25">
      <c r="A1049" s="1">
        <v>33</v>
      </c>
      <c r="B1049" s="8" t="str" cm="1">
        <f t="array" ref="B1049">_xlfn.IFS(A1049 &lt;= 25, "[18-25]", A1049 &lt;= 35, "[26-35]", A1049 &lt;=45, "[36-45]", A1049 &lt;= 60, "[46- 60]")</f>
        <v>[26-35]</v>
      </c>
      <c r="C1049" s="3" t="s">
        <v>43</v>
      </c>
      <c r="D1049">
        <f t="shared" si="16"/>
        <v>0</v>
      </c>
      <c r="E1049" t="s">
        <v>44</v>
      </c>
      <c r="F1049" s="1">
        <v>430</v>
      </c>
      <c r="G1049" s="3" t="s">
        <v>37</v>
      </c>
      <c r="H1049" s="1">
        <v>7</v>
      </c>
      <c r="I1049" s="9" t="str" cm="1">
        <f t="array" ref="I1049">_xlfn.IFS(H1049 &lt;= 2, "[1-2] very close", H1049 &lt;= 10, "[3-10] close", H1049 &lt;= 20, "[11-20] moderate", H1049 &lt;= 30, "[21-30] far")</f>
        <v>[3-10] close</v>
      </c>
      <c r="J1049" s="1">
        <v>3</v>
      </c>
      <c r="K1049" s="3" t="s">
        <v>51</v>
      </c>
      <c r="L1049" s="1">
        <v>1</v>
      </c>
      <c r="M1049" s="1">
        <v>1477</v>
      </c>
      <c r="N1049" s="1">
        <v>4</v>
      </c>
      <c r="O1049" s="3" t="s">
        <v>46</v>
      </c>
      <c r="P1049" s="1">
        <v>54</v>
      </c>
      <c r="Q1049" s="1">
        <v>3</v>
      </c>
      <c r="R1049" s="1">
        <v>2</v>
      </c>
      <c r="S1049" s="3" t="s">
        <v>40</v>
      </c>
      <c r="T1049" s="1">
        <v>1</v>
      </c>
      <c r="U1049" s="3" t="s">
        <v>48</v>
      </c>
      <c r="V1049" s="4">
        <v>4373</v>
      </c>
      <c r="W1049" s="1">
        <v>17456</v>
      </c>
      <c r="X1049" s="1">
        <v>0</v>
      </c>
      <c r="Y1049" s="3" t="s">
        <v>42</v>
      </c>
      <c r="Z1049" s="3" t="s">
        <v>43</v>
      </c>
      <c r="AA1049" s="5">
        <v>0.14000000000000001</v>
      </c>
      <c r="AB1049" s="10" t="str" cm="1">
        <f t="array" ref="AB1049">_xlfn.IFS(AA1049 &lt;= 15%, "Low Hike[11-15%]", AA1049 &lt;= 20%, "Moderate Hike[16-20%]", AA1049 &lt;= 25%,"High Hike[21-25%]")</f>
        <v>Low Hike[11-15%]</v>
      </c>
      <c r="AC1049" s="1">
        <v>3</v>
      </c>
      <c r="AD1049" s="1">
        <v>1</v>
      </c>
      <c r="AE1049" s="1">
        <v>80</v>
      </c>
      <c r="AF1049" s="1">
        <v>2</v>
      </c>
      <c r="AG1049" s="1">
        <v>5</v>
      </c>
      <c r="AH1049" s="9" t="str" cm="1">
        <f t="array" ref="AH1049">_xlfn.IFS(AG1049 &lt;= 5, "New[1-5]", AG1049 &lt;= 10, "Early Career[6-10]", AG1049 &lt;= 20, "Established[11-20]", AG1049 &lt;= 30, "Veteran[21-30]", AG1049 &lt;= 40, "Late Career[31-40]")</f>
        <v>New[1-5]</v>
      </c>
      <c r="AI1049" s="1">
        <v>2</v>
      </c>
      <c r="AJ1049" s="1">
        <v>3</v>
      </c>
      <c r="AK1049" s="1">
        <v>4</v>
      </c>
      <c r="AL1049" s="9" t="str" cm="1">
        <f t="array" ref="AL1049">_xlfn.IFS(AK1049 &lt;= 5, "New[1-5]", AK1049 &lt;= 10, "Early Career[6-10]", AK1049 &lt;= 20, "Established[11-20]", AK1049 &lt;= 30, "Veteran[21-30]", AK1049 &lt;= 40, "Late Career[31-40]")</f>
        <v>New[1-5]</v>
      </c>
      <c r="AM1049" s="1">
        <v>3</v>
      </c>
      <c r="AN1049" s="9" t="str" cm="1">
        <f t="array" ref="AN1049">_xlfn.IFS(AM1049 &lt;= 3, "New to Role[1-3]", AM1049 &lt;= 7, "Settled[4-7]", AM1049 &lt;= 12, "Experienced[[8-12]", AM1049 &lt;= 18, "Long Tenured[13-18]")</f>
        <v>New to Role[1-3]</v>
      </c>
      <c r="AO1049" s="1">
        <v>0</v>
      </c>
      <c r="AP1049" s="9" t="str" cm="1">
        <f t="array" ref="AP1049">_xlfn.IFS(AO1049 &lt;= 3, "Recently[1-3]", AO1049 &lt;= 6, "Due Soon[4-6]", AO1049 &lt;= 10, "Overdue[7-10]", AO1049 &lt;= 15, "Long Overdue[11-15]")</f>
        <v>Recently[1-3]</v>
      </c>
      <c r="AQ1049" s="9" t="str" cm="1">
        <f t="array" ref="AQ1049">_xlfn.IFS(AR1049 &lt;= 3, "New Relationship[1-3]", AR1049 &lt;= 7, "Established Relationship[4-7]", AR1049 &lt;= 12, "Long Term Relationship[8-12]", AR1049 &lt;= 17, "Very Long Term Relationship[13-17]")</f>
        <v>New Relationship[1-3]</v>
      </c>
      <c r="AR1049" s="1">
        <v>3</v>
      </c>
    </row>
    <row r="1050" spans="1:44" x14ac:dyDescent="0.25">
      <c r="A1050" s="1">
        <v>34</v>
      </c>
      <c r="B1050" s="8" t="str" cm="1">
        <f t="array" ref="B1050">_xlfn.IFS(A1050 &lt;= 25, "[18-25]", A1050 &lt;= 35, "[26-35]", A1050 &lt;=45, "[36-45]", A1050 &lt;= 60, "[46- 60]")</f>
        <v>[26-35]</v>
      </c>
      <c r="C1050" s="3" t="s">
        <v>43</v>
      </c>
      <c r="D1050">
        <f t="shared" si="16"/>
        <v>0</v>
      </c>
      <c r="E1050" t="s">
        <v>36</v>
      </c>
      <c r="F1050" s="1">
        <v>1326</v>
      </c>
      <c r="G1050" s="3" t="s">
        <v>37</v>
      </c>
      <c r="H1050" s="1">
        <v>3</v>
      </c>
      <c r="I1050" s="9" t="str" cm="1">
        <f t="array" ref="I1050">_xlfn.IFS(H1050 &lt;= 2, "[1-2] very close", H1050 &lt;= 10, "[3-10] close", H1050 &lt;= 20, "[11-20] moderate", H1050 &lt;= 30, "[21-30] far")</f>
        <v>[3-10] close</v>
      </c>
      <c r="J1050" s="1">
        <v>3</v>
      </c>
      <c r="K1050" s="3" t="s">
        <v>49</v>
      </c>
      <c r="L1050" s="1">
        <v>1</v>
      </c>
      <c r="M1050" s="1">
        <v>1478</v>
      </c>
      <c r="N1050" s="1">
        <v>4</v>
      </c>
      <c r="O1050" s="3" t="s">
        <v>46</v>
      </c>
      <c r="P1050" s="1">
        <v>81</v>
      </c>
      <c r="Q1050" s="1">
        <v>1</v>
      </c>
      <c r="R1050" s="1">
        <v>2</v>
      </c>
      <c r="S1050" s="3" t="s">
        <v>40</v>
      </c>
      <c r="T1050" s="1">
        <v>1</v>
      </c>
      <c r="U1050" s="3" t="s">
        <v>41</v>
      </c>
      <c r="V1050" s="4">
        <v>4759</v>
      </c>
      <c r="W1050" s="1">
        <v>15891</v>
      </c>
      <c r="X1050" s="1">
        <v>3</v>
      </c>
      <c r="Y1050" s="3" t="s">
        <v>42</v>
      </c>
      <c r="Z1050" s="3" t="s">
        <v>43</v>
      </c>
      <c r="AA1050" s="5">
        <v>0.18</v>
      </c>
      <c r="AB1050" s="10" t="str" cm="1">
        <f t="array" ref="AB1050">_xlfn.IFS(AA1050 &lt;= 15%, "Low Hike[11-15%]", AA1050 &lt;= 20%, "Moderate Hike[16-20%]", AA1050 &lt;= 25%,"High Hike[21-25%]")</f>
        <v>Moderate Hike[16-20%]</v>
      </c>
      <c r="AC1050" s="1">
        <v>3</v>
      </c>
      <c r="AD1050" s="1">
        <v>4</v>
      </c>
      <c r="AE1050" s="1">
        <v>80</v>
      </c>
      <c r="AF1050" s="1">
        <v>0</v>
      </c>
      <c r="AG1050" s="1">
        <v>15</v>
      </c>
      <c r="AH1050" s="9" t="str" cm="1">
        <f t="array" ref="AH1050">_xlfn.IFS(AG1050 &lt;= 5, "New[1-5]", AG1050 &lt;= 10, "Early Career[6-10]", AG1050 &lt;= 20, "Established[11-20]", AG1050 &lt;= 30, "Veteran[21-30]", AG1050 &lt;= 40, "Late Career[31-40]")</f>
        <v>Established[11-20]</v>
      </c>
      <c r="AI1050" s="1">
        <v>2</v>
      </c>
      <c r="AJ1050" s="1">
        <v>3</v>
      </c>
      <c r="AK1050" s="1">
        <v>13</v>
      </c>
      <c r="AL1050" s="9" t="str" cm="1">
        <f t="array" ref="AL1050">_xlfn.IFS(AK1050 &lt;= 5, "New[1-5]", AK1050 &lt;= 10, "Early Career[6-10]", AK1050 &lt;= 20, "Established[11-20]", AK1050 &lt;= 30, "Veteran[21-30]", AK1050 &lt;= 40, "Late Career[31-40]")</f>
        <v>Established[11-20]</v>
      </c>
      <c r="AM1050" s="1">
        <v>9</v>
      </c>
      <c r="AN1050" s="9" t="str" cm="1">
        <f t="array" ref="AN1050">_xlfn.IFS(AM1050 &lt;= 3, "New to Role[1-3]", AM1050 &lt;= 7, "Settled[4-7]", AM1050 &lt;= 12, "Experienced[[8-12]", AM1050 &lt;= 18, "Long Tenured[13-18]")</f>
        <v>Experienced[[8-12]</v>
      </c>
      <c r="AO1050" s="1">
        <v>3</v>
      </c>
      <c r="AP1050" s="9" t="str" cm="1">
        <f t="array" ref="AP1050">_xlfn.IFS(AO1050 &lt;= 3, "Recently[1-3]", AO1050 &lt;= 6, "Due Soon[4-6]", AO1050 &lt;= 10, "Overdue[7-10]", AO1050 &lt;= 15, "Long Overdue[11-15]")</f>
        <v>Recently[1-3]</v>
      </c>
      <c r="AQ1050" s="9" t="str" cm="1">
        <f t="array" ref="AQ1050">_xlfn.IFS(AR1050 &lt;= 3, "New Relationship[1-3]", AR1050 &lt;= 7, "Established Relationship[4-7]", AR1050 &lt;= 12, "Long Term Relationship[8-12]", AR1050 &lt;= 17, "Very Long Term Relationship[13-17]")</f>
        <v>Long Term Relationship[8-12]</v>
      </c>
      <c r="AR1050" s="1">
        <v>12</v>
      </c>
    </row>
    <row r="1051" spans="1:44" x14ac:dyDescent="0.25">
      <c r="A1051" s="1">
        <v>30</v>
      </c>
      <c r="B1051" s="8" t="str" cm="1">
        <f t="array" ref="B1051">_xlfn.IFS(A1051 &lt;= 25, "[18-25]", A1051 &lt;= 35, "[26-35]", A1051 &lt;=45, "[36-45]", A1051 &lt;= 60, "[46- 60]")</f>
        <v>[26-35]</v>
      </c>
      <c r="C1051" s="3" t="s">
        <v>43</v>
      </c>
      <c r="D1051">
        <f t="shared" si="16"/>
        <v>0</v>
      </c>
      <c r="E1051" t="s">
        <v>36</v>
      </c>
      <c r="F1051" s="1">
        <v>1358</v>
      </c>
      <c r="G1051" s="3" t="s">
        <v>37</v>
      </c>
      <c r="H1051" s="1">
        <v>16</v>
      </c>
      <c r="I1051" s="9" t="str" cm="1">
        <f t="array" ref="I1051">_xlfn.IFS(H1051 &lt;= 2, "[1-2] very close", H1051 &lt;= 10, "[3-10] close", H1051 &lt;= 20, "[11-20] moderate", H1051 &lt;= 30, "[21-30] far")</f>
        <v>[11-20] moderate</v>
      </c>
      <c r="J1051" s="1">
        <v>1</v>
      </c>
      <c r="K1051" s="3" t="s">
        <v>38</v>
      </c>
      <c r="L1051" s="1">
        <v>1</v>
      </c>
      <c r="M1051" s="1">
        <v>1479</v>
      </c>
      <c r="N1051" s="1">
        <v>4</v>
      </c>
      <c r="O1051" s="3" t="s">
        <v>46</v>
      </c>
      <c r="P1051" s="1">
        <v>96</v>
      </c>
      <c r="Q1051" s="1">
        <v>3</v>
      </c>
      <c r="R1051" s="1">
        <v>2</v>
      </c>
      <c r="S1051" s="3" t="s">
        <v>40</v>
      </c>
      <c r="T1051" s="1">
        <v>3</v>
      </c>
      <c r="U1051" s="3" t="s">
        <v>48</v>
      </c>
      <c r="V1051" s="4">
        <v>5301</v>
      </c>
      <c r="W1051" s="1">
        <v>2939</v>
      </c>
      <c r="X1051" s="1">
        <v>8</v>
      </c>
      <c r="Y1051" s="3" t="s">
        <v>42</v>
      </c>
      <c r="Z1051" s="3" t="s">
        <v>43</v>
      </c>
      <c r="AA1051" s="5">
        <v>0.15</v>
      </c>
      <c r="AB1051" s="10" t="str" cm="1">
        <f t="array" ref="AB1051">_xlfn.IFS(AA1051 &lt;= 15%, "Low Hike[11-15%]", AA1051 &lt;= 20%, "Moderate Hike[16-20%]", AA1051 &lt;= 25%,"High Hike[21-25%]")</f>
        <v>Low Hike[11-15%]</v>
      </c>
      <c r="AC1051" s="1">
        <v>3</v>
      </c>
      <c r="AD1051" s="1">
        <v>3</v>
      </c>
      <c r="AE1051" s="1">
        <v>80</v>
      </c>
      <c r="AF1051" s="1">
        <v>2</v>
      </c>
      <c r="AG1051" s="1">
        <v>4</v>
      </c>
      <c r="AH1051" s="9" t="str" cm="1">
        <f t="array" ref="AH1051">_xlfn.IFS(AG1051 &lt;= 5, "New[1-5]", AG1051 &lt;= 10, "Early Career[6-10]", AG1051 &lt;= 20, "Established[11-20]", AG1051 &lt;= 30, "Veteran[21-30]", AG1051 &lt;= 40, "Late Career[31-40]")</f>
        <v>New[1-5]</v>
      </c>
      <c r="AI1051" s="1">
        <v>2</v>
      </c>
      <c r="AJ1051" s="1">
        <v>2</v>
      </c>
      <c r="AK1051" s="1">
        <v>2</v>
      </c>
      <c r="AL1051" s="9" t="str" cm="1">
        <f t="array" ref="AL1051">_xlfn.IFS(AK1051 &lt;= 5, "New[1-5]", AK1051 &lt;= 10, "Early Career[6-10]", AK1051 &lt;= 20, "Established[11-20]", AK1051 &lt;= 30, "Veteran[21-30]", AK1051 &lt;= 40, "Late Career[31-40]")</f>
        <v>New[1-5]</v>
      </c>
      <c r="AM1051" s="1">
        <v>1</v>
      </c>
      <c r="AN1051" s="9" t="str" cm="1">
        <f t="array" ref="AN1051">_xlfn.IFS(AM1051 &lt;= 3, "New to Role[1-3]", AM1051 &lt;= 7, "Settled[4-7]", AM1051 &lt;= 12, "Experienced[[8-12]", AM1051 &lt;= 18, "Long Tenured[13-18]")</f>
        <v>New to Role[1-3]</v>
      </c>
      <c r="AO1051" s="1">
        <v>2</v>
      </c>
      <c r="AP1051" s="9" t="str" cm="1">
        <f t="array" ref="AP1051">_xlfn.IFS(AO1051 &lt;= 3, "Recently[1-3]", AO1051 &lt;= 6, "Due Soon[4-6]", AO1051 &lt;= 10, "Overdue[7-10]", AO1051 &lt;= 15, "Long Overdue[11-15]")</f>
        <v>Recently[1-3]</v>
      </c>
      <c r="AQ1051" s="9" t="str" cm="1">
        <f t="array" ref="AQ1051">_xlfn.IFS(AR1051 &lt;= 3, "New Relationship[1-3]", AR1051 &lt;= 7, "Established Relationship[4-7]", AR1051 &lt;= 12, "Long Term Relationship[8-12]", AR1051 &lt;= 17, "Very Long Term Relationship[13-17]")</f>
        <v>New Relationship[1-3]</v>
      </c>
      <c r="AR1051" s="1">
        <v>2</v>
      </c>
    </row>
    <row r="1052" spans="1:44" x14ac:dyDescent="0.25">
      <c r="A1052" s="1">
        <v>42</v>
      </c>
      <c r="B1052" s="8" t="str" cm="1">
        <f t="array" ref="B1052">_xlfn.IFS(A1052 &lt;= 25, "[18-25]", A1052 &lt;= 35, "[26-35]", A1052 &lt;=45, "[36-45]", A1052 &lt;= 60, "[46- 60]")</f>
        <v>[36-45]</v>
      </c>
      <c r="C1052" s="3" t="s">
        <v>43</v>
      </c>
      <c r="D1052">
        <f t="shared" si="16"/>
        <v>0</v>
      </c>
      <c r="E1052" t="s">
        <v>44</v>
      </c>
      <c r="F1052" s="1">
        <v>748</v>
      </c>
      <c r="G1052" s="3" t="s">
        <v>45</v>
      </c>
      <c r="H1052" s="1">
        <v>9</v>
      </c>
      <c r="I1052" s="9" t="str" cm="1">
        <f t="array" ref="I1052">_xlfn.IFS(H1052 &lt;= 2, "[1-2] very close", H1052 &lt;= 10, "[3-10] close", H1052 &lt;= 20, "[11-20] moderate", H1052 &lt;= 30, "[21-30] far")</f>
        <v>[3-10] close</v>
      </c>
      <c r="J1052" s="1">
        <v>2</v>
      </c>
      <c r="K1052" s="3" t="s">
        <v>51</v>
      </c>
      <c r="L1052" s="1">
        <v>1</v>
      </c>
      <c r="M1052" s="1">
        <v>1480</v>
      </c>
      <c r="N1052" s="1">
        <v>1</v>
      </c>
      <c r="O1052" s="3" t="s">
        <v>39</v>
      </c>
      <c r="P1052" s="1">
        <v>74</v>
      </c>
      <c r="Q1052" s="1">
        <v>3</v>
      </c>
      <c r="R1052" s="1">
        <v>1</v>
      </c>
      <c r="S1052" s="3" t="s">
        <v>50</v>
      </c>
      <c r="T1052" s="1">
        <v>4</v>
      </c>
      <c r="U1052" s="3" t="s">
        <v>41</v>
      </c>
      <c r="V1052" s="4">
        <v>3673</v>
      </c>
      <c r="W1052" s="1">
        <v>16458</v>
      </c>
      <c r="X1052" s="1">
        <v>1</v>
      </c>
      <c r="Y1052" s="3" t="s">
        <v>42</v>
      </c>
      <c r="Z1052" s="3" t="s">
        <v>43</v>
      </c>
      <c r="AA1052" s="5">
        <v>0.13</v>
      </c>
      <c r="AB1052" s="10" t="str" cm="1">
        <f t="array" ref="AB1052">_xlfn.IFS(AA1052 &lt;= 15%, "Low Hike[11-15%]", AA1052 &lt;= 20%, "Moderate Hike[16-20%]", AA1052 &lt;= 25%,"High Hike[21-25%]")</f>
        <v>Low Hike[11-15%]</v>
      </c>
      <c r="AC1052" s="1">
        <v>3</v>
      </c>
      <c r="AD1052" s="1">
        <v>3</v>
      </c>
      <c r="AE1052" s="1">
        <v>80</v>
      </c>
      <c r="AF1052" s="1">
        <v>0</v>
      </c>
      <c r="AG1052" s="1">
        <v>12</v>
      </c>
      <c r="AH1052" s="9" t="str" cm="1">
        <f t="array" ref="AH1052">_xlfn.IFS(AG1052 &lt;= 5, "New[1-5]", AG1052 &lt;= 10, "Early Career[6-10]", AG1052 &lt;= 20, "Established[11-20]", AG1052 &lt;= 30, "Veteran[21-30]", AG1052 &lt;= 40, "Late Career[31-40]")</f>
        <v>Established[11-20]</v>
      </c>
      <c r="AI1052" s="1">
        <v>3</v>
      </c>
      <c r="AJ1052" s="1">
        <v>3</v>
      </c>
      <c r="AK1052" s="1">
        <v>12</v>
      </c>
      <c r="AL1052" s="9" t="str" cm="1">
        <f t="array" ref="AL1052">_xlfn.IFS(AK1052 &lt;= 5, "New[1-5]", AK1052 &lt;= 10, "Early Career[6-10]", AK1052 &lt;= 20, "Established[11-20]", AK1052 &lt;= 30, "Veteran[21-30]", AK1052 &lt;= 40, "Late Career[31-40]")</f>
        <v>Established[11-20]</v>
      </c>
      <c r="AM1052" s="1">
        <v>9</v>
      </c>
      <c r="AN1052" s="9" t="str" cm="1">
        <f t="array" ref="AN1052">_xlfn.IFS(AM1052 &lt;= 3, "New to Role[1-3]", AM1052 &lt;= 7, "Settled[4-7]", AM1052 &lt;= 12, "Experienced[[8-12]", AM1052 &lt;= 18, "Long Tenured[13-18]")</f>
        <v>Experienced[[8-12]</v>
      </c>
      <c r="AO1052" s="1">
        <v>5</v>
      </c>
      <c r="AP1052" s="9" t="str" cm="1">
        <f t="array" ref="AP1052">_xlfn.IFS(AO1052 &lt;= 3, "Recently[1-3]", AO1052 &lt;= 6, "Due Soon[4-6]", AO1052 &lt;= 10, "Overdue[7-10]", AO1052 &lt;= 15, "Long Overdue[11-15]")</f>
        <v>Due Soon[4-6]</v>
      </c>
      <c r="AQ1052" s="9" t="str" cm="1">
        <f t="array" ref="AQ1052">_xlfn.IFS(AR1052 &lt;= 3, "New Relationship[1-3]", AR1052 &lt;= 7, "Established Relationship[4-7]", AR1052 &lt;= 12, "Long Term Relationship[8-12]", AR1052 &lt;= 17, "Very Long Term Relationship[13-17]")</f>
        <v>Long Term Relationship[8-12]</v>
      </c>
      <c r="AR1052" s="1">
        <v>8</v>
      </c>
    </row>
    <row r="1053" spans="1:44" x14ac:dyDescent="0.25">
      <c r="A1053" s="1">
        <v>44</v>
      </c>
      <c r="B1053" s="8" t="str" cm="1">
        <f t="array" ref="B1053">_xlfn.IFS(A1053 &lt;= 25, "[18-25]", A1053 &lt;= 35, "[26-35]", A1053 &lt;=45, "[36-45]", A1053 &lt;= 60, "[46- 60]")</f>
        <v>[36-45]</v>
      </c>
      <c r="C1053" s="3" t="s">
        <v>43</v>
      </c>
      <c r="D1053">
        <f t="shared" si="16"/>
        <v>0</v>
      </c>
      <c r="E1053" t="s">
        <v>44</v>
      </c>
      <c r="F1053" s="1">
        <v>383</v>
      </c>
      <c r="G1053" s="3" t="s">
        <v>37</v>
      </c>
      <c r="H1053" s="1">
        <v>1</v>
      </c>
      <c r="I1053" s="9" t="str" cm="1">
        <f t="array" ref="I1053">_xlfn.IFS(H1053 &lt;= 2, "[1-2] very close", H1053 &lt;= 10, "[3-10] close", H1053 &lt;= 20, "[11-20] moderate", H1053 &lt;= 30, "[21-30] far")</f>
        <v>[1-2] very close</v>
      </c>
      <c r="J1053" s="1">
        <v>5</v>
      </c>
      <c r="K1053" s="3" t="s">
        <v>59</v>
      </c>
      <c r="L1053" s="1">
        <v>1</v>
      </c>
      <c r="M1053" s="1">
        <v>1481</v>
      </c>
      <c r="N1053" s="1">
        <v>1</v>
      </c>
      <c r="O1053" s="3" t="s">
        <v>39</v>
      </c>
      <c r="P1053" s="1">
        <v>79</v>
      </c>
      <c r="Q1053" s="1">
        <v>3</v>
      </c>
      <c r="R1053" s="1">
        <v>2</v>
      </c>
      <c r="S1053" s="3" t="s">
        <v>40</v>
      </c>
      <c r="T1053" s="1">
        <v>3</v>
      </c>
      <c r="U1053" s="3" t="s">
        <v>48</v>
      </c>
      <c r="V1053" s="4">
        <v>4768</v>
      </c>
      <c r="W1053" s="1">
        <v>9282</v>
      </c>
      <c r="X1053" s="1">
        <v>7</v>
      </c>
      <c r="Y1053" s="3" t="s">
        <v>42</v>
      </c>
      <c r="Z1053" s="3" t="s">
        <v>43</v>
      </c>
      <c r="AA1053" s="5">
        <v>0.12</v>
      </c>
      <c r="AB1053" s="10" t="str" cm="1">
        <f t="array" ref="AB1053">_xlfn.IFS(AA1053 &lt;= 15%, "Low Hike[11-15%]", AA1053 &lt;= 20%, "Moderate Hike[16-20%]", AA1053 &lt;= 25%,"High Hike[21-25%]")</f>
        <v>Low Hike[11-15%]</v>
      </c>
      <c r="AC1053" s="1">
        <v>3</v>
      </c>
      <c r="AD1053" s="1">
        <v>3</v>
      </c>
      <c r="AE1053" s="1">
        <v>80</v>
      </c>
      <c r="AF1053" s="1">
        <v>1</v>
      </c>
      <c r="AG1053" s="1">
        <v>11</v>
      </c>
      <c r="AH1053" s="9" t="str" cm="1">
        <f t="array" ref="AH1053">_xlfn.IFS(AG1053 &lt;= 5, "New[1-5]", AG1053 &lt;= 10, "Early Career[6-10]", AG1053 &lt;= 20, "Established[11-20]", AG1053 &lt;= 30, "Veteran[21-30]", AG1053 &lt;= 40, "Late Career[31-40]")</f>
        <v>Established[11-20]</v>
      </c>
      <c r="AI1053" s="1">
        <v>4</v>
      </c>
      <c r="AJ1053" s="1">
        <v>2</v>
      </c>
      <c r="AK1053" s="1">
        <v>1</v>
      </c>
      <c r="AL1053" s="9" t="str" cm="1">
        <f t="array" ref="AL1053">_xlfn.IFS(AK1053 &lt;= 5, "New[1-5]", AK1053 &lt;= 10, "Early Career[6-10]", AK1053 &lt;= 20, "Established[11-20]", AK1053 &lt;= 30, "Veteran[21-30]", AK1053 &lt;= 40, "Late Career[31-40]")</f>
        <v>New[1-5]</v>
      </c>
      <c r="AM1053" s="1">
        <v>0</v>
      </c>
      <c r="AN1053" s="9" t="str" cm="1">
        <f t="array" ref="AN1053">_xlfn.IFS(AM1053 &lt;= 3, "New to Role[1-3]", AM1053 &lt;= 7, "Settled[4-7]", AM1053 &lt;= 12, "Experienced[[8-12]", AM1053 &lt;= 18, "Long Tenured[13-18]")</f>
        <v>New to Role[1-3]</v>
      </c>
      <c r="AO1053" s="1">
        <v>0</v>
      </c>
      <c r="AP1053" s="9" t="str" cm="1">
        <f t="array" ref="AP1053">_xlfn.IFS(AO1053 &lt;= 3, "Recently[1-3]", AO1053 &lt;= 6, "Due Soon[4-6]", AO1053 &lt;= 10, "Overdue[7-10]", AO1053 &lt;= 15, "Long Overdue[11-15]")</f>
        <v>Recently[1-3]</v>
      </c>
      <c r="AQ1053" s="9" t="str" cm="1">
        <f t="array" ref="AQ1053">_xlfn.IFS(AR1053 &lt;= 3, "New Relationship[1-3]", AR1053 &lt;= 7, "Established Relationship[4-7]", AR1053 &lt;= 12, "Long Term Relationship[8-12]", AR1053 &lt;= 17, "Very Long Term Relationship[13-17]")</f>
        <v>New Relationship[1-3]</v>
      </c>
      <c r="AR1053" s="1">
        <v>0</v>
      </c>
    </row>
    <row r="1054" spans="1:44" x14ac:dyDescent="0.25">
      <c r="A1054" s="1">
        <v>30</v>
      </c>
      <c r="B1054" s="8" t="str" cm="1">
        <f t="array" ref="B1054">_xlfn.IFS(A1054 &lt;= 25, "[18-25]", A1054 &lt;= 35, "[26-35]", A1054 &lt;=45, "[36-45]", A1054 &lt;= 60, "[46- 60]")</f>
        <v>[26-35]</v>
      </c>
      <c r="C1054" s="3" t="s">
        <v>43</v>
      </c>
      <c r="D1054">
        <f t="shared" si="16"/>
        <v>0</v>
      </c>
      <c r="E1054" t="s">
        <v>62</v>
      </c>
      <c r="F1054" s="1">
        <v>990</v>
      </c>
      <c r="G1054" s="3" t="s">
        <v>45</v>
      </c>
      <c r="H1054" s="1">
        <v>7</v>
      </c>
      <c r="I1054" s="9" t="str" cm="1">
        <f t="array" ref="I1054">_xlfn.IFS(H1054 &lt;= 2, "[1-2] very close", H1054 &lt;= 10, "[3-10] close", H1054 &lt;= 20, "[11-20] moderate", H1054 &lt;= 30, "[21-30] far")</f>
        <v>[3-10] close</v>
      </c>
      <c r="J1054" s="1">
        <v>3</v>
      </c>
      <c r="K1054" s="3" t="s">
        <v>60</v>
      </c>
      <c r="L1054" s="1">
        <v>1</v>
      </c>
      <c r="M1054" s="1">
        <v>1482</v>
      </c>
      <c r="N1054" s="1">
        <v>3</v>
      </c>
      <c r="O1054" s="3" t="s">
        <v>46</v>
      </c>
      <c r="P1054" s="1">
        <v>64</v>
      </c>
      <c r="Q1054" s="1">
        <v>3</v>
      </c>
      <c r="R1054" s="1">
        <v>1</v>
      </c>
      <c r="S1054" s="3" t="s">
        <v>47</v>
      </c>
      <c r="T1054" s="1">
        <v>3</v>
      </c>
      <c r="U1054" s="3" t="s">
        <v>52</v>
      </c>
      <c r="V1054" s="4">
        <v>1274</v>
      </c>
      <c r="W1054" s="1">
        <v>7152</v>
      </c>
      <c r="X1054" s="1">
        <v>1</v>
      </c>
      <c r="Y1054" s="3" t="s">
        <v>42</v>
      </c>
      <c r="Z1054" s="3" t="s">
        <v>43</v>
      </c>
      <c r="AA1054" s="5">
        <v>0.13</v>
      </c>
      <c r="AB1054" s="10" t="str" cm="1">
        <f t="array" ref="AB1054">_xlfn.IFS(AA1054 &lt;= 15%, "Low Hike[11-15%]", AA1054 &lt;= 20%, "Moderate Hike[16-20%]", AA1054 &lt;= 25%,"High Hike[21-25%]")</f>
        <v>Low Hike[11-15%]</v>
      </c>
      <c r="AC1054" s="1">
        <v>3</v>
      </c>
      <c r="AD1054" s="1">
        <v>2</v>
      </c>
      <c r="AE1054" s="1">
        <v>80</v>
      </c>
      <c r="AF1054" s="1">
        <v>2</v>
      </c>
      <c r="AG1054" s="1">
        <v>1</v>
      </c>
      <c r="AH1054" s="9" t="str" cm="1">
        <f t="array" ref="AH1054">_xlfn.IFS(AG1054 &lt;= 5, "New[1-5]", AG1054 &lt;= 10, "Early Career[6-10]", AG1054 &lt;= 20, "Established[11-20]", AG1054 &lt;= 30, "Veteran[21-30]", AG1054 &lt;= 40, "Late Career[31-40]")</f>
        <v>New[1-5]</v>
      </c>
      <c r="AI1054" s="1">
        <v>2</v>
      </c>
      <c r="AJ1054" s="1">
        <v>2</v>
      </c>
      <c r="AK1054" s="1">
        <v>1</v>
      </c>
      <c r="AL1054" s="9" t="str" cm="1">
        <f t="array" ref="AL1054">_xlfn.IFS(AK1054 &lt;= 5, "New[1-5]", AK1054 &lt;= 10, "Early Career[6-10]", AK1054 &lt;= 20, "Established[11-20]", AK1054 &lt;= 30, "Veteran[21-30]", AK1054 &lt;= 40, "Late Career[31-40]")</f>
        <v>New[1-5]</v>
      </c>
      <c r="AM1054" s="1">
        <v>0</v>
      </c>
      <c r="AN1054" s="9" t="str" cm="1">
        <f t="array" ref="AN1054">_xlfn.IFS(AM1054 &lt;= 3, "New to Role[1-3]", AM1054 &lt;= 7, "Settled[4-7]", AM1054 &lt;= 12, "Experienced[[8-12]", AM1054 &lt;= 18, "Long Tenured[13-18]")</f>
        <v>New to Role[1-3]</v>
      </c>
      <c r="AO1054" s="1">
        <v>0</v>
      </c>
      <c r="AP1054" s="9" t="str" cm="1">
        <f t="array" ref="AP1054">_xlfn.IFS(AO1054 &lt;= 3, "Recently[1-3]", AO1054 &lt;= 6, "Due Soon[4-6]", AO1054 &lt;= 10, "Overdue[7-10]", AO1054 &lt;= 15, "Long Overdue[11-15]")</f>
        <v>Recently[1-3]</v>
      </c>
      <c r="AQ1054" s="9" t="str" cm="1">
        <f t="array" ref="AQ1054">_xlfn.IFS(AR1054 &lt;= 3, "New Relationship[1-3]", AR1054 &lt;= 7, "Established Relationship[4-7]", AR1054 &lt;= 12, "Long Term Relationship[8-12]", AR1054 &lt;= 17, "Very Long Term Relationship[13-17]")</f>
        <v>New Relationship[1-3]</v>
      </c>
      <c r="AR1054" s="1">
        <v>0</v>
      </c>
    </row>
    <row r="1055" spans="1:44" x14ac:dyDescent="0.25">
      <c r="A1055" s="1">
        <v>57</v>
      </c>
      <c r="B1055" s="8" t="str" cm="1">
        <f t="array" ref="B1055">_xlfn.IFS(A1055 &lt;= 25, "[18-25]", A1055 &lt;= 35, "[26-35]", A1055 &lt;=45, "[36-45]", A1055 &lt;= 60, "[46- 60]")</f>
        <v>[46- 60]</v>
      </c>
      <c r="C1055" s="3" t="s">
        <v>43</v>
      </c>
      <c r="D1055">
        <f t="shared" si="16"/>
        <v>0</v>
      </c>
      <c r="E1055" t="s">
        <v>36</v>
      </c>
      <c r="F1055" s="1">
        <v>405</v>
      </c>
      <c r="G1055" s="3" t="s">
        <v>45</v>
      </c>
      <c r="H1055" s="1">
        <v>1</v>
      </c>
      <c r="I1055" s="9" t="str" cm="1">
        <f t="array" ref="I1055">_xlfn.IFS(H1055 &lt;= 2, "[1-2] very close", H1055 &lt;= 10, "[3-10] close", H1055 &lt;= 20, "[11-20] moderate", H1055 &lt;= 30, "[21-30] far")</f>
        <v>[1-2] very close</v>
      </c>
      <c r="J1055" s="1">
        <v>2</v>
      </c>
      <c r="K1055" s="3" t="s">
        <v>38</v>
      </c>
      <c r="L1055" s="1">
        <v>1</v>
      </c>
      <c r="M1055" s="1">
        <v>1483</v>
      </c>
      <c r="N1055" s="1">
        <v>2</v>
      </c>
      <c r="O1055" s="3" t="s">
        <v>46</v>
      </c>
      <c r="P1055" s="1">
        <v>93</v>
      </c>
      <c r="Q1055" s="1">
        <v>4</v>
      </c>
      <c r="R1055" s="1">
        <v>2</v>
      </c>
      <c r="S1055" s="3" t="s">
        <v>47</v>
      </c>
      <c r="T1055" s="1">
        <v>3</v>
      </c>
      <c r="U1055" s="3" t="s">
        <v>48</v>
      </c>
      <c r="V1055" s="4">
        <v>4900</v>
      </c>
      <c r="W1055" s="1">
        <v>2721</v>
      </c>
      <c r="X1055" s="1">
        <v>0</v>
      </c>
      <c r="Y1055" s="3" t="s">
        <v>42</v>
      </c>
      <c r="Z1055" s="3" t="s">
        <v>43</v>
      </c>
      <c r="AA1055" s="5">
        <v>0.24</v>
      </c>
      <c r="AB1055" s="10" t="str" cm="1">
        <f t="array" ref="AB1055">_xlfn.IFS(AA1055 &lt;= 15%, "Low Hike[11-15%]", AA1055 &lt;= 20%, "Moderate Hike[16-20%]", AA1055 &lt;= 25%,"High Hike[21-25%]")</f>
        <v>High Hike[21-25%]</v>
      </c>
      <c r="AC1055" s="1">
        <v>4</v>
      </c>
      <c r="AD1055" s="1">
        <v>1</v>
      </c>
      <c r="AE1055" s="1">
        <v>80</v>
      </c>
      <c r="AF1055" s="1">
        <v>1</v>
      </c>
      <c r="AG1055" s="1">
        <v>13</v>
      </c>
      <c r="AH1055" s="9" t="str" cm="1">
        <f t="array" ref="AH1055">_xlfn.IFS(AG1055 &lt;= 5, "New[1-5]", AG1055 &lt;= 10, "Early Career[6-10]", AG1055 &lt;= 20, "Established[11-20]", AG1055 &lt;= 30, "Veteran[21-30]", AG1055 &lt;= 40, "Late Career[31-40]")</f>
        <v>Established[11-20]</v>
      </c>
      <c r="AI1055" s="1">
        <v>2</v>
      </c>
      <c r="AJ1055" s="1">
        <v>2</v>
      </c>
      <c r="AK1055" s="1">
        <v>12</v>
      </c>
      <c r="AL1055" s="9" t="str" cm="1">
        <f t="array" ref="AL1055">_xlfn.IFS(AK1055 &lt;= 5, "New[1-5]", AK1055 &lt;= 10, "Early Career[6-10]", AK1055 &lt;= 20, "Established[11-20]", AK1055 &lt;= 30, "Veteran[21-30]", AK1055 &lt;= 40, "Late Career[31-40]")</f>
        <v>Established[11-20]</v>
      </c>
      <c r="AM1055" s="1">
        <v>9</v>
      </c>
      <c r="AN1055" s="9" t="str" cm="1">
        <f t="array" ref="AN1055">_xlfn.IFS(AM1055 &lt;= 3, "New to Role[1-3]", AM1055 &lt;= 7, "Settled[4-7]", AM1055 &lt;= 12, "Experienced[[8-12]", AM1055 &lt;= 18, "Long Tenured[13-18]")</f>
        <v>Experienced[[8-12]</v>
      </c>
      <c r="AO1055" s="1">
        <v>2</v>
      </c>
      <c r="AP1055" s="9" t="str" cm="1">
        <f t="array" ref="AP1055">_xlfn.IFS(AO1055 &lt;= 3, "Recently[1-3]", AO1055 &lt;= 6, "Due Soon[4-6]", AO1055 &lt;= 10, "Overdue[7-10]", AO1055 &lt;= 15, "Long Overdue[11-15]")</f>
        <v>Recently[1-3]</v>
      </c>
      <c r="AQ1055" s="9" t="str" cm="1">
        <f t="array" ref="AQ1055">_xlfn.IFS(AR1055 &lt;= 3, "New Relationship[1-3]", AR1055 &lt;= 7, "Established Relationship[4-7]", AR1055 &lt;= 12, "Long Term Relationship[8-12]", AR1055 &lt;= 17, "Very Long Term Relationship[13-17]")</f>
        <v>Long Term Relationship[8-12]</v>
      </c>
      <c r="AR1055" s="1">
        <v>8</v>
      </c>
    </row>
    <row r="1056" spans="1:44" x14ac:dyDescent="0.25">
      <c r="A1056" s="1">
        <v>49</v>
      </c>
      <c r="B1056" s="8" t="str" cm="1">
        <f t="array" ref="B1056">_xlfn.IFS(A1056 &lt;= 25, "[18-25]", A1056 &lt;= 35, "[26-35]", A1056 &lt;=45, "[36-45]", A1056 &lt;= 60, "[46- 60]")</f>
        <v>[46- 60]</v>
      </c>
      <c r="C1056" s="3" t="s">
        <v>43</v>
      </c>
      <c r="D1056">
        <f t="shared" si="16"/>
        <v>0</v>
      </c>
      <c r="E1056" t="s">
        <v>36</v>
      </c>
      <c r="F1056" s="1">
        <v>1490</v>
      </c>
      <c r="G1056" s="3" t="s">
        <v>45</v>
      </c>
      <c r="H1056" s="1">
        <v>7</v>
      </c>
      <c r="I1056" s="9" t="str" cm="1">
        <f t="array" ref="I1056">_xlfn.IFS(H1056 &lt;= 2, "[1-2] very close", H1056 &lt;= 10, "[3-10] close", H1056 &lt;= 20, "[11-20] moderate", H1056 &lt;= 30, "[21-30] far")</f>
        <v>[3-10] close</v>
      </c>
      <c r="J1056" s="1">
        <v>4</v>
      </c>
      <c r="K1056" s="3" t="s">
        <v>38</v>
      </c>
      <c r="L1056" s="1">
        <v>1</v>
      </c>
      <c r="M1056" s="1">
        <v>1484</v>
      </c>
      <c r="N1056" s="1">
        <v>3</v>
      </c>
      <c r="O1056" s="3" t="s">
        <v>46</v>
      </c>
      <c r="P1056" s="1">
        <v>35</v>
      </c>
      <c r="Q1056" s="1">
        <v>3</v>
      </c>
      <c r="R1056" s="1">
        <v>3</v>
      </c>
      <c r="S1056" s="3" t="s">
        <v>54</v>
      </c>
      <c r="T1056" s="1">
        <v>2</v>
      </c>
      <c r="U1056" s="3" t="s">
        <v>52</v>
      </c>
      <c r="V1056" s="4">
        <v>10466</v>
      </c>
      <c r="W1056" s="1">
        <v>20948</v>
      </c>
      <c r="X1056" s="1">
        <v>3</v>
      </c>
      <c r="Y1056" s="3" t="s">
        <v>42</v>
      </c>
      <c r="Z1056" s="3" t="s">
        <v>43</v>
      </c>
      <c r="AA1056" s="5">
        <v>0.14000000000000001</v>
      </c>
      <c r="AB1056" s="10" t="str" cm="1">
        <f t="array" ref="AB1056">_xlfn.IFS(AA1056 &lt;= 15%, "Low Hike[11-15%]", AA1056 &lt;= 20%, "Moderate Hike[16-20%]", AA1056 &lt;= 25%,"High Hike[21-25%]")</f>
        <v>Low Hike[11-15%]</v>
      </c>
      <c r="AC1056" s="1">
        <v>3</v>
      </c>
      <c r="AD1056" s="1">
        <v>2</v>
      </c>
      <c r="AE1056" s="1">
        <v>80</v>
      </c>
      <c r="AF1056" s="1">
        <v>2</v>
      </c>
      <c r="AG1056" s="1">
        <v>29</v>
      </c>
      <c r="AH1056" s="9" t="str" cm="1">
        <f t="array" ref="AH1056">_xlfn.IFS(AG1056 &lt;= 5, "New[1-5]", AG1056 &lt;= 10, "Early Career[6-10]", AG1056 &lt;= 20, "Established[11-20]", AG1056 &lt;= 30, "Veteran[21-30]", AG1056 &lt;= 40, "Late Career[31-40]")</f>
        <v>Veteran[21-30]</v>
      </c>
      <c r="AI1056" s="1">
        <v>3</v>
      </c>
      <c r="AJ1056" s="1">
        <v>3</v>
      </c>
      <c r="AK1056" s="1">
        <v>8</v>
      </c>
      <c r="AL1056" s="9" t="str" cm="1">
        <f t="array" ref="AL1056">_xlfn.IFS(AK1056 &lt;= 5, "New[1-5]", AK1056 &lt;= 10, "Early Career[6-10]", AK1056 &lt;= 20, "Established[11-20]", AK1056 &lt;= 30, "Veteran[21-30]", AK1056 &lt;= 40, "Late Career[31-40]")</f>
        <v>Early Career[6-10]</v>
      </c>
      <c r="AM1056" s="1">
        <v>7</v>
      </c>
      <c r="AN1056" s="9" t="str" cm="1">
        <f t="array" ref="AN1056">_xlfn.IFS(AM1056 &lt;= 3, "New to Role[1-3]", AM1056 &lt;= 7, "Settled[4-7]", AM1056 &lt;= 12, "Experienced[[8-12]", AM1056 &lt;= 18, "Long Tenured[13-18]")</f>
        <v>Settled[4-7]</v>
      </c>
      <c r="AO1056" s="1">
        <v>0</v>
      </c>
      <c r="AP1056" s="9" t="str" cm="1">
        <f t="array" ref="AP1056">_xlfn.IFS(AO1056 &lt;= 3, "Recently[1-3]", AO1056 &lt;= 6, "Due Soon[4-6]", AO1056 &lt;= 10, "Overdue[7-10]", AO1056 &lt;= 15, "Long Overdue[11-15]")</f>
        <v>Recently[1-3]</v>
      </c>
      <c r="AQ1056" s="9" t="str" cm="1">
        <f t="array" ref="AQ1056">_xlfn.IFS(AR1056 &lt;= 3, "New Relationship[1-3]", AR1056 &lt;= 7, "Established Relationship[4-7]", AR1056 &lt;= 12, "Long Term Relationship[8-12]", AR1056 &lt;= 17, "Very Long Term Relationship[13-17]")</f>
        <v>Established Relationship[4-7]</v>
      </c>
      <c r="AR1056" s="1">
        <v>7</v>
      </c>
    </row>
    <row r="1057" spans="1:44" x14ac:dyDescent="0.25">
      <c r="A1057" s="1">
        <v>34</v>
      </c>
      <c r="B1057" s="8" t="str" cm="1">
        <f t="array" ref="B1057">_xlfn.IFS(A1057 &lt;= 25, "[18-25]", A1057 &lt;= 35, "[26-35]", A1057 &lt;=45, "[36-45]", A1057 &lt;= 60, "[46- 60]")</f>
        <v>[26-35]</v>
      </c>
      <c r="C1057" s="3" t="s">
        <v>43</v>
      </c>
      <c r="D1057">
        <f t="shared" si="16"/>
        <v>0</v>
      </c>
      <c r="E1057" t="s">
        <v>44</v>
      </c>
      <c r="F1057" s="1">
        <v>829</v>
      </c>
      <c r="G1057" s="3" t="s">
        <v>45</v>
      </c>
      <c r="H1057" s="1">
        <v>15</v>
      </c>
      <c r="I1057" s="9" t="str" cm="1">
        <f t="array" ref="I1057">_xlfn.IFS(H1057 &lt;= 2, "[1-2] very close", H1057 &lt;= 10, "[3-10] close", H1057 &lt;= 20, "[11-20] moderate", H1057 &lt;= 30, "[21-30] far")</f>
        <v>[11-20] moderate</v>
      </c>
      <c r="J1057" s="1">
        <v>3</v>
      </c>
      <c r="K1057" s="3" t="s">
        <v>51</v>
      </c>
      <c r="L1057" s="1">
        <v>1</v>
      </c>
      <c r="M1057" s="1">
        <v>1485</v>
      </c>
      <c r="N1057" s="1">
        <v>2</v>
      </c>
      <c r="O1057" s="3" t="s">
        <v>46</v>
      </c>
      <c r="P1057" s="1">
        <v>71</v>
      </c>
      <c r="Q1057" s="1">
        <v>3</v>
      </c>
      <c r="R1057" s="1">
        <v>4</v>
      </c>
      <c r="S1057" s="3" t="s">
        <v>58</v>
      </c>
      <c r="T1057" s="1">
        <v>1</v>
      </c>
      <c r="U1057" s="3" t="s">
        <v>52</v>
      </c>
      <c r="V1057" s="4">
        <v>17007</v>
      </c>
      <c r="W1057" s="1">
        <v>11929</v>
      </c>
      <c r="X1057" s="1">
        <v>7</v>
      </c>
      <c r="Y1057" s="3" t="s">
        <v>42</v>
      </c>
      <c r="Z1057" s="3" t="s">
        <v>43</v>
      </c>
      <c r="AA1057" s="5">
        <v>0.14000000000000001</v>
      </c>
      <c r="AB1057" s="10" t="str" cm="1">
        <f t="array" ref="AB1057">_xlfn.IFS(AA1057 &lt;= 15%, "Low Hike[11-15%]", AA1057 &lt;= 20%, "Moderate Hike[16-20%]", AA1057 &lt;= 25%,"High Hike[21-25%]")</f>
        <v>Low Hike[11-15%]</v>
      </c>
      <c r="AC1057" s="1">
        <v>3</v>
      </c>
      <c r="AD1057" s="1">
        <v>4</v>
      </c>
      <c r="AE1057" s="1">
        <v>80</v>
      </c>
      <c r="AF1057" s="1">
        <v>2</v>
      </c>
      <c r="AG1057" s="1">
        <v>16</v>
      </c>
      <c r="AH1057" s="9" t="str" cm="1">
        <f t="array" ref="AH1057">_xlfn.IFS(AG1057 &lt;= 5, "New[1-5]", AG1057 &lt;= 10, "Early Career[6-10]", AG1057 &lt;= 20, "Established[11-20]", AG1057 &lt;= 30, "Veteran[21-30]", AG1057 &lt;= 40, "Late Career[31-40]")</f>
        <v>Established[11-20]</v>
      </c>
      <c r="AI1057" s="1">
        <v>3</v>
      </c>
      <c r="AJ1057" s="1">
        <v>2</v>
      </c>
      <c r="AK1057" s="1">
        <v>14</v>
      </c>
      <c r="AL1057" s="9" t="str" cm="1">
        <f t="array" ref="AL1057">_xlfn.IFS(AK1057 &lt;= 5, "New[1-5]", AK1057 &lt;= 10, "Early Career[6-10]", AK1057 &lt;= 20, "Established[11-20]", AK1057 &lt;= 30, "Veteran[21-30]", AK1057 &lt;= 40, "Late Career[31-40]")</f>
        <v>Established[11-20]</v>
      </c>
      <c r="AM1057" s="1">
        <v>8</v>
      </c>
      <c r="AN1057" s="9" t="str" cm="1">
        <f t="array" ref="AN1057">_xlfn.IFS(AM1057 &lt;= 3, "New to Role[1-3]", AM1057 &lt;= 7, "Settled[4-7]", AM1057 &lt;= 12, "Experienced[[8-12]", AM1057 &lt;= 18, "Long Tenured[13-18]")</f>
        <v>Experienced[[8-12]</v>
      </c>
      <c r="AO1057" s="1">
        <v>6</v>
      </c>
      <c r="AP1057" s="9" t="str" cm="1">
        <f t="array" ref="AP1057">_xlfn.IFS(AO1057 &lt;= 3, "Recently[1-3]", AO1057 &lt;= 6, "Due Soon[4-6]", AO1057 &lt;= 10, "Overdue[7-10]", AO1057 &lt;= 15, "Long Overdue[11-15]")</f>
        <v>Due Soon[4-6]</v>
      </c>
      <c r="AQ1057" s="9" t="str" cm="1">
        <f t="array" ref="AQ1057">_xlfn.IFS(AR1057 &lt;= 3, "New Relationship[1-3]", AR1057 &lt;= 7, "Established Relationship[4-7]", AR1057 &lt;= 12, "Long Term Relationship[8-12]", AR1057 &lt;= 17, "Very Long Term Relationship[13-17]")</f>
        <v>Long Term Relationship[8-12]</v>
      </c>
      <c r="AR1057" s="1">
        <v>9</v>
      </c>
    </row>
    <row r="1058" spans="1:44" x14ac:dyDescent="0.25">
      <c r="A1058" s="1">
        <v>28</v>
      </c>
      <c r="B1058" s="8" t="str" cm="1">
        <f t="array" ref="B1058">_xlfn.IFS(A1058 &lt;= 25, "[18-25]", A1058 &lt;= 35, "[26-35]", A1058 &lt;=45, "[36-45]", A1058 &lt;= 60, "[46- 60]")</f>
        <v>[26-35]</v>
      </c>
      <c r="C1058" s="3" t="s">
        <v>35</v>
      </c>
      <c r="D1058">
        <f t="shared" si="16"/>
        <v>1</v>
      </c>
      <c r="E1058" t="s">
        <v>44</v>
      </c>
      <c r="F1058" s="1">
        <v>1496</v>
      </c>
      <c r="G1058" s="3" t="s">
        <v>37</v>
      </c>
      <c r="H1058" s="1">
        <v>1</v>
      </c>
      <c r="I1058" s="9" t="str" cm="1">
        <f t="array" ref="I1058">_xlfn.IFS(H1058 &lt;= 2, "[1-2] very close", H1058 &lt;= 10, "[3-10] close", H1058 &lt;= 20, "[11-20] moderate", H1058 &lt;= 30, "[21-30] far")</f>
        <v>[1-2] very close</v>
      </c>
      <c r="J1058" s="1">
        <v>3</v>
      </c>
      <c r="K1058" s="3" t="s">
        <v>60</v>
      </c>
      <c r="L1058" s="1">
        <v>1</v>
      </c>
      <c r="M1058" s="1">
        <v>1486</v>
      </c>
      <c r="N1058" s="1">
        <v>1</v>
      </c>
      <c r="O1058" s="3" t="s">
        <v>46</v>
      </c>
      <c r="P1058" s="1">
        <v>92</v>
      </c>
      <c r="Q1058" s="1">
        <v>3</v>
      </c>
      <c r="R1058" s="1">
        <v>1</v>
      </c>
      <c r="S1058" s="3" t="s">
        <v>57</v>
      </c>
      <c r="T1058" s="1">
        <v>3</v>
      </c>
      <c r="U1058" s="3" t="s">
        <v>48</v>
      </c>
      <c r="V1058" s="4">
        <v>2909</v>
      </c>
      <c r="W1058" s="1">
        <v>15747</v>
      </c>
      <c r="X1058" s="1">
        <v>3</v>
      </c>
      <c r="Y1058" s="3" t="s">
        <v>42</v>
      </c>
      <c r="Z1058" s="3" t="s">
        <v>43</v>
      </c>
      <c r="AA1058" s="5">
        <v>0.15</v>
      </c>
      <c r="AB1058" s="10" t="str" cm="1">
        <f t="array" ref="AB1058">_xlfn.IFS(AA1058 &lt;= 15%, "Low Hike[11-15%]", AA1058 &lt;= 20%, "Moderate Hike[16-20%]", AA1058 &lt;= 25%,"High Hike[21-25%]")</f>
        <v>Low Hike[11-15%]</v>
      </c>
      <c r="AC1058" s="1">
        <v>3</v>
      </c>
      <c r="AD1058" s="1">
        <v>4</v>
      </c>
      <c r="AE1058" s="1">
        <v>80</v>
      </c>
      <c r="AF1058" s="1">
        <v>1</v>
      </c>
      <c r="AG1058" s="1">
        <v>5</v>
      </c>
      <c r="AH1058" s="9" t="str" cm="1">
        <f t="array" ref="AH1058">_xlfn.IFS(AG1058 &lt;= 5, "New[1-5]", AG1058 &lt;= 10, "Early Career[6-10]", AG1058 &lt;= 20, "Established[11-20]", AG1058 &lt;= 30, "Veteran[21-30]", AG1058 &lt;= 40, "Late Career[31-40]")</f>
        <v>New[1-5]</v>
      </c>
      <c r="AI1058" s="1">
        <v>3</v>
      </c>
      <c r="AJ1058" s="1">
        <v>4</v>
      </c>
      <c r="AK1058" s="1">
        <v>3</v>
      </c>
      <c r="AL1058" s="9" t="str" cm="1">
        <f t="array" ref="AL1058">_xlfn.IFS(AK1058 &lt;= 5, "New[1-5]", AK1058 &lt;= 10, "Early Career[6-10]", AK1058 &lt;= 20, "Established[11-20]", AK1058 &lt;= 30, "Veteran[21-30]", AK1058 &lt;= 40, "Late Career[31-40]")</f>
        <v>New[1-5]</v>
      </c>
      <c r="AM1058" s="1">
        <v>2</v>
      </c>
      <c r="AN1058" s="9" t="str" cm="1">
        <f t="array" ref="AN1058">_xlfn.IFS(AM1058 &lt;= 3, "New to Role[1-3]", AM1058 &lt;= 7, "Settled[4-7]", AM1058 &lt;= 12, "Experienced[[8-12]", AM1058 &lt;= 18, "Long Tenured[13-18]")</f>
        <v>New to Role[1-3]</v>
      </c>
      <c r="AO1058" s="1">
        <v>1</v>
      </c>
      <c r="AP1058" s="9" t="str" cm="1">
        <f t="array" ref="AP1058">_xlfn.IFS(AO1058 &lt;= 3, "Recently[1-3]", AO1058 &lt;= 6, "Due Soon[4-6]", AO1058 &lt;= 10, "Overdue[7-10]", AO1058 &lt;= 15, "Long Overdue[11-15]")</f>
        <v>Recently[1-3]</v>
      </c>
      <c r="AQ1058" s="9" t="str" cm="1">
        <f t="array" ref="AQ1058">_xlfn.IFS(AR1058 &lt;= 3, "New Relationship[1-3]", AR1058 &lt;= 7, "Established Relationship[4-7]", AR1058 &lt;= 12, "Long Term Relationship[8-12]", AR1058 &lt;= 17, "Very Long Term Relationship[13-17]")</f>
        <v>New Relationship[1-3]</v>
      </c>
      <c r="AR1058" s="1">
        <v>2</v>
      </c>
    </row>
    <row r="1059" spans="1:44" x14ac:dyDescent="0.25">
      <c r="A1059" s="1">
        <v>29</v>
      </c>
      <c r="B1059" s="8" t="str" cm="1">
        <f t="array" ref="B1059">_xlfn.IFS(A1059 &lt;= 25, "[18-25]", A1059 &lt;= 35, "[26-35]", A1059 &lt;=45, "[36-45]", A1059 &lt;= 60, "[46- 60]")</f>
        <v>[26-35]</v>
      </c>
      <c r="C1059" s="3" t="s">
        <v>35</v>
      </c>
      <c r="D1059">
        <f t="shared" si="16"/>
        <v>1</v>
      </c>
      <c r="E1059" t="s">
        <v>44</v>
      </c>
      <c r="F1059" s="1">
        <v>115</v>
      </c>
      <c r="G1059" s="3" t="s">
        <v>37</v>
      </c>
      <c r="H1059" s="1">
        <v>13</v>
      </c>
      <c r="I1059" s="9" t="str" cm="1">
        <f t="array" ref="I1059">_xlfn.IFS(H1059 &lt;= 2, "[1-2] very close", H1059 &lt;= 10, "[3-10] close", H1059 &lt;= 20, "[11-20] moderate", H1059 &lt;= 30, "[21-30] far")</f>
        <v>[11-20] moderate</v>
      </c>
      <c r="J1059" s="1">
        <v>3</v>
      </c>
      <c r="K1059" s="3" t="s">
        <v>60</v>
      </c>
      <c r="L1059" s="1">
        <v>1</v>
      </c>
      <c r="M1059" s="1">
        <v>1487</v>
      </c>
      <c r="N1059" s="1">
        <v>1</v>
      </c>
      <c r="O1059" s="3" t="s">
        <v>39</v>
      </c>
      <c r="P1059" s="1">
        <v>51</v>
      </c>
      <c r="Q1059" s="1">
        <v>3</v>
      </c>
      <c r="R1059" s="1">
        <v>2</v>
      </c>
      <c r="S1059" s="3" t="s">
        <v>40</v>
      </c>
      <c r="T1059" s="1">
        <v>2</v>
      </c>
      <c r="U1059" s="3" t="s">
        <v>41</v>
      </c>
      <c r="V1059" s="4">
        <v>5765</v>
      </c>
      <c r="W1059" s="1">
        <v>17485</v>
      </c>
      <c r="X1059" s="1">
        <v>5</v>
      </c>
      <c r="Y1059" s="3" t="s">
        <v>42</v>
      </c>
      <c r="Z1059" s="3" t="s">
        <v>43</v>
      </c>
      <c r="AA1059" s="5">
        <v>0.11</v>
      </c>
      <c r="AB1059" s="10" t="str" cm="1">
        <f t="array" ref="AB1059">_xlfn.IFS(AA1059 &lt;= 15%, "Low Hike[11-15%]", AA1059 &lt;= 20%, "Moderate Hike[16-20%]", AA1059 &lt;= 25%,"High Hike[21-25%]")</f>
        <v>Low Hike[11-15%]</v>
      </c>
      <c r="AC1059" s="1">
        <v>3</v>
      </c>
      <c r="AD1059" s="1">
        <v>1</v>
      </c>
      <c r="AE1059" s="1">
        <v>80</v>
      </c>
      <c r="AF1059" s="1">
        <v>0</v>
      </c>
      <c r="AG1059" s="1">
        <v>7</v>
      </c>
      <c r="AH1059" s="9" t="str" cm="1">
        <f t="array" ref="AH1059">_xlfn.IFS(AG1059 &lt;= 5, "New[1-5]", AG1059 &lt;= 10, "Early Career[6-10]", AG1059 &lt;= 20, "Established[11-20]", AG1059 &lt;= 30, "Veteran[21-30]", AG1059 &lt;= 40, "Late Career[31-40]")</f>
        <v>Early Career[6-10]</v>
      </c>
      <c r="AI1059" s="1">
        <v>4</v>
      </c>
      <c r="AJ1059" s="1">
        <v>1</v>
      </c>
      <c r="AK1059" s="1">
        <v>5</v>
      </c>
      <c r="AL1059" s="9" t="str" cm="1">
        <f t="array" ref="AL1059">_xlfn.IFS(AK1059 &lt;= 5, "New[1-5]", AK1059 &lt;= 10, "Early Career[6-10]", AK1059 &lt;= 20, "Established[11-20]", AK1059 &lt;= 30, "Veteran[21-30]", AK1059 &lt;= 40, "Late Career[31-40]")</f>
        <v>New[1-5]</v>
      </c>
      <c r="AM1059" s="1">
        <v>3</v>
      </c>
      <c r="AN1059" s="9" t="str" cm="1">
        <f t="array" ref="AN1059">_xlfn.IFS(AM1059 &lt;= 3, "New to Role[1-3]", AM1059 &lt;= 7, "Settled[4-7]", AM1059 &lt;= 12, "Experienced[[8-12]", AM1059 &lt;= 18, "Long Tenured[13-18]")</f>
        <v>New to Role[1-3]</v>
      </c>
      <c r="AO1059" s="1">
        <v>0</v>
      </c>
      <c r="AP1059" s="9" t="str" cm="1">
        <f t="array" ref="AP1059">_xlfn.IFS(AO1059 &lt;= 3, "Recently[1-3]", AO1059 &lt;= 6, "Due Soon[4-6]", AO1059 &lt;= 10, "Overdue[7-10]", AO1059 &lt;= 15, "Long Overdue[11-15]")</f>
        <v>Recently[1-3]</v>
      </c>
      <c r="AQ1059" s="9" t="str" cm="1">
        <f t="array" ref="AQ1059">_xlfn.IFS(AR1059 &lt;= 3, "New Relationship[1-3]", AR1059 &lt;= 7, "Established Relationship[4-7]", AR1059 &lt;= 12, "Long Term Relationship[8-12]", AR1059 &lt;= 17, "Very Long Term Relationship[13-17]")</f>
        <v>New Relationship[1-3]</v>
      </c>
      <c r="AR1059" s="1">
        <v>0</v>
      </c>
    </row>
    <row r="1060" spans="1:44" x14ac:dyDescent="0.25">
      <c r="A1060" s="1">
        <v>34</v>
      </c>
      <c r="B1060" s="8" t="str" cm="1">
        <f t="array" ref="B1060">_xlfn.IFS(A1060 &lt;= 25, "[18-25]", A1060 &lt;= 35, "[26-35]", A1060 &lt;=45, "[36-45]", A1060 &lt;= 60, "[46- 60]")</f>
        <v>[26-35]</v>
      </c>
      <c r="C1060" s="3" t="s">
        <v>35</v>
      </c>
      <c r="D1060">
        <f t="shared" si="16"/>
        <v>1</v>
      </c>
      <c r="E1060" t="s">
        <v>36</v>
      </c>
      <c r="F1060" s="1">
        <v>790</v>
      </c>
      <c r="G1060" s="3" t="s">
        <v>37</v>
      </c>
      <c r="H1060" s="1">
        <v>24</v>
      </c>
      <c r="I1060" s="9" t="str" cm="1">
        <f t="array" ref="I1060">_xlfn.IFS(H1060 &lt;= 2, "[1-2] very close", H1060 &lt;= 10, "[3-10] close", H1060 &lt;= 20, "[11-20] moderate", H1060 &lt;= 30, "[21-30] far")</f>
        <v>[21-30] far</v>
      </c>
      <c r="J1060" s="1">
        <v>4</v>
      </c>
      <c r="K1060" s="3" t="s">
        <v>51</v>
      </c>
      <c r="L1060" s="1">
        <v>1</v>
      </c>
      <c r="M1060" s="1">
        <v>1489</v>
      </c>
      <c r="N1060" s="1">
        <v>1</v>
      </c>
      <c r="O1060" s="3" t="s">
        <v>39</v>
      </c>
      <c r="P1060" s="1">
        <v>40</v>
      </c>
      <c r="Q1060" s="1">
        <v>2</v>
      </c>
      <c r="R1060" s="1">
        <v>2</v>
      </c>
      <c r="S1060" s="3" t="s">
        <v>40</v>
      </c>
      <c r="T1060" s="1">
        <v>2</v>
      </c>
      <c r="U1060" s="3" t="s">
        <v>41</v>
      </c>
      <c r="V1060" s="4">
        <v>4599</v>
      </c>
      <c r="W1060" s="1">
        <v>7815</v>
      </c>
      <c r="X1060" s="1">
        <v>0</v>
      </c>
      <c r="Y1060" s="3" t="s">
        <v>42</v>
      </c>
      <c r="Z1060" s="3" t="s">
        <v>35</v>
      </c>
      <c r="AA1060" s="5">
        <v>0.23</v>
      </c>
      <c r="AB1060" s="10" t="str" cm="1">
        <f t="array" ref="AB1060">_xlfn.IFS(AA1060 &lt;= 15%, "Low Hike[11-15%]", AA1060 &lt;= 20%, "Moderate Hike[16-20%]", AA1060 &lt;= 25%,"High Hike[21-25%]")</f>
        <v>High Hike[21-25%]</v>
      </c>
      <c r="AC1060" s="1">
        <v>4</v>
      </c>
      <c r="AD1060" s="1">
        <v>3</v>
      </c>
      <c r="AE1060" s="1">
        <v>80</v>
      </c>
      <c r="AF1060" s="1">
        <v>0</v>
      </c>
      <c r="AG1060" s="1">
        <v>16</v>
      </c>
      <c r="AH1060" s="9" t="str" cm="1">
        <f t="array" ref="AH1060">_xlfn.IFS(AG1060 &lt;= 5, "New[1-5]", AG1060 &lt;= 10, "Early Career[6-10]", AG1060 &lt;= 20, "Established[11-20]", AG1060 &lt;= 30, "Veteran[21-30]", AG1060 &lt;= 40, "Late Career[31-40]")</f>
        <v>Established[11-20]</v>
      </c>
      <c r="AI1060" s="1">
        <v>2</v>
      </c>
      <c r="AJ1060" s="1">
        <v>4</v>
      </c>
      <c r="AK1060" s="1">
        <v>15</v>
      </c>
      <c r="AL1060" s="9" t="str" cm="1">
        <f t="array" ref="AL1060">_xlfn.IFS(AK1060 &lt;= 5, "New[1-5]", AK1060 &lt;= 10, "Early Career[6-10]", AK1060 &lt;= 20, "Established[11-20]", AK1060 &lt;= 30, "Veteran[21-30]", AK1060 &lt;= 40, "Late Career[31-40]")</f>
        <v>Established[11-20]</v>
      </c>
      <c r="AM1060" s="1">
        <v>9</v>
      </c>
      <c r="AN1060" s="9" t="str" cm="1">
        <f t="array" ref="AN1060">_xlfn.IFS(AM1060 &lt;= 3, "New to Role[1-3]", AM1060 &lt;= 7, "Settled[4-7]", AM1060 &lt;= 12, "Experienced[[8-12]", AM1060 &lt;= 18, "Long Tenured[13-18]")</f>
        <v>Experienced[[8-12]</v>
      </c>
      <c r="AO1060" s="1">
        <v>10</v>
      </c>
      <c r="AP1060" s="9" t="str" cm="1">
        <f t="array" ref="AP1060">_xlfn.IFS(AO1060 &lt;= 3, "Recently[1-3]", AO1060 &lt;= 6, "Due Soon[4-6]", AO1060 &lt;= 10, "Overdue[7-10]", AO1060 &lt;= 15, "Long Overdue[11-15]")</f>
        <v>Overdue[7-10]</v>
      </c>
      <c r="AQ1060" s="9" t="str" cm="1">
        <f t="array" ref="AQ1060">_xlfn.IFS(AR1060 &lt;= 3, "New Relationship[1-3]", AR1060 &lt;= 7, "Established Relationship[4-7]", AR1060 &lt;= 12, "Long Term Relationship[8-12]", AR1060 &lt;= 17, "Very Long Term Relationship[13-17]")</f>
        <v>Long Term Relationship[8-12]</v>
      </c>
      <c r="AR1060" s="1">
        <v>10</v>
      </c>
    </row>
    <row r="1061" spans="1:44" x14ac:dyDescent="0.25">
      <c r="A1061" s="1">
        <v>35</v>
      </c>
      <c r="B1061" s="8" t="str" cm="1">
        <f t="array" ref="B1061">_xlfn.IFS(A1061 &lt;= 25, "[18-25]", A1061 &lt;= 35, "[26-35]", A1061 &lt;=45, "[36-45]", A1061 &lt;= 60, "[46- 60]")</f>
        <v>[26-35]</v>
      </c>
      <c r="C1061" s="3" t="s">
        <v>43</v>
      </c>
      <c r="D1061">
        <f t="shared" si="16"/>
        <v>0</v>
      </c>
      <c r="E1061" t="s">
        <v>36</v>
      </c>
      <c r="F1061" s="1">
        <v>660</v>
      </c>
      <c r="G1061" s="3" t="s">
        <v>37</v>
      </c>
      <c r="H1061" s="1">
        <v>7</v>
      </c>
      <c r="I1061" s="9" t="str" cm="1">
        <f t="array" ref="I1061">_xlfn.IFS(H1061 &lt;= 2, "[1-2] very close", H1061 &lt;= 10, "[3-10] close", H1061 &lt;= 20, "[11-20] moderate", H1061 &lt;= 30, "[21-30] far")</f>
        <v>[3-10] close</v>
      </c>
      <c r="J1061" s="1">
        <v>1</v>
      </c>
      <c r="K1061" s="3" t="s">
        <v>38</v>
      </c>
      <c r="L1061" s="1">
        <v>1</v>
      </c>
      <c r="M1061" s="1">
        <v>1492</v>
      </c>
      <c r="N1061" s="1">
        <v>4</v>
      </c>
      <c r="O1061" s="3" t="s">
        <v>46</v>
      </c>
      <c r="P1061" s="1">
        <v>76</v>
      </c>
      <c r="Q1061" s="1">
        <v>3</v>
      </c>
      <c r="R1061" s="1">
        <v>1</v>
      </c>
      <c r="S1061" s="3" t="s">
        <v>57</v>
      </c>
      <c r="T1061" s="1">
        <v>3</v>
      </c>
      <c r="U1061" s="3" t="s">
        <v>48</v>
      </c>
      <c r="V1061" s="4">
        <v>2404</v>
      </c>
      <c r="W1061" s="1">
        <v>16192</v>
      </c>
      <c r="X1061" s="1">
        <v>1</v>
      </c>
      <c r="Y1061" s="3" t="s">
        <v>42</v>
      </c>
      <c r="Z1061" s="3" t="s">
        <v>43</v>
      </c>
      <c r="AA1061" s="5">
        <v>0.13</v>
      </c>
      <c r="AB1061" s="10" t="str" cm="1">
        <f t="array" ref="AB1061">_xlfn.IFS(AA1061 &lt;= 15%, "Low Hike[11-15%]", AA1061 &lt;= 20%, "Moderate Hike[16-20%]", AA1061 &lt;= 25%,"High Hike[21-25%]")</f>
        <v>Low Hike[11-15%]</v>
      </c>
      <c r="AC1061" s="1">
        <v>3</v>
      </c>
      <c r="AD1061" s="1">
        <v>1</v>
      </c>
      <c r="AE1061" s="1">
        <v>80</v>
      </c>
      <c r="AF1061" s="1">
        <v>1</v>
      </c>
      <c r="AG1061" s="1">
        <v>1</v>
      </c>
      <c r="AH1061" s="9" t="str" cm="1">
        <f t="array" ref="AH1061">_xlfn.IFS(AG1061 &lt;= 5, "New[1-5]", AG1061 &lt;= 10, "Early Career[6-10]", AG1061 &lt;= 20, "Established[11-20]", AG1061 &lt;= 30, "Veteran[21-30]", AG1061 &lt;= 40, "Late Career[31-40]")</f>
        <v>New[1-5]</v>
      </c>
      <c r="AI1061" s="1">
        <v>3</v>
      </c>
      <c r="AJ1061" s="1">
        <v>3</v>
      </c>
      <c r="AK1061" s="1">
        <v>1</v>
      </c>
      <c r="AL1061" s="9" t="str" cm="1">
        <f t="array" ref="AL1061">_xlfn.IFS(AK1061 &lt;= 5, "New[1-5]", AK1061 &lt;= 10, "Early Career[6-10]", AK1061 &lt;= 20, "Established[11-20]", AK1061 &lt;= 30, "Veteran[21-30]", AK1061 &lt;= 40, "Late Career[31-40]")</f>
        <v>New[1-5]</v>
      </c>
      <c r="AM1061" s="1">
        <v>0</v>
      </c>
      <c r="AN1061" s="9" t="str" cm="1">
        <f t="array" ref="AN1061">_xlfn.IFS(AM1061 &lt;= 3, "New to Role[1-3]", AM1061 &lt;= 7, "Settled[4-7]", AM1061 &lt;= 12, "Experienced[[8-12]", AM1061 &lt;= 18, "Long Tenured[13-18]")</f>
        <v>New to Role[1-3]</v>
      </c>
      <c r="AO1061" s="1">
        <v>0</v>
      </c>
      <c r="AP1061" s="9" t="str" cm="1">
        <f t="array" ref="AP1061">_xlfn.IFS(AO1061 &lt;= 3, "Recently[1-3]", AO1061 &lt;= 6, "Due Soon[4-6]", AO1061 &lt;= 10, "Overdue[7-10]", AO1061 &lt;= 15, "Long Overdue[11-15]")</f>
        <v>Recently[1-3]</v>
      </c>
      <c r="AQ1061" s="9" t="str" cm="1">
        <f t="array" ref="AQ1061">_xlfn.IFS(AR1061 &lt;= 3, "New Relationship[1-3]", AR1061 &lt;= 7, "Established Relationship[4-7]", AR1061 &lt;= 12, "Long Term Relationship[8-12]", AR1061 &lt;= 17, "Very Long Term Relationship[13-17]")</f>
        <v>New Relationship[1-3]</v>
      </c>
      <c r="AR1061" s="1">
        <v>0</v>
      </c>
    </row>
    <row r="1062" spans="1:44" x14ac:dyDescent="0.25">
      <c r="A1062" s="1">
        <v>24</v>
      </c>
      <c r="B1062" s="8" t="str" cm="1">
        <f t="array" ref="B1062">_xlfn.IFS(A1062 &lt;= 25, "[18-25]", A1062 &lt;= 35, "[26-35]", A1062 &lt;=45, "[36-45]", A1062 &lt;= 60, "[46- 60]")</f>
        <v>[18-25]</v>
      </c>
      <c r="C1062" s="3" t="s">
        <v>35</v>
      </c>
      <c r="D1062">
        <f t="shared" si="16"/>
        <v>1</v>
      </c>
      <c r="E1062" t="s">
        <v>44</v>
      </c>
      <c r="F1062" s="1">
        <v>381</v>
      </c>
      <c r="G1062" s="3" t="s">
        <v>45</v>
      </c>
      <c r="H1062" s="1">
        <v>9</v>
      </c>
      <c r="I1062" s="9" t="str" cm="1">
        <f t="array" ref="I1062">_xlfn.IFS(H1062 &lt;= 2, "[1-2] very close", H1062 &lt;= 10, "[3-10] close", H1062 &lt;= 20, "[11-20] moderate", H1062 &lt;= 30, "[21-30] far")</f>
        <v>[3-10] close</v>
      </c>
      <c r="J1062" s="1">
        <v>3</v>
      </c>
      <c r="K1062" s="3" t="s">
        <v>51</v>
      </c>
      <c r="L1062" s="1">
        <v>1</v>
      </c>
      <c r="M1062" s="1">
        <v>1494</v>
      </c>
      <c r="N1062" s="1">
        <v>2</v>
      </c>
      <c r="O1062" s="3" t="s">
        <v>46</v>
      </c>
      <c r="P1062" s="1">
        <v>89</v>
      </c>
      <c r="Q1062" s="1">
        <v>3</v>
      </c>
      <c r="R1062" s="1">
        <v>1</v>
      </c>
      <c r="S1062" s="3" t="s">
        <v>50</v>
      </c>
      <c r="T1062" s="1">
        <v>1</v>
      </c>
      <c r="U1062" s="3" t="s">
        <v>41</v>
      </c>
      <c r="V1062" s="4">
        <v>3172</v>
      </c>
      <c r="W1062" s="1">
        <v>16998</v>
      </c>
      <c r="X1062" s="1">
        <v>2</v>
      </c>
      <c r="Y1062" s="3" t="s">
        <v>42</v>
      </c>
      <c r="Z1062" s="3" t="s">
        <v>35</v>
      </c>
      <c r="AA1062" s="5">
        <v>0.11</v>
      </c>
      <c r="AB1062" s="10" t="str" cm="1">
        <f t="array" ref="AB1062">_xlfn.IFS(AA1062 &lt;= 15%, "Low Hike[11-15%]", AA1062 &lt;= 20%, "Moderate Hike[16-20%]", AA1062 &lt;= 25%,"High Hike[21-25%]")</f>
        <v>Low Hike[11-15%]</v>
      </c>
      <c r="AC1062" s="1">
        <v>3</v>
      </c>
      <c r="AD1062" s="1">
        <v>3</v>
      </c>
      <c r="AE1062" s="1">
        <v>80</v>
      </c>
      <c r="AF1062" s="1">
        <v>0</v>
      </c>
      <c r="AG1062" s="1">
        <v>4</v>
      </c>
      <c r="AH1062" s="9" t="str" cm="1">
        <f t="array" ref="AH1062">_xlfn.IFS(AG1062 &lt;= 5, "New[1-5]", AG1062 &lt;= 10, "Early Career[6-10]", AG1062 &lt;= 20, "Established[11-20]", AG1062 &lt;= 30, "Veteran[21-30]", AG1062 &lt;= 40, "Late Career[31-40]")</f>
        <v>New[1-5]</v>
      </c>
      <c r="AI1062" s="1">
        <v>2</v>
      </c>
      <c r="AJ1062" s="1">
        <v>2</v>
      </c>
      <c r="AK1062" s="1">
        <v>0</v>
      </c>
      <c r="AL1062" s="9" t="str" cm="1">
        <f t="array" ref="AL1062">_xlfn.IFS(AK1062 &lt;= 5, "New[1-5]", AK1062 &lt;= 10, "Early Career[6-10]", AK1062 &lt;= 20, "Established[11-20]", AK1062 &lt;= 30, "Veteran[21-30]", AK1062 &lt;= 40, "Late Career[31-40]")</f>
        <v>New[1-5]</v>
      </c>
      <c r="AM1062" s="1">
        <v>0</v>
      </c>
      <c r="AN1062" s="9" t="str" cm="1">
        <f t="array" ref="AN1062">_xlfn.IFS(AM1062 &lt;= 3, "New to Role[1-3]", AM1062 &lt;= 7, "Settled[4-7]", AM1062 &lt;= 12, "Experienced[[8-12]", AM1062 &lt;= 18, "Long Tenured[13-18]")</f>
        <v>New to Role[1-3]</v>
      </c>
      <c r="AO1062" s="1">
        <v>0</v>
      </c>
      <c r="AP1062" s="9" t="str" cm="1">
        <f t="array" ref="AP1062">_xlfn.IFS(AO1062 &lt;= 3, "Recently[1-3]", AO1062 &lt;= 6, "Due Soon[4-6]", AO1062 &lt;= 10, "Overdue[7-10]", AO1062 &lt;= 15, "Long Overdue[11-15]")</f>
        <v>Recently[1-3]</v>
      </c>
      <c r="AQ1062" s="9" t="str" cm="1">
        <f t="array" ref="AQ1062">_xlfn.IFS(AR1062 &lt;= 3, "New Relationship[1-3]", AR1062 &lt;= 7, "Established Relationship[4-7]", AR1062 &lt;= 12, "Long Term Relationship[8-12]", AR1062 &lt;= 17, "Very Long Term Relationship[13-17]")</f>
        <v>New Relationship[1-3]</v>
      </c>
      <c r="AR1062" s="1">
        <v>0</v>
      </c>
    </row>
    <row r="1063" spans="1:44" x14ac:dyDescent="0.25">
      <c r="A1063" s="1">
        <v>24</v>
      </c>
      <c r="B1063" s="8" t="str" cm="1">
        <f t="array" ref="B1063">_xlfn.IFS(A1063 &lt;= 25, "[18-25]", A1063 &lt;= 35, "[26-35]", A1063 &lt;=45, "[36-45]", A1063 &lt;= 60, "[46- 60]")</f>
        <v>[18-25]</v>
      </c>
      <c r="C1063" s="3" t="s">
        <v>43</v>
      </c>
      <c r="D1063">
        <f t="shared" si="16"/>
        <v>0</v>
      </c>
      <c r="E1063" t="s">
        <v>62</v>
      </c>
      <c r="F1063" s="1">
        <v>830</v>
      </c>
      <c r="G1063" s="3" t="s">
        <v>37</v>
      </c>
      <c r="H1063" s="1">
        <v>13</v>
      </c>
      <c r="I1063" s="9" t="str" cm="1">
        <f t="array" ref="I1063">_xlfn.IFS(H1063 &lt;= 2, "[1-2] very close", H1063 &lt;= 10, "[3-10] close", H1063 &lt;= 20, "[11-20] moderate", H1063 &lt;= 30, "[21-30] far")</f>
        <v>[11-20] moderate</v>
      </c>
      <c r="J1063" s="1">
        <v>2</v>
      </c>
      <c r="K1063" s="3" t="s">
        <v>38</v>
      </c>
      <c r="L1063" s="1">
        <v>1</v>
      </c>
      <c r="M1063" s="1">
        <v>1495</v>
      </c>
      <c r="N1063" s="1">
        <v>4</v>
      </c>
      <c r="O1063" s="3" t="s">
        <v>39</v>
      </c>
      <c r="P1063" s="1">
        <v>78</v>
      </c>
      <c r="Q1063" s="1">
        <v>3</v>
      </c>
      <c r="R1063" s="1">
        <v>1</v>
      </c>
      <c r="S1063" s="3" t="s">
        <v>57</v>
      </c>
      <c r="T1063" s="1">
        <v>2</v>
      </c>
      <c r="U1063" s="3" t="s">
        <v>48</v>
      </c>
      <c r="V1063" s="4">
        <v>2033</v>
      </c>
      <c r="W1063" s="1">
        <v>7103</v>
      </c>
      <c r="X1063" s="1">
        <v>1</v>
      </c>
      <c r="Y1063" s="3" t="s">
        <v>42</v>
      </c>
      <c r="Z1063" s="3" t="s">
        <v>43</v>
      </c>
      <c r="AA1063" s="5">
        <v>0.13</v>
      </c>
      <c r="AB1063" s="10" t="str" cm="1">
        <f t="array" ref="AB1063">_xlfn.IFS(AA1063 &lt;= 15%, "Low Hike[11-15%]", AA1063 &lt;= 20%, "Moderate Hike[16-20%]", AA1063 &lt;= 25%,"High Hike[21-25%]")</f>
        <v>Low Hike[11-15%]</v>
      </c>
      <c r="AC1063" s="1">
        <v>3</v>
      </c>
      <c r="AD1063" s="1">
        <v>3</v>
      </c>
      <c r="AE1063" s="1">
        <v>80</v>
      </c>
      <c r="AF1063" s="1">
        <v>1</v>
      </c>
      <c r="AG1063" s="1">
        <v>1</v>
      </c>
      <c r="AH1063" s="9" t="str" cm="1">
        <f t="array" ref="AH1063">_xlfn.IFS(AG1063 &lt;= 5, "New[1-5]", AG1063 &lt;= 10, "Early Career[6-10]", AG1063 &lt;= 20, "Established[11-20]", AG1063 &lt;= 30, "Veteran[21-30]", AG1063 &lt;= 40, "Late Career[31-40]")</f>
        <v>New[1-5]</v>
      </c>
      <c r="AI1063" s="1">
        <v>2</v>
      </c>
      <c r="AJ1063" s="1">
        <v>3</v>
      </c>
      <c r="AK1063" s="1">
        <v>1</v>
      </c>
      <c r="AL1063" s="9" t="str" cm="1">
        <f t="array" ref="AL1063">_xlfn.IFS(AK1063 &lt;= 5, "New[1-5]", AK1063 &lt;= 10, "Early Career[6-10]", AK1063 &lt;= 20, "Established[11-20]", AK1063 &lt;= 30, "Veteran[21-30]", AK1063 &lt;= 40, "Late Career[31-40]")</f>
        <v>New[1-5]</v>
      </c>
      <c r="AM1063" s="1">
        <v>0</v>
      </c>
      <c r="AN1063" s="9" t="str" cm="1">
        <f t="array" ref="AN1063">_xlfn.IFS(AM1063 &lt;= 3, "New to Role[1-3]", AM1063 &lt;= 7, "Settled[4-7]", AM1063 &lt;= 12, "Experienced[[8-12]", AM1063 &lt;= 18, "Long Tenured[13-18]")</f>
        <v>New to Role[1-3]</v>
      </c>
      <c r="AO1063" s="1">
        <v>0</v>
      </c>
      <c r="AP1063" s="9" t="str" cm="1">
        <f t="array" ref="AP1063">_xlfn.IFS(AO1063 &lt;= 3, "Recently[1-3]", AO1063 &lt;= 6, "Due Soon[4-6]", AO1063 &lt;= 10, "Overdue[7-10]", AO1063 &lt;= 15, "Long Overdue[11-15]")</f>
        <v>Recently[1-3]</v>
      </c>
      <c r="AQ1063" s="9" t="str" cm="1">
        <f t="array" ref="AQ1063">_xlfn.IFS(AR1063 &lt;= 3, "New Relationship[1-3]", AR1063 &lt;= 7, "Established Relationship[4-7]", AR1063 &lt;= 12, "Long Term Relationship[8-12]", AR1063 &lt;= 17, "Very Long Term Relationship[13-17]")</f>
        <v>New Relationship[1-3]</v>
      </c>
      <c r="AR1063" s="1">
        <v>0</v>
      </c>
    </row>
    <row r="1064" spans="1:44" x14ac:dyDescent="0.25">
      <c r="A1064" s="1">
        <v>44</v>
      </c>
      <c r="B1064" s="8" t="str" cm="1">
        <f t="array" ref="B1064">_xlfn.IFS(A1064 &lt;= 25, "[18-25]", A1064 &lt;= 35, "[26-35]", A1064 &lt;=45, "[36-45]", A1064 &lt;= 60, "[46- 60]")</f>
        <v>[36-45]</v>
      </c>
      <c r="C1064" s="3" t="s">
        <v>43</v>
      </c>
      <c r="D1064">
        <f t="shared" si="16"/>
        <v>0</v>
      </c>
      <c r="E1064" t="s">
        <v>44</v>
      </c>
      <c r="F1064" s="1">
        <v>1193</v>
      </c>
      <c r="G1064" s="3" t="s">
        <v>45</v>
      </c>
      <c r="H1064" s="1">
        <v>2</v>
      </c>
      <c r="I1064" s="9" t="str" cm="1">
        <f t="array" ref="I1064">_xlfn.IFS(H1064 &lt;= 2, "[1-2] very close", H1064 &lt;= 10, "[3-10] close", H1064 &lt;= 20, "[11-20] moderate", H1064 &lt;= 30, "[21-30] far")</f>
        <v>[1-2] very close</v>
      </c>
      <c r="J1064" s="1">
        <v>1</v>
      </c>
      <c r="K1064" s="3" t="s">
        <v>51</v>
      </c>
      <c r="L1064" s="1">
        <v>1</v>
      </c>
      <c r="M1064" s="1">
        <v>1496</v>
      </c>
      <c r="N1064" s="1">
        <v>2</v>
      </c>
      <c r="O1064" s="3" t="s">
        <v>46</v>
      </c>
      <c r="P1064" s="1">
        <v>86</v>
      </c>
      <c r="Q1064" s="1">
        <v>3</v>
      </c>
      <c r="R1064" s="1">
        <v>3</v>
      </c>
      <c r="S1064" s="3" t="s">
        <v>53</v>
      </c>
      <c r="T1064" s="1">
        <v>3</v>
      </c>
      <c r="U1064" s="3" t="s">
        <v>41</v>
      </c>
      <c r="V1064" s="4">
        <v>10209</v>
      </c>
      <c r="W1064" s="1">
        <v>19719</v>
      </c>
      <c r="X1064" s="1">
        <v>5</v>
      </c>
      <c r="Y1064" s="3" t="s">
        <v>42</v>
      </c>
      <c r="Z1064" s="3" t="s">
        <v>35</v>
      </c>
      <c r="AA1064" s="5">
        <v>0.18</v>
      </c>
      <c r="AB1064" s="10" t="str" cm="1">
        <f t="array" ref="AB1064">_xlfn.IFS(AA1064 &lt;= 15%, "Low Hike[11-15%]", AA1064 &lt;= 20%, "Moderate Hike[16-20%]", AA1064 &lt;= 25%,"High Hike[21-25%]")</f>
        <v>Moderate Hike[16-20%]</v>
      </c>
      <c r="AC1064" s="1">
        <v>3</v>
      </c>
      <c r="AD1064" s="1">
        <v>2</v>
      </c>
      <c r="AE1064" s="1">
        <v>80</v>
      </c>
      <c r="AF1064" s="1">
        <v>0</v>
      </c>
      <c r="AG1064" s="1">
        <v>16</v>
      </c>
      <c r="AH1064" s="9" t="str" cm="1">
        <f t="array" ref="AH1064">_xlfn.IFS(AG1064 &lt;= 5, "New[1-5]", AG1064 &lt;= 10, "Early Career[6-10]", AG1064 &lt;= 20, "Established[11-20]", AG1064 &lt;= 30, "Veteran[21-30]", AG1064 &lt;= 40, "Late Career[31-40]")</f>
        <v>Established[11-20]</v>
      </c>
      <c r="AI1064" s="1">
        <v>2</v>
      </c>
      <c r="AJ1064" s="1">
        <v>2</v>
      </c>
      <c r="AK1064" s="1">
        <v>2</v>
      </c>
      <c r="AL1064" s="9" t="str" cm="1">
        <f t="array" ref="AL1064">_xlfn.IFS(AK1064 &lt;= 5, "New[1-5]", AK1064 &lt;= 10, "Early Career[6-10]", AK1064 &lt;= 20, "Established[11-20]", AK1064 &lt;= 30, "Veteran[21-30]", AK1064 &lt;= 40, "Late Career[31-40]")</f>
        <v>New[1-5]</v>
      </c>
      <c r="AM1064" s="1">
        <v>2</v>
      </c>
      <c r="AN1064" s="9" t="str" cm="1">
        <f t="array" ref="AN1064">_xlfn.IFS(AM1064 &lt;= 3, "New to Role[1-3]", AM1064 &lt;= 7, "Settled[4-7]", AM1064 &lt;= 12, "Experienced[[8-12]", AM1064 &lt;= 18, "Long Tenured[13-18]")</f>
        <v>New to Role[1-3]</v>
      </c>
      <c r="AO1064" s="1">
        <v>2</v>
      </c>
      <c r="AP1064" s="9" t="str" cm="1">
        <f t="array" ref="AP1064">_xlfn.IFS(AO1064 &lt;= 3, "Recently[1-3]", AO1064 &lt;= 6, "Due Soon[4-6]", AO1064 &lt;= 10, "Overdue[7-10]", AO1064 &lt;= 15, "Long Overdue[11-15]")</f>
        <v>Recently[1-3]</v>
      </c>
      <c r="AQ1064" s="9" t="str" cm="1">
        <f t="array" ref="AQ1064">_xlfn.IFS(AR1064 &lt;= 3, "New Relationship[1-3]", AR1064 &lt;= 7, "Established Relationship[4-7]", AR1064 &lt;= 12, "Long Term Relationship[8-12]", AR1064 &lt;= 17, "Very Long Term Relationship[13-17]")</f>
        <v>New Relationship[1-3]</v>
      </c>
      <c r="AR1064" s="1">
        <v>2</v>
      </c>
    </row>
    <row r="1065" spans="1:44" x14ac:dyDescent="0.25">
      <c r="A1065" s="1">
        <v>29</v>
      </c>
      <c r="B1065" s="8" t="str" cm="1">
        <f t="array" ref="B1065">_xlfn.IFS(A1065 &lt;= 25, "[18-25]", A1065 &lt;= 35, "[26-35]", A1065 &lt;=45, "[36-45]", A1065 &lt;= 60, "[46- 60]")</f>
        <v>[26-35]</v>
      </c>
      <c r="C1065" s="3" t="s">
        <v>43</v>
      </c>
      <c r="D1065">
        <f t="shared" si="16"/>
        <v>0</v>
      </c>
      <c r="E1065" t="s">
        <v>36</v>
      </c>
      <c r="F1065" s="1">
        <v>1246</v>
      </c>
      <c r="G1065" s="3" t="s">
        <v>37</v>
      </c>
      <c r="H1065" s="1">
        <v>19</v>
      </c>
      <c r="I1065" s="9" t="str" cm="1">
        <f t="array" ref="I1065">_xlfn.IFS(H1065 &lt;= 2, "[1-2] very close", H1065 &lt;= 10, "[3-10] close", H1065 &lt;= 20, "[11-20] moderate", H1065 &lt;= 30, "[21-30] far")</f>
        <v>[11-20] moderate</v>
      </c>
      <c r="J1065" s="1">
        <v>3</v>
      </c>
      <c r="K1065" s="3" t="s">
        <v>38</v>
      </c>
      <c r="L1065" s="1">
        <v>1</v>
      </c>
      <c r="M1065" s="1">
        <v>1497</v>
      </c>
      <c r="N1065" s="1">
        <v>3</v>
      </c>
      <c r="O1065" s="3" t="s">
        <v>46</v>
      </c>
      <c r="P1065" s="1">
        <v>77</v>
      </c>
      <c r="Q1065" s="1">
        <v>2</v>
      </c>
      <c r="R1065" s="1">
        <v>2</v>
      </c>
      <c r="S1065" s="3" t="s">
        <v>40</v>
      </c>
      <c r="T1065" s="1">
        <v>3</v>
      </c>
      <c r="U1065" s="3" t="s">
        <v>52</v>
      </c>
      <c r="V1065" s="4">
        <v>8620</v>
      </c>
      <c r="W1065" s="1">
        <v>23757</v>
      </c>
      <c r="X1065" s="1">
        <v>1</v>
      </c>
      <c r="Y1065" s="3" t="s">
        <v>42</v>
      </c>
      <c r="Z1065" s="3" t="s">
        <v>43</v>
      </c>
      <c r="AA1065" s="5">
        <v>0.14000000000000001</v>
      </c>
      <c r="AB1065" s="10" t="str" cm="1">
        <f t="array" ref="AB1065">_xlfn.IFS(AA1065 &lt;= 15%, "Low Hike[11-15%]", AA1065 &lt;= 20%, "Moderate Hike[16-20%]", AA1065 &lt;= 25%,"High Hike[21-25%]")</f>
        <v>Low Hike[11-15%]</v>
      </c>
      <c r="AC1065" s="1">
        <v>3</v>
      </c>
      <c r="AD1065" s="1">
        <v>3</v>
      </c>
      <c r="AE1065" s="1">
        <v>80</v>
      </c>
      <c r="AF1065" s="1">
        <v>2</v>
      </c>
      <c r="AG1065" s="1">
        <v>10</v>
      </c>
      <c r="AH1065" s="9" t="str" cm="1">
        <f t="array" ref="AH1065">_xlfn.IFS(AG1065 &lt;= 5, "New[1-5]", AG1065 &lt;= 10, "Early Career[6-10]", AG1065 &lt;= 20, "Established[11-20]", AG1065 &lt;= 30, "Veteran[21-30]", AG1065 &lt;= 40, "Late Career[31-40]")</f>
        <v>Early Career[6-10]</v>
      </c>
      <c r="AI1065" s="1">
        <v>3</v>
      </c>
      <c r="AJ1065" s="1">
        <v>3</v>
      </c>
      <c r="AK1065" s="1">
        <v>10</v>
      </c>
      <c r="AL1065" s="9" t="str" cm="1">
        <f t="array" ref="AL1065">_xlfn.IFS(AK1065 &lt;= 5, "New[1-5]", AK1065 &lt;= 10, "Early Career[6-10]", AK1065 &lt;= 20, "Established[11-20]", AK1065 &lt;= 30, "Veteran[21-30]", AK1065 &lt;= 40, "Late Career[31-40]")</f>
        <v>Early Career[6-10]</v>
      </c>
      <c r="AM1065" s="1">
        <v>7</v>
      </c>
      <c r="AN1065" s="9" t="str" cm="1">
        <f t="array" ref="AN1065">_xlfn.IFS(AM1065 &lt;= 3, "New to Role[1-3]", AM1065 &lt;= 7, "Settled[4-7]", AM1065 &lt;= 12, "Experienced[[8-12]", AM1065 &lt;= 18, "Long Tenured[13-18]")</f>
        <v>Settled[4-7]</v>
      </c>
      <c r="AO1065" s="1">
        <v>0</v>
      </c>
      <c r="AP1065" s="9" t="str" cm="1">
        <f t="array" ref="AP1065">_xlfn.IFS(AO1065 &lt;= 3, "Recently[1-3]", AO1065 &lt;= 6, "Due Soon[4-6]", AO1065 &lt;= 10, "Overdue[7-10]", AO1065 &lt;= 15, "Long Overdue[11-15]")</f>
        <v>Recently[1-3]</v>
      </c>
      <c r="AQ1065" s="9" t="str" cm="1">
        <f t="array" ref="AQ1065">_xlfn.IFS(AR1065 &lt;= 3, "New Relationship[1-3]", AR1065 &lt;= 7, "Established Relationship[4-7]", AR1065 &lt;= 12, "Long Term Relationship[8-12]", AR1065 &lt;= 17, "Very Long Term Relationship[13-17]")</f>
        <v>Established Relationship[4-7]</v>
      </c>
      <c r="AR1065" s="1">
        <v>4</v>
      </c>
    </row>
    <row r="1066" spans="1:44" x14ac:dyDescent="0.25">
      <c r="A1066" s="1">
        <v>30</v>
      </c>
      <c r="B1066" s="8" t="str" cm="1">
        <f t="array" ref="B1066">_xlfn.IFS(A1066 &lt;= 25, "[18-25]", A1066 &lt;= 35, "[26-35]", A1066 &lt;=45, "[36-45]", A1066 &lt;= 60, "[46- 60]")</f>
        <v>[26-35]</v>
      </c>
      <c r="C1066" s="3" t="s">
        <v>43</v>
      </c>
      <c r="D1066">
        <f t="shared" si="16"/>
        <v>0</v>
      </c>
      <c r="E1066" t="s">
        <v>36</v>
      </c>
      <c r="F1066" s="1">
        <v>330</v>
      </c>
      <c r="G1066" s="3" t="s">
        <v>61</v>
      </c>
      <c r="H1066" s="1">
        <v>1</v>
      </c>
      <c r="I1066" s="9" t="str" cm="1">
        <f t="array" ref="I1066">_xlfn.IFS(H1066 &lt;= 2, "[1-2] very close", H1066 &lt;= 10, "[3-10] close", H1066 &lt;= 20, "[11-20] moderate", H1066 &lt;= 30, "[21-30] far")</f>
        <v>[1-2] very close</v>
      </c>
      <c r="J1066" s="1">
        <v>3</v>
      </c>
      <c r="K1066" s="3" t="s">
        <v>38</v>
      </c>
      <c r="L1066" s="1">
        <v>1</v>
      </c>
      <c r="M1066" s="1">
        <v>1499</v>
      </c>
      <c r="N1066" s="1">
        <v>3</v>
      </c>
      <c r="O1066" s="3" t="s">
        <v>46</v>
      </c>
      <c r="P1066" s="1">
        <v>46</v>
      </c>
      <c r="Q1066" s="1">
        <v>3</v>
      </c>
      <c r="R1066" s="1">
        <v>1</v>
      </c>
      <c r="S1066" s="3" t="s">
        <v>61</v>
      </c>
      <c r="T1066" s="1">
        <v>3</v>
      </c>
      <c r="U1066" s="3" t="s">
        <v>52</v>
      </c>
      <c r="V1066" s="4">
        <v>2064</v>
      </c>
      <c r="W1066" s="1">
        <v>15428</v>
      </c>
      <c r="X1066" s="1">
        <v>0</v>
      </c>
      <c r="Y1066" s="3" t="s">
        <v>42</v>
      </c>
      <c r="Z1066" s="3" t="s">
        <v>43</v>
      </c>
      <c r="AA1066" s="5">
        <v>0.21</v>
      </c>
      <c r="AB1066" s="10" t="str" cm="1">
        <f t="array" ref="AB1066">_xlfn.IFS(AA1066 &lt;= 15%, "Low Hike[11-15%]", AA1066 &lt;= 20%, "Moderate Hike[16-20%]", AA1066 &lt;= 25%,"High Hike[21-25%]")</f>
        <v>High Hike[21-25%]</v>
      </c>
      <c r="AC1066" s="1">
        <v>4</v>
      </c>
      <c r="AD1066" s="1">
        <v>1</v>
      </c>
      <c r="AE1066" s="1">
        <v>80</v>
      </c>
      <c r="AF1066" s="1">
        <v>1</v>
      </c>
      <c r="AG1066" s="1">
        <v>6</v>
      </c>
      <c r="AH1066" s="9" t="str" cm="1">
        <f t="array" ref="AH1066">_xlfn.IFS(AG1066 &lt;= 5, "New[1-5]", AG1066 &lt;= 10, "Early Career[6-10]", AG1066 &lt;= 20, "Established[11-20]", AG1066 &lt;= 30, "Veteran[21-30]", AG1066 &lt;= 40, "Late Career[31-40]")</f>
        <v>Early Career[6-10]</v>
      </c>
      <c r="AI1066" s="1">
        <v>3</v>
      </c>
      <c r="AJ1066" s="1">
        <v>4</v>
      </c>
      <c r="AK1066" s="1">
        <v>5</v>
      </c>
      <c r="AL1066" s="9" t="str" cm="1">
        <f t="array" ref="AL1066">_xlfn.IFS(AK1066 &lt;= 5, "New[1-5]", AK1066 &lt;= 10, "Early Career[6-10]", AK1066 &lt;= 20, "Established[11-20]", AK1066 &lt;= 30, "Veteran[21-30]", AK1066 &lt;= 40, "Late Career[31-40]")</f>
        <v>New[1-5]</v>
      </c>
      <c r="AM1066" s="1">
        <v>3</v>
      </c>
      <c r="AN1066" s="9" t="str" cm="1">
        <f t="array" ref="AN1066">_xlfn.IFS(AM1066 &lt;= 3, "New to Role[1-3]", AM1066 &lt;= 7, "Settled[4-7]", AM1066 &lt;= 12, "Experienced[[8-12]", AM1066 &lt;= 18, "Long Tenured[13-18]")</f>
        <v>New to Role[1-3]</v>
      </c>
      <c r="AO1066" s="1">
        <v>1</v>
      </c>
      <c r="AP1066" s="9" t="str" cm="1">
        <f t="array" ref="AP1066">_xlfn.IFS(AO1066 &lt;= 3, "Recently[1-3]", AO1066 &lt;= 6, "Due Soon[4-6]", AO1066 &lt;= 10, "Overdue[7-10]", AO1066 &lt;= 15, "Long Overdue[11-15]")</f>
        <v>Recently[1-3]</v>
      </c>
      <c r="AQ1066" s="9" t="str" cm="1">
        <f t="array" ref="AQ1066">_xlfn.IFS(AR1066 &lt;= 3, "New Relationship[1-3]", AR1066 &lt;= 7, "Established Relationship[4-7]", AR1066 &lt;= 12, "Long Term Relationship[8-12]", AR1066 &lt;= 17, "Very Long Term Relationship[13-17]")</f>
        <v>New Relationship[1-3]</v>
      </c>
      <c r="AR1066" s="1">
        <v>3</v>
      </c>
    </row>
    <row r="1067" spans="1:44" x14ac:dyDescent="0.25">
      <c r="A1067" s="1">
        <v>55</v>
      </c>
      <c r="B1067" s="8" t="str" cm="1">
        <f t="array" ref="B1067">_xlfn.IFS(A1067 &lt;= 25, "[18-25]", A1067 &lt;= 35, "[26-35]", A1067 &lt;=45, "[36-45]", A1067 &lt;= 60, "[46- 60]")</f>
        <v>[46- 60]</v>
      </c>
      <c r="C1067" s="3" t="s">
        <v>43</v>
      </c>
      <c r="D1067">
        <f t="shared" si="16"/>
        <v>0</v>
      </c>
      <c r="E1067" t="s">
        <v>36</v>
      </c>
      <c r="F1067" s="1">
        <v>1229</v>
      </c>
      <c r="G1067" s="3" t="s">
        <v>45</v>
      </c>
      <c r="H1067" s="1">
        <v>4</v>
      </c>
      <c r="I1067" s="9" t="str" cm="1">
        <f t="array" ref="I1067">_xlfn.IFS(H1067 &lt;= 2, "[1-2] very close", H1067 &lt;= 10, "[3-10] close", H1067 &lt;= 20, "[11-20] moderate", H1067 &lt;= 30, "[21-30] far")</f>
        <v>[3-10] close</v>
      </c>
      <c r="J1067" s="1">
        <v>4</v>
      </c>
      <c r="K1067" s="3" t="s">
        <v>38</v>
      </c>
      <c r="L1067" s="1">
        <v>1</v>
      </c>
      <c r="M1067" s="1">
        <v>1501</v>
      </c>
      <c r="N1067" s="1">
        <v>4</v>
      </c>
      <c r="O1067" s="3" t="s">
        <v>46</v>
      </c>
      <c r="P1067" s="1">
        <v>30</v>
      </c>
      <c r="Q1067" s="1">
        <v>3</v>
      </c>
      <c r="R1067" s="1">
        <v>2</v>
      </c>
      <c r="S1067" s="3" t="s">
        <v>54</v>
      </c>
      <c r="T1067" s="1">
        <v>3</v>
      </c>
      <c r="U1067" s="3" t="s">
        <v>48</v>
      </c>
      <c r="V1067" s="4">
        <v>4035</v>
      </c>
      <c r="W1067" s="1">
        <v>16143</v>
      </c>
      <c r="X1067" s="1">
        <v>0</v>
      </c>
      <c r="Y1067" s="3" t="s">
        <v>42</v>
      </c>
      <c r="Z1067" s="3" t="s">
        <v>35</v>
      </c>
      <c r="AA1067" s="5">
        <v>0.16</v>
      </c>
      <c r="AB1067" s="10" t="str" cm="1">
        <f t="array" ref="AB1067">_xlfn.IFS(AA1067 &lt;= 15%, "Low Hike[11-15%]", AA1067 &lt;= 20%, "Moderate Hike[16-20%]", AA1067 &lt;= 25%,"High Hike[21-25%]")</f>
        <v>Moderate Hike[16-20%]</v>
      </c>
      <c r="AC1067" s="1">
        <v>3</v>
      </c>
      <c r="AD1067" s="1">
        <v>2</v>
      </c>
      <c r="AE1067" s="1">
        <v>80</v>
      </c>
      <c r="AF1067" s="1">
        <v>0</v>
      </c>
      <c r="AG1067" s="1">
        <v>4</v>
      </c>
      <c r="AH1067" s="9" t="str" cm="1">
        <f t="array" ref="AH1067">_xlfn.IFS(AG1067 &lt;= 5, "New[1-5]", AG1067 &lt;= 10, "Early Career[6-10]", AG1067 &lt;= 20, "Established[11-20]", AG1067 &lt;= 30, "Veteran[21-30]", AG1067 &lt;= 40, "Late Career[31-40]")</f>
        <v>New[1-5]</v>
      </c>
      <c r="AI1067" s="1">
        <v>2</v>
      </c>
      <c r="AJ1067" s="1">
        <v>3</v>
      </c>
      <c r="AK1067" s="1">
        <v>3</v>
      </c>
      <c r="AL1067" s="9" t="str" cm="1">
        <f t="array" ref="AL1067">_xlfn.IFS(AK1067 &lt;= 5, "New[1-5]", AK1067 &lt;= 10, "Early Career[6-10]", AK1067 &lt;= 20, "Established[11-20]", AK1067 &lt;= 30, "Veteran[21-30]", AK1067 &lt;= 40, "Late Career[31-40]")</f>
        <v>New[1-5]</v>
      </c>
      <c r="AM1067" s="1">
        <v>2</v>
      </c>
      <c r="AN1067" s="9" t="str" cm="1">
        <f t="array" ref="AN1067">_xlfn.IFS(AM1067 &lt;= 3, "New to Role[1-3]", AM1067 &lt;= 7, "Settled[4-7]", AM1067 &lt;= 12, "Experienced[[8-12]", AM1067 &lt;= 18, "Long Tenured[13-18]")</f>
        <v>New to Role[1-3]</v>
      </c>
      <c r="AO1067" s="1">
        <v>1</v>
      </c>
      <c r="AP1067" s="9" t="str" cm="1">
        <f t="array" ref="AP1067">_xlfn.IFS(AO1067 &lt;= 3, "Recently[1-3]", AO1067 &lt;= 6, "Due Soon[4-6]", AO1067 &lt;= 10, "Overdue[7-10]", AO1067 &lt;= 15, "Long Overdue[11-15]")</f>
        <v>Recently[1-3]</v>
      </c>
      <c r="AQ1067" s="9" t="str" cm="1">
        <f t="array" ref="AQ1067">_xlfn.IFS(AR1067 &lt;= 3, "New Relationship[1-3]", AR1067 &lt;= 7, "Established Relationship[4-7]", AR1067 &lt;= 12, "Long Term Relationship[8-12]", AR1067 &lt;= 17, "Very Long Term Relationship[13-17]")</f>
        <v>New Relationship[1-3]</v>
      </c>
      <c r="AR1067" s="1">
        <v>2</v>
      </c>
    </row>
    <row r="1068" spans="1:44" x14ac:dyDescent="0.25">
      <c r="A1068" s="1">
        <v>33</v>
      </c>
      <c r="B1068" s="8" t="str" cm="1">
        <f t="array" ref="B1068">_xlfn.IFS(A1068 &lt;= 25, "[18-25]", A1068 &lt;= 35, "[26-35]", A1068 &lt;=45, "[36-45]", A1068 &lt;= 60, "[46- 60]")</f>
        <v>[26-35]</v>
      </c>
      <c r="C1068" s="3" t="s">
        <v>43</v>
      </c>
      <c r="D1068">
        <f t="shared" si="16"/>
        <v>0</v>
      </c>
      <c r="E1068" t="s">
        <v>36</v>
      </c>
      <c r="F1068" s="1">
        <v>1099</v>
      </c>
      <c r="G1068" s="3" t="s">
        <v>45</v>
      </c>
      <c r="H1068" s="1">
        <v>4</v>
      </c>
      <c r="I1068" s="9" t="str" cm="1">
        <f t="array" ref="I1068">_xlfn.IFS(H1068 &lt;= 2, "[1-2] very close", H1068 &lt;= 10, "[3-10] close", H1068 &lt;= 20, "[11-20] moderate", H1068 &lt;= 30, "[21-30] far")</f>
        <v>[3-10] close</v>
      </c>
      <c r="J1068" s="1">
        <v>4</v>
      </c>
      <c r="K1068" s="3" t="s">
        <v>51</v>
      </c>
      <c r="L1068" s="1">
        <v>1</v>
      </c>
      <c r="M1068" s="1">
        <v>1502</v>
      </c>
      <c r="N1068" s="1">
        <v>1</v>
      </c>
      <c r="O1068" s="3" t="s">
        <v>39</v>
      </c>
      <c r="P1068" s="1">
        <v>82</v>
      </c>
      <c r="Q1068" s="1">
        <v>2</v>
      </c>
      <c r="R1068" s="1">
        <v>1</v>
      </c>
      <c r="S1068" s="3" t="s">
        <v>50</v>
      </c>
      <c r="T1068" s="1">
        <v>2</v>
      </c>
      <c r="U1068" s="3" t="s">
        <v>48</v>
      </c>
      <c r="V1068" s="4">
        <v>3838</v>
      </c>
      <c r="W1068" s="1">
        <v>8192</v>
      </c>
      <c r="X1068" s="1">
        <v>8</v>
      </c>
      <c r="Y1068" s="3" t="s">
        <v>42</v>
      </c>
      <c r="Z1068" s="3" t="s">
        <v>43</v>
      </c>
      <c r="AA1068" s="5">
        <v>0.11</v>
      </c>
      <c r="AB1068" s="10" t="str" cm="1">
        <f t="array" ref="AB1068">_xlfn.IFS(AA1068 &lt;= 15%, "Low Hike[11-15%]", AA1068 &lt;= 20%, "Moderate Hike[16-20%]", AA1068 &lt;= 25%,"High Hike[21-25%]")</f>
        <v>Low Hike[11-15%]</v>
      </c>
      <c r="AC1068" s="1">
        <v>3</v>
      </c>
      <c r="AD1068" s="1">
        <v>4</v>
      </c>
      <c r="AE1068" s="1">
        <v>80</v>
      </c>
      <c r="AF1068" s="1">
        <v>0</v>
      </c>
      <c r="AG1068" s="1">
        <v>8</v>
      </c>
      <c r="AH1068" s="9" t="str" cm="1">
        <f t="array" ref="AH1068">_xlfn.IFS(AG1068 &lt;= 5, "New[1-5]", AG1068 &lt;= 10, "Early Career[6-10]", AG1068 &lt;= 20, "Established[11-20]", AG1068 &lt;= 30, "Veteran[21-30]", AG1068 &lt;= 40, "Late Career[31-40]")</f>
        <v>Early Career[6-10]</v>
      </c>
      <c r="AI1068" s="1">
        <v>5</v>
      </c>
      <c r="AJ1068" s="1">
        <v>3</v>
      </c>
      <c r="AK1068" s="1">
        <v>5</v>
      </c>
      <c r="AL1068" s="9" t="str" cm="1">
        <f t="array" ref="AL1068">_xlfn.IFS(AK1068 &lt;= 5, "New[1-5]", AK1068 &lt;= 10, "Early Career[6-10]", AK1068 &lt;= 20, "Established[11-20]", AK1068 &lt;= 30, "Veteran[21-30]", AK1068 &lt;= 40, "Late Career[31-40]")</f>
        <v>New[1-5]</v>
      </c>
      <c r="AM1068" s="1">
        <v>4</v>
      </c>
      <c r="AN1068" s="9" t="str" cm="1">
        <f t="array" ref="AN1068">_xlfn.IFS(AM1068 &lt;= 3, "New to Role[1-3]", AM1068 &lt;= 7, "Settled[4-7]", AM1068 &lt;= 12, "Experienced[[8-12]", AM1068 &lt;= 18, "Long Tenured[13-18]")</f>
        <v>Settled[4-7]</v>
      </c>
      <c r="AO1068" s="1">
        <v>0</v>
      </c>
      <c r="AP1068" s="9" t="str" cm="1">
        <f t="array" ref="AP1068">_xlfn.IFS(AO1068 &lt;= 3, "Recently[1-3]", AO1068 &lt;= 6, "Due Soon[4-6]", AO1068 &lt;= 10, "Overdue[7-10]", AO1068 &lt;= 15, "Long Overdue[11-15]")</f>
        <v>Recently[1-3]</v>
      </c>
      <c r="AQ1068" s="9" t="str" cm="1">
        <f t="array" ref="AQ1068">_xlfn.IFS(AR1068 &lt;= 3, "New Relationship[1-3]", AR1068 &lt;= 7, "Established Relationship[4-7]", AR1068 &lt;= 12, "Long Term Relationship[8-12]", AR1068 &lt;= 17, "Very Long Term Relationship[13-17]")</f>
        <v>New Relationship[1-3]</v>
      </c>
      <c r="AR1068" s="1">
        <v>2</v>
      </c>
    </row>
    <row r="1069" spans="1:44" x14ac:dyDescent="0.25">
      <c r="A1069" s="1">
        <v>47</v>
      </c>
      <c r="B1069" s="8" t="str" cm="1">
        <f t="array" ref="B1069">_xlfn.IFS(A1069 &lt;= 25, "[18-25]", A1069 &lt;= 35, "[26-35]", A1069 &lt;=45, "[36-45]", A1069 &lt;= 60, "[46- 60]")</f>
        <v>[46- 60]</v>
      </c>
      <c r="C1069" s="3" t="s">
        <v>43</v>
      </c>
      <c r="D1069">
        <f t="shared" si="16"/>
        <v>0</v>
      </c>
      <c r="E1069" t="s">
        <v>36</v>
      </c>
      <c r="F1069" s="1">
        <v>571</v>
      </c>
      <c r="G1069" s="3" t="s">
        <v>37</v>
      </c>
      <c r="H1069" s="1">
        <v>14</v>
      </c>
      <c r="I1069" s="9" t="str" cm="1">
        <f t="array" ref="I1069">_xlfn.IFS(H1069 &lt;= 2, "[1-2] very close", H1069 &lt;= 10, "[3-10] close", H1069 &lt;= 20, "[11-20] moderate", H1069 &lt;= 30, "[21-30] far")</f>
        <v>[11-20] moderate</v>
      </c>
      <c r="J1069" s="1">
        <v>3</v>
      </c>
      <c r="K1069" s="3" t="s">
        <v>51</v>
      </c>
      <c r="L1069" s="1">
        <v>1</v>
      </c>
      <c r="M1069" s="1">
        <v>1503</v>
      </c>
      <c r="N1069" s="1">
        <v>3</v>
      </c>
      <c r="O1069" s="3" t="s">
        <v>39</v>
      </c>
      <c r="P1069" s="1">
        <v>78</v>
      </c>
      <c r="Q1069" s="1">
        <v>3</v>
      </c>
      <c r="R1069" s="1">
        <v>2</v>
      </c>
      <c r="S1069" s="3" t="s">
        <v>40</v>
      </c>
      <c r="T1069" s="1">
        <v>3</v>
      </c>
      <c r="U1069" s="3" t="s">
        <v>48</v>
      </c>
      <c r="V1069" s="4">
        <v>4591</v>
      </c>
      <c r="W1069" s="1">
        <v>24200</v>
      </c>
      <c r="X1069" s="1">
        <v>3</v>
      </c>
      <c r="Y1069" s="3" t="s">
        <v>42</v>
      </c>
      <c r="Z1069" s="3" t="s">
        <v>35</v>
      </c>
      <c r="AA1069" s="5">
        <v>0.17</v>
      </c>
      <c r="AB1069" s="10" t="str" cm="1">
        <f t="array" ref="AB1069">_xlfn.IFS(AA1069 &lt;= 15%, "Low Hike[11-15%]", AA1069 &lt;= 20%, "Moderate Hike[16-20%]", AA1069 &lt;= 25%,"High Hike[21-25%]")</f>
        <v>Moderate Hike[16-20%]</v>
      </c>
      <c r="AC1069" s="1">
        <v>3</v>
      </c>
      <c r="AD1069" s="1">
        <v>3</v>
      </c>
      <c r="AE1069" s="1">
        <v>80</v>
      </c>
      <c r="AF1069" s="1">
        <v>1</v>
      </c>
      <c r="AG1069" s="1">
        <v>11</v>
      </c>
      <c r="AH1069" s="9" t="str" cm="1">
        <f t="array" ref="AH1069">_xlfn.IFS(AG1069 &lt;= 5, "New[1-5]", AG1069 &lt;= 10, "Early Career[6-10]", AG1069 &lt;= 20, "Established[11-20]", AG1069 &lt;= 30, "Veteran[21-30]", AG1069 &lt;= 40, "Late Career[31-40]")</f>
        <v>Established[11-20]</v>
      </c>
      <c r="AI1069" s="1">
        <v>4</v>
      </c>
      <c r="AJ1069" s="1">
        <v>2</v>
      </c>
      <c r="AK1069" s="1">
        <v>5</v>
      </c>
      <c r="AL1069" s="9" t="str" cm="1">
        <f t="array" ref="AL1069">_xlfn.IFS(AK1069 &lt;= 5, "New[1-5]", AK1069 &lt;= 10, "Early Career[6-10]", AK1069 &lt;= 20, "Established[11-20]", AK1069 &lt;= 30, "Veteran[21-30]", AK1069 &lt;= 40, "Late Career[31-40]")</f>
        <v>New[1-5]</v>
      </c>
      <c r="AM1069" s="1">
        <v>4</v>
      </c>
      <c r="AN1069" s="9" t="str" cm="1">
        <f t="array" ref="AN1069">_xlfn.IFS(AM1069 &lt;= 3, "New to Role[1-3]", AM1069 &lt;= 7, "Settled[4-7]", AM1069 &lt;= 12, "Experienced[[8-12]", AM1069 &lt;= 18, "Long Tenured[13-18]")</f>
        <v>Settled[4-7]</v>
      </c>
      <c r="AO1069" s="1">
        <v>1</v>
      </c>
      <c r="AP1069" s="9" t="str" cm="1">
        <f t="array" ref="AP1069">_xlfn.IFS(AO1069 &lt;= 3, "Recently[1-3]", AO1069 &lt;= 6, "Due Soon[4-6]", AO1069 &lt;= 10, "Overdue[7-10]", AO1069 &lt;= 15, "Long Overdue[11-15]")</f>
        <v>Recently[1-3]</v>
      </c>
      <c r="AQ1069" s="9" t="str" cm="1">
        <f t="array" ref="AQ1069">_xlfn.IFS(AR1069 &lt;= 3, "New Relationship[1-3]", AR1069 &lt;= 7, "Established Relationship[4-7]", AR1069 &lt;= 12, "Long Term Relationship[8-12]", AR1069 &lt;= 17, "Very Long Term Relationship[13-17]")</f>
        <v>New Relationship[1-3]</v>
      </c>
      <c r="AR1069" s="1">
        <v>2</v>
      </c>
    </row>
    <row r="1070" spans="1:44" x14ac:dyDescent="0.25">
      <c r="A1070" s="1">
        <v>28</v>
      </c>
      <c r="B1070" s="8" t="str" cm="1">
        <f t="array" ref="B1070">_xlfn.IFS(A1070 &lt;= 25, "[18-25]", A1070 &lt;= 35, "[26-35]", A1070 &lt;=45, "[36-45]", A1070 &lt;= 60, "[46- 60]")</f>
        <v>[26-35]</v>
      </c>
      <c r="C1070" s="3" t="s">
        <v>35</v>
      </c>
      <c r="D1070">
        <f t="shared" si="16"/>
        <v>1</v>
      </c>
      <c r="E1070" t="s">
        <v>44</v>
      </c>
      <c r="F1070" s="1">
        <v>289</v>
      </c>
      <c r="G1070" s="3" t="s">
        <v>45</v>
      </c>
      <c r="H1070" s="1">
        <v>2</v>
      </c>
      <c r="I1070" s="9" t="str" cm="1">
        <f t="array" ref="I1070">_xlfn.IFS(H1070 &lt;= 2, "[1-2] very close", H1070 &lt;= 10, "[3-10] close", H1070 &lt;= 20, "[11-20] moderate", H1070 &lt;= 30, "[21-30] far")</f>
        <v>[1-2] very close</v>
      </c>
      <c r="J1070" s="1">
        <v>2</v>
      </c>
      <c r="K1070" s="3" t="s">
        <v>51</v>
      </c>
      <c r="L1070" s="1">
        <v>1</v>
      </c>
      <c r="M1070" s="1">
        <v>1504</v>
      </c>
      <c r="N1070" s="1">
        <v>3</v>
      </c>
      <c r="O1070" s="3" t="s">
        <v>46</v>
      </c>
      <c r="P1070" s="1">
        <v>38</v>
      </c>
      <c r="Q1070" s="1">
        <v>2</v>
      </c>
      <c r="R1070" s="1">
        <v>1</v>
      </c>
      <c r="S1070" s="3" t="s">
        <v>50</v>
      </c>
      <c r="T1070" s="1">
        <v>1</v>
      </c>
      <c r="U1070" s="3" t="s">
        <v>41</v>
      </c>
      <c r="V1070" s="4">
        <v>2561</v>
      </c>
      <c r="W1070" s="1">
        <v>5355</v>
      </c>
      <c r="X1070" s="1">
        <v>7</v>
      </c>
      <c r="Y1070" s="3" t="s">
        <v>42</v>
      </c>
      <c r="Z1070" s="3" t="s">
        <v>43</v>
      </c>
      <c r="AA1070" s="5">
        <v>0.11</v>
      </c>
      <c r="AB1070" s="10" t="str" cm="1">
        <f t="array" ref="AB1070">_xlfn.IFS(AA1070 &lt;= 15%, "Low Hike[11-15%]", AA1070 &lt;= 20%, "Moderate Hike[16-20%]", AA1070 &lt;= 25%,"High Hike[21-25%]")</f>
        <v>Low Hike[11-15%]</v>
      </c>
      <c r="AC1070" s="1">
        <v>3</v>
      </c>
      <c r="AD1070" s="1">
        <v>3</v>
      </c>
      <c r="AE1070" s="1">
        <v>80</v>
      </c>
      <c r="AF1070" s="1">
        <v>0</v>
      </c>
      <c r="AG1070" s="1">
        <v>8</v>
      </c>
      <c r="AH1070" s="9" t="str" cm="1">
        <f t="array" ref="AH1070">_xlfn.IFS(AG1070 &lt;= 5, "New[1-5]", AG1070 &lt;= 10, "Early Career[6-10]", AG1070 &lt;= 20, "Established[11-20]", AG1070 &lt;= 30, "Veteran[21-30]", AG1070 &lt;= 40, "Late Career[31-40]")</f>
        <v>Early Career[6-10]</v>
      </c>
      <c r="AI1070" s="1">
        <v>2</v>
      </c>
      <c r="AJ1070" s="1">
        <v>2</v>
      </c>
      <c r="AK1070" s="1">
        <v>0</v>
      </c>
      <c r="AL1070" s="9" t="str" cm="1">
        <f t="array" ref="AL1070">_xlfn.IFS(AK1070 &lt;= 5, "New[1-5]", AK1070 &lt;= 10, "Early Career[6-10]", AK1070 &lt;= 20, "Established[11-20]", AK1070 &lt;= 30, "Veteran[21-30]", AK1070 &lt;= 40, "Late Career[31-40]")</f>
        <v>New[1-5]</v>
      </c>
      <c r="AM1070" s="1">
        <v>0</v>
      </c>
      <c r="AN1070" s="9" t="str" cm="1">
        <f t="array" ref="AN1070">_xlfn.IFS(AM1070 &lt;= 3, "New to Role[1-3]", AM1070 &lt;= 7, "Settled[4-7]", AM1070 &lt;= 12, "Experienced[[8-12]", AM1070 &lt;= 18, "Long Tenured[13-18]")</f>
        <v>New to Role[1-3]</v>
      </c>
      <c r="AO1070" s="1">
        <v>0</v>
      </c>
      <c r="AP1070" s="9" t="str" cm="1">
        <f t="array" ref="AP1070">_xlfn.IFS(AO1070 &lt;= 3, "Recently[1-3]", AO1070 &lt;= 6, "Due Soon[4-6]", AO1070 &lt;= 10, "Overdue[7-10]", AO1070 &lt;= 15, "Long Overdue[11-15]")</f>
        <v>Recently[1-3]</v>
      </c>
      <c r="AQ1070" s="9" t="str" cm="1">
        <f t="array" ref="AQ1070">_xlfn.IFS(AR1070 &lt;= 3, "New Relationship[1-3]", AR1070 &lt;= 7, "Established Relationship[4-7]", AR1070 &lt;= 12, "Long Term Relationship[8-12]", AR1070 &lt;= 17, "Very Long Term Relationship[13-17]")</f>
        <v>New Relationship[1-3]</v>
      </c>
      <c r="AR1070" s="1">
        <v>0</v>
      </c>
    </row>
    <row r="1071" spans="1:44" x14ac:dyDescent="0.25">
      <c r="A1071" s="1">
        <v>28</v>
      </c>
      <c r="B1071" s="8" t="str" cm="1">
        <f t="array" ref="B1071">_xlfn.IFS(A1071 &lt;= 25, "[18-25]", A1071 &lt;= 35, "[26-35]", A1071 &lt;=45, "[36-45]", A1071 &lt;= 60, "[46- 60]")</f>
        <v>[26-35]</v>
      </c>
      <c r="C1071" s="3" t="s">
        <v>43</v>
      </c>
      <c r="D1071">
        <f t="shared" si="16"/>
        <v>0</v>
      </c>
      <c r="E1071" t="s">
        <v>36</v>
      </c>
      <c r="F1071" s="1">
        <v>1423</v>
      </c>
      <c r="G1071" s="3" t="s">
        <v>45</v>
      </c>
      <c r="H1071" s="1">
        <v>1</v>
      </c>
      <c r="I1071" s="9" t="str" cm="1">
        <f t="array" ref="I1071">_xlfn.IFS(H1071 &lt;= 2, "[1-2] very close", H1071 &lt;= 10, "[3-10] close", H1071 &lt;= 20, "[11-20] moderate", H1071 &lt;= 30, "[21-30] far")</f>
        <v>[1-2] very close</v>
      </c>
      <c r="J1071" s="1">
        <v>3</v>
      </c>
      <c r="K1071" s="3" t="s">
        <v>38</v>
      </c>
      <c r="L1071" s="1">
        <v>1</v>
      </c>
      <c r="M1071" s="1">
        <v>1506</v>
      </c>
      <c r="N1071" s="1">
        <v>1</v>
      </c>
      <c r="O1071" s="3" t="s">
        <v>46</v>
      </c>
      <c r="P1071" s="1">
        <v>72</v>
      </c>
      <c r="Q1071" s="1">
        <v>2</v>
      </c>
      <c r="R1071" s="1">
        <v>1</v>
      </c>
      <c r="S1071" s="3" t="s">
        <v>47</v>
      </c>
      <c r="T1071" s="1">
        <v>3</v>
      </c>
      <c r="U1071" s="3" t="s">
        <v>52</v>
      </c>
      <c r="V1071" s="4">
        <v>1563</v>
      </c>
      <c r="W1071" s="1">
        <v>12530</v>
      </c>
      <c r="X1071" s="1">
        <v>1</v>
      </c>
      <c r="Y1071" s="3" t="s">
        <v>42</v>
      </c>
      <c r="Z1071" s="3" t="s">
        <v>43</v>
      </c>
      <c r="AA1071" s="5">
        <v>0.14000000000000001</v>
      </c>
      <c r="AB1071" s="10" t="str" cm="1">
        <f t="array" ref="AB1071">_xlfn.IFS(AA1071 &lt;= 15%, "Low Hike[11-15%]", AA1071 &lt;= 20%, "Moderate Hike[16-20%]", AA1071 &lt;= 25%,"High Hike[21-25%]")</f>
        <v>Low Hike[11-15%]</v>
      </c>
      <c r="AC1071" s="1">
        <v>3</v>
      </c>
      <c r="AD1071" s="1">
        <v>4</v>
      </c>
      <c r="AE1071" s="1">
        <v>80</v>
      </c>
      <c r="AF1071" s="1">
        <v>1</v>
      </c>
      <c r="AG1071" s="1">
        <v>1</v>
      </c>
      <c r="AH1071" s="9" t="str" cm="1">
        <f t="array" ref="AH1071">_xlfn.IFS(AG1071 &lt;= 5, "New[1-5]", AG1071 &lt;= 10, "Early Career[6-10]", AG1071 &lt;= 20, "Established[11-20]", AG1071 &lt;= 30, "Veteran[21-30]", AG1071 &lt;= 40, "Late Career[31-40]")</f>
        <v>New[1-5]</v>
      </c>
      <c r="AI1071" s="1">
        <v>2</v>
      </c>
      <c r="AJ1071" s="1">
        <v>1</v>
      </c>
      <c r="AK1071" s="1">
        <v>1</v>
      </c>
      <c r="AL1071" s="9" t="str" cm="1">
        <f t="array" ref="AL1071">_xlfn.IFS(AK1071 &lt;= 5, "New[1-5]", AK1071 &lt;= 10, "Early Career[6-10]", AK1071 &lt;= 20, "Established[11-20]", AK1071 &lt;= 30, "Veteran[21-30]", AK1071 &lt;= 40, "Late Career[31-40]")</f>
        <v>New[1-5]</v>
      </c>
      <c r="AM1071" s="1">
        <v>0</v>
      </c>
      <c r="AN1071" s="9" t="str" cm="1">
        <f t="array" ref="AN1071">_xlfn.IFS(AM1071 &lt;= 3, "New to Role[1-3]", AM1071 &lt;= 7, "Settled[4-7]", AM1071 &lt;= 12, "Experienced[[8-12]", AM1071 &lt;= 18, "Long Tenured[13-18]")</f>
        <v>New to Role[1-3]</v>
      </c>
      <c r="AO1071" s="1">
        <v>0</v>
      </c>
      <c r="AP1071" s="9" t="str" cm="1">
        <f t="array" ref="AP1071">_xlfn.IFS(AO1071 &lt;= 3, "Recently[1-3]", AO1071 &lt;= 6, "Due Soon[4-6]", AO1071 &lt;= 10, "Overdue[7-10]", AO1071 &lt;= 15, "Long Overdue[11-15]")</f>
        <v>Recently[1-3]</v>
      </c>
      <c r="AQ1071" s="9" t="str" cm="1">
        <f t="array" ref="AQ1071">_xlfn.IFS(AR1071 &lt;= 3, "New Relationship[1-3]", AR1071 &lt;= 7, "Established Relationship[4-7]", AR1071 &lt;= 12, "Long Term Relationship[8-12]", AR1071 &lt;= 17, "Very Long Term Relationship[13-17]")</f>
        <v>New Relationship[1-3]</v>
      </c>
      <c r="AR1071" s="1">
        <v>0</v>
      </c>
    </row>
    <row r="1072" spans="1:44" x14ac:dyDescent="0.25">
      <c r="A1072" s="1">
        <v>28</v>
      </c>
      <c r="B1072" s="8" t="str" cm="1">
        <f t="array" ref="B1072">_xlfn.IFS(A1072 &lt;= 25, "[18-25]", A1072 &lt;= 35, "[26-35]", A1072 &lt;=45, "[36-45]", A1072 &lt;= 60, "[46- 60]")</f>
        <v>[26-35]</v>
      </c>
      <c r="C1072" s="3" t="s">
        <v>43</v>
      </c>
      <c r="D1072">
        <f t="shared" si="16"/>
        <v>0</v>
      </c>
      <c r="E1072" t="s">
        <v>44</v>
      </c>
      <c r="F1072" s="1">
        <v>467</v>
      </c>
      <c r="G1072" s="3" t="s">
        <v>37</v>
      </c>
      <c r="H1072" s="1">
        <v>7</v>
      </c>
      <c r="I1072" s="9" t="str" cm="1">
        <f t="array" ref="I1072">_xlfn.IFS(H1072 &lt;= 2, "[1-2] very close", H1072 &lt;= 10, "[3-10] close", H1072 &lt;= 20, "[11-20] moderate", H1072 &lt;= 30, "[21-30] far")</f>
        <v>[3-10] close</v>
      </c>
      <c r="J1072" s="1">
        <v>3</v>
      </c>
      <c r="K1072" s="3" t="s">
        <v>38</v>
      </c>
      <c r="L1072" s="1">
        <v>1</v>
      </c>
      <c r="M1072" s="1">
        <v>1507</v>
      </c>
      <c r="N1072" s="1">
        <v>3</v>
      </c>
      <c r="O1072" s="3" t="s">
        <v>46</v>
      </c>
      <c r="P1072" s="1">
        <v>55</v>
      </c>
      <c r="Q1072" s="1">
        <v>3</v>
      </c>
      <c r="R1072" s="1">
        <v>2</v>
      </c>
      <c r="S1072" s="3" t="s">
        <v>40</v>
      </c>
      <c r="T1072" s="1">
        <v>1</v>
      </c>
      <c r="U1072" s="3" t="s">
        <v>41</v>
      </c>
      <c r="V1072" s="4">
        <v>4898</v>
      </c>
      <c r="W1072" s="1">
        <v>11827</v>
      </c>
      <c r="X1072" s="1">
        <v>0</v>
      </c>
      <c r="Y1072" s="3" t="s">
        <v>42</v>
      </c>
      <c r="Z1072" s="3" t="s">
        <v>43</v>
      </c>
      <c r="AA1072" s="5">
        <v>0.14000000000000001</v>
      </c>
      <c r="AB1072" s="10" t="str" cm="1">
        <f t="array" ref="AB1072">_xlfn.IFS(AA1072 &lt;= 15%, "Low Hike[11-15%]", AA1072 &lt;= 20%, "Moderate Hike[16-20%]", AA1072 &lt;= 25%,"High Hike[21-25%]")</f>
        <v>Low Hike[11-15%]</v>
      </c>
      <c r="AC1072" s="1">
        <v>3</v>
      </c>
      <c r="AD1072" s="1">
        <v>4</v>
      </c>
      <c r="AE1072" s="1">
        <v>80</v>
      </c>
      <c r="AF1072" s="1">
        <v>0</v>
      </c>
      <c r="AG1072" s="1">
        <v>5</v>
      </c>
      <c r="AH1072" s="9" t="str" cm="1">
        <f t="array" ref="AH1072">_xlfn.IFS(AG1072 &lt;= 5, "New[1-5]", AG1072 &lt;= 10, "Early Career[6-10]", AG1072 &lt;= 20, "Established[11-20]", AG1072 &lt;= 30, "Veteran[21-30]", AG1072 &lt;= 40, "Late Career[31-40]")</f>
        <v>New[1-5]</v>
      </c>
      <c r="AI1072" s="1">
        <v>5</v>
      </c>
      <c r="AJ1072" s="1">
        <v>3</v>
      </c>
      <c r="AK1072" s="1">
        <v>4</v>
      </c>
      <c r="AL1072" s="9" t="str" cm="1">
        <f t="array" ref="AL1072">_xlfn.IFS(AK1072 &lt;= 5, "New[1-5]", AK1072 &lt;= 10, "Early Career[6-10]", AK1072 &lt;= 20, "Established[11-20]", AK1072 &lt;= 30, "Veteran[21-30]", AK1072 &lt;= 40, "Late Career[31-40]")</f>
        <v>New[1-5]</v>
      </c>
      <c r="AM1072" s="1">
        <v>2</v>
      </c>
      <c r="AN1072" s="9" t="str" cm="1">
        <f t="array" ref="AN1072">_xlfn.IFS(AM1072 &lt;= 3, "New to Role[1-3]", AM1072 &lt;= 7, "Settled[4-7]", AM1072 &lt;= 12, "Experienced[[8-12]", AM1072 &lt;= 18, "Long Tenured[13-18]")</f>
        <v>New to Role[1-3]</v>
      </c>
      <c r="AO1072" s="1">
        <v>1</v>
      </c>
      <c r="AP1072" s="9" t="str" cm="1">
        <f t="array" ref="AP1072">_xlfn.IFS(AO1072 &lt;= 3, "Recently[1-3]", AO1072 &lt;= 6, "Due Soon[4-6]", AO1072 &lt;= 10, "Overdue[7-10]", AO1072 &lt;= 15, "Long Overdue[11-15]")</f>
        <v>Recently[1-3]</v>
      </c>
      <c r="AQ1072" s="9" t="str" cm="1">
        <f t="array" ref="AQ1072">_xlfn.IFS(AR1072 &lt;= 3, "New Relationship[1-3]", AR1072 &lt;= 7, "Established Relationship[4-7]", AR1072 &lt;= 12, "Long Term Relationship[8-12]", AR1072 &lt;= 17, "Very Long Term Relationship[13-17]")</f>
        <v>New Relationship[1-3]</v>
      </c>
      <c r="AR1072" s="1">
        <v>3</v>
      </c>
    </row>
    <row r="1073" spans="1:44" x14ac:dyDescent="0.25">
      <c r="A1073" s="1">
        <v>49</v>
      </c>
      <c r="B1073" s="8" t="str" cm="1">
        <f t="array" ref="B1073">_xlfn.IFS(A1073 &lt;= 25, "[18-25]", A1073 &lt;= 35, "[26-35]", A1073 &lt;=45, "[36-45]", A1073 &lt;= 60, "[46- 60]")</f>
        <v>[46- 60]</v>
      </c>
      <c r="C1073" s="3" t="s">
        <v>43</v>
      </c>
      <c r="D1073">
        <f t="shared" si="16"/>
        <v>0</v>
      </c>
      <c r="E1073" t="s">
        <v>36</v>
      </c>
      <c r="F1073" s="1">
        <v>271</v>
      </c>
      <c r="G1073" s="3" t="s">
        <v>45</v>
      </c>
      <c r="H1073" s="1">
        <v>3</v>
      </c>
      <c r="I1073" s="9" t="str" cm="1">
        <f t="array" ref="I1073">_xlfn.IFS(H1073 &lt;= 2, "[1-2] very close", H1073 &lt;= 10, "[3-10] close", H1073 &lt;= 20, "[11-20] moderate", H1073 &lt;= 30, "[21-30] far")</f>
        <v>[3-10] close</v>
      </c>
      <c r="J1073" s="1">
        <v>2</v>
      </c>
      <c r="K1073" s="3" t="s">
        <v>51</v>
      </c>
      <c r="L1073" s="1">
        <v>1</v>
      </c>
      <c r="M1073" s="1">
        <v>1509</v>
      </c>
      <c r="N1073" s="1">
        <v>3</v>
      </c>
      <c r="O1073" s="3" t="s">
        <v>39</v>
      </c>
      <c r="P1073" s="1">
        <v>43</v>
      </c>
      <c r="Q1073" s="1">
        <v>2</v>
      </c>
      <c r="R1073" s="1">
        <v>2</v>
      </c>
      <c r="S1073" s="3" t="s">
        <v>50</v>
      </c>
      <c r="T1073" s="1">
        <v>1</v>
      </c>
      <c r="U1073" s="3" t="s">
        <v>48</v>
      </c>
      <c r="V1073" s="4">
        <v>4789</v>
      </c>
      <c r="W1073" s="1">
        <v>23070</v>
      </c>
      <c r="X1073" s="1">
        <v>4</v>
      </c>
      <c r="Y1073" s="3" t="s">
        <v>42</v>
      </c>
      <c r="Z1073" s="3" t="s">
        <v>43</v>
      </c>
      <c r="AA1073" s="5">
        <v>0.25</v>
      </c>
      <c r="AB1073" s="10" t="str" cm="1">
        <f t="array" ref="AB1073">_xlfn.IFS(AA1073 &lt;= 15%, "Low Hike[11-15%]", AA1073 &lt;= 20%, "Moderate Hike[16-20%]", AA1073 &lt;= 25%,"High Hike[21-25%]")</f>
        <v>High Hike[21-25%]</v>
      </c>
      <c r="AC1073" s="1">
        <v>4</v>
      </c>
      <c r="AD1073" s="1">
        <v>1</v>
      </c>
      <c r="AE1073" s="1">
        <v>80</v>
      </c>
      <c r="AF1073" s="1">
        <v>1</v>
      </c>
      <c r="AG1073" s="1">
        <v>10</v>
      </c>
      <c r="AH1073" s="9" t="str" cm="1">
        <f t="array" ref="AH1073">_xlfn.IFS(AG1073 &lt;= 5, "New[1-5]", AG1073 &lt;= 10, "Early Career[6-10]", AG1073 &lt;= 20, "Established[11-20]", AG1073 &lt;= 30, "Veteran[21-30]", AG1073 &lt;= 40, "Late Career[31-40]")</f>
        <v>Early Career[6-10]</v>
      </c>
      <c r="AI1073" s="1">
        <v>3</v>
      </c>
      <c r="AJ1073" s="1">
        <v>3</v>
      </c>
      <c r="AK1073" s="1">
        <v>3</v>
      </c>
      <c r="AL1073" s="9" t="str" cm="1">
        <f t="array" ref="AL1073">_xlfn.IFS(AK1073 &lt;= 5, "New[1-5]", AK1073 &lt;= 10, "Early Career[6-10]", AK1073 &lt;= 20, "Established[11-20]", AK1073 &lt;= 30, "Veteran[21-30]", AK1073 &lt;= 40, "Late Career[31-40]")</f>
        <v>New[1-5]</v>
      </c>
      <c r="AM1073" s="1">
        <v>2</v>
      </c>
      <c r="AN1073" s="9" t="str" cm="1">
        <f t="array" ref="AN1073">_xlfn.IFS(AM1073 &lt;= 3, "New to Role[1-3]", AM1073 &lt;= 7, "Settled[4-7]", AM1073 &lt;= 12, "Experienced[[8-12]", AM1073 &lt;= 18, "Long Tenured[13-18]")</f>
        <v>New to Role[1-3]</v>
      </c>
      <c r="AO1073" s="1">
        <v>1</v>
      </c>
      <c r="AP1073" s="9" t="str" cm="1">
        <f t="array" ref="AP1073">_xlfn.IFS(AO1073 &lt;= 3, "Recently[1-3]", AO1073 &lt;= 6, "Due Soon[4-6]", AO1073 &lt;= 10, "Overdue[7-10]", AO1073 &lt;= 15, "Long Overdue[11-15]")</f>
        <v>Recently[1-3]</v>
      </c>
      <c r="AQ1073" s="9" t="str" cm="1">
        <f t="array" ref="AQ1073">_xlfn.IFS(AR1073 &lt;= 3, "New Relationship[1-3]", AR1073 &lt;= 7, "Established Relationship[4-7]", AR1073 &lt;= 12, "Long Term Relationship[8-12]", AR1073 &lt;= 17, "Very Long Term Relationship[13-17]")</f>
        <v>New Relationship[1-3]</v>
      </c>
      <c r="AR1073" s="1">
        <v>2</v>
      </c>
    </row>
    <row r="1074" spans="1:44" x14ac:dyDescent="0.25">
      <c r="A1074" s="1">
        <v>29</v>
      </c>
      <c r="B1074" s="8" t="str" cm="1">
        <f t="array" ref="B1074">_xlfn.IFS(A1074 &lt;= 25, "[18-25]", A1074 &lt;= 35, "[26-35]", A1074 &lt;=45, "[36-45]", A1074 &lt;= 60, "[46- 60]")</f>
        <v>[26-35]</v>
      </c>
      <c r="C1074" s="3" t="s">
        <v>43</v>
      </c>
      <c r="D1074">
        <f t="shared" si="16"/>
        <v>0</v>
      </c>
      <c r="E1074" t="s">
        <v>44</v>
      </c>
      <c r="F1074" s="1">
        <v>410</v>
      </c>
      <c r="G1074" s="3" t="s">
        <v>45</v>
      </c>
      <c r="H1074" s="1">
        <v>2</v>
      </c>
      <c r="I1074" s="9" t="str" cm="1">
        <f t="array" ref="I1074">_xlfn.IFS(H1074 &lt;= 2, "[1-2] very close", H1074 &lt;= 10, "[3-10] close", H1074 &lt;= 20, "[11-20] moderate", H1074 &lt;= 30, "[21-30] far")</f>
        <v>[1-2] very close</v>
      </c>
      <c r="J1074" s="1">
        <v>1</v>
      </c>
      <c r="K1074" s="3" t="s">
        <v>38</v>
      </c>
      <c r="L1074" s="1">
        <v>1</v>
      </c>
      <c r="M1074" s="1">
        <v>1513</v>
      </c>
      <c r="N1074" s="1">
        <v>4</v>
      </c>
      <c r="O1074" s="3" t="s">
        <v>39</v>
      </c>
      <c r="P1074" s="1">
        <v>97</v>
      </c>
      <c r="Q1074" s="1">
        <v>3</v>
      </c>
      <c r="R1074" s="1">
        <v>1</v>
      </c>
      <c r="S1074" s="3" t="s">
        <v>50</v>
      </c>
      <c r="T1074" s="1">
        <v>2</v>
      </c>
      <c r="U1074" s="3" t="s">
        <v>48</v>
      </c>
      <c r="V1074" s="4">
        <v>3180</v>
      </c>
      <c r="W1074" s="1">
        <v>4668</v>
      </c>
      <c r="X1074" s="1">
        <v>0</v>
      </c>
      <c r="Y1074" s="3" t="s">
        <v>42</v>
      </c>
      <c r="Z1074" s="3" t="s">
        <v>43</v>
      </c>
      <c r="AA1074" s="5">
        <v>0.13</v>
      </c>
      <c r="AB1074" s="10" t="str" cm="1">
        <f t="array" ref="AB1074">_xlfn.IFS(AA1074 &lt;= 15%, "Low Hike[11-15%]", AA1074 &lt;= 20%, "Moderate Hike[16-20%]", AA1074 &lt;= 25%,"High Hike[21-25%]")</f>
        <v>Low Hike[11-15%]</v>
      </c>
      <c r="AC1074" s="1">
        <v>3</v>
      </c>
      <c r="AD1074" s="1">
        <v>3</v>
      </c>
      <c r="AE1074" s="1">
        <v>80</v>
      </c>
      <c r="AF1074" s="1">
        <v>3</v>
      </c>
      <c r="AG1074" s="1">
        <v>4</v>
      </c>
      <c r="AH1074" s="9" t="str" cm="1">
        <f t="array" ref="AH1074">_xlfn.IFS(AG1074 &lt;= 5, "New[1-5]", AG1074 &lt;= 10, "Early Career[6-10]", AG1074 &lt;= 20, "Established[11-20]", AG1074 &lt;= 30, "Veteran[21-30]", AG1074 &lt;= 40, "Late Career[31-40]")</f>
        <v>New[1-5]</v>
      </c>
      <c r="AI1074" s="1">
        <v>3</v>
      </c>
      <c r="AJ1074" s="1">
        <v>3</v>
      </c>
      <c r="AK1074" s="1">
        <v>3</v>
      </c>
      <c r="AL1074" s="9" t="str" cm="1">
        <f t="array" ref="AL1074">_xlfn.IFS(AK1074 &lt;= 5, "New[1-5]", AK1074 &lt;= 10, "Early Career[6-10]", AK1074 &lt;= 20, "Established[11-20]", AK1074 &lt;= 30, "Veteran[21-30]", AK1074 &lt;= 40, "Late Career[31-40]")</f>
        <v>New[1-5]</v>
      </c>
      <c r="AM1074" s="1">
        <v>2</v>
      </c>
      <c r="AN1074" s="9" t="str" cm="1">
        <f t="array" ref="AN1074">_xlfn.IFS(AM1074 &lt;= 3, "New to Role[1-3]", AM1074 &lt;= 7, "Settled[4-7]", AM1074 &lt;= 12, "Experienced[[8-12]", AM1074 &lt;= 18, "Long Tenured[13-18]")</f>
        <v>New to Role[1-3]</v>
      </c>
      <c r="AO1074" s="1">
        <v>0</v>
      </c>
      <c r="AP1074" s="9" t="str" cm="1">
        <f t="array" ref="AP1074">_xlfn.IFS(AO1074 &lt;= 3, "Recently[1-3]", AO1074 &lt;= 6, "Due Soon[4-6]", AO1074 &lt;= 10, "Overdue[7-10]", AO1074 &lt;= 15, "Long Overdue[11-15]")</f>
        <v>Recently[1-3]</v>
      </c>
      <c r="AQ1074" s="9" t="str" cm="1">
        <f t="array" ref="AQ1074">_xlfn.IFS(AR1074 &lt;= 3, "New Relationship[1-3]", AR1074 &lt;= 7, "Established Relationship[4-7]", AR1074 &lt;= 12, "Long Term Relationship[8-12]", AR1074 &lt;= 17, "Very Long Term Relationship[13-17]")</f>
        <v>New Relationship[1-3]</v>
      </c>
      <c r="AR1074" s="1">
        <v>2</v>
      </c>
    </row>
    <row r="1075" spans="1:44" x14ac:dyDescent="0.25">
      <c r="A1075" s="1">
        <v>28</v>
      </c>
      <c r="B1075" s="8" t="str" cm="1">
        <f t="array" ref="B1075">_xlfn.IFS(A1075 &lt;= 25, "[18-25]", A1075 &lt;= 35, "[26-35]", A1075 &lt;=45, "[36-45]", A1075 &lt;= 60, "[46- 60]")</f>
        <v>[26-35]</v>
      </c>
      <c r="C1075" s="3" t="s">
        <v>43</v>
      </c>
      <c r="D1075">
        <f t="shared" si="16"/>
        <v>0</v>
      </c>
      <c r="E1075" t="s">
        <v>36</v>
      </c>
      <c r="F1075" s="1">
        <v>1083</v>
      </c>
      <c r="G1075" s="3" t="s">
        <v>45</v>
      </c>
      <c r="H1075" s="1">
        <v>29</v>
      </c>
      <c r="I1075" s="9" t="str" cm="1">
        <f t="array" ref="I1075">_xlfn.IFS(H1075 &lt;= 2, "[1-2] very close", H1075 &lt;= 10, "[3-10] close", H1075 &lt;= 20, "[11-20] moderate", H1075 &lt;= 30, "[21-30] far")</f>
        <v>[21-30] far</v>
      </c>
      <c r="J1075" s="1">
        <v>1</v>
      </c>
      <c r="K1075" s="3" t="s">
        <v>38</v>
      </c>
      <c r="L1075" s="1">
        <v>1</v>
      </c>
      <c r="M1075" s="1">
        <v>1514</v>
      </c>
      <c r="N1075" s="1">
        <v>3</v>
      </c>
      <c r="O1075" s="3" t="s">
        <v>46</v>
      </c>
      <c r="P1075" s="1">
        <v>96</v>
      </c>
      <c r="Q1075" s="1">
        <v>1</v>
      </c>
      <c r="R1075" s="1">
        <v>2</v>
      </c>
      <c r="S1075" s="3" t="s">
        <v>53</v>
      </c>
      <c r="T1075" s="1">
        <v>2</v>
      </c>
      <c r="U1075" s="3" t="s">
        <v>48</v>
      </c>
      <c r="V1075" s="4">
        <v>6549</v>
      </c>
      <c r="W1075" s="1">
        <v>3173</v>
      </c>
      <c r="X1075" s="1">
        <v>1</v>
      </c>
      <c r="Y1075" s="3" t="s">
        <v>42</v>
      </c>
      <c r="Z1075" s="3" t="s">
        <v>43</v>
      </c>
      <c r="AA1075" s="5">
        <v>0.14000000000000001</v>
      </c>
      <c r="AB1075" s="10" t="str" cm="1">
        <f t="array" ref="AB1075">_xlfn.IFS(AA1075 &lt;= 15%, "Low Hike[11-15%]", AA1075 &lt;= 20%, "Moderate Hike[16-20%]", AA1075 &lt;= 25%,"High Hike[21-25%]")</f>
        <v>Low Hike[11-15%]</v>
      </c>
      <c r="AC1075" s="1">
        <v>3</v>
      </c>
      <c r="AD1075" s="1">
        <v>2</v>
      </c>
      <c r="AE1075" s="1">
        <v>80</v>
      </c>
      <c r="AF1075" s="1">
        <v>2</v>
      </c>
      <c r="AG1075" s="1">
        <v>8</v>
      </c>
      <c r="AH1075" s="9" t="str" cm="1">
        <f t="array" ref="AH1075">_xlfn.IFS(AG1075 &lt;= 5, "New[1-5]", AG1075 &lt;= 10, "Early Career[6-10]", AG1075 &lt;= 20, "Established[11-20]", AG1075 &lt;= 30, "Veteran[21-30]", AG1075 &lt;= 40, "Late Career[31-40]")</f>
        <v>Early Career[6-10]</v>
      </c>
      <c r="AI1075" s="1">
        <v>2</v>
      </c>
      <c r="AJ1075" s="1">
        <v>2</v>
      </c>
      <c r="AK1075" s="1">
        <v>8</v>
      </c>
      <c r="AL1075" s="9" t="str" cm="1">
        <f t="array" ref="AL1075">_xlfn.IFS(AK1075 &lt;= 5, "New[1-5]", AK1075 &lt;= 10, "Early Career[6-10]", AK1075 &lt;= 20, "Established[11-20]", AK1075 &lt;= 30, "Veteran[21-30]", AK1075 &lt;= 40, "Late Career[31-40]")</f>
        <v>Early Career[6-10]</v>
      </c>
      <c r="AM1075" s="1">
        <v>6</v>
      </c>
      <c r="AN1075" s="9" t="str" cm="1">
        <f t="array" ref="AN1075">_xlfn.IFS(AM1075 &lt;= 3, "New to Role[1-3]", AM1075 &lt;= 7, "Settled[4-7]", AM1075 &lt;= 12, "Experienced[[8-12]", AM1075 &lt;= 18, "Long Tenured[13-18]")</f>
        <v>Settled[4-7]</v>
      </c>
      <c r="AO1075" s="1">
        <v>1</v>
      </c>
      <c r="AP1075" s="9" t="str" cm="1">
        <f t="array" ref="AP1075">_xlfn.IFS(AO1075 &lt;= 3, "Recently[1-3]", AO1075 &lt;= 6, "Due Soon[4-6]", AO1075 &lt;= 10, "Overdue[7-10]", AO1075 &lt;= 15, "Long Overdue[11-15]")</f>
        <v>Recently[1-3]</v>
      </c>
      <c r="AQ1075" s="9" t="str" cm="1">
        <f t="array" ref="AQ1075">_xlfn.IFS(AR1075 &lt;= 3, "New Relationship[1-3]", AR1075 &lt;= 7, "Established Relationship[4-7]", AR1075 &lt;= 12, "Long Term Relationship[8-12]", AR1075 &lt;= 17, "Very Long Term Relationship[13-17]")</f>
        <v>Established Relationship[4-7]</v>
      </c>
      <c r="AR1075" s="1">
        <v>7</v>
      </c>
    </row>
    <row r="1076" spans="1:44" x14ac:dyDescent="0.25">
      <c r="A1076" s="1">
        <v>33</v>
      </c>
      <c r="B1076" s="8" t="str" cm="1">
        <f t="array" ref="B1076">_xlfn.IFS(A1076 &lt;= 25, "[18-25]", A1076 &lt;= 35, "[26-35]", A1076 &lt;=45, "[36-45]", A1076 &lt;= 60, "[46- 60]")</f>
        <v>[26-35]</v>
      </c>
      <c r="C1076" s="3" t="s">
        <v>43</v>
      </c>
      <c r="D1076">
        <f t="shared" si="16"/>
        <v>0</v>
      </c>
      <c r="E1076" t="s">
        <v>36</v>
      </c>
      <c r="F1076" s="1">
        <v>516</v>
      </c>
      <c r="G1076" s="3" t="s">
        <v>45</v>
      </c>
      <c r="H1076" s="1">
        <v>8</v>
      </c>
      <c r="I1076" s="9" t="str" cm="1">
        <f t="array" ref="I1076">_xlfn.IFS(H1076 &lt;= 2, "[1-2] very close", H1076 &lt;= 10, "[3-10] close", H1076 &lt;= 20, "[11-20] moderate", H1076 &lt;= 30, "[21-30] far")</f>
        <v>[3-10] close</v>
      </c>
      <c r="J1076" s="1">
        <v>5</v>
      </c>
      <c r="K1076" s="3" t="s">
        <v>38</v>
      </c>
      <c r="L1076" s="1">
        <v>1</v>
      </c>
      <c r="M1076" s="1">
        <v>1515</v>
      </c>
      <c r="N1076" s="1">
        <v>4</v>
      </c>
      <c r="O1076" s="3" t="s">
        <v>46</v>
      </c>
      <c r="P1076" s="1">
        <v>69</v>
      </c>
      <c r="Q1076" s="1">
        <v>3</v>
      </c>
      <c r="R1076" s="1">
        <v>2</v>
      </c>
      <c r="S1076" s="3" t="s">
        <v>54</v>
      </c>
      <c r="T1076" s="1">
        <v>3</v>
      </c>
      <c r="U1076" s="3" t="s">
        <v>41</v>
      </c>
      <c r="V1076" s="4">
        <v>6388</v>
      </c>
      <c r="W1076" s="1">
        <v>22049</v>
      </c>
      <c r="X1076" s="1">
        <v>2</v>
      </c>
      <c r="Y1076" s="3" t="s">
        <v>42</v>
      </c>
      <c r="Z1076" s="3" t="s">
        <v>35</v>
      </c>
      <c r="AA1076" s="5">
        <v>0.17</v>
      </c>
      <c r="AB1076" s="10" t="str" cm="1">
        <f t="array" ref="AB1076">_xlfn.IFS(AA1076 &lt;= 15%, "Low Hike[11-15%]", AA1076 &lt;= 20%, "Moderate Hike[16-20%]", AA1076 &lt;= 25%,"High Hike[21-25%]")</f>
        <v>Moderate Hike[16-20%]</v>
      </c>
      <c r="AC1076" s="1">
        <v>3</v>
      </c>
      <c r="AD1076" s="1">
        <v>1</v>
      </c>
      <c r="AE1076" s="1">
        <v>80</v>
      </c>
      <c r="AF1076" s="1">
        <v>0</v>
      </c>
      <c r="AG1076" s="1">
        <v>14</v>
      </c>
      <c r="AH1076" s="9" t="str" cm="1">
        <f t="array" ref="AH1076">_xlfn.IFS(AG1076 &lt;= 5, "New[1-5]", AG1076 &lt;= 10, "Early Career[6-10]", AG1076 &lt;= 20, "Established[11-20]", AG1076 &lt;= 30, "Veteran[21-30]", AG1076 &lt;= 40, "Late Career[31-40]")</f>
        <v>Established[11-20]</v>
      </c>
      <c r="AI1076" s="1">
        <v>6</v>
      </c>
      <c r="AJ1076" s="1">
        <v>3</v>
      </c>
      <c r="AK1076" s="1">
        <v>0</v>
      </c>
      <c r="AL1076" s="9" t="str" cm="1">
        <f t="array" ref="AL1076">_xlfn.IFS(AK1076 &lt;= 5, "New[1-5]", AK1076 &lt;= 10, "Early Career[6-10]", AK1076 &lt;= 20, "Established[11-20]", AK1076 &lt;= 30, "Veteran[21-30]", AK1076 &lt;= 40, "Late Career[31-40]")</f>
        <v>New[1-5]</v>
      </c>
      <c r="AM1076" s="1">
        <v>0</v>
      </c>
      <c r="AN1076" s="9" t="str" cm="1">
        <f t="array" ref="AN1076">_xlfn.IFS(AM1076 &lt;= 3, "New to Role[1-3]", AM1076 &lt;= 7, "Settled[4-7]", AM1076 &lt;= 12, "Experienced[[8-12]", AM1076 &lt;= 18, "Long Tenured[13-18]")</f>
        <v>New to Role[1-3]</v>
      </c>
      <c r="AO1076" s="1">
        <v>0</v>
      </c>
      <c r="AP1076" s="9" t="str" cm="1">
        <f t="array" ref="AP1076">_xlfn.IFS(AO1076 &lt;= 3, "Recently[1-3]", AO1076 &lt;= 6, "Due Soon[4-6]", AO1076 &lt;= 10, "Overdue[7-10]", AO1076 &lt;= 15, "Long Overdue[11-15]")</f>
        <v>Recently[1-3]</v>
      </c>
      <c r="AQ1076" s="9" t="str" cm="1">
        <f t="array" ref="AQ1076">_xlfn.IFS(AR1076 &lt;= 3, "New Relationship[1-3]", AR1076 &lt;= 7, "Established Relationship[4-7]", AR1076 &lt;= 12, "Long Term Relationship[8-12]", AR1076 &lt;= 17, "Very Long Term Relationship[13-17]")</f>
        <v>New Relationship[1-3]</v>
      </c>
      <c r="AR1076" s="1">
        <v>0</v>
      </c>
    </row>
    <row r="1077" spans="1:44" x14ac:dyDescent="0.25">
      <c r="A1077" s="1">
        <v>32</v>
      </c>
      <c r="B1077" s="8" t="str" cm="1">
        <f t="array" ref="B1077">_xlfn.IFS(A1077 &lt;= 25, "[18-25]", A1077 &lt;= 35, "[26-35]", A1077 &lt;=45, "[36-45]", A1077 &lt;= 60, "[46- 60]")</f>
        <v>[26-35]</v>
      </c>
      <c r="C1077" s="3" t="s">
        <v>43</v>
      </c>
      <c r="D1077">
        <f t="shared" si="16"/>
        <v>0</v>
      </c>
      <c r="E1077" t="s">
        <v>36</v>
      </c>
      <c r="F1077" s="1">
        <v>495</v>
      </c>
      <c r="G1077" s="3" t="s">
        <v>45</v>
      </c>
      <c r="H1077" s="1">
        <v>10</v>
      </c>
      <c r="I1077" s="9" t="str" cm="1">
        <f t="array" ref="I1077">_xlfn.IFS(H1077 &lt;= 2, "[1-2] very close", H1077 &lt;= 10, "[3-10] close", H1077 &lt;= 20, "[11-20] moderate", H1077 &lt;= 30, "[21-30] far")</f>
        <v>[3-10] close</v>
      </c>
      <c r="J1077" s="1">
        <v>3</v>
      </c>
      <c r="K1077" s="3" t="s">
        <v>51</v>
      </c>
      <c r="L1077" s="1">
        <v>1</v>
      </c>
      <c r="M1077" s="1">
        <v>1516</v>
      </c>
      <c r="N1077" s="1">
        <v>3</v>
      </c>
      <c r="O1077" s="3" t="s">
        <v>46</v>
      </c>
      <c r="P1077" s="1">
        <v>64</v>
      </c>
      <c r="Q1077" s="1">
        <v>3</v>
      </c>
      <c r="R1077" s="1">
        <v>3</v>
      </c>
      <c r="S1077" s="3" t="s">
        <v>56</v>
      </c>
      <c r="T1077" s="1">
        <v>4</v>
      </c>
      <c r="U1077" s="3" t="s">
        <v>41</v>
      </c>
      <c r="V1077" s="4">
        <v>11244</v>
      </c>
      <c r="W1077" s="1">
        <v>21072</v>
      </c>
      <c r="X1077" s="1">
        <v>2</v>
      </c>
      <c r="Y1077" s="3" t="s">
        <v>42</v>
      </c>
      <c r="Z1077" s="3" t="s">
        <v>43</v>
      </c>
      <c r="AA1077" s="5">
        <v>0.25</v>
      </c>
      <c r="AB1077" s="10" t="str" cm="1">
        <f t="array" ref="AB1077">_xlfn.IFS(AA1077 &lt;= 15%, "Low Hike[11-15%]", AA1077 &lt;= 20%, "Moderate Hike[16-20%]", AA1077 &lt;= 25%,"High Hike[21-25%]")</f>
        <v>High Hike[21-25%]</v>
      </c>
      <c r="AC1077" s="1">
        <v>4</v>
      </c>
      <c r="AD1077" s="1">
        <v>2</v>
      </c>
      <c r="AE1077" s="1">
        <v>80</v>
      </c>
      <c r="AF1077" s="1">
        <v>0</v>
      </c>
      <c r="AG1077" s="1">
        <v>10</v>
      </c>
      <c r="AH1077" s="9" t="str" cm="1">
        <f t="array" ref="AH1077">_xlfn.IFS(AG1077 &lt;= 5, "New[1-5]", AG1077 &lt;= 10, "Early Career[6-10]", AG1077 &lt;= 20, "Established[11-20]", AG1077 &lt;= 30, "Veteran[21-30]", AG1077 &lt;= 40, "Late Career[31-40]")</f>
        <v>Early Career[6-10]</v>
      </c>
      <c r="AI1077" s="1">
        <v>5</v>
      </c>
      <c r="AJ1077" s="1">
        <v>4</v>
      </c>
      <c r="AK1077" s="1">
        <v>5</v>
      </c>
      <c r="AL1077" s="9" t="str" cm="1">
        <f t="array" ref="AL1077">_xlfn.IFS(AK1077 &lt;= 5, "New[1-5]", AK1077 &lt;= 10, "Early Career[6-10]", AK1077 &lt;= 20, "Established[11-20]", AK1077 &lt;= 30, "Veteran[21-30]", AK1077 &lt;= 40, "Late Career[31-40]")</f>
        <v>New[1-5]</v>
      </c>
      <c r="AM1077" s="1">
        <v>2</v>
      </c>
      <c r="AN1077" s="9" t="str" cm="1">
        <f t="array" ref="AN1077">_xlfn.IFS(AM1077 &lt;= 3, "New to Role[1-3]", AM1077 &lt;= 7, "Settled[4-7]", AM1077 &lt;= 12, "Experienced[[8-12]", AM1077 &lt;= 18, "Long Tenured[13-18]")</f>
        <v>New to Role[1-3]</v>
      </c>
      <c r="AO1077" s="1">
        <v>0</v>
      </c>
      <c r="AP1077" s="9" t="str" cm="1">
        <f t="array" ref="AP1077">_xlfn.IFS(AO1077 &lt;= 3, "Recently[1-3]", AO1077 &lt;= 6, "Due Soon[4-6]", AO1077 &lt;= 10, "Overdue[7-10]", AO1077 &lt;= 15, "Long Overdue[11-15]")</f>
        <v>Recently[1-3]</v>
      </c>
      <c r="AQ1077" s="9" t="str" cm="1">
        <f t="array" ref="AQ1077">_xlfn.IFS(AR1077 &lt;= 3, "New Relationship[1-3]", AR1077 &lt;= 7, "Established Relationship[4-7]", AR1077 &lt;= 12, "Long Term Relationship[8-12]", AR1077 &lt;= 17, "Very Long Term Relationship[13-17]")</f>
        <v>New Relationship[1-3]</v>
      </c>
      <c r="AR1077" s="1">
        <v>0</v>
      </c>
    </row>
    <row r="1078" spans="1:44" x14ac:dyDescent="0.25">
      <c r="A1078" s="1">
        <v>54</v>
      </c>
      <c r="B1078" s="8" t="str" cm="1">
        <f t="array" ref="B1078">_xlfn.IFS(A1078 &lt;= 25, "[18-25]", A1078 &lt;= 35, "[26-35]", A1078 &lt;=45, "[36-45]", A1078 &lt;= 60, "[46- 60]")</f>
        <v>[46- 60]</v>
      </c>
      <c r="C1078" s="3" t="s">
        <v>43</v>
      </c>
      <c r="D1078">
        <f t="shared" si="16"/>
        <v>0</v>
      </c>
      <c r="E1078" t="s">
        <v>44</v>
      </c>
      <c r="F1078" s="1">
        <v>1050</v>
      </c>
      <c r="G1078" s="3" t="s">
        <v>45</v>
      </c>
      <c r="H1078" s="1">
        <v>11</v>
      </c>
      <c r="I1078" s="9" t="str" cm="1">
        <f t="array" ref="I1078">_xlfn.IFS(H1078 &lt;= 2, "[1-2] very close", H1078 &lt;= 10, "[3-10] close", H1078 &lt;= 20, "[11-20] moderate", H1078 &lt;= 30, "[21-30] far")</f>
        <v>[11-20] moderate</v>
      </c>
      <c r="J1078" s="1">
        <v>4</v>
      </c>
      <c r="K1078" s="3" t="s">
        <v>51</v>
      </c>
      <c r="L1078" s="1">
        <v>1</v>
      </c>
      <c r="M1078" s="1">
        <v>1520</v>
      </c>
      <c r="N1078" s="1">
        <v>2</v>
      </c>
      <c r="O1078" s="3" t="s">
        <v>39</v>
      </c>
      <c r="P1078" s="1">
        <v>87</v>
      </c>
      <c r="Q1078" s="1">
        <v>3</v>
      </c>
      <c r="R1078" s="1">
        <v>4</v>
      </c>
      <c r="S1078" s="3" t="s">
        <v>56</v>
      </c>
      <c r="T1078" s="1">
        <v>4</v>
      </c>
      <c r="U1078" s="3" t="s">
        <v>52</v>
      </c>
      <c r="V1078" s="4">
        <v>16032</v>
      </c>
      <c r="W1078" s="1">
        <v>24456</v>
      </c>
      <c r="X1078" s="1">
        <v>3</v>
      </c>
      <c r="Y1078" s="3" t="s">
        <v>42</v>
      </c>
      <c r="Z1078" s="3" t="s">
        <v>43</v>
      </c>
      <c r="AA1078" s="5">
        <v>0.2</v>
      </c>
      <c r="AB1078" s="10" t="str" cm="1">
        <f t="array" ref="AB1078">_xlfn.IFS(AA1078 &lt;= 15%, "Low Hike[11-15%]", AA1078 &lt;= 20%, "Moderate Hike[16-20%]", AA1078 &lt;= 25%,"High Hike[21-25%]")</f>
        <v>Moderate Hike[16-20%]</v>
      </c>
      <c r="AC1078" s="1">
        <v>4</v>
      </c>
      <c r="AD1078" s="1">
        <v>1</v>
      </c>
      <c r="AE1078" s="1">
        <v>80</v>
      </c>
      <c r="AF1078" s="1">
        <v>1</v>
      </c>
      <c r="AG1078" s="1">
        <v>26</v>
      </c>
      <c r="AH1078" s="9" t="str" cm="1">
        <f t="array" ref="AH1078">_xlfn.IFS(AG1078 &lt;= 5, "New[1-5]", AG1078 &lt;= 10, "Early Career[6-10]", AG1078 &lt;= 20, "Established[11-20]", AG1078 &lt;= 30, "Veteran[21-30]", AG1078 &lt;= 40, "Late Career[31-40]")</f>
        <v>Veteran[21-30]</v>
      </c>
      <c r="AI1078" s="1">
        <v>2</v>
      </c>
      <c r="AJ1078" s="1">
        <v>3</v>
      </c>
      <c r="AK1078" s="1">
        <v>14</v>
      </c>
      <c r="AL1078" s="9" t="str" cm="1">
        <f t="array" ref="AL1078">_xlfn.IFS(AK1078 &lt;= 5, "New[1-5]", AK1078 &lt;= 10, "Early Career[6-10]", AK1078 &lt;= 20, "Established[11-20]", AK1078 &lt;= 30, "Veteran[21-30]", AK1078 &lt;= 40, "Late Career[31-40]")</f>
        <v>Established[11-20]</v>
      </c>
      <c r="AM1078" s="1">
        <v>9</v>
      </c>
      <c r="AN1078" s="9" t="str" cm="1">
        <f t="array" ref="AN1078">_xlfn.IFS(AM1078 &lt;= 3, "New to Role[1-3]", AM1078 &lt;= 7, "Settled[4-7]", AM1078 &lt;= 12, "Experienced[[8-12]", AM1078 &lt;= 18, "Long Tenured[13-18]")</f>
        <v>Experienced[[8-12]</v>
      </c>
      <c r="AO1078" s="1">
        <v>1</v>
      </c>
      <c r="AP1078" s="9" t="str" cm="1">
        <f t="array" ref="AP1078">_xlfn.IFS(AO1078 &lt;= 3, "Recently[1-3]", AO1078 &lt;= 6, "Due Soon[4-6]", AO1078 &lt;= 10, "Overdue[7-10]", AO1078 &lt;= 15, "Long Overdue[11-15]")</f>
        <v>Recently[1-3]</v>
      </c>
      <c r="AQ1078" s="9" t="str" cm="1">
        <f t="array" ref="AQ1078">_xlfn.IFS(AR1078 &lt;= 3, "New Relationship[1-3]", AR1078 &lt;= 7, "Established Relationship[4-7]", AR1078 &lt;= 12, "Long Term Relationship[8-12]", AR1078 &lt;= 17, "Very Long Term Relationship[13-17]")</f>
        <v>Long Term Relationship[8-12]</v>
      </c>
      <c r="AR1078" s="1">
        <v>12</v>
      </c>
    </row>
    <row r="1079" spans="1:44" x14ac:dyDescent="0.25">
      <c r="A1079" s="1">
        <v>29</v>
      </c>
      <c r="B1079" s="8" t="str" cm="1">
        <f t="array" ref="B1079">_xlfn.IFS(A1079 &lt;= 25, "[18-25]", A1079 &lt;= 35, "[26-35]", A1079 &lt;=45, "[36-45]", A1079 &lt;= 60, "[46- 60]")</f>
        <v>[26-35]</v>
      </c>
      <c r="C1079" s="3" t="s">
        <v>35</v>
      </c>
      <c r="D1079">
        <f t="shared" si="16"/>
        <v>1</v>
      </c>
      <c r="E1079" t="s">
        <v>36</v>
      </c>
      <c r="F1079" s="1">
        <v>224</v>
      </c>
      <c r="G1079" s="3" t="s">
        <v>45</v>
      </c>
      <c r="H1079" s="1">
        <v>1</v>
      </c>
      <c r="I1079" s="9" t="str" cm="1">
        <f t="array" ref="I1079">_xlfn.IFS(H1079 &lt;= 2, "[1-2] very close", H1079 &lt;= 10, "[3-10] close", H1079 &lt;= 20, "[11-20] moderate", H1079 &lt;= 30, "[21-30] far")</f>
        <v>[1-2] very close</v>
      </c>
      <c r="J1079" s="1">
        <v>4</v>
      </c>
      <c r="K1079" s="3" t="s">
        <v>60</v>
      </c>
      <c r="L1079" s="1">
        <v>1</v>
      </c>
      <c r="M1079" s="1">
        <v>1522</v>
      </c>
      <c r="N1079" s="1">
        <v>1</v>
      </c>
      <c r="O1079" s="3" t="s">
        <v>46</v>
      </c>
      <c r="P1079" s="1">
        <v>100</v>
      </c>
      <c r="Q1079" s="1">
        <v>2</v>
      </c>
      <c r="R1079" s="1">
        <v>1</v>
      </c>
      <c r="S1079" s="3" t="s">
        <v>47</v>
      </c>
      <c r="T1079" s="1">
        <v>1</v>
      </c>
      <c r="U1079" s="3" t="s">
        <v>41</v>
      </c>
      <c r="V1079" s="4">
        <v>2362</v>
      </c>
      <c r="W1079" s="1">
        <v>7568</v>
      </c>
      <c r="X1079" s="1">
        <v>6</v>
      </c>
      <c r="Y1079" s="3" t="s">
        <v>42</v>
      </c>
      <c r="Z1079" s="3" t="s">
        <v>43</v>
      </c>
      <c r="AA1079" s="5">
        <v>0.13</v>
      </c>
      <c r="AB1079" s="10" t="str" cm="1">
        <f t="array" ref="AB1079">_xlfn.IFS(AA1079 &lt;= 15%, "Low Hike[11-15%]", AA1079 &lt;= 20%, "Moderate Hike[16-20%]", AA1079 &lt;= 25%,"High Hike[21-25%]")</f>
        <v>Low Hike[11-15%]</v>
      </c>
      <c r="AC1079" s="1">
        <v>3</v>
      </c>
      <c r="AD1079" s="1">
        <v>3</v>
      </c>
      <c r="AE1079" s="1">
        <v>80</v>
      </c>
      <c r="AF1079" s="1">
        <v>0</v>
      </c>
      <c r="AG1079" s="1">
        <v>11</v>
      </c>
      <c r="AH1079" s="9" t="str" cm="1">
        <f t="array" ref="AH1079">_xlfn.IFS(AG1079 &lt;= 5, "New[1-5]", AG1079 &lt;= 10, "Early Career[6-10]", AG1079 &lt;= 20, "Established[11-20]", AG1079 &lt;= 30, "Veteran[21-30]", AG1079 &lt;= 40, "Late Career[31-40]")</f>
        <v>Established[11-20]</v>
      </c>
      <c r="AI1079" s="1">
        <v>2</v>
      </c>
      <c r="AJ1079" s="1">
        <v>1</v>
      </c>
      <c r="AK1079" s="1">
        <v>9</v>
      </c>
      <c r="AL1079" s="9" t="str" cm="1">
        <f t="array" ref="AL1079">_xlfn.IFS(AK1079 &lt;= 5, "New[1-5]", AK1079 &lt;= 10, "Early Career[6-10]", AK1079 &lt;= 20, "Established[11-20]", AK1079 &lt;= 30, "Veteran[21-30]", AK1079 &lt;= 40, "Late Career[31-40]")</f>
        <v>Early Career[6-10]</v>
      </c>
      <c r="AM1079" s="1">
        <v>7</v>
      </c>
      <c r="AN1079" s="9" t="str" cm="1">
        <f t="array" ref="AN1079">_xlfn.IFS(AM1079 &lt;= 3, "New to Role[1-3]", AM1079 &lt;= 7, "Settled[4-7]", AM1079 &lt;= 12, "Experienced[[8-12]", AM1079 &lt;= 18, "Long Tenured[13-18]")</f>
        <v>Settled[4-7]</v>
      </c>
      <c r="AO1079" s="1">
        <v>0</v>
      </c>
      <c r="AP1079" s="9" t="str" cm="1">
        <f t="array" ref="AP1079">_xlfn.IFS(AO1079 &lt;= 3, "Recently[1-3]", AO1079 &lt;= 6, "Due Soon[4-6]", AO1079 &lt;= 10, "Overdue[7-10]", AO1079 &lt;= 15, "Long Overdue[11-15]")</f>
        <v>Recently[1-3]</v>
      </c>
      <c r="AQ1079" s="9" t="str" cm="1">
        <f t="array" ref="AQ1079">_xlfn.IFS(AR1079 &lt;= 3, "New Relationship[1-3]", AR1079 &lt;= 7, "Established Relationship[4-7]", AR1079 &lt;= 12, "Long Term Relationship[8-12]", AR1079 &lt;= 17, "Very Long Term Relationship[13-17]")</f>
        <v>Established Relationship[4-7]</v>
      </c>
      <c r="AR1079" s="1">
        <v>7</v>
      </c>
    </row>
    <row r="1080" spans="1:44" x14ac:dyDescent="0.25">
      <c r="A1080" s="1">
        <v>44</v>
      </c>
      <c r="B1080" s="8" t="str" cm="1">
        <f t="array" ref="B1080">_xlfn.IFS(A1080 &lt;= 25, "[18-25]", A1080 &lt;= 35, "[26-35]", A1080 &lt;=45, "[36-45]", A1080 &lt;= 60, "[46- 60]")</f>
        <v>[36-45]</v>
      </c>
      <c r="C1080" s="3" t="s">
        <v>43</v>
      </c>
      <c r="D1080">
        <f t="shared" si="16"/>
        <v>0</v>
      </c>
      <c r="E1080" t="s">
        <v>36</v>
      </c>
      <c r="F1080" s="1">
        <v>136</v>
      </c>
      <c r="G1080" s="3" t="s">
        <v>45</v>
      </c>
      <c r="H1080" s="1">
        <v>28</v>
      </c>
      <c r="I1080" s="9" t="str" cm="1">
        <f t="array" ref="I1080">_xlfn.IFS(H1080 &lt;= 2, "[1-2] very close", H1080 &lt;= 10, "[3-10] close", H1080 &lt;= 20, "[11-20] moderate", H1080 &lt;= 30, "[21-30] far")</f>
        <v>[21-30] far</v>
      </c>
      <c r="J1080" s="1">
        <v>3</v>
      </c>
      <c r="K1080" s="3" t="s">
        <v>38</v>
      </c>
      <c r="L1080" s="1">
        <v>1</v>
      </c>
      <c r="M1080" s="1">
        <v>1523</v>
      </c>
      <c r="N1080" s="1">
        <v>4</v>
      </c>
      <c r="O1080" s="3" t="s">
        <v>46</v>
      </c>
      <c r="P1080" s="1">
        <v>32</v>
      </c>
      <c r="Q1080" s="1">
        <v>3</v>
      </c>
      <c r="R1080" s="1">
        <v>4</v>
      </c>
      <c r="S1080" s="3" t="s">
        <v>58</v>
      </c>
      <c r="T1080" s="1">
        <v>1</v>
      </c>
      <c r="U1080" s="3" t="s">
        <v>48</v>
      </c>
      <c r="V1080" s="4">
        <v>16328</v>
      </c>
      <c r="W1080" s="1">
        <v>22074</v>
      </c>
      <c r="X1080" s="1">
        <v>3</v>
      </c>
      <c r="Y1080" s="3" t="s">
        <v>42</v>
      </c>
      <c r="Z1080" s="3" t="s">
        <v>43</v>
      </c>
      <c r="AA1080" s="5">
        <v>0.13</v>
      </c>
      <c r="AB1080" s="10" t="str" cm="1">
        <f t="array" ref="AB1080">_xlfn.IFS(AA1080 &lt;= 15%, "Low Hike[11-15%]", AA1080 &lt;= 20%, "Moderate Hike[16-20%]", AA1080 &lt;= 25%,"High Hike[21-25%]")</f>
        <v>Low Hike[11-15%]</v>
      </c>
      <c r="AC1080" s="1">
        <v>3</v>
      </c>
      <c r="AD1080" s="1">
        <v>3</v>
      </c>
      <c r="AE1080" s="1">
        <v>80</v>
      </c>
      <c r="AF1080" s="1">
        <v>1</v>
      </c>
      <c r="AG1080" s="1">
        <v>24</v>
      </c>
      <c r="AH1080" s="9" t="str" cm="1">
        <f t="array" ref="AH1080">_xlfn.IFS(AG1080 &lt;= 5, "New[1-5]", AG1080 &lt;= 10, "Early Career[6-10]", AG1080 &lt;= 20, "Established[11-20]", AG1080 &lt;= 30, "Veteran[21-30]", AG1080 &lt;= 40, "Late Career[31-40]")</f>
        <v>Veteran[21-30]</v>
      </c>
      <c r="AI1080" s="1">
        <v>1</v>
      </c>
      <c r="AJ1080" s="1">
        <v>4</v>
      </c>
      <c r="AK1080" s="1">
        <v>20</v>
      </c>
      <c r="AL1080" s="9" t="str" cm="1">
        <f t="array" ref="AL1080">_xlfn.IFS(AK1080 &lt;= 5, "New[1-5]", AK1080 &lt;= 10, "Early Career[6-10]", AK1080 &lt;= 20, "Established[11-20]", AK1080 &lt;= 30, "Veteran[21-30]", AK1080 &lt;= 40, "Late Career[31-40]")</f>
        <v>Established[11-20]</v>
      </c>
      <c r="AM1080" s="1">
        <v>6</v>
      </c>
      <c r="AN1080" s="9" t="str" cm="1">
        <f t="array" ref="AN1080">_xlfn.IFS(AM1080 &lt;= 3, "New to Role[1-3]", AM1080 &lt;= 7, "Settled[4-7]", AM1080 &lt;= 12, "Experienced[[8-12]", AM1080 &lt;= 18, "Long Tenured[13-18]")</f>
        <v>Settled[4-7]</v>
      </c>
      <c r="AO1080" s="1">
        <v>14</v>
      </c>
      <c r="AP1080" s="9" t="str" cm="1">
        <f t="array" ref="AP1080">_xlfn.IFS(AO1080 &lt;= 3, "Recently[1-3]", AO1080 &lt;= 6, "Due Soon[4-6]", AO1080 &lt;= 10, "Overdue[7-10]", AO1080 &lt;= 15, "Long Overdue[11-15]")</f>
        <v>Long Overdue[11-15]</v>
      </c>
      <c r="AQ1080" s="9" t="str" cm="1">
        <f t="array" ref="AQ1080">_xlfn.IFS(AR1080 &lt;= 3, "New Relationship[1-3]", AR1080 &lt;= 7, "Established Relationship[4-7]", AR1080 &lt;= 12, "Long Term Relationship[8-12]", AR1080 &lt;= 17, "Very Long Term Relationship[13-17]")</f>
        <v>Very Long Term Relationship[13-17]</v>
      </c>
      <c r="AR1080" s="1">
        <v>17</v>
      </c>
    </row>
    <row r="1081" spans="1:44" x14ac:dyDescent="0.25">
      <c r="A1081" s="1">
        <v>39</v>
      </c>
      <c r="B1081" s="8" t="str" cm="1">
        <f t="array" ref="B1081">_xlfn.IFS(A1081 &lt;= 25, "[18-25]", A1081 &lt;= 35, "[26-35]", A1081 &lt;=45, "[36-45]", A1081 &lt;= 60, "[46- 60]")</f>
        <v>[36-45]</v>
      </c>
      <c r="C1081" s="3" t="s">
        <v>43</v>
      </c>
      <c r="D1081">
        <f t="shared" si="16"/>
        <v>0</v>
      </c>
      <c r="E1081" t="s">
        <v>36</v>
      </c>
      <c r="F1081" s="1">
        <v>1089</v>
      </c>
      <c r="G1081" s="3" t="s">
        <v>45</v>
      </c>
      <c r="H1081" s="1">
        <v>6</v>
      </c>
      <c r="I1081" s="9" t="str" cm="1">
        <f t="array" ref="I1081">_xlfn.IFS(H1081 &lt;= 2, "[1-2] very close", H1081 &lt;= 10, "[3-10] close", H1081 &lt;= 20, "[11-20] moderate", H1081 &lt;= 30, "[21-30] far")</f>
        <v>[3-10] close</v>
      </c>
      <c r="J1081" s="1">
        <v>3</v>
      </c>
      <c r="K1081" s="3" t="s">
        <v>38</v>
      </c>
      <c r="L1081" s="1">
        <v>1</v>
      </c>
      <c r="M1081" s="1">
        <v>1525</v>
      </c>
      <c r="N1081" s="1">
        <v>2</v>
      </c>
      <c r="O1081" s="3" t="s">
        <v>39</v>
      </c>
      <c r="P1081" s="1">
        <v>32</v>
      </c>
      <c r="Q1081" s="1">
        <v>3</v>
      </c>
      <c r="R1081" s="1">
        <v>3</v>
      </c>
      <c r="S1081" s="3" t="s">
        <v>53</v>
      </c>
      <c r="T1081" s="1">
        <v>2</v>
      </c>
      <c r="U1081" s="3" t="s">
        <v>41</v>
      </c>
      <c r="V1081" s="4">
        <v>8376</v>
      </c>
      <c r="W1081" s="1">
        <v>9150</v>
      </c>
      <c r="X1081" s="1">
        <v>4</v>
      </c>
      <c r="Y1081" s="3" t="s">
        <v>42</v>
      </c>
      <c r="Z1081" s="3" t="s">
        <v>43</v>
      </c>
      <c r="AA1081" s="5">
        <v>0.18</v>
      </c>
      <c r="AB1081" s="10" t="str" cm="1">
        <f t="array" ref="AB1081">_xlfn.IFS(AA1081 &lt;= 15%, "Low Hike[11-15%]", AA1081 &lt;= 20%, "Moderate Hike[16-20%]", AA1081 &lt;= 25%,"High Hike[21-25%]")</f>
        <v>Moderate Hike[16-20%]</v>
      </c>
      <c r="AC1081" s="1">
        <v>3</v>
      </c>
      <c r="AD1081" s="1">
        <v>4</v>
      </c>
      <c r="AE1081" s="1">
        <v>80</v>
      </c>
      <c r="AF1081" s="1">
        <v>0</v>
      </c>
      <c r="AG1081" s="1">
        <v>9</v>
      </c>
      <c r="AH1081" s="9" t="str" cm="1">
        <f t="array" ref="AH1081">_xlfn.IFS(AG1081 &lt;= 5, "New[1-5]", AG1081 &lt;= 10, "Early Career[6-10]", AG1081 &lt;= 20, "Established[11-20]", AG1081 &lt;= 30, "Veteran[21-30]", AG1081 &lt;= 40, "Late Career[31-40]")</f>
        <v>Early Career[6-10]</v>
      </c>
      <c r="AI1081" s="1">
        <v>3</v>
      </c>
      <c r="AJ1081" s="1">
        <v>3</v>
      </c>
      <c r="AK1081" s="1">
        <v>2</v>
      </c>
      <c r="AL1081" s="9" t="str" cm="1">
        <f t="array" ref="AL1081">_xlfn.IFS(AK1081 &lt;= 5, "New[1-5]", AK1081 &lt;= 10, "Early Career[6-10]", AK1081 &lt;= 20, "Established[11-20]", AK1081 &lt;= 30, "Veteran[21-30]", AK1081 &lt;= 40, "Late Career[31-40]")</f>
        <v>New[1-5]</v>
      </c>
      <c r="AM1081" s="1">
        <v>0</v>
      </c>
      <c r="AN1081" s="9" t="str" cm="1">
        <f t="array" ref="AN1081">_xlfn.IFS(AM1081 &lt;= 3, "New to Role[1-3]", AM1081 &lt;= 7, "Settled[4-7]", AM1081 &lt;= 12, "Experienced[[8-12]", AM1081 &lt;= 18, "Long Tenured[13-18]")</f>
        <v>New to Role[1-3]</v>
      </c>
      <c r="AO1081" s="1">
        <v>2</v>
      </c>
      <c r="AP1081" s="9" t="str" cm="1">
        <f t="array" ref="AP1081">_xlfn.IFS(AO1081 &lt;= 3, "Recently[1-3]", AO1081 &lt;= 6, "Due Soon[4-6]", AO1081 &lt;= 10, "Overdue[7-10]", AO1081 &lt;= 15, "Long Overdue[11-15]")</f>
        <v>Recently[1-3]</v>
      </c>
      <c r="AQ1081" s="9" t="str" cm="1">
        <f t="array" ref="AQ1081">_xlfn.IFS(AR1081 &lt;= 3, "New Relationship[1-3]", AR1081 &lt;= 7, "Established Relationship[4-7]", AR1081 &lt;= 12, "Long Term Relationship[8-12]", AR1081 &lt;= 17, "Very Long Term Relationship[13-17]")</f>
        <v>New Relationship[1-3]</v>
      </c>
      <c r="AR1081" s="1">
        <v>2</v>
      </c>
    </row>
    <row r="1082" spans="1:44" x14ac:dyDescent="0.25">
      <c r="A1082" s="1">
        <v>46</v>
      </c>
      <c r="B1082" s="8" t="str" cm="1">
        <f t="array" ref="B1082">_xlfn.IFS(A1082 &lt;= 25, "[18-25]", A1082 &lt;= 35, "[26-35]", A1082 &lt;=45, "[36-45]", A1082 &lt;= 60, "[46- 60]")</f>
        <v>[46- 60]</v>
      </c>
      <c r="C1082" s="3" t="s">
        <v>43</v>
      </c>
      <c r="D1082">
        <f t="shared" si="16"/>
        <v>0</v>
      </c>
      <c r="E1082" t="s">
        <v>36</v>
      </c>
      <c r="F1082" s="1">
        <v>228</v>
      </c>
      <c r="G1082" s="3" t="s">
        <v>37</v>
      </c>
      <c r="H1082" s="1">
        <v>3</v>
      </c>
      <c r="I1082" s="9" t="str" cm="1">
        <f t="array" ref="I1082">_xlfn.IFS(H1082 &lt;= 2, "[1-2] very close", H1082 &lt;= 10, "[3-10] close", H1082 &lt;= 20, "[11-20] moderate", H1082 &lt;= 30, "[21-30] far")</f>
        <v>[3-10] close</v>
      </c>
      <c r="J1082" s="1">
        <v>3</v>
      </c>
      <c r="K1082" s="3" t="s">
        <v>38</v>
      </c>
      <c r="L1082" s="1">
        <v>1</v>
      </c>
      <c r="M1082" s="1">
        <v>1527</v>
      </c>
      <c r="N1082" s="1">
        <v>3</v>
      </c>
      <c r="O1082" s="3" t="s">
        <v>39</v>
      </c>
      <c r="P1082" s="1">
        <v>51</v>
      </c>
      <c r="Q1082" s="1">
        <v>3</v>
      </c>
      <c r="R1082" s="1">
        <v>4</v>
      </c>
      <c r="S1082" s="3" t="s">
        <v>56</v>
      </c>
      <c r="T1082" s="1">
        <v>2</v>
      </c>
      <c r="U1082" s="3" t="s">
        <v>48</v>
      </c>
      <c r="V1082" s="4">
        <v>16606</v>
      </c>
      <c r="W1082" s="1">
        <v>11380</v>
      </c>
      <c r="X1082" s="1">
        <v>8</v>
      </c>
      <c r="Y1082" s="3" t="s">
        <v>42</v>
      </c>
      <c r="Z1082" s="3" t="s">
        <v>43</v>
      </c>
      <c r="AA1082" s="5">
        <v>0.12</v>
      </c>
      <c r="AB1082" s="10" t="str" cm="1">
        <f t="array" ref="AB1082">_xlfn.IFS(AA1082 &lt;= 15%, "Low Hike[11-15%]", AA1082 &lt;= 20%, "Moderate Hike[16-20%]", AA1082 &lt;= 25%,"High Hike[21-25%]")</f>
        <v>Low Hike[11-15%]</v>
      </c>
      <c r="AC1082" s="1">
        <v>3</v>
      </c>
      <c r="AD1082" s="1">
        <v>4</v>
      </c>
      <c r="AE1082" s="1">
        <v>80</v>
      </c>
      <c r="AF1082" s="1">
        <v>1</v>
      </c>
      <c r="AG1082" s="1">
        <v>23</v>
      </c>
      <c r="AH1082" s="9" t="str" cm="1">
        <f t="array" ref="AH1082">_xlfn.IFS(AG1082 &lt;= 5, "New[1-5]", AG1082 &lt;= 10, "Early Career[6-10]", AG1082 &lt;= 20, "Established[11-20]", AG1082 &lt;= 30, "Veteran[21-30]", AG1082 &lt;= 40, "Late Career[31-40]")</f>
        <v>Veteran[21-30]</v>
      </c>
      <c r="AI1082" s="1">
        <v>2</v>
      </c>
      <c r="AJ1082" s="1">
        <v>4</v>
      </c>
      <c r="AK1082" s="1">
        <v>13</v>
      </c>
      <c r="AL1082" s="9" t="str" cm="1">
        <f t="array" ref="AL1082">_xlfn.IFS(AK1082 &lt;= 5, "New[1-5]", AK1082 &lt;= 10, "Early Career[6-10]", AK1082 &lt;= 20, "Established[11-20]", AK1082 &lt;= 30, "Veteran[21-30]", AK1082 &lt;= 40, "Late Career[31-40]")</f>
        <v>Established[11-20]</v>
      </c>
      <c r="AM1082" s="1">
        <v>12</v>
      </c>
      <c r="AN1082" s="9" t="str" cm="1">
        <f t="array" ref="AN1082">_xlfn.IFS(AM1082 &lt;= 3, "New to Role[1-3]", AM1082 &lt;= 7, "Settled[4-7]", AM1082 &lt;= 12, "Experienced[[8-12]", AM1082 &lt;= 18, "Long Tenured[13-18]")</f>
        <v>Experienced[[8-12]</v>
      </c>
      <c r="AO1082" s="1">
        <v>5</v>
      </c>
      <c r="AP1082" s="9" t="str" cm="1">
        <f t="array" ref="AP1082">_xlfn.IFS(AO1082 &lt;= 3, "Recently[1-3]", AO1082 &lt;= 6, "Due Soon[4-6]", AO1082 &lt;= 10, "Overdue[7-10]", AO1082 &lt;= 15, "Long Overdue[11-15]")</f>
        <v>Due Soon[4-6]</v>
      </c>
      <c r="AQ1082" s="9" t="str" cm="1">
        <f t="array" ref="AQ1082">_xlfn.IFS(AR1082 &lt;= 3, "New Relationship[1-3]", AR1082 &lt;= 7, "Established Relationship[4-7]", AR1082 &lt;= 12, "Long Term Relationship[8-12]", AR1082 &lt;= 17, "Very Long Term Relationship[13-17]")</f>
        <v>New Relationship[1-3]</v>
      </c>
      <c r="AR1082" s="1">
        <v>1</v>
      </c>
    </row>
    <row r="1083" spans="1:44" x14ac:dyDescent="0.25">
      <c r="A1083" s="1">
        <v>35</v>
      </c>
      <c r="B1083" s="8" t="str" cm="1">
        <f t="array" ref="B1083">_xlfn.IFS(A1083 &lt;= 25, "[18-25]", A1083 &lt;= 35, "[26-35]", A1083 &lt;=45, "[36-45]", A1083 &lt;= 60, "[46- 60]")</f>
        <v>[26-35]</v>
      </c>
      <c r="C1083" s="3" t="s">
        <v>43</v>
      </c>
      <c r="D1083">
        <f t="shared" si="16"/>
        <v>0</v>
      </c>
      <c r="E1083" t="s">
        <v>36</v>
      </c>
      <c r="F1083" s="1">
        <v>1029</v>
      </c>
      <c r="G1083" s="3" t="s">
        <v>45</v>
      </c>
      <c r="H1083" s="1">
        <v>16</v>
      </c>
      <c r="I1083" s="9" t="str" cm="1">
        <f t="array" ref="I1083">_xlfn.IFS(H1083 &lt;= 2, "[1-2] very close", H1083 &lt;= 10, "[3-10] close", H1083 &lt;= 20, "[11-20] moderate", H1083 &lt;= 30, "[21-30] far")</f>
        <v>[11-20] moderate</v>
      </c>
      <c r="J1083" s="1">
        <v>3</v>
      </c>
      <c r="K1083" s="3" t="s">
        <v>38</v>
      </c>
      <c r="L1083" s="1">
        <v>1</v>
      </c>
      <c r="M1083" s="1">
        <v>1529</v>
      </c>
      <c r="N1083" s="1">
        <v>4</v>
      </c>
      <c r="O1083" s="3" t="s">
        <v>39</v>
      </c>
      <c r="P1083" s="1">
        <v>91</v>
      </c>
      <c r="Q1083" s="1">
        <v>2</v>
      </c>
      <c r="R1083" s="1">
        <v>3</v>
      </c>
      <c r="S1083" s="3" t="s">
        <v>54</v>
      </c>
      <c r="T1083" s="1">
        <v>2</v>
      </c>
      <c r="U1083" s="3" t="s">
        <v>41</v>
      </c>
      <c r="V1083" s="4">
        <v>8606</v>
      </c>
      <c r="W1083" s="1">
        <v>21195</v>
      </c>
      <c r="X1083" s="1">
        <v>1</v>
      </c>
      <c r="Y1083" s="3" t="s">
        <v>42</v>
      </c>
      <c r="Z1083" s="3" t="s">
        <v>43</v>
      </c>
      <c r="AA1083" s="5">
        <v>0.19</v>
      </c>
      <c r="AB1083" s="10" t="str" cm="1">
        <f t="array" ref="AB1083">_xlfn.IFS(AA1083 &lt;= 15%, "Low Hike[11-15%]", AA1083 &lt;= 20%, "Moderate Hike[16-20%]", AA1083 &lt;= 25%,"High Hike[21-25%]")</f>
        <v>Moderate Hike[16-20%]</v>
      </c>
      <c r="AC1083" s="1">
        <v>3</v>
      </c>
      <c r="AD1083" s="1">
        <v>4</v>
      </c>
      <c r="AE1083" s="1">
        <v>80</v>
      </c>
      <c r="AF1083" s="1">
        <v>0</v>
      </c>
      <c r="AG1083" s="1">
        <v>11</v>
      </c>
      <c r="AH1083" s="9" t="str" cm="1">
        <f t="array" ref="AH1083">_xlfn.IFS(AG1083 &lt;= 5, "New[1-5]", AG1083 &lt;= 10, "Early Career[6-10]", AG1083 &lt;= 20, "Established[11-20]", AG1083 &lt;= 30, "Veteran[21-30]", AG1083 &lt;= 40, "Late Career[31-40]")</f>
        <v>Established[11-20]</v>
      </c>
      <c r="AI1083" s="1">
        <v>3</v>
      </c>
      <c r="AJ1083" s="1">
        <v>1</v>
      </c>
      <c r="AK1083" s="1">
        <v>11</v>
      </c>
      <c r="AL1083" s="9" t="str" cm="1">
        <f t="array" ref="AL1083">_xlfn.IFS(AK1083 &lt;= 5, "New[1-5]", AK1083 &lt;= 10, "Early Career[6-10]", AK1083 &lt;= 20, "Established[11-20]", AK1083 &lt;= 30, "Veteran[21-30]", AK1083 &lt;= 40, "Late Career[31-40]")</f>
        <v>Established[11-20]</v>
      </c>
      <c r="AM1083" s="1">
        <v>8</v>
      </c>
      <c r="AN1083" s="9" t="str" cm="1">
        <f t="array" ref="AN1083">_xlfn.IFS(AM1083 &lt;= 3, "New to Role[1-3]", AM1083 &lt;= 7, "Settled[4-7]", AM1083 &lt;= 12, "Experienced[[8-12]", AM1083 &lt;= 18, "Long Tenured[13-18]")</f>
        <v>Experienced[[8-12]</v>
      </c>
      <c r="AO1083" s="1">
        <v>3</v>
      </c>
      <c r="AP1083" s="9" t="str" cm="1">
        <f t="array" ref="AP1083">_xlfn.IFS(AO1083 &lt;= 3, "Recently[1-3]", AO1083 &lt;= 6, "Due Soon[4-6]", AO1083 &lt;= 10, "Overdue[7-10]", AO1083 &lt;= 15, "Long Overdue[11-15]")</f>
        <v>Recently[1-3]</v>
      </c>
      <c r="AQ1083" s="9" t="str" cm="1">
        <f t="array" ref="AQ1083">_xlfn.IFS(AR1083 &lt;= 3, "New Relationship[1-3]", AR1083 &lt;= 7, "Established Relationship[4-7]", AR1083 &lt;= 12, "Long Term Relationship[8-12]", AR1083 &lt;= 17, "Very Long Term Relationship[13-17]")</f>
        <v>New Relationship[1-3]</v>
      </c>
      <c r="AR1083" s="1">
        <v>3</v>
      </c>
    </row>
    <row r="1084" spans="1:44" x14ac:dyDescent="0.25">
      <c r="A1084" s="1">
        <v>23</v>
      </c>
      <c r="B1084" s="8" t="str" cm="1">
        <f t="array" ref="B1084">_xlfn.IFS(A1084 &lt;= 25, "[18-25]", A1084 &lt;= 35, "[26-35]", A1084 &lt;=45, "[36-45]", A1084 &lt;= 60, "[46- 60]")</f>
        <v>[18-25]</v>
      </c>
      <c r="C1084" s="3" t="s">
        <v>43</v>
      </c>
      <c r="D1084">
        <f t="shared" si="16"/>
        <v>0</v>
      </c>
      <c r="E1084" t="s">
        <v>36</v>
      </c>
      <c r="F1084" s="1">
        <v>507</v>
      </c>
      <c r="G1084" s="3" t="s">
        <v>45</v>
      </c>
      <c r="H1084" s="1">
        <v>20</v>
      </c>
      <c r="I1084" s="9" t="str" cm="1">
        <f t="array" ref="I1084">_xlfn.IFS(H1084 &lt;= 2, "[1-2] very close", H1084 &lt;= 10, "[3-10] close", H1084 &lt;= 20, "[11-20] moderate", H1084 &lt;= 30, "[21-30] far")</f>
        <v>[11-20] moderate</v>
      </c>
      <c r="J1084" s="1">
        <v>1</v>
      </c>
      <c r="K1084" s="3" t="s">
        <v>38</v>
      </c>
      <c r="L1084" s="1">
        <v>1</v>
      </c>
      <c r="M1084" s="1">
        <v>1533</v>
      </c>
      <c r="N1084" s="1">
        <v>1</v>
      </c>
      <c r="O1084" s="3" t="s">
        <v>46</v>
      </c>
      <c r="P1084" s="1">
        <v>97</v>
      </c>
      <c r="Q1084" s="1">
        <v>3</v>
      </c>
      <c r="R1084" s="1">
        <v>2</v>
      </c>
      <c r="S1084" s="3" t="s">
        <v>50</v>
      </c>
      <c r="T1084" s="1">
        <v>3</v>
      </c>
      <c r="U1084" s="3" t="s">
        <v>41</v>
      </c>
      <c r="V1084" s="4">
        <v>2272</v>
      </c>
      <c r="W1084" s="1">
        <v>24812</v>
      </c>
      <c r="X1084" s="1">
        <v>0</v>
      </c>
      <c r="Y1084" s="3" t="s">
        <v>42</v>
      </c>
      <c r="Z1084" s="3" t="s">
        <v>43</v>
      </c>
      <c r="AA1084" s="5">
        <v>0.14000000000000001</v>
      </c>
      <c r="AB1084" s="10" t="str" cm="1">
        <f t="array" ref="AB1084">_xlfn.IFS(AA1084 &lt;= 15%, "Low Hike[11-15%]", AA1084 &lt;= 20%, "Moderate Hike[16-20%]", AA1084 &lt;= 25%,"High Hike[21-25%]")</f>
        <v>Low Hike[11-15%]</v>
      </c>
      <c r="AC1084" s="1">
        <v>3</v>
      </c>
      <c r="AD1084" s="1">
        <v>2</v>
      </c>
      <c r="AE1084" s="1">
        <v>80</v>
      </c>
      <c r="AF1084" s="1">
        <v>0</v>
      </c>
      <c r="AG1084" s="1">
        <v>5</v>
      </c>
      <c r="AH1084" s="9" t="str" cm="1">
        <f t="array" ref="AH1084">_xlfn.IFS(AG1084 &lt;= 5, "New[1-5]", AG1084 &lt;= 10, "Early Career[6-10]", AG1084 &lt;= 20, "Established[11-20]", AG1084 &lt;= 30, "Veteran[21-30]", AG1084 &lt;= 40, "Late Career[31-40]")</f>
        <v>New[1-5]</v>
      </c>
      <c r="AI1084" s="1">
        <v>2</v>
      </c>
      <c r="AJ1084" s="1">
        <v>3</v>
      </c>
      <c r="AK1084" s="1">
        <v>4</v>
      </c>
      <c r="AL1084" s="9" t="str" cm="1">
        <f t="array" ref="AL1084">_xlfn.IFS(AK1084 &lt;= 5, "New[1-5]", AK1084 &lt;= 10, "Early Career[6-10]", AK1084 &lt;= 20, "Established[11-20]", AK1084 &lt;= 30, "Veteran[21-30]", AK1084 &lt;= 40, "Late Career[31-40]")</f>
        <v>New[1-5]</v>
      </c>
      <c r="AM1084" s="1">
        <v>3</v>
      </c>
      <c r="AN1084" s="9" t="str" cm="1">
        <f t="array" ref="AN1084">_xlfn.IFS(AM1084 &lt;= 3, "New to Role[1-3]", AM1084 &lt;= 7, "Settled[4-7]", AM1084 &lt;= 12, "Experienced[[8-12]", AM1084 &lt;= 18, "Long Tenured[13-18]")</f>
        <v>New to Role[1-3]</v>
      </c>
      <c r="AO1084" s="1">
        <v>1</v>
      </c>
      <c r="AP1084" s="9" t="str" cm="1">
        <f t="array" ref="AP1084">_xlfn.IFS(AO1084 &lt;= 3, "Recently[1-3]", AO1084 &lt;= 6, "Due Soon[4-6]", AO1084 &lt;= 10, "Overdue[7-10]", AO1084 &lt;= 15, "Long Overdue[11-15]")</f>
        <v>Recently[1-3]</v>
      </c>
      <c r="AQ1084" s="9" t="str" cm="1">
        <f t="array" ref="AQ1084">_xlfn.IFS(AR1084 &lt;= 3, "New Relationship[1-3]", AR1084 &lt;= 7, "Established Relationship[4-7]", AR1084 &lt;= 12, "Long Term Relationship[8-12]", AR1084 &lt;= 17, "Very Long Term Relationship[13-17]")</f>
        <v>New Relationship[1-3]</v>
      </c>
      <c r="AR1084" s="1">
        <v>2</v>
      </c>
    </row>
    <row r="1085" spans="1:44" x14ac:dyDescent="0.25">
      <c r="A1085" s="1">
        <v>40</v>
      </c>
      <c r="B1085" s="8" t="str" cm="1">
        <f t="array" ref="B1085">_xlfn.IFS(A1085 &lt;= 25, "[18-25]", A1085 &lt;= 35, "[26-35]", A1085 &lt;=45, "[36-45]", A1085 &lt;= 60, "[46- 60]")</f>
        <v>[36-45]</v>
      </c>
      <c r="C1085" s="3" t="s">
        <v>35</v>
      </c>
      <c r="D1085">
        <f t="shared" si="16"/>
        <v>1</v>
      </c>
      <c r="E1085" t="s">
        <v>36</v>
      </c>
      <c r="F1085" s="1">
        <v>676</v>
      </c>
      <c r="G1085" s="3" t="s">
        <v>45</v>
      </c>
      <c r="H1085" s="1">
        <v>9</v>
      </c>
      <c r="I1085" s="9" t="str" cm="1">
        <f t="array" ref="I1085">_xlfn.IFS(H1085 &lt;= 2, "[1-2] very close", H1085 &lt;= 10, "[3-10] close", H1085 &lt;= 20, "[11-20] moderate", H1085 &lt;= 30, "[21-30] far")</f>
        <v>[3-10] close</v>
      </c>
      <c r="J1085" s="1">
        <v>4</v>
      </c>
      <c r="K1085" s="3" t="s">
        <v>38</v>
      </c>
      <c r="L1085" s="1">
        <v>1</v>
      </c>
      <c r="M1085" s="1">
        <v>1534</v>
      </c>
      <c r="N1085" s="1">
        <v>4</v>
      </c>
      <c r="O1085" s="3" t="s">
        <v>46</v>
      </c>
      <c r="P1085" s="1">
        <v>86</v>
      </c>
      <c r="Q1085" s="1">
        <v>3</v>
      </c>
      <c r="R1085" s="1">
        <v>1</v>
      </c>
      <c r="S1085" s="3" t="s">
        <v>50</v>
      </c>
      <c r="T1085" s="1">
        <v>1</v>
      </c>
      <c r="U1085" s="3" t="s">
        <v>41</v>
      </c>
      <c r="V1085" s="4">
        <v>2018</v>
      </c>
      <c r="W1085" s="1">
        <v>21831</v>
      </c>
      <c r="X1085" s="1">
        <v>3</v>
      </c>
      <c r="Y1085" s="3" t="s">
        <v>42</v>
      </c>
      <c r="Z1085" s="3" t="s">
        <v>43</v>
      </c>
      <c r="AA1085" s="5">
        <v>0.14000000000000001</v>
      </c>
      <c r="AB1085" s="10" t="str" cm="1">
        <f t="array" ref="AB1085">_xlfn.IFS(AA1085 &lt;= 15%, "Low Hike[11-15%]", AA1085 &lt;= 20%, "Moderate Hike[16-20%]", AA1085 &lt;= 25%,"High Hike[21-25%]")</f>
        <v>Low Hike[11-15%]</v>
      </c>
      <c r="AC1085" s="1">
        <v>3</v>
      </c>
      <c r="AD1085" s="1">
        <v>2</v>
      </c>
      <c r="AE1085" s="1">
        <v>80</v>
      </c>
      <c r="AF1085" s="1">
        <v>0</v>
      </c>
      <c r="AG1085" s="1">
        <v>15</v>
      </c>
      <c r="AH1085" s="9" t="str" cm="1">
        <f t="array" ref="AH1085">_xlfn.IFS(AG1085 &lt;= 5, "New[1-5]", AG1085 &lt;= 10, "Early Career[6-10]", AG1085 &lt;= 20, "Established[11-20]", AG1085 &lt;= 30, "Veteran[21-30]", AG1085 &lt;= 40, "Late Career[31-40]")</f>
        <v>Established[11-20]</v>
      </c>
      <c r="AI1085" s="1">
        <v>3</v>
      </c>
      <c r="AJ1085" s="1">
        <v>1</v>
      </c>
      <c r="AK1085" s="1">
        <v>5</v>
      </c>
      <c r="AL1085" s="9" t="str" cm="1">
        <f t="array" ref="AL1085">_xlfn.IFS(AK1085 &lt;= 5, "New[1-5]", AK1085 &lt;= 10, "Early Career[6-10]", AK1085 &lt;= 20, "Established[11-20]", AK1085 &lt;= 30, "Veteran[21-30]", AK1085 &lt;= 40, "Late Career[31-40]")</f>
        <v>New[1-5]</v>
      </c>
      <c r="AM1085" s="1">
        <v>4</v>
      </c>
      <c r="AN1085" s="9" t="str" cm="1">
        <f t="array" ref="AN1085">_xlfn.IFS(AM1085 &lt;= 3, "New to Role[1-3]", AM1085 &lt;= 7, "Settled[4-7]", AM1085 &lt;= 12, "Experienced[[8-12]", AM1085 &lt;= 18, "Long Tenured[13-18]")</f>
        <v>Settled[4-7]</v>
      </c>
      <c r="AO1085" s="1">
        <v>1</v>
      </c>
      <c r="AP1085" s="9" t="str" cm="1">
        <f t="array" ref="AP1085">_xlfn.IFS(AO1085 &lt;= 3, "Recently[1-3]", AO1085 &lt;= 6, "Due Soon[4-6]", AO1085 &lt;= 10, "Overdue[7-10]", AO1085 &lt;= 15, "Long Overdue[11-15]")</f>
        <v>Recently[1-3]</v>
      </c>
      <c r="AQ1085" s="9" t="str" cm="1">
        <f t="array" ref="AQ1085">_xlfn.IFS(AR1085 &lt;= 3, "New Relationship[1-3]", AR1085 &lt;= 7, "Established Relationship[4-7]", AR1085 &lt;= 12, "Long Term Relationship[8-12]", AR1085 &lt;= 17, "Very Long Term Relationship[13-17]")</f>
        <v>New Relationship[1-3]</v>
      </c>
      <c r="AR1085" s="1">
        <v>0</v>
      </c>
    </row>
    <row r="1086" spans="1:44" x14ac:dyDescent="0.25">
      <c r="A1086" s="1">
        <v>34</v>
      </c>
      <c r="B1086" s="8" t="str" cm="1">
        <f t="array" ref="B1086">_xlfn.IFS(A1086 &lt;= 25, "[18-25]", A1086 &lt;= 35, "[26-35]", A1086 &lt;=45, "[36-45]", A1086 &lt;= 60, "[46- 60]")</f>
        <v>[26-35]</v>
      </c>
      <c r="C1086" s="3" t="s">
        <v>43</v>
      </c>
      <c r="D1086">
        <f t="shared" si="16"/>
        <v>0</v>
      </c>
      <c r="E1086" t="s">
        <v>36</v>
      </c>
      <c r="F1086" s="1">
        <v>971</v>
      </c>
      <c r="G1086" s="3" t="s">
        <v>37</v>
      </c>
      <c r="H1086" s="1">
        <v>1</v>
      </c>
      <c r="I1086" s="9" t="str" cm="1">
        <f t="array" ref="I1086">_xlfn.IFS(H1086 &lt;= 2, "[1-2] very close", H1086 &lt;= 10, "[3-10] close", H1086 &lt;= 20, "[11-20] moderate", H1086 &lt;= 30, "[21-30] far")</f>
        <v>[1-2] very close</v>
      </c>
      <c r="J1086" s="1">
        <v>3</v>
      </c>
      <c r="K1086" s="3" t="s">
        <v>60</v>
      </c>
      <c r="L1086" s="1">
        <v>1</v>
      </c>
      <c r="M1086" s="1">
        <v>1535</v>
      </c>
      <c r="N1086" s="1">
        <v>4</v>
      </c>
      <c r="O1086" s="3" t="s">
        <v>46</v>
      </c>
      <c r="P1086" s="1">
        <v>64</v>
      </c>
      <c r="Q1086" s="1">
        <v>2</v>
      </c>
      <c r="R1086" s="1">
        <v>3</v>
      </c>
      <c r="S1086" s="3" t="s">
        <v>40</v>
      </c>
      <c r="T1086" s="1">
        <v>3</v>
      </c>
      <c r="U1086" s="3" t="s">
        <v>48</v>
      </c>
      <c r="V1086" s="4">
        <v>7083</v>
      </c>
      <c r="W1086" s="1">
        <v>12288</v>
      </c>
      <c r="X1086" s="1">
        <v>1</v>
      </c>
      <c r="Y1086" s="3" t="s">
        <v>42</v>
      </c>
      <c r="Z1086" s="3" t="s">
        <v>35</v>
      </c>
      <c r="AA1086" s="5">
        <v>0.14000000000000001</v>
      </c>
      <c r="AB1086" s="10" t="str" cm="1">
        <f t="array" ref="AB1086">_xlfn.IFS(AA1086 &lt;= 15%, "Low Hike[11-15%]", AA1086 &lt;= 20%, "Moderate Hike[16-20%]", AA1086 &lt;= 25%,"High Hike[21-25%]")</f>
        <v>Low Hike[11-15%]</v>
      </c>
      <c r="AC1086" s="1">
        <v>3</v>
      </c>
      <c r="AD1086" s="1">
        <v>4</v>
      </c>
      <c r="AE1086" s="1">
        <v>80</v>
      </c>
      <c r="AF1086" s="1">
        <v>0</v>
      </c>
      <c r="AG1086" s="1">
        <v>10</v>
      </c>
      <c r="AH1086" s="9" t="str" cm="1">
        <f t="array" ref="AH1086">_xlfn.IFS(AG1086 &lt;= 5, "New[1-5]", AG1086 &lt;= 10, "Early Career[6-10]", AG1086 &lt;= 20, "Established[11-20]", AG1086 &lt;= 30, "Veteran[21-30]", AG1086 &lt;= 40, "Late Career[31-40]")</f>
        <v>Early Career[6-10]</v>
      </c>
      <c r="AI1086" s="1">
        <v>3</v>
      </c>
      <c r="AJ1086" s="1">
        <v>3</v>
      </c>
      <c r="AK1086" s="1">
        <v>10</v>
      </c>
      <c r="AL1086" s="9" t="str" cm="1">
        <f t="array" ref="AL1086">_xlfn.IFS(AK1086 &lt;= 5, "New[1-5]", AK1086 &lt;= 10, "Early Career[6-10]", AK1086 &lt;= 20, "Established[11-20]", AK1086 &lt;= 30, "Veteran[21-30]", AK1086 &lt;= 40, "Late Career[31-40]")</f>
        <v>Early Career[6-10]</v>
      </c>
      <c r="AM1086" s="1">
        <v>9</v>
      </c>
      <c r="AN1086" s="9" t="str" cm="1">
        <f t="array" ref="AN1086">_xlfn.IFS(AM1086 &lt;= 3, "New to Role[1-3]", AM1086 &lt;= 7, "Settled[4-7]", AM1086 &lt;= 12, "Experienced[[8-12]", AM1086 &lt;= 18, "Long Tenured[13-18]")</f>
        <v>Experienced[[8-12]</v>
      </c>
      <c r="AO1086" s="1">
        <v>8</v>
      </c>
      <c r="AP1086" s="9" t="str" cm="1">
        <f t="array" ref="AP1086">_xlfn.IFS(AO1086 &lt;= 3, "Recently[1-3]", AO1086 &lt;= 6, "Due Soon[4-6]", AO1086 &lt;= 10, "Overdue[7-10]", AO1086 &lt;= 15, "Long Overdue[11-15]")</f>
        <v>Overdue[7-10]</v>
      </c>
      <c r="AQ1086" s="9" t="str" cm="1">
        <f t="array" ref="AQ1086">_xlfn.IFS(AR1086 &lt;= 3, "New Relationship[1-3]", AR1086 &lt;= 7, "Established Relationship[4-7]", AR1086 &lt;= 12, "Long Term Relationship[8-12]", AR1086 &lt;= 17, "Very Long Term Relationship[13-17]")</f>
        <v>Established Relationship[4-7]</v>
      </c>
      <c r="AR1086" s="1">
        <v>6</v>
      </c>
    </row>
    <row r="1087" spans="1:44" x14ac:dyDescent="0.25">
      <c r="A1087" s="1">
        <v>31</v>
      </c>
      <c r="B1087" s="8" t="str" cm="1">
        <f t="array" ref="B1087">_xlfn.IFS(A1087 &lt;= 25, "[18-25]", A1087 &lt;= 35, "[26-35]", A1087 &lt;=45, "[36-45]", A1087 &lt;= 60, "[46- 60]")</f>
        <v>[26-35]</v>
      </c>
      <c r="C1087" s="3" t="s">
        <v>35</v>
      </c>
      <c r="D1087">
        <f t="shared" si="16"/>
        <v>1</v>
      </c>
      <c r="E1087" t="s">
        <v>44</v>
      </c>
      <c r="F1087" s="1">
        <v>561</v>
      </c>
      <c r="G1087" s="3" t="s">
        <v>45</v>
      </c>
      <c r="H1087" s="1">
        <v>3</v>
      </c>
      <c r="I1087" s="9" t="str" cm="1">
        <f t="array" ref="I1087">_xlfn.IFS(H1087 &lt;= 2, "[1-2] very close", H1087 &lt;= 10, "[3-10] close", H1087 &lt;= 20, "[11-20] moderate", H1087 &lt;= 30, "[21-30] far")</f>
        <v>[3-10] close</v>
      </c>
      <c r="J1087" s="1">
        <v>3</v>
      </c>
      <c r="K1087" s="3" t="s">
        <v>38</v>
      </c>
      <c r="L1087" s="1">
        <v>1</v>
      </c>
      <c r="M1087" s="1">
        <v>1537</v>
      </c>
      <c r="N1087" s="1">
        <v>4</v>
      </c>
      <c r="O1087" s="3" t="s">
        <v>39</v>
      </c>
      <c r="P1087" s="1">
        <v>33</v>
      </c>
      <c r="Q1087" s="1">
        <v>3</v>
      </c>
      <c r="R1087" s="1">
        <v>1</v>
      </c>
      <c r="S1087" s="3" t="s">
        <v>47</v>
      </c>
      <c r="T1087" s="1">
        <v>3</v>
      </c>
      <c r="U1087" s="3" t="s">
        <v>41</v>
      </c>
      <c r="V1087" s="4">
        <v>4084</v>
      </c>
      <c r="W1087" s="1">
        <v>4156</v>
      </c>
      <c r="X1087" s="1">
        <v>1</v>
      </c>
      <c r="Y1087" s="3" t="s">
        <v>42</v>
      </c>
      <c r="Z1087" s="3" t="s">
        <v>43</v>
      </c>
      <c r="AA1087" s="5">
        <v>0.12</v>
      </c>
      <c r="AB1087" s="10" t="str" cm="1">
        <f t="array" ref="AB1087">_xlfn.IFS(AA1087 &lt;= 15%, "Low Hike[11-15%]", AA1087 &lt;= 20%, "Moderate Hike[16-20%]", AA1087 &lt;= 25%,"High Hike[21-25%]")</f>
        <v>Low Hike[11-15%]</v>
      </c>
      <c r="AC1087" s="1">
        <v>3</v>
      </c>
      <c r="AD1087" s="1">
        <v>1</v>
      </c>
      <c r="AE1087" s="1">
        <v>80</v>
      </c>
      <c r="AF1087" s="1">
        <v>0</v>
      </c>
      <c r="AG1087" s="1">
        <v>7</v>
      </c>
      <c r="AH1087" s="9" t="str" cm="1">
        <f t="array" ref="AH1087">_xlfn.IFS(AG1087 &lt;= 5, "New[1-5]", AG1087 &lt;= 10, "Early Career[6-10]", AG1087 &lt;= 20, "Established[11-20]", AG1087 &lt;= 30, "Veteran[21-30]", AG1087 &lt;= 40, "Late Career[31-40]")</f>
        <v>Early Career[6-10]</v>
      </c>
      <c r="AI1087" s="1">
        <v>2</v>
      </c>
      <c r="AJ1087" s="1">
        <v>1</v>
      </c>
      <c r="AK1087" s="1">
        <v>7</v>
      </c>
      <c r="AL1087" s="9" t="str" cm="1">
        <f t="array" ref="AL1087">_xlfn.IFS(AK1087 &lt;= 5, "New[1-5]", AK1087 &lt;= 10, "Early Career[6-10]", AK1087 &lt;= 20, "Established[11-20]", AK1087 &lt;= 30, "Veteran[21-30]", AK1087 &lt;= 40, "Late Career[31-40]")</f>
        <v>Early Career[6-10]</v>
      </c>
      <c r="AM1087" s="1">
        <v>2</v>
      </c>
      <c r="AN1087" s="9" t="str" cm="1">
        <f t="array" ref="AN1087">_xlfn.IFS(AM1087 &lt;= 3, "New to Role[1-3]", AM1087 &lt;= 7, "Settled[4-7]", AM1087 &lt;= 12, "Experienced[[8-12]", AM1087 &lt;= 18, "Long Tenured[13-18]")</f>
        <v>New to Role[1-3]</v>
      </c>
      <c r="AO1087" s="1">
        <v>7</v>
      </c>
      <c r="AP1087" s="9" t="str" cm="1">
        <f t="array" ref="AP1087">_xlfn.IFS(AO1087 &lt;= 3, "Recently[1-3]", AO1087 &lt;= 6, "Due Soon[4-6]", AO1087 &lt;= 10, "Overdue[7-10]", AO1087 &lt;= 15, "Long Overdue[11-15]")</f>
        <v>Overdue[7-10]</v>
      </c>
      <c r="AQ1087" s="9" t="str" cm="1">
        <f t="array" ref="AQ1087">_xlfn.IFS(AR1087 &lt;= 3, "New Relationship[1-3]", AR1087 &lt;= 7, "Established Relationship[4-7]", AR1087 &lt;= 12, "Long Term Relationship[8-12]", AR1087 &lt;= 17, "Very Long Term Relationship[13-17]")</f>
        <v>Established Relationship[4-7]</v>
      </c>
      <c r="AR1087" s="1">
        <v>7</v>
      </c>
    </row>
    <row r="1088" spans="1:44" x14ac:dyDescent="0.25">
      <c r="A1088" s="1">
        <v>50</v>
      </c>
      <c r="B1088" s="8" t="str" cm="1">
        <f t="array" ref="B1088">_xlfn.IFS(A1088 &lt;= 25, "[18-25]", A1088 &lt;= 35, "[26-35]", A1088 &lt;=45, "[36-45]", A1088 &lt;= 60, "[46- 60]")</f>
        <v>[46- 60]</v>
      </c>
      <c r="C1088" s="3" t="s">
        <v>43</v>
      </c>
      <c r="D1088">
        <f t="shared" si="16"/>
        <v>0</v>
      </c>
      <c r="E1088" t="s">
        <v>44</v>
      </c>
      <c r="F1088" s="1">
        <v>333</v>
      </c>
      <c r="G1088" s="3" t="s">
        <v>45</v>
      </c>
      <c r="H1088" s="1">
        <v>22</v>
      </c>
      <c r="I1088" s="9" t="str" cm="1">
        <f t="array" ref="I1088">_xlfn.IFS(H1088 &lt;= 2, "[1-2] very close", H1088 &lt;= 10, "[3-10] close", H1088 &lt;= 20, "[11-20] moderate", H1088 &lt;= 30, "[21-30] far")</f>
        <v>[21-30] far</v>
      </c>
      <c r="J1088" s="1">
        <v>5</v>
      </c>
      <c r="K1088" s="3" t="s">
        <v>51</v>
      </c>
      <c r="L1088" s="1">
        <v>1</v>
      </c>
      <c r="M1088" s="1">
        <v>1539</v>
      </c>
      <c r="N1088" s="1">
        <v>3</v>
      </c>
      <c r="O1088" s="3" t="s">
        <v>46</v>
      </c>
      <c r="P1088" s="1">
        <v>88</v>
      </c>
      <c r="Q1088" s="1">
        <v>1</v>
      </c>
      <c r="R1088" s="1">
        <v>4</v>
      </c>
      <c r="S1088" s="3" t="s">
        <v>58</v>
      </c>
      <c r="T1088" s="1">
        <v>4</v>
      </c>
      <c r="U1088" s="3" t="s">
        <v>41</v>
      </c>
      <c r="V1088" s="4">
        <v>14411</v>
      </c>
      <c r="W1088" s="1">
        <v>24450</v>
      </c>
      <c r="X1088" s="1">
        <v>1</v>
      </c>
      <c r="Y1088" s="3" t="s">
        <v>42</v>
      </c>
      <c r="Z1088" s="3" t="s">
        <v>35</v>
      </c>
      <c r="AA1088" s="5">
        <v>0.13</v>
      </c>
      <c r="AB1088" s="10" t="str" cm="1">
        <f t="array" ref="AB1088">_xlfn.IFS(AA1088 &lt;= 15%, "Low Hike[11-15%]", AA1088 &lt;= 20%, "Moderate Hike[16-20%]", AA1088 &lt;= 25%,"High Hike[21-25%]")</f>
        <v>Low Hike[11-15%]</v>
      </c>
      <c r="AC1088" s="1">
        <v>3</v>
      </c>
      <c r="AD1088" s="1">
        <v>4</v>
      </c>
      <c r="AE1088" s="1">
        <v>80</v>
      </c>
      <c r="AF1088" s="1">
        <v>0</v>
      </c>
      <c r="AG1088" s="1">
        <v>32</v>
      </c>
      <c r="AH1088" s="9" t="str" cm="1">
        <f t="array" ref="AH1088">_xlfn.IFS(AG1088 &lt;= 5, "New[1-5]", AG1088 &lt;= 10, "Early Career[6-10]", AG1088 &lt;= 20, "Established[11-20]", AG1088 &lt;= 30, "Veteran[21-30]", AG1088 &lt;= 40, "Late Career[31-40]")</f>
        <v>Late Career[31-40]</v>
      </c>
      <c r="AI1088" s="1">
        <v>2</v>
      </c>
      <c r="AJ1088" s="1">
        <v>3</v>
      </c>
      <c r="AK1088" s="1">
        <v>32</v>
      </c>
      <c r="AL1088" s="9" t="str" cm="1">
        <f t="array" ref="AL1088">_xlfn.IFS(AK1088 &lt;= 5, "New[1-5]", AK1088 &lt;= 10, "Early Career[6-10]", AK1088 &lt;= 20, "Established[11-20]", AK1088 &lt;= 30, "Veteran[21-30]", AK1088 &lt;= 40, "Late Career[31-40]")</f>
        <v>Late Career[31-40]</v>
      </c>
      <c r="AM1088" s="1">
        <v>6</v>
      </c>
      <c r="AN1088" s="9" t="str" cm="1">
        <f t="array" ref="AN1088">_xlfn.IFS(AM1088 &lt;= 3, "New to Role[1-3]", AM1088 &lt;= 7, "Settled[4-7]", AM1088 &lt;= 12, "Experienced[[8-12]", AM1088 &lt;= 18, "Long Tenured[13-18]")</f>
        <v>Settled[4-7]</v>
      </c>
      <c r="AO1088" s="1">
        <v>13</v>
      </c>
      <c r="AP1088" s="9" t="str" cm="1">
        <f t="array" ref="AP1088">_xlfn.IFS(AO1088 &lt;= 3, "Recently[1-3]", AO1088 &lt;= 6, "Due Soon[4-6]", AO1088 &lt;= 10, "Overdue[7-10]", AO1088 &lt;= 15, "Long Overdue[11-15]")</f>
        <v>Long Overdue[11-15]</v>
      </c>
      <c r="AQ1088" s="9" t="str" cm="1">
        <f t="array" ref="AQ1088">_xlfn.IFS(AR1088 &lt;= 3, "New Relationship[1-3]", AR1088 &lt;= 7, "Established Relationship[4-7]", AR1088 &lt;= 12, "Long Term Relationship[8-12]", AR1088 &lt;= 17, "Very Long Term Relationship[13-17]")</f>
        <v>Long Term Relationship[8-12]</v>
      </c>
      <c r="AR1088" s="1">
        <v>9</v>
      </c>
    </row>
    <row r="1089" spans="1:44" x14ac:dyDescent="0.25">
      <c r="A1089" s="1">
        <v>34</v>
      </c>
      <c r="B1089" s="8" t="str" cm="1">
        <f t="array" ref="B1089">_xlfn.IFS(A1089 &lt;= 25, "[18-25]", A1089 &lt;= 35, "[26-35]", A1089 &lt;=45, "[36-45]", A1089 &lt;= 60, "[46- 60]")</f>
        <v>[26-35]</v>
      </c>
      <c r="C1089" s="3" t="s">
        <v>43</v>
      </c>
      <c r="D1089">
        <f t="shared" si="16"/>
        <v>0</v>
      </c>
      <c r="E1089" t="s">
        <v>36</v>
      </c>
      <c r="F1089" s="1">
        <v>1440</v>
      </c>
      <c r="G1089" s="3" t="s">
        <v>37</v>
      </c>
      <c r="H1089" s="1">
        <v>7</v>
      </c>
      <c r="I1089" s="9" t="str" cm="1">
        <f t="array" ref="I1089">_xlfn.IFS(H1089 &lt;= 2, "[1-2] very close", H1089 &lt;= 10, "[3-10] close", H1089 &lt;= 20, "[11-20] moderate", H1089 &lt;= 30, "[21-30] far")</f>
        <v>[3-10] close</v>
      </c>
      <c r="J1089" s="1">
        <v>2</v>
      </c>
      <c r="K1089" s="3" t="s">
        <v>60</v>
      </c>
      <c r="L1089" s="1">
        <v>1</v>
      </c>
      <c r="M1089" s="1">
        <v>1541</v>
      </c>
      <c r="N1089" s="1">
        <v>2</v>
      </c>
      <c r="O1089" s="3" t="s">
        <v>46</v>
      </c>
      <c r="P1089" s="1">
        <v>55</v>
      </c>
      <c r="Q1089" s="1">
        <v>3</v>
      </c>
      <c r="R1089" s="1">
        <v>1</v>
      </c>
      <c r="S1089" s="3" t="s">
        <v>57</v>
      </c>
      <c r="T1089" s="1">
        <v>3</v>
      </c>
      <c r="U1089" s="3" t="s">
        <v>48</v>
      </c>
      <c r="V1089" s="4">
        <v>2308</v>
      </c>
      <c r="W1089" s="1">
        <v>4944</v>
      </c>
      <c r="X1089" s="1">
        <v>0</v>
      </c>
      <c r="Y1089" s="3" t="s">
        <v>42</v>
      </c>
      <c r="Z1089" s="3" t="s">
        <v>35</v>
      </c>
      <c r="AA1089" s="5">
        <v>0.25</v>
      </c>
      <c r="AB1089" s="10" t="str" cm="1">
        <f t="array" ref="AB1089">_xlfn.IFS(AA1089 &lt;= 15%, "Low Hike[11-15%]", AA1089 &lt;= 20%, "Moderate Hike[16-20%]", AA1089 &lt;= 25%,"High Hike[21-25%]")</f>
        <v>High Hike[21-25%]</v>
      </c>
      <c r="AC1089" s="1">
        <v>4</v>
      </c>
      <c r="AD1089" s="1">
        <v>2</v>
      </c>
      <c r="AE1089" s="1">
        <v>80</v>
      </c>
      <c r="AF1089" s="1">
        <v>1</v>
      </c>
      <c r="AG1089" s="1">
        <v>12</v>
      </c>
      <c r="AH1089" s="9" t="str" cm="1">
        <f t="array" ref="AH1089">_xlfn.IFS(AG1089 &lt;= 5, "New[1-5]", AG1089 &lt;= 10, "Early Career[6-10]", AG1089 &lt;= 20, "Established[11-20]", AG1089 &lt;= 30, "Veteran[21-30]", AG1089 &lt;= 40, "Late Career[31-40]")</f>
        <v>Established[11-20]</v>
      </c>
      <c r="AI1089" s="1">
        <v>4</v>
      </c>
      <c r="AJ1089" s="1">
        <v>3</v>
      </c>
      <c r="AK1089" s="1">
        <v>11</v>
      </c>
      <c r="AL1089" s="9" t="str" cm="1">
        <f t="array" ref="AL1089">_xlfn.IFS(AK1089 &lt;= 5, "New[1-5]", AK1089 &lt;= 10, "Early Career[6-10]", AK1089 &lt;= 20, "Established[11-20]", AK1089 &lt;= 30, "Veteran[21-30]", AK1089 &lt;= 40, "Late Career[31-40]")</f>
        <v>Established[11-20]</v>
      </c>
      <c r="AM1089" s="1">
        <v>10</v>
      </c>
      <c r="AN1089" s="9" t="str" cm="1">
        <f t="array" ref="AN1089">_xlfn.IFS(AM1089 &lt;= 3, "New to Role[1-3]", AM1089 &lt;= 7, "Settled[4-7]", AM1089 &lt;= 12, "Experienced[[8-12]", AM1089 &lt;= 18, "Long Tenured[13-18]")</f>
        <v>Experienced[[8-12]</v>
      </c>
      <c r="AO1089" s="1">
        <v>5</v>
      </c>
      <c r="AP1089" s="9" t="str" cm="1">
        <f t="array" ref="AP1089">_xlfn.IFS(AO1089 &lt;= 3, "Recently[1-3]", AO1089 &lt;= 6, "Due Soon[4-6]", AO1089 &lt;= 10, "Overdue[7-10]", AO1089 &lt;= 15, "Long Overdue[11-15]")</f>
        <v>Due Soon[4-6]</v>
      </c>
      <c r="AQ1089" s="9" t="str" cm="1">
        <f t="array" ref="AQ1089">_xlfn.IFS(AR1089 &lt;= 3, "New Relationship[1-3]", AR1089 &lt;= 7, "Established Relationship[4-7]", AR1089 &lt;= 12, "Long Term Relationship[8-12]", AR1089 &lt;= 17, "Very Long Term Relationship[13-17]")</f>
        <v>Established Relationship[4-7]</v>
      </c>
      <c r="AR1089" s="1">
        <v>7</v>
      </c>
    </row>
    <row r="1090" spans="1:44" x14ac:dyDescent="0.25">
      <c r="A1090" s="1">
        <v>42</v>
      </c>
      <c r="B1090" s="8" t="str" cm="1">
        <f t="array" ref="B1090">_xlfn.IFS(A1090 &lt;= 25, "[18-25]", A1090 &lt;= 35, "[26-35]", A1090 &lt;=45, "[36-45]", A1090 &lt;= 60, "[46- 60]")</f>
        <v>[36-45]</v>
      </c>
      <c r="C1090" s="3" t="s">
        <v>43</v>
      </c>
      <c r="D1090">
        <f t="shared" ref="D1090:D1153" si="17">IF(C1090 = "Yes",1, 0)</f>
        <v>0</v>
      </c>
      <c r="E1090" t="s">
        <v>36</v>
      </c>
      <c r="F1090" s="1">
        <v>1210</v>
      </c>
      <c r="G1090" s="3" t="s">
        <v>45</v>
      </c>
      <c r="H1090" s="1">
        <v>2</v>
      </c>
      <c r="I1090" s="9" t="str" cm="1">
        <f t="array" ref="I1090">_xlfn.IFS(H1090 &lt;= 2, "[1-2] very close", H1090 &lt;= 10, "[3-10] close", H1090 &lt;= 20, "[11-20] moderate", H1090 &lt;= 30, "[21-30] far")</f>
        <v>[1-2] very close</v>
      </c>
      <c r="J1090" s="1">
        <v>3</v>
      </c>
      <c r="K1090" s="3" t="s">
        <v>51</v>
      </c>
      <c r="L1090" s="1">
        <v>1</v>
      </c>
      <c r="M1090" s="1">
        <v>1542</v>
      </c>
      <c r="N1090" s="1">
        <v>3</v>
      </c>
      <c r="O1090" s="3" t="s">
        <v>46</v>
      </c>
      <c r="P1090" s="1">
        <v>68</v>
      </c>
      <c r="Q1090" s="1">
        <v>2</v>
      </c>
      <c r="R1090" s="1">
        <v>1</v>
      </c>
      <c r="S1090" s="3" t="s">
        <v>50</v>
      </c>
      <c r="T1090" s="1">
        <v>2</v>
      </c>
      <c r="U1090" s="3" t="s">
        <v>48</v>
      </c>
      <c r="V1090" s="4">
        <v>4841</v>
      </c>
      <c r="W1090" s="1">
        <v>24052</v>
      </c>
      <c r="X1090" s="1">
        <v>4</v>
      </c>
      <c r="Y1090" s="3" t="s">
        <v>42</v>
      </c>
      <c r="Z1090" s="3" t="s">
        <v>43</v>
      </c>
      <c r="AA1090" s="5">
        <v>0.14000000000000001</v>
      </c>
      <c r="AB1090" s="10" t="str" cm="1">
        <f t="array" ref="AB1090">_xlfn.IFS(AA1090 &lt;= 15%, "Low Hike[11-15%]", AA1090 &lt;= 20%, "Moderate Hike[16-20%]", AA1090 &lt;= 25%,"High Hike[21-25%]")</f>
        <v>Low Hike[11-15%]</v>
      </c>
      <c r="AC1090" s="1">
        <v>3</v>
      </c>
      <c r="AD1090" s="1">
        <v>2</v>
      </c>
      <c r="AE1090" s="1">
        <v>80</v>
      </c>
      <c r="AF1090" s="1">
        <v>1</v>
      </c>
      <c r="AG1090" s="1">
        <v>4</v>
      </c>
      <c r="AH1090" s="9" t="str" cm="1">
        <f t="array" ref="AH1090">_xlfn.IFS(AG1090 &lt;= 5, "New[1-5]", AG1090 &lt;= 10, "Early Career[6-10]", AG1090 &lt;= 20, "Established[11-20]", AG1090 &lt;= 30, "Veteran[21-30]", AG1090 &lt;= 40, "Late Career[31-40]")</f>
        <v>New[1-5]</v>
      </c>
      <c r="AI1090" s="1">
        <v>3</v>
      </c>
      <c r="AJ1090" s="1">
        <v>3</v>
      </c>
      <c r="AK1090" s="1">
        <v>1</v>
      </c>
      <c r="AL1090" s="9" t="str" cm="1">
        <f t="array" ref="AL1090">_xlfn.IFS(AK1090 &lt;= 5, "New[1-5]", AK1090 &lt;= 10, "Early Career[6-10]", AK1090 &lt;= 20, "Established[11-20]", AK1090 &lt;= 30, "Veteran[21-30]", AK1090 &lt;= 40, "Late Career[31-40]")</f>
        <v>New[1-5]</v>
      </c>
      <c r="AM1090" s="1">
        <v>0</v>
      </c>
      <c r="AN1090" s="9" t="str" cm="1">
        <f t="array" ref="AN1090">_xlfn.IFS(AM1090 &lt;= 3, "New to Role[1-3]", AM1090 &lt;= 7, "Settled[4-7]", AM1090 &lt;= 12, "Experienced[[8-12]", AM1090 &lt;= 18, "Long Tenured[13-18]")</f>
        <v>New to Role[1-3]</v>
      </c>
      <c r="AO1090" s="1">
        <v>0</v>
      </c>
      <c r="AP1090" s="9" t="str" cm="1">
        <f t="array" ref="AP1090">_xlfn.IFS(AO1090 &lt;= 3, "Recently[1-3]", AO1090 &lt;= 6, "Due Soon[4-6]", AO1090 &lt;= 10, "Overdue[7-10]", AO1090 &lt;= 15, "Long Overdue[11-15]")</f>
        <v>Recently[1-3]</v>
      </c>
      <c r="AQ1090" s="9" t="str" cm="1">
        <f t="array" ref="AQ1090">_xlfn.IFS(AR1090 &lt;= 3, "New Relationship[1-3]", AR1090 &lt;= 7, "Established Relationship[4-7]", AR1090 &lt;= 12, "Long Term Relationship[8-12]", AR1090 &lt;= 17, "Very Long Term Relationship[13-17]")</f>
        <v>New Relationship[1-3]</v>
      </c>
      <c r="AR1090" s="1">
        <v>0</v>
      </c>
    </row>
    <row r="1091" spans="1:44" x14ac:dyDescent="0.25">
      <c r="A1091" s="1">
        <v>37</v>
      </c>
      <c r="B1091" s="8" t="str" cm="1">
        <f t="array" ref="B1091">_xlfn.IFS(A1091 &lt;= 25, "[18-25]", A1091 &lt;= 35, "[26-35]", A1091 &lt;=45, "[36-45]", A1091 &lt;= 60, "[46- 60]")</f>
        <v>[36-45]</v>
      </c>
      <c r="C1091" s="3" t="s">
        <v>43</v>
      </c>
      <c r="D1091">
        <f t="shared" si="17"/>
        <v>0</v>
      </c>
      <c r="E1091" t="s">
        <v>36</v>
      </c>
      <c r="F1091" s="1">
        <v>674</v>
      </c>
      <c r="G1091" s="3" t="s">
        <v>45</v>
      </c>
      <c r="H1091" s="1">
        <v>13</v>
      </c>
      <c r="I1091" s="9" t="str" cm="1">
        <f t="array" ref="I1091">_xlfn.IFS(H1091 &lt;= 2, "[1-2] very close", H1091 &lt;= 10, "[3-10] close", H1091 &lt;= 20, "[11-20] moderate", H1091 &lt;= 30, "[21-30] far")</f>
        <v>[11-20] moderate</v>
      </c>
      <c r="J1091" s="1">
        <v>3</v>
      </c>
      <c r="K1091" s="3" t="s">
        <v>51</v>
      </c>
      <c r="L1091" s="1">
        <v>1</v>
      </c>
      <c r="M1091" s="1">
        <v>1543</v>
      </c>
      <c r="N1091" s="1">
        <v>1</v>
      </c>
      <c r="O1091" s="3" t="s">
        <v>46</v>
      </c>
      <c r="P1091" s="1">
        <v>47</v>
      </c>
      <c r="Q1091" s="1">
        <v>3</v>
      </c>
      <c r="R1091" s="1">
        <v>2</v>
      </c>
      <c r="S1091" s="3" t="s">
        <v>47</v>
      </c>
      <c r="T1091" s="1">
        <v>4</v>
      </c>
      <c r="U1091" s="3" t="s">
        <v>48</v>
      </c>
      <c r="V1091" s="4">
        <v>4285</v>
      </c>
      <c r="W1091" s="1">
        <v>3031</v>
      </c>
      <c r="X1091" s="1">
        <v>1</v>
      </c>
      <c r="Y1091" s="3" t="s">
        <v>42</v>
      </c>
      <c r="Z1091" s="3" t="s">
        <v>43</v>
      </c>
      <c r="AA1091" s="5">
        <v>0.17</v>
      </c>
      <c r="AB1091" s="10" t="str" cm="1">
        <f t="array" ref="AB1091">_xlfn.IFS(AA1091 &lt;= 15%, "Low Hike[11-15%]", AA1091 &lt;= 20%, "Moderate Hike[16-20%]", AA1091 &lt;= 25%,"High Hike[21-25%]")</f>
        <v>Moderate Hike[16-20%]</v>
      </c>
      <c r="AC1091" s="1">
        <v>3</v>
      </c>
      <c r="AD1091" s="1">
        <v>1</v>
      </c>
      <c r="AE1091" s="1">
        <v>80</v>
      </c>
      <c r="AF1091" s="1">
        <v>0</v>
      </c>
      <c r="AG1091" s="1">
        <v>10</v>
      </c>
      <c r="AH1091" s="9" t="str" cm="1">
        <f t="array" ref="AH1091">_xlfn.IFS(AG1091 &lt;= 5, "New[1-5]", AG1091 &lt;= 10, "Early Career[6-10]", AG1091 &lt;= 20, "Established[11-20]", AG1091 &lt;= 30, "Veteran[21-30]", AG1091 &lt;= 40, "Late Career[31-40]")</f>
        <v>Early Career[6-10]</v>
      </c>
      <c r="AI1091" s="1">
        <v>2</v>
      </c>
      <c r="AJ1091" s="1">
        <v>3</v>
      </c>
      <c r="AK1091" s="1">
        <v>10</v>
      </c>
      <c r="AL1091" s="9" t="str" cm="1">
        <f t="array" ref="AL1091">_xlfn.IFS(AK1091 &lt;= 5, "New[1-5]", AK1091 &lt;= 10, "Early Career[6-10]", AK1091 &lt;= 20, "Established[11-20]", AK1091 &lt;= 30, "Veteran[21-30]", AK1091 &lt;= 40, "Late Career[31-40]")</f>
        <v>Early Career[6-10]</v>
      </c>
      <c r="AM1091" s="1">
        <v>8</v>
      </c>
      <c r="AN1091" s="9" t="str" cm="1">
        <f t="array" ref="AN1091">_xlfn.IFS(AM1091 &lt;= 3, "New to Role[1-3]", AM1091 &lt;= 7, "Settled[4-7]", AM1091 &lt;= 12, "Experienced[[8-12]", AM1091 &lt;= 18, "Long Tenured[13-18]")</f>
        <v>Experienced[[8-12]</v>
      </c>
      <c r="AO1091" s="1">
        <v>3</v>
      </c>
      <c r="AP1091" s="9" t="str" cm="1">
        <f t="array" ref="AP1091">_xlfn.IFS(AO1091 &lt;= 3, "Recently[1-3]", AO1091 &lt;= 6, "Due Soon[4-6]", AO1091 &lt;= 10, "Overdue[7-10]", AO1091 &lt;= 15, "Long Overdue[11-15]")</f>
        <v>Recently[1-3]</v>
      </c>
      <c r="AQ1091" s="9" t="str" cm="1">
        <f t="array" ref="AQ1091">_xlfn.IFS(AR1091 &lt;= 3, "New Relationship[1-3]", AR1091 &lt;= 7, "Established Relationship[4-7]", AR1091 &lt;= 12, "Long Term Relationship[8-12]", AR1091 &lt;= 17, "Very Long Term Relationship[13-17]")</f>
        <v>Established Relationship[4-7]</v>
      </c>
      <c r="AR1091" s="1">
        <v>7</v>
      </c>
    </row>
    <row r="1092" spans="1:44" x14ac:dyDescent="0.25">
      <c r="A1092" s="1">
        <v>29</v>
      </c>
      <c r="B1092" s="8" t="str" cm="1">
        <f t="array" ref="B1092">_xlfn.IFS(A1092 &lt;= 25, "[18-25]", A1092 &lt;= 35, "[26-35]", A1092 &lt;=45, "[36-45]", A1092 &lt;= 60, "[46- 60]")</f>
        <v>[26-35]</v>
      </c>
      <c r="C1092" s="3" t="s">
        <v>43</v>
      </c>
      <c r="D1092">
        <f t="shared" si="17"/>
        <v>0</v>
      </c>
      <c r="E1092" t="s">
        <v>36</v>
      </c>
      <c r="F1092" s="1">
        <v>441</v>
      </c>
      <c r="G1092" s="3" t="s">
        <v>45</v>
      </c>
      <c r="H1092" s="1">
        <v>8</v>
      </c>
      <c r="I1092" s="9" t="str" cm="1">
        <f t="array" ref="I1092">_xlfn.IFS(H1092 &lt;= 2, "[1-2] very close", H1092 &lt;= 10, "[3-10] close", H1092 &lt;= 20, "[11-20] moderate", H1092 &lt;= 30, "[21-30] far")</f>
        <v>[3-10] close</v>
      </c>
      <c r="J1092" s="1">
        <v>1</v>
      </c>
      <c r="K1092" s="3" t="s">
        <v>49</v>
      </c>
      <c r="L1092" s="1">
        <v>1</v>
      </c>
      <c r="M1092" s="1">
        <v>1544</v>
      </c>
      <c r="N1092" s="1">
        <v>3</v>
      </c>
      <c r="O1092" s="3" t="s">
        <v>39</v>
      </c>
      <c r="P1092" s="1">
        <v>39</v>
      </c>
      <c r="Q1092" s="1">
        <v>1</v>
      </c>
      <c r="R1092" s="1">
        <v>2</v>
      </c>
      <c r="S1092" s="3" t="s">
        <v>54</v>
      </c>
      <c r="T1092" s="1">
        <v>1</v>
      </c>
      <c r="U1092" s="3" t="s">
        <v>48</v>
      </c>
      <c r="V1092" s="4">
        <v>9715</v>
      </c>
      <c r="W1092" s="1">
        <v>7288</v>
      </c>
      <c r="X1092" s="1">
        <v>3</v>
      </c>
      <c r="Y1092" s="3" t="s">
        <v>42</v>
      </c>
      <c r="Z1092" s="3" t="s">
        <v>43</v>
      </c>
      <c r="AA1092" s="5">
        <v>0.13</v>
      </c>
      <c r="AB1092" s="10" t="str" cm="1">
        <f t="array" ref="AB1092">_xlfn.IFS(AA1092 &lt;= 15%, "Low Hike[11-15%]", AA1092 &lt;= 20%, "Moderate Hike[16-20%]", AA1092 &lt;= 25%,"High Hike[21-25%]")</f>
        <v>Low Hike[11-15%]</v>
      </c>
      <c r="AC1092" s="1">
        <v>3</v>
      </c>
      <c r="AD1092" s="1">
        <v>3</v>
      </c>
      <c r="AE1092" s="1">
        <v>80</v>
      </c>
      <c r="AF1092" s="1">
        <v>1</v>
      </c>
      <c r="AG1092" s="1">
        <v>9</v>
      </c>
      <c r="AH1092" s="9" t="str" cm="1">
        <f t="array" ref="AH1092">_xlfn.IFS(AG1092 &lt;= 5, "New[1-5]", AG1092 &lt;= 10, "Early Career[6-10]", AG1092 &lt;= 20, "Established[11-20]", AG1092 &lt;= 30, "Veteran[21-30]", AG1092 &lt;= 40, "Late Career[31-40]")</f>
        <v>Early Career[6-10]</v>
      </c>
      <c r="AI1092" s="1">
        <v>3</v>
      </c>
      <c r="AJ1092" s="1">
        <v>3</v>
      </c>
      <c r="AK1092" s="1">
        <v>7</v>
      </c>
      <c r="AL1092" s="9" t="str" cm="1">
        <f t="array" ref="AL1092">_xlfn.IFS(AK1092 &lt;= 5, "New[1-5]", AK1092 &lt;= 10, "Early Career[6-10]", AK1092 &lt;= 20, "Established[11-20]", AK1092 &lt;= 30, "Veteran[21-30]", AK1092 &lt;= 40, "Late Career[31-40]")</f>
        <v>Early Career[6-10]</v>
      </c>
      <c r="AM1092" s="1">
        <v>7</v>
      </c>
      <c r="AN1092" s="9" t="str" cm="1">
        <f t="array" ref="AN1092">_xlfn.IFS(AM1092 &lt;= 3, "New to Role[1-3]", AM1092 &lt;= 7, "Settled[4-7]", AM1092 &lt;= 12, "Experienced[[8-12]", AM1092 &lt;= 18, "Long Tenured[13-18]")</f>
        <v>Settled[4-7]</v>
      </c>
      <c r="AO1092" s="1">
        <v>0</v>
      </c>
      <c r="AP1092" s="9" t="str" cm="1">
        <f t="array" ref="AP1092">_xlfn.IFS(AO1092 &lt;= 3, "Recently[1-3]", AO1092 &lt;= 6, "Due Soon[4-6]", AO1092 &lt;= 10, "Overdue[7-10]", AO1092 &lt;= 15, "Long Overdue[11-15]")</f>
        <v>Recently[1-3]</v>
      </c>
      <c r="AQ1092" s="9" t="str" cm="1">
        <f t="array" ref="AQ1092">_xlfn.IFS(AR1092 &lt;= 3, "New Relationship[1-3]", AR1092 &lt;= 7, "Established Relationship[4-7]", AR1092 &lt;= 12, "Long Term Relationship[8-12]", AR1092 &lt;= 17, "Very Long Term Relationship[13-17]")</f>
        <v>Established Relationship[4-7]</v>
      </c>
      <c r="AR1092" s="1">
        <v>7</v>
      </c>
    </row>
    <row r="1093" spans="1:44" x14ac:dyDescent="0.25">
      <c r="A1093" s="1">
        <v>33</v>
      </c>
      <c r="B1093" s="8" t="str" cm="1">
        <f t="array" ref="B1093">_xlfn.IFS(A1093 &lt;= 25, "[18-25]", A1093 &lt;= 35, "[26-35]", A1093 &lt;=45, "[36-45]", A1093 &lt;= 60, "[46- 60]")</f>
        <v>[26-35]</v>
      </c>
      <c r="C1093" s="3" t="s">
        <v>43</v>
      </c>
      <c r="D1093">
        <f t="shared" si="17"/>
        <v>0</v>
      </c>
      <c r="E1093" t="s">
        <v>36</v>
      </c>
      <c r="F1093" s="1">
        <v>575</v>
      </c>
      <c r="G1093" s="3" t="s">
        <v>45</v>
      </c>
      <c r="H1093" s="1">
        <v>25</v>
      </c>
      <c r="I1093" s="9" t="str" cm="1">
        <f t="array" ref="I1093">_xlfn.IFS(H1093 &lt;= 2, "[1-2] very close", H1093 &lt;= 10, "[3-10] close", H1093 &lt;= 20, "[11-20] moderate", H1093 &lt;= 30, "[21-30] far")</f>
        <v>[21-30] far</v>
      </c>
      <c r="J1093" s="1">
        <v>3</v>
      </c>
      <c r="K1093" s="3" t="s">
        <v>38</v>
      </c>
      <c r="L1093" s="1">
        <v>1</v>
      </c>
      <c r="M1093" s="1">
        <v>1545</v>
      </c>
      <c r="N1093" s="1">
        <v>4</v>
      </c>
      <c r="O1093" s="3" t="s">
        <v>46</v>
      </c>
      <c r="P1093" s="1">
        <v>44</v>
      </c>
      <c r="Q1093" s="1">
        <v>2</v>
      </c>
      <c r="R1093" s="1">
        <v>2</v>
      </c>
      <c r="S1093" s="3" t="s">
        <v>53</v>
      </c>
      <c r="T1093" s="1">
        <v>2</v>
      </c>
      <c r="U1093" s="3" t="s">
        <v>41</v>
      </c>
      <c r="V1093" s="4">
        <v>4320</v>
      </c>
      <c r="W1093" s="1">
        <v>24152</v>
      </c>
      <c r="X1093" s="1">
        <v>1</v>
      </c>
      <c r="Y1093" s="3" t="s">
        <v>42</v>
      </c>
      <c r="Z1093" s="3" t="s">
        <v>43</v>
      </c>
      <c r="AA1093" s="5">
        <v>0.13</v>
      </c>
      <c r="AB1093" s="10" t="str" cm="1">
        <f t="array" ref="AB1093">_xlfn.IFS(AA1093 &lt;= 15%, "Low Hike[11-15%]", AA1093 &lt;= 20%, "Moderate Hike[16-20%]", AA1093 &lt;= 25%,"High Hike[21-25%]")</f>
        <v>Low Hike[11-15%]</v>
      </c>
      <c r="AC1093" s="1">
        <v>3</v>
      </c>
      <c r="AD1093" s="1">
        <v>4</v>
      </c>
      <c r="AE1093" s="1">
        <v>80</v>
      </c>
      <c r="AF1093" s="1">
        <v>0</v>
      </c>
      <c r="AG1093" s="1">
        <v>5</v>
      </c>
      <c r="AH1093" s="9" t="str" cm="1">
        <f t="array" ref="AH1093">_xlfn.IFS(AG1093 &lt;= 5, "New[1-5]", AG1093 &lt;= 10, "Early Career[6-10]", AG1093 &lt;= 20, "Established[11-20]", AG1093 &lt;= 30, "Veteran[21-30]", AG1093 &lt;= 40, "Late Career[31-40]")</f>
        <v>New[1-5]</v>
      </c>
      <c r="AI1093" s="1">
        <v>2</v>
      </c>
      <c r="AJ1093" s="1">
        <v>3</v>
      </c>
      <c r="AK1093" s="1">
        <v>5</v>
      </c>
      <c r="AL1093" s="9" t="str" cm="1">
        <f t="array" ref="AL1093">_xlfn.IFS(AK1093 &lt;= 5, "New[1-5]", AK1093 &lt;= 10, "Early Career[6-10]", AK1093 &lt;= 20, "Established[11-20]", AK1093 &lt;= 30, "Veteran[21-30]", AK1093 &lt;= 40, "Late Career[31-40]")</f>
        <v>New[1-5]</v>
      </c>
      <c r="AM1093" s="1">
        <v>3</v>
      </c>
      <c r="AN1093" s="9" t="str" cm="1">
        <f t="array" ref="AN1093">_xlfn.IFS(AM1093 &lt;= 3, "New to Role[1-3]", AM1093 &lt;= 7, "Settled[4-7]", AM1093 &lt;= 12, "Experienced[[8-12]", AM1093 &lt;= 18, "Long Tenured[13-18]")</f>
        <v>New to Role[1-3]</v>
      </c>
      <c r="AO1093" s="1">
        <v>0</v>
      </c>
      <c r="AP1093" s="9" t="str" cm="1">
        <f t="array" ref="AP1093">_xlfn.IFS(AO1093 &lt;= 3, "Recently[1-3]", AO1093 &lt;= 6, "Due Soon[4-6]", AO1093 &lt;= 10, "Overdue[7-10]", AO1093 &lt;= 15, "Long Overdue[11-15]")</f>
        <v>Recently[1-3]</v>
      </c>
      <c r="AQ1093" s="9" t="str" cm="1">
        <f t="array" ref="AQ1093">_xlfn.IFS(AR1093 &lt;= 3, "New Relationship[1-3]", AR1093 &lt;= 7, "Established Relationship[4-7]", AR1093 &lt;= 12, "Long Term Relationship[8-12]", AR1093 &lt;= 17, "Very Long Term Relationship[13-17]")</f>
        <v>New Relationship[1-3]</v>
      </c>
      <c r="AR1093" s="1">
        <v>2</v>
      </c>
    </row>
    <row r="1094" spans="1:44" x14ac:dyDescent="0.25">
      <c r="A1094" s="1">
        <v>45</v>
      </c>
      <c r="B1094" s="8" t="str" cm="1">
        <f t="array" ref="B1094">_xlfn.IFS(A1094 &lt;= 25, "[18-25]", A1094 &lt;= 35, "[26-35]", A1094 &lt;=45, "[36-45]", A1094 &lt;= 60, "[46- 60]")</f>
        <v>[36-45]</v>
      </c>
      <c r="C1094" s="3" t="s">
        <v>43</v>
      </c>
      <c r="D1094">
        <f t="shared" si="17"/>
        <v>0</v>
      </c>
      <c r="E1094" t="s">
        <v>36</v>
      </c>
      <c r="F1094" s="1">
        <v>950</v>
      </c>
      <c r="G1094" s="3" t="s">
        <v>45</v>
      </c>
      <c r="H1094" s="1">
        <v>28</v>
      </c>
      <c r="I1094" s="9" t="str" cm="1">
        <f t="array" ref="I1094">_xlfn.IFS(H1094 &lt;= 2, "[1-2] very close", H1094 &lt;= 10, "[3-10] close", H1094 &lt;= 20, "[11-20] moderate", H1094 &lt;= 30, "[21-30] far")</f>
        <v>[21-30] far</v>
      </c>
      <c r="J1094" s="1">
        <v>3</v>
      </c>
      <c r="K1094" s="3" t="s">
        <v>60</v>
      </c>
      <c r="L1094" s="1">
        <v>1</v>
      </c>
      <c r="M1094" s="1">
        <v>1546</v>
      </c>
      <c r="N1094" s="1">
        <v>4</v>
      </c>
      <c r="O1094" s="3" t="s">
        <v>46</v>
      </c>
      <c r="P1094" s="1">
        <v>97</v>
      </c>
      <c r="Q1094" s="1">
        <v>3</v>
      </c>
      <c r="R1094" s="1">
        <v>1</v>
      </c>
      <c r="S1094" s="3" t="s">
        <v>47</v>
      </c>
      <c r="T1094" s="1">
        <v>4</v>
      </c>
      <c r="U1094" s="3" t="s">
        <v>48</v>
      </c>
      <c r="V1094" s="4">
        <v>2132</v>
      </c>
      <c r="W1094" s="1">
        <v>4585</v>
      </c>
      <c r="X1094" s="1">
        <v>4</v>
      </c>
      <c r="Y1094" s="3" t="s">
        <v>42</v>
      </c>
      <c r="Z1094" s="3" t="s">
        <v>43</v>
      </c>
      <c r="AA1094" s="5">
        <v>0.2</v>
      </c>
      <c r="AB1094" s="10" t="str" cm="1">
        <f t="array" ref="AB1094">_xlfn.IFS(AA1094 &lt;= 15%, "Low Hike[11-15%]", AA1094 &lt;= 20%, "Moderate Hike[16-20%]", AA1094 &lt;= 25%,"High Hike[21-25%]")</f>
        <v>Moderate Hike[16-20%]</v>
      </c>
      <c r="AC1094" s="1">
        <v>4</v>
      </c>
      <c r="AD1094" s="1">
        <v>4</v>
      </c>
      <c r="AE1094" s="1">
        <v>80</v>
      </c>
      <c r="AF1094" s="1">
        <v>1</v>
      </c>
      <c r="AG1094" s="1">
        <v>8</v>
      </c>
      <c r="AH1094" s="9" t="str" cm="1">
        <f t="array" ref="AH1094">_xlfn.IFS(AG1094 &lt;= 5, "New[1-5]", AG1094 &lt;= 10, "Early Career[6-10]", AG1094 &lt;= 20, "Established[11-20]", AG1094 &lt;= 30, "Veteran[21-30]", AG1094 &lt;= 40, "Late Career[31-40]")</f>
        <v>Early Career[6-10]</v>
      </c>
      <c r="AI1094" s="1">
        <v>3</v>
      </c>
      <c r="AJ1094" s="1">
        <v>3</v>
      </c>
      <c r="AK1094" s="1">
        <v>5</v>
      </c>
      <c r="AL1094" s="9" t="str" cm="1">
        <f t="array" ref="AL1094">_xlfn.IFS(AK1094 &lt;= 5, "New[1-5]", AK1094 &lt;= 10, "Early Career[6-10]", AK1094 &lt;= 20, "Established[11-20]", AK1094 &lt;= 30, "Veteran[21-30]", AK1094 &lt;= 40, "Late Career[31-40]")</f>
        <v>New[1-5]</v>
      </c>
      <c r="AM1094" s="1">
        <v>4</v>
      </c>
      <c r="AN1094" s="9" t="str" cm="1">
        <f t="array" ref="AN1094">_xlfn.IFS(AM1094 &lt;= 3, "New to Role[1-3]", AM1094 &lt;= 7, "Settled[4-7]", AM1094 &lt;= 12, "Experienced[[8-12]", AM1094 &lt;= 18, "Long Tenured[13-18]")</f>
        <v>Settled[4-7]</v>
      </c>
      <c r="AO1094" s="1">
        <v>0</v>
      </c>
      <c r="AP1094" s="9" t="str" cm="1">
        <f t="array" ref="AP1094">_xlfn.IFS(AO1094 &lt;= 3, "Recently[1-3]", AO1094 &lt;= 6, "Due Soon[4-6]", AO1094 &lt;= 10, "Overdue[7-10]", AO1094 &lt;= 15, "Long Overdue[11-15]")</f>
        <v>Recently[1-3]</v>
      </c>
      <c r="AQ1094" s="9" t="str" cm="1">
        <f t="array" ref="AQ1094">_xlfn.IFS(AR1094 &lt;= 3, "New Relationship[1-3]", AR1094 &lt;= 7, "Established Relationship[4-7]", AR1094 &lt;= 12, "Long Term Relationship[8-12]", AR1094 &lt;= 17, "Very Long Term Relationship[13-17]")</f>
        <v>New Relationship[1-3]</v>
      </c>
      <c r="AR1094" s="1">
        <v>3</v>
      </c>
    </row>
    <row r="1095" spans="1:44" x14ac:dyDescent="0.25">
      <c r="A1095" s="1">
        <v>42</v>
      </c>
      <c r="B1095" s="8" t="str" cm="1">
        <f t="array" ref="B1095">_xlfn.IFS(A1095 &lt;= 25, "[18-25]", A1095 &lt;= 35, "[26-35]", A1095 &lt;=45, "[36-45]", A1095 &lt;= 60, "[46- 60]")</f>
        <v>[36-45]</v>
      </c>
      <c r="C1095" s="3" t="s">
        <v>43</v>
      </c>
      <c r="D1095">
        <f t="shared" si="17"/>
        <v>0</v>
      </c>
      <c r="E1095" t="s">
        <v>44</v>
      </c>
      <c r="F1095" s="1">
        <v>288</v>
      </c>
      <c r="G1095" s="3" t="s">
        <v>45</v>
      </c>
      <c r="H1095" s="1">
        <v>2</v>
      </c>
      <c r="I1095" s="9" t="str" cm="1">
        <f t="array" ref="I1095">_xlfn.IFS(H1095 &lt;= 2, "[1-2] very close", H1095 &lt;= 10, "[3-10] close", H1095 &lt;= 20, "[11-20] moderate", H1095 &lt;= 30, "[21-30] far")</f>
        <v>[1-2] very close</v>
      </c>
      <c r="J1095" s="1">
        <v>3</v>
      </c>
      <c r="K1095" s="3" t="s">
        <v>38</v>
      </c>
      <c r="L1095" s="1">
        <v>1</v>
      </c>
      <c r="M1095" s="1">
        <v>1547</v>
      </c>
      <c r="N1095" s="1">
        <v>4</v>
      </c>
      <c r="O1095" s="3" t="s">
        <v>46</v>
      </c>
      <c r="P1095" s="1">
        <v>40</v>
      </c>
      <c r="Q1095" s="1">
        <v>3</v>
      </c>
      <c r="R1095" s="1">
        <v>3</v>
      </c>
      <c r="S1095" s="3" t="s">
        <v>54</v>
      </c>
      <c r="T1095" s="1">
        <v>4</v>
      </c>
      <c r="U1095" s="3" t="s">
        <v>48</v>
      </c>
      <c r="V1095" s="4">
        <v>10124</v>
      </c>
      <c r="W1095" s="1">
        <v>18611</v>
      </c>
      <c r="X1095" s="1">
        <v>2</v>
      </c>
      <c r="Y1095" s="3" t="s">
        <v>42</v>
      </c>
      <c r="Z1095" s="3" t="s">
        <v>35</v>
      </c>
      <c r="AA1095" s="5">
        <v>0.14000000000000001</v>
      </c>
      <c r="AB1095" s="10" t="str" cm="1">
        <f t="array" ref="AB1095">_xlfn.IFS(AA1095 &lt;= 15%, "Low Hike[11-15%]", AA1095 &lt;= 20%, "Moderate Hike[16-20%]", AA1095 &lt;= 25%,"High Hike[21-25%]")</f>
        <v>Low Hike[11-15%]</v>
      </c>
      <c r="AC1095" s="1">
        <v>3</v>
      </c>
      <c r="AD1095" s="1">
        <v>3</v>
      </c>
      <c r="AE1095" s="1">
        <v>80</v>
      </c>
      <c r="AF1095" s="1">
        <v>1</v>
      </c>
      <c r="AG1095" s="1">
        <v>24</v>
      </c>
      <c r="AH1095" s="9" t="str" cm="1">
        <f t="array" ref="AH1095">_xlfn.IFS(AG1095 &lt;= 5, "New[1-5]", AG1095 &lt;= 10, "Early Career[6-10]", AG1095 &lt;= 20, "Established[11-20]", AG1095 &lt;= 30, "Veteran[21-30]", AG1095 &lt;= 40, "Late Career[31-40]")</f>
        <v>Veteran[21-30]</v>
      </c>
      <c r="AI1095" s="1">
        <v>3</v>
      </c>
      <c r="AJ1095" s="1">
        <v>1</v>
      </c>
      <c r="AK1095" s="1">
        <v>20</v>
      </c>
      <c r="AL1095" s="9" t="str" cm="1">
        <f t="array" ref="AL1095">_xlfn.IFS(AK1095 &lt;= 5, "New[1-5]", AK1095 &lt;= 10, "Early Career[6-10]", AK1095 &lt;= 20, "Established[11-20]", AK1095 &lt;= 30, "Veteran[21-30]", AK1095 &lt;= 40, "Late Career[31-40]")</f>
        <v>Established[11-20]</v>
      </c>
      <c r="AM1095" s="1">
        <v>8</v>
      </c>
      <c r="AN1095" s="9" t="str" cm="1">
        <f t="array" ref="AN1095">_xlfn.IFS(AM1095 &lt;= 3, "New to Role[1-3]", AM1095 &lt;= 7, "Settled[4-7]", AM1095 &lt;= 12, "Experienced[[8-12]", AM1095 &lt;= 18, "Long Tenured[13-18]")</f>
        <v>Experienced[[8-12]</v>
      </c>
      <c r="AO1095" s="1">
        <v>13</v>
      </c>
      <c r="AP1095" s="9" t="str" cm="1">
        <f t="array" ref="AP1095">_xlfn.IFS(AO1095 &lt;= 3, "Recently[1-3]", AO1095 &lt;= 6, "Due Soon[4-6]", AO1095 &lt;= 10, "Overdue[7-10]", AO1095 &lt;= 15, "Long Overdue[11-15]")</f>
        <v>Long Overdue[11-15]</v>
      </c>
      <c r="AQ1095" s="9" t="str" cm="1">
        <f t="array" ref="AQ1095">_xlfn.IFS(AR1095 &lt;= 3, "New Relationship[1-3]", AR1095 &lt;= 7, "Established Relationship[4-7]", AR1095 &lt;= 12, "Long Term Relationship[8-12]", AR1095 &lt;= 17, "Very Long Term Relationship[13-17]")</f>
        <v>Long Term Relationship[8-12]</v>
      </c>
      <c r="AR1095" s="1">
        <v>9</v>
      </c>
    </row>
    <row r="1096" spans="1:44" x14ac:dyDescent="0.25">
      <c r="A1096" s="1">
        <v>40</v>
      </c>
      <c r="B1096" s="8" t="str" cm="1">
        <f t="array" ref="B1096">_xlfn.IFS(A1096 &lt;= 25, "[18-25]", A1096 &lt;= 35, "[26-35]", A1096 &lt;=45, "[36-45]", A1096 &lt;= 60, "[46- 60]")</f>
        <v>[36-45]</v>
      </c>
      <c r="C1096" s="3" t="s">
        <v>43</v>
      </c>
      <c r="D1096">
        <f t="shared" si="17"/>
        <v>0</v>
      </c>
      <c r="E1096" t="s">
        <v>36</v>
      </c>
      <c r="F1096" s="1">
        <v>1342</v>
      </c>
      <c r="G1096" s="3" t="s">
        <v>37</v>
      </c>
      <c r="H1096" s="1">
        <v>9</v>
      </c>
      <c r="I1096" s="9" t="str" cm="1">
        <f t="array" ref="I1096">_xlfn.IFS(H1096 &lt;= 2, "[1-2] very close", H1096 &lt;= 10, "[3-10] close", H1096 &lt;= 20, "[11-20] moderate", H1096 &lt;= 30, "[21-30] far")</f>
        <v>[3-10] close</v>
      </c>
      <c r="J1096" s="1">
        <v>2</v>
      </c>
      <c r="K1096" s="3" t="s">
        <v>51</v>
      </c>
      <c r="L1096" s="1">
        <v>1</v>
      </c>
      <c r="M1096" s="1">
        <v>1548</v>
      </c>
      <c r="N1096" s="1">
        <v>1</v>
      </c>
      <c r="O1096" s="3" t="s">
        <v>46</v>
      </c>
      <c r="P1096" s="1">
        <v>47</v>
      </c>
      <c r="Q1096" s="1">
        <v>3</v>
      </c>
      <c r="R1096" s="1">
        <v>2</v>
      </c>
      <c r="S1096" s="3" t="s">
        <v>40</v>
      </c>
      <c r="T1096" s="1">
        <v>1</v>
      </c>
      <c r="U1096" s="3" t="s">
        <v>48</v>
      </c>
      <c r="V1096" s="4">
        <v>5473</v>
      </c>
      <c r="W1096" s="1">
        <v>19345</v>
      </c>
      <c r="X1096" s="1">
        <v>0</v>
      </c>
      <c r="Y1096" s="3" t="s">
        <v>42</v>
      </c>
      <c r="Z1096" s="3" t="s">
        <v>43</v>
      </c>
      <c r="AA1096" s="5">
        <v>0.12</v>
      </c>
      <c r="AB1096" s="10" t="str" cm="1">
        <f t="array" ref="AB1096">_xlfn.IFS(AA1096 &lt;= 15%, "Low Hike[11-15%]", AA1096 &lt;= 20%, "Moderate Hike[16-20%]", AA1096 &lt;= 25%,"High Hike[21-25%]")</f>
        <v>Low Hike[11-15%]</v>
      </c>
      <c r="AC1096" s="1">
        <v>3</v>
      </c>
      <c r="AD1096" s="1">
        <v>4</v>
      </c>
      <c r="AE1096" s="1">
        <v>80</v>
      </c>
      <c r="AF1096" s="1">
        <v>0</v>
      </c>
      <c r="AG1096" s="1">
        <v>9</v>
      </c>
      <c r="AH1096" s="9" t="str" cm="1">
        <f t="array" ref="AH1096">_xlfn.IFS(AG1096 &lt;= 5, "New[1-5]", AG1096 &lt;= 10, "Early Career[6-10]", AG1096 &lt;= 20, "Established[11-20]", AG1096 &lt;= 30, "Veteran[21-30]", AG1096 &lt;= 40, "Late Career[31-40]")</f>
        <v>Early Career[6-10]</v>
      </c>
      <c r="AI1096" s="1">
        <v>5</v>
      </c>
      <c r="AJ1096" s="1">
        <v>4</v>
      </c>
      <c r="AK1096" s="1">
        <v>8</v>
      </c>
      <c r="AL1096" s="9" t="str" cm="1">
        <f t="array" ref="AL1096">_xlfn.IFS(AK1096 &lt;= 5, "New[1-5]", AK1096 &lt;= 10, "Early Career[6-10]", AK1096 &lt;= 20, "Established[11-20]", AK1096 &lt;= 30, "Veteran[21-30]", AK1096 &lt;= 40, "Late Career[31-40]")</f>
        <v>Early Career[6-10]</v>
      </c>
      <c r="AM1096" s="1">
        <v>4</v>
      </c>
      <c r="AN1096" s="9" t="str" cm="1">
        <f t="array" ref="AN1096">_xlfn.IFS(AM1096 &lt;= 3, "New to Role[1-3]", AM1096 &lt;= 7, "Settled[4-7]", AM1096 &lt;= 12, "Experienced[[8-12]", AM1096 &lt;= 18, "Long Tenured[13-18]")</f>
        <v>Settled[4-7]</v>
      </c>
      <c r="AO1096" s="1">
        <v>7</v>
      </c>
      <c r="AP1096" s="9" t="str" cm="1">
        <f t="array" ref="AP1096">_xlfn.IFS(AO1096 &lt;= 3, "Recently[1-3]", AO1096 &lt;= 6, "Due Soon[4-6]", AO1096 &lt;= 10, "Overdue[7-10]", AO1096 &lt;= 15, "Long Overdue[11-15]")</f>
        <v>Overdue[7-10]</v>
      </c>
      <c r="AQ1096" s="9" t="str" cm="1">
        <f t="array" ref="AQ1096">_xlfn.IFS(AR1096 &lt;= 3, "New Relationship[1-3]", AR1096 &lt;= 7, "Established Relationship[4-7]", AR1096 &lt;= 12, "Long Term Relationship[8-12]", AR1096 &lt;= 17, "Very Long Term Relationship[13-17]")</f>
        <v>New Relationship[1-3]</v>
      </c>
      <c r="AR1096" s="1">
        <v>1</v>
      </c>
    </row>
    <row r="1097" spans="1:44" x14ac:dyDescent="0.25">
      <c r="A1097" s="1">
        <v>33</v>
      </c>
      <c r="B1097" s="8" t="str" cm="1">
        <f t="array" ref="B1097">_xlfn.IFS(A1097 &lt;= 25, "[18-25]", A1097 &lt;= 35, "[26-35]", A1097 &lt;=45, "[36-45]", A1097 &lt;= 60, "[46- 60]")</f>
        <v>[26-35]</v>
      </c>
      <c r="C1097" s="3" t="s">
        <v>43</v>
      </c>
      <c r="D1097">
        <f t="shared" si="17"/>
        <v>0</v>
      </c>
      <c r="E1097" t="s">
        <v>36</v>
      </c>
      <c r="F1097" s="1">
        <v>589</v>
      </c>
      <c r="G1097" s="3" t="s">
        <v>45</v>
      </c>
      <c r="H1097" s="1">
        <v>28</v>
      </c>
      <c r="I1097" s="9" t="str" cm="1">
        <f t="array" ref="I1097">_xlfn.IFS(H1097 &lt;= 2, "[1-2] very close", H1097 &lt;= 10, "[3-10] close", H1097 &lt;= 20, "[11-20] moderate", H1097 &lt;= 30, "[21-30] far")</f>
        <v>[21-30] far</v>
      </c>
      <c r="J1097" s="1">
        <v>4</v>
      </c>
      <c r="K1097" s="3" t="s">
        <v>38</v>
      </c>
      <c r="L1097" s="1">
        <v>1</v>
      </c>
      <c r="M1097" s="1">
        <v>1549</v>
      </c>
      <c r="N1097" s="1">
        <v>2</v>
      </c>
      <c r="O1097" s="3" t="s">
        <v>46</v>
      </c>
      <c r="P1097" s="1">
        <v>79</v>
      </c>
      <c r="Q1097" s="1">
        <v>3</v>
      </c>
      <c r="R1097" s="1">
        <v>2</v>
      </c>
      <c r="S1097" s="3" t="s">
        <v>50</v>
      </c>
      <c r="T1097" s="1">
        <v>3</v>
      </c>
      <c r="U1097" s="3" t="s">
        <v>48</v>
      </c>
      <c r="V1097" s="4">
        <v>5207</v>
      </c>
      <c r="W1097" s="1">
        <v>22949</v>
      </c>
      <c r="X1097" s="1">
        <v>1</v>
      </c>
      <c r="Y1097" s="3" t="s">
        <v>42</v>
      </c>
      <c r="Z1097" s="3" t="s">
        <v>35</v>
      </c>
      <c r="AA1097" s="5">
        <v>0.12</v>
      </c>
      <c r="AB1097" s="10" t="str" cm="1">
        <f t="array" ref="AB1097">_xlfn.IFS(AA1097 &lt;= 15%, "Low Hike[11-15%]", AA1097 &lt;= 20%, "Moderate Hike[16-20%]", AA1097 &lt;= 25%,"High Hike[21-25%]")</f>
        <v>Low Hike[11-15%]</v>
      </c>
      <c r="AC1097" s="1">
        <v>3</v>
      </c>
      <c r="AD1097" s="1">
        <v>2</v>
      </c>
      <c r="AE1097" s="1">
        <v>80</v>
      </c>
      <c r="AF1097" s="1">
        <v>1</v>
      </c>
      <c r="AG1097" s="1">
        <v>15</v>
      </c>
      <c r="AH1097" s="9" t="str" cm="1">
        <f t="array" ref="AH1097">_xlfn.IFS(AG1097 &lt;= 5, "New[1-5]", AG1097 &lt;= 10, "Early Career[6-10]", AG1097 &lt;= 20, "Established[11-20]", AG1097 &lt;= 30, "Veteran[21-30]", AG1097 &lt;= 40, "Late Career[31-40]")</f>
        <v>Established[11-20]</v>
      </c>
      <c r="AI1097" s="1">
        <v>3</v>
      </c>
      <c r="AJ1097" s="1">
        <v>3</v>
      </c>
      <c r="AK1097" s="1">
        <v>15</v>
      </c>
      <c r="AL1097" s="9" t="str" cm="1">
        <f t="array" ref="AL1097">_xlfn.IFS(AK1097 &lt;= 5, "New[1-5]", AK1097 &lt;= 10, "Early Career[6-10]", AK1097 &lt;= 20, "Established[11-20]", AK1097 &lt;= 30, "Veteran[21-30]", AK1097 &lt;= 40, "Late Career[31-40]")</f>
        <v>Established[11-20]</v>
      </c>
      <c r="AM1097" s="1">
        <v>14</v>
      </c>
      <c r="AN1097" s="9" t="str" cm="1">
        <f t="array" ref="AN1097">_xlfn.IFS(AM1097 &lt;= 3, "New to Role[1-3]", AM1097 &lt;= 7, "Settled[4-7]", AM1097 &lt;= 12, "Experienced[[8-12]", AM1097 &lt;= 18, "Long Tenured[13-18]")</f>
        <v>Long Tenured[13-18]</v>
      </c>
      <c r="AO1097" s="1">
        <v>5</v>
      </c>
      <c r="AP1097" s="9" t="str" cm="1">
        <f t="array" ref="AP1097">_xlfn.IFS(AO1097 &lt;= 3, "Recently[1-3]", AO1097 &lt;= 6, "Due Soon[4-6]", AO1097 &lt;= 10, "Overdue[7-10]", AO1097 &lt;= 15, "Long Overdue[11-15]")</f>
        <v>Due Soon[4-6]</v>
      </c>
      <c r="AQ1097" s="9" t="str" cm="1">
        <f t="array" ref="AQ1097">_xlfn.IFS(AR1097 &lt;= 3, "New Relationship[1-3]", AR1097 &lt;= 7, "Established Relationship[4-7]", AR1097 &lt;= 12, "Long Term Relationship[8-12]", AR1097 &lt;= 17, "Very Long Term Relationship[13-17]")</f>
        <v>Established Relationship[4-7]</v>
      </c>
      <c r="AR1097" s="1">
        <v>7</v>
      </c>
    </row>
    <row r="1098" spans="1:44" x14ac:dyDescent="0.25">
      <c r="A1098" s="1">
        <v>40</v>
      </c>
      <c r="B1098" s="8" t="str" cm="1">
        <f t="array" ref="B1098">_xlfn.IFS(A1098 &lt;= 25, "[18-25]", A1098 &lt;= 35, "[26-35]", A1098 &lt;=45, "[36-45]", A1098 &lt;= 60, "[46- 60]")</f>
        <v>[36-45]</v>
      </c>
      <c r="C1098" s="3" t="s">
        <v>43</v>
      </c>
      <c r="D1098">
        <f t="shared" si="17"/>
        <v>0</v>
      </c>
      <c r="E1098" t="s">
        <v>36</v>
      </c>
      <c r="F1098" s="1">
        <v>898</v>
      </c>
      <c r="G1098" s="3" t="s">
        <v>61</v>
      </c>
      <c r="H1098" s="1">
        <v>6</v>
      </c>
      <c r="I1098" s="9" t="str" cm="1">
        <f t="array" ref="I1098">_xlfn.IFS(H1098 &lt;= 2, "[1-2] very close", H1098 &lt;= 10, "[3-10] close", H1098 &lt;= 20, "[11-20] moderate", H1098 &lt;= 30, "[21-30] far")</f>
        <v>[3-10] close</v>
      </c>
      <c r="J1098" s="1">
        <v>2</v>
      </c>
      <c r="K1098" s="3" t="s">
        <v>51</v>
      </c>
      <c r="L1098" s="1">
        <v>1</v>
      </c>
      <c r="M1098" s="1">
        <v>1550</v>
      </c>
      <c r="N1098" s="1">
        <v>3</v>
      </c>
      <c r="O1098" s="3" t="s">
        <v>46</v>
      </c>
      <c r="P1098" s="1">
        <v>38</v>
      </c>
      <c r="Q1098" s="1">
        <v>3</v>
      </c>
      <c r="R1098" s="1">
        <v>4</v>
      </c>
      <c r="S1098" s="3" t="s">
        <v>56</v>
      </c>
      <c r="T1098" s="1">
        <v>4</v>
      </c>
      <c r="U1098" s="3" t="s">
        <v>41</v>
      </c>
      <c r="V1098" s="4">
        <v>16437</v>
      </c>
      <c r="W1098" s="1">
        <v>17381</v>
      </c>
      <c r="X1098" s="1">
        <v>1</v>
      </c>
      <c r="Y1098" s="3" t="s">
        <v>42</v>
      </c>
      <c r="Z1098" s="3" t="s">
        <v>35</v>
      </c>
      <c r="AA1098" s="5">
        <v>0.21</v>
      </c>
      <c r="AB1098" s="10" t="str" cm="1">
        <f t="array" ref="AB1098">_xlfn.IFS(AA1098 &lt;= 15%, "Low Hike[11-15%]", AA1098 &lt;= 20%, "Moderate Hike[16-20%]", AA1098 &lt;= 25%,"High Hike[21-25%]")</f>
        <v>High Hike[21-25%]</v>
      </c>
      <c r="AC1098" s="1">
        <v>4</v>
      </c>
      <c r="AD1098" s="1">
        <v>4</v>
      </c>
      <c r="AE1098" s="1">
        <v>80</v>
      </c>
      <c r="AF1098" s="1">
        <v>0</v>
      </c>
      <c r="AG1098" s="1">
        <v>21</v>
      </c>
      <c r="AH1098" s="9" t="str" cm="1">
        <f t="array" ref="AH1098">_xlfn.IFS(AG1098 &lt;= 5, "New[1-5]", AG1098 &lt;= 10, "Early Career[6-10]", AG1098 &lt;= 20, "Established[11-20]", AG1098 &lt;= 30, "Veteran[21-30]", AG1098 &lt;= 40, "Late Career[31-40]")</f>
        <v>Veteran[21-30]</v>
      </c>
      <c r="AI1098" s="1">
        <v>2</v>
      </c>
      <c r="AJ1098" s="1">
        <v>3</v>
      </c>
      <c r="AK1098" s="1">
        <v>21</v>
      </c>
      <c r="AL1098" s="9" t="str" cm="1">
        <f t="array" ref="AL1098">_xlfn.IFS(AK1098 &lt;= 5, "New[1-5]", AK1098 &lt;= 10, "Early Career[6-10]", AK1098 &lt;= 20, "Established[11-20]", AK1098 &lt;= 30, "Veteran[21-30]", AK1098 &lt;= 40, "Late Career[31-40]")</f>
        <v>Veteran[21-30]</v>
      </c>
      <c r="AM1098" s="1">
        <v>7</v>
      </c>
      <c r="AN1098" s="9" t="str" cm="1">
        <f t="array" ref="AN1098">_xlfn.IFS(AM1098 &lt;= 3, "New to Role[1-3]", AM1098 &lt;= 7, "Settled[4-7]", AM1098 &lt;= 12, "Experienced[[8-12]", AM1098 &lt;= 18, "Long Tenured[13-18]")</f>
        <v>Settled[4-7]</v>
      </c>
      <c r="AO1098" s="1">
        <v>7</v>
      </c>
      <c r="AP1098" s="9" t="str" cm="1">
        <f t="array" ref="AP1098">_xlfn.IFS(AO1098 &lt;= 3, "Recently[1-3]", AO1098 &lt;= 6, "Due Soon[4-6]", AO1098 &lt;= 10, "Overdue[7-10]", AO1098 &lt;= 15, "Long Overdue[11-15]")</f>
        <v>Overdue[7-10]</v>
      </c>
      <c r="AQ1098" s="9" t="str" cm="1">
        <f t="array" ref="AQ1098">_xlfn.IFS(AR1098 &lt;= 3, "New Relationship[1-3]", AR1098 &lt;= 7, "Established Relationship[4-7]", AR1098 &lt;= 12, "Long Term Relationship[8-12]", AR1098 &lt;= 17, "Very Long Term Relationship[13-17]")</f>
        <v>Established Relationship[4-7]</v>
      </c>
      <c r="AR1098" s="1">
        <v>7</v>
      </c>
    </row>
    <row r="1099" spans="1:44" x14ac:dyDescent="0.25">
      <c r="A1099" s="1">
        <v>24</v>
      </c>
      <c r="B1099" s="8" t="str" cm="1">
        <f t="array" ref="B1099">_xlfn.IFS(A1099 &lt;= 25, "[18-25]", A1099 &lt;= 35, "[26-35]", A1099 &lt;=45, "[36-45]", A1099 &lt;= 60, "[46- 60]")</f>
        <v>[18-25]</v>
      </c>
      <c r="C1099" s="3" t="s">
        <v>43</v>
      </c>
      <c r="D1099">
        <f t="shared" si="17"/>
        <v>0</v>
      </c>
      <c r="E1099" t="s">
        <v>36</v>
      </c>
      <c r="F1099" s="1">
        <v>350</v>
      </c>
      <c r="G1099" s="3" t="s">
        <v>45</v>
      </c>
      <c r="H1099" s="1">
        <v>21</v>
      </c>
      <c r="I1099" s="9" t="str" cm="1">
        <f t="array" ref="I1099">_xlfn.IFS(H1099 &lt;= 2, "[1-2] very close", H1099 &lt;= 10, "[3-10] close", H1099 &lt;= 20, "[11-20] moderate", H1099 &lt;= 30, "[21-30] far")</f>
        <v>[21-30] far</v>
      </c>
      <c r="J1099" s="1">
        <v>2</v>
      </c>
      <c r="K1099" s="3" t="s">
        <v>60</v>
      </c>
      <c r="L1099" s="1">
        <v>1</v>
      </c>
      <c r="M1099" s="1">
        <v>1551</v>
      </c>
      <c r="N1099" s="1">
        <v>3</v>
      </c>
      <c r="O1099" s="3" t="s">
        <v>46</v>
      </c>
      <c r="P1099" s="1">
        <v>57</v>
      </c>
      <c r="Q1099" s="1">
        <v>2</v>
      </c>
      <c r="R1099" s="1">
        <v>1</v>
      </c>
      <c r="S1099" s="3" t="s">
        <v>50</v>
      </c>
      <c r="T1099" s="1">
        <v>1</v>
      </c>
      <c r="U1099" s="3" t="s">
        <v>52</v>
      </c>
      <c r="V1099" s="4">
        <v>2296</v>
      </c>
      <c r="W1099" s="1">
        <v>10036</v>
      </c>
      <c r="X1099" s="1">
        <v>0</v>
      </c>
      <c r="Y1099" s="3" t="s">
        <v>42</v>
      </c>
      <c r="Z1099" s="3" t="s">
        <v>43</v>
      </c>
      <c r="AA1099" s="5">
        <v>0.14000000000000001</v>
      </c>
      <c r="AB1099" s="10" t="str" cm="1">
        <f t="array" ref="AB1099">_xlfn.IFS(AA1099 &lt;= 15%, "Low Hike[11-15%]", AA1099 &lt;= 20%, "Moderate Hike[16-20%]", AA1099 &lt;= 25%,"High Hike[21-25%]")</f>
        <v>Low Hike[11-15%]</v>
      </c>
      <c r="AC1099" s="1">
        <v>3</v>
      </c>
      <c r="AD1099" s="1">
        <v>2</v>
      </c>
      <c r="AE1099" s="1">
        <v>80</v>
      </c>
      <c r="AF1099" s="1">
        <v>3</v>
      </c>
      <c r="AG1099" s="1">
        <v>2</v>
      </c>
      <c r="AH1099" s="9" t="str" cm="1">
        <f t="array" ref="AH1099">_xlfn.IFS(AG1099 &lt;= 5, "New[1-5]", AG1099 &lt;= 10, "Early Career[6-10]", AG1099 &lt;= 20, "Established[11-20]", AG1099 &lt;= 30, "Veteran[21-30]", AG1099 &lt;= 40, "Late Career[31-40]")</f>
        <v>New[1-5]</v>
      </c>
      <c r="AI1099" s="1">
        <v>3</v>
      </c>
      <c r="AJ1099" s="1">
        <v>3</v>
      </c>
      <c r="AK1099" s="1">
        <v>1</v>
      </c>
      <c r="AL1099" s="9" t="str" cm="1">
        <f t="array" ref="AL1099">_xlfn.IFS(AK1099 &lt;= 5, "New[1-5]", AK1099 &lt;= 10, "Early Career[6-10]", AK1099 &lt;= 20, "Established[11-20]", AK1099 &lt;= 30, "Veteran[21-30]", AK1099 &lt;= 40, "Late Career[31-40]")</f>
        <v>New[1-5]</v>
      </c>
      <c r="AM1099" s="1">
        <v>1</v>
      </c>
      <c r="AN1099" s="9" t="str" cm="1">
        <f t="array" ref="AN1099">_xlfn.IFS(AM1099 &lt;= 3, "New to Role[1-3]", AM1099 &lt;= 7, "Settled[4-7]", AM1099 &lt;= 12, "Experienced[[8-12]", AM1099 &lt;= 18, "Long Tenured[13-18]")</f>
        <v>New to Role[1-3]</v>
      </c>
      <c r="AO1099" s="1">
        <v>0</v>
      </c>
      <c r="AP1099" s="9" t="str" cm="1">
        <f t="array" ref="AP1099">_xlfn.IFS(AO1099 &lt;= 3, "Recently[1-3]", AO1099 &lt;= 6, "Due Soon[4-6]", AO1099 &lt;= 10, "Overdue[7-10]", AO1099 &lt;= 15, "Long Overdue[11-15]")</f>
        <v>Recently[1-3]</v>
      </c>
      <c r="AQ1099" s="9" t="str" cm="1">
        <f t="array" ref="AQ1099">_xlfn.IFS(AR1099 &lt;= 3, "New Relationship[1-3]", AR1099 &lt;= 7, "Established Relationship[4-7]", AR1099 &lt;= 12, "Long Term Relationship[8-12]", AR1099 &lt;= 17, "Very Long Term Relationship[13-17]")</f>
        <v>New Relationship[1-3]</v>
      </c>
      <c r="AR1099" s="1">
        <v>0</v>
      </c>
    </row>
    <row r="1100" spans="1:44" x14ac:dyDescent="0.25">
      <c r="A1100" s="1">
        <v>40</v>
      </c>
      <c r="B1100" s="8" t="str" cm="1">
        <f t="array" ref="B1100">_xlfn.IFS(A1100 &lt;= 25, "[18-25]", A1100 &lt;= 35, "[26-35]", A1100 &lt;=45, "[36-45]", A1100 &lt;= 60, "[46- 60]")</f>
        <v>[36-45]</v>
      </c>
      <c r="C1100" s="3" t="s">
        <v>43</v>
      </c>
      <c r="D1100">
        <f t="shared" si="17"/>
        <v>0</v>
      </c>
      <c r="E1100" t="s">
        <v>62</v>
      </c>
      <c r="F1100" s="1">
        <v>1142</v>
      </c>
      <c r="G1100" s="3" t="s">
        <v>45</v>
      </c>
      <c r="H1100" s="1">
        <v>8</v>
      </c>
      <c r="I1100" s="9" t="str" cm="1">
        <f t="array" ref="I1100">_xlfn.IFS(H1100 &lt;= 2, "[1-2] very close", H1100 &lt;= 10, "[3-10] close", H1100 &lt;= 20, "[11-20] moderate", H1100 &lt;= 30, "[21-30] far")</f>
        <v>[3-10] close</v>
      </c>
      <c r="J1100" s="1">
        <v>2</v>
      </c>
      <c r="K1100" s="3" t="s">
        <v>38</v>
      </c>
      <c r="L1100" s="1">
        <v>1</v>
      </c>
      <c r="M1100" s="1">
        <v>1552</v>
      </c>
      <c r="N1100" s="1">
        <v>4</v>
      </c>
      <c r="O1100" s="3" t="s">
        <v>46</v>
      </c>
      <c r="P1100" s="1">
        <v>72</v>
      </c>
      <c r="Q1100" s="1">
        <v>3</v>
      </c>
      <c r="R1100" s="1">
        <v>2</v>
      </c>
      <c r="S1100" s="3" t="s">
        <v>54</v>
      </c>
      <c r="T1100" s="1">
        <v>4</v>
      </c>
      <c r="U1100" s="3" t="s">
        <v>52</v>
      </c>
      <c r="V1100" s="4">
        <v>4069</v>
      </c>
      <c r="W1100" s="1">
        <v>8841</v>
      </c>
      <c r="X1100" s="1">
        <v>3</v>
      </c>
      <c r="Y1100" s="3" t="s">
        <v>42</v>
      </c>
      <c r="Z1100" s="3" t="s">
        <v>35</v>
      </c>
      <c r="AA1100" s="5">
        <v>0.18</v>
      </c>
      <c r="AB1100" s="10" t="str" cm="1">
        <f t="array" ref="AB1100">_xlfn.IFS(AA1100 &lt;= 15%, "Low Hike[11-15%]", AA1100 &lt;= 20%, "Moderate Hike[16-20%]", AA1100 &lt;= 25%,"High Hike[21-25%]")</f>
        <v>Moderate Hike[16-20%]</v>
      </c>
      <c r="AC1100" s="1">
        <v>3</v>
      </c>
      <c r="AD1100" s="1">
        <v>3</v>
      </c>
      <c r="AE1100" s="1">
        <v>80</v>
      </c>
      <c r="AF1100" s="1">
        <v>0</v>
      </c>
      <c r="AG1100" s="1">
        <v>8</v>
      </c>
      <c r="AH1100" s="9" t="str" cm="1">
        <f t="array" ref="AH1100">_xlfn.IFS(AG1100 &lt;= 5, "New[1-5]", AG1100 &lt;= 10, "Early Career[6-10]", AG1100 &lt;= 20, "Established[11-20]", AG1100 &lt;= 30, "Veteran[21-30]", AG1100 &lt;= 40, "Late Career[31-40]")</f>
        <v>Early Career[6-10]</v>
      </c>
      <c r="AI1100" s="1">
        <v>2</v>
      </c>
      <c r="AJ1100" s="1">
        <v>3</v>
      </c>
      <c r="AK1100" s="1">
        <v>2</v>
      </c>
      <c r="AL1100" s="9" t="str" cm="1">
        <f t="array" ref="AL1100">_xlfn.IFS(AK1100 &lt;= 5, "New[1-5]", AK1100 &lt;= 10, "Early Career[6-10]", AK1100 &lt;= 20, "Established[11-20]", AK1100 &lt;= 30, "Veteran[21-30]", AK1100 &lt;= 40, "Late Career[31-40]")</f>
        <v>New[1-5]</v>
      </c>
      <c r="AM1100" s="1">
        <v>2</v>
      </c>
      <c r="AN1100" s="9" t="str" cm="1">
        <f t="array" ref="AN1100">_xlfn.IFS(AM1100 &lt;= 3, "New to Role[1-3]", AM1100 &lt;= 7, "Settled[4-7]", AM1100 &lt;= 12, "Experienced[[8-12]", AM1100 &lt;= 18, "Long Tenured[13-18]")</f>
        <v>New to Role[1-3]</v>
      </c>
      <c r="AO1100" s="1">
        <v>2</v>
      </c>
      <c r="AP1100" s="9" t="str" cm="1">
        <f t="array" ref="AP1100">_xlfn.IFS(AO1100 &lt;= 3, "Recently[1-3]", AO1100 &lt;= 6, "Due Soon[4-6]", AO1100 &lt;= 10, "Overdue[7-10]", AO1100 &lt;= 15, "Long Overdue[11-15]")</f>
        <v>Recently[1-3]</v>
      </c>
      <c r="AQ1100" s="9" t="str" cm="1">
        <f t="array" ref="AQ1100">_xlfn.IFS(AR1100 &lt;= 3, "New Relationship[1-3]", AR1100 &lt;= 7, "Established Relationship[4-7]", AR1100 &lt;= 12, "Long Term Relationship[8-12]", AR1100 &lt;= 17, "Very Long Term Relationship[13-17]")</f>
        <v>New Relationship[1-3]</v>
      </c>
      <c r="AR1100" s="1">
        <v>2</v>
      </c>
    </row>
    <row r="1101" spans="1:44" x14ac:dyDescent="0.25">
      <c r="A1101" s="1">
        <v>45</v>
      </c>
      <c r="B1101" s="8" t="str" cm="1">
        <f t="array" ref="B1101">_xlfn.IFS(A1101 &lt;= 25, "[18-25]", A1101 &lt;= 35, "[26-35]", A1101 &lt;=45, "[36-45]", A1101 &lt;= 60, "[46- 60]")</f>
        <v>[36-45]</v>
      </c>
      <c r="C1101" s="3" t="s">
        <v>43</v>
      </c>
      <c r="D1101">
        <f t="shared" si="17"/>
        <v>0</v>
      </c>
      <c r="E1101" t="s">
        <v>36</v>
      </c>
      <c r="F1101" s="1">
        <v>538</v>
      </c>
      <c r="G1101" s="3" t="s">
        <v>45</v>
      </c>
      <c r="H1101" s="1">
        <v>1</v>
      </c>
      <c r="I1101" s="9" t="str" cm="1">
        <f t="array" ref="I1101">_xlfn.IFS(H1101 &lt;= 2, "[1-2] very close", H1101 &lt;= 10, "[3-10] close", H1101 &lt;= 20, "[11-20] moderate", H1101 &lt;= 30, "[21-30] far")</f>
        <v>[1-2] very close</v>
      </c>
      <c r="J1101" s="1">
        <v>4</v>
      </c>
      <c r="K1101" s="3" t="s">
        <v>60</v>
      </c>
      <c r="L1101" s="1">
        <v>1</v>
      </c>
      <c r="M1101" s="1">
        <v>1553</v>
      </c>
      <c r="N1101" s="1">
        <v>1</v>
      </c>
      <c r="O1101" s="3" t="s">
        <v>46</v>
      </c>
      <c r="P1101" s="1">
        <v>66</v>
      </c>
      <c r="Q1101" s="1">
        <v>3</v>
      </c>
      <c r="R1101" s="1">
        <v>3</v>
      </c>
      <c r="S1101" s="3" t="s">
        <v>54</v>
      </c>
      <c r="T1101" s="1">
        <v>2</v>
      </c>
      <c r="U1101" s="3" t="s">
        <v>52</v>
      </c>
      <c r="V1101" s="4">
        <v>7441</v>
      </c>
      <c r="W1101" s="1">
        <v>20933</v>
      </c>
      <c r="X1101" s="1">
        <v>1</v>
      </c>
      <c r="Y1101" s="3" t="s">
        <v>42</v>
      </c>
      <c r="Z1101" s="3" t="s">
        <v>43</v>
      </c>
      <c r="AA1101" s="5">
        <v>0.12</v>
      </c>
      <c r="AB1101" s="10" t="str" cm="1">
        <f t="array" ref="AB1101">_xlfn.IFS(AA1101 &lt;= 15%, "Low Hike[11-15%]", AA1101 &lt;= 20%, "Moderate Hike[16-20%]", AA1101 &lt;= 25%,"High Hike[21-25%]")</f>
        <v>Low Hike[11-15%]</v>
      </c>
      <c r="AC1101" s="1">
        <v>3</v>
      </c>
      <c r="AD1101" s="1">
        <v>1</v>
      </c>
      <c r="AE1101" s="1">
        <v>80</v>
      </c>
      <c r="AF1101" s="1">
        <v>3</v>
      </c>
      <c r="AG1101" s="1">
        <v>10</v>
      </c>
      <c r="AH1101" s="9" t="str" cm="1">
        <f t="array" ref="AH1101">_xlfn.IFS(AG1101 &lt;= 5, "New[1-5]", AG1101 &lt;= 10, "Early Career[6-10]", AG1101 &lt;= 20, "Established[11-20]", AG1101 &lt;= 30, "Veteran[21-30]", AG1101 &lt;= 40, "Late Career[31-40]")</f>
        <v>Early Career[6-10]</v>
      </c>
      <c r="AI1101" s="1">
        <v>4</v>
      </c>
      <c r="AJ1101" s="1">
        <v>3</v>
      </c>
      <c r="AK1101" s="1">
        <v>10</v>
      </c>
      <c r="AL1101" s="9" t="str" cm="1">
        <f t="array" ref="AL1101">_xlfn.IFS(AK1101 &lt;= 5, "New[1-5]", AK1101 &lt;= 10, "Early Career[6-10]", AK1101 &lt;= 20, "Established[11-20]", AK1101 &lt;= 30, "Veteran[21-30]", AK1101 &lt;= 40, "Late Career[31-40]")</f>
        <v>Early Career[6-10]</v>
      </c>
      <c r="AM1101" s="1">
        <v>8</v>
      </c>
      <c r="AN1101" s="9" t="str" cm="1">
        <f t="array" ref="AN1101">_xlfn.IFS(AM1101 &lt;= 3, "New to Role[1-3]", AM1101 &lt;= 7, "Settled[4-7]", AM1101 &lt;= 12, "Experienced[[8-12]", AM1101 &lt;= 18, "Long Tenured[13-18]")</f>
        <v>Experienced[[8-12]</v>
      </c>
      <c r="AO1101" s="1">
        <v>7</v>
      </c>
      <c r="AP1101" s="9" t="str" cm="1">
        <f t="array" ref="AP1101">_xlfn.IFS(AO1101 &lt;= 3, "Recently[1-3]", AO1101 &lt;= 6, "Due Soon[4-6]", AO1101 &lt;= 10, "Overdue[7-10]", AO1101 &lt;= 15, "Long Overdue[11-15]")</f>
        <v>Overdue[7-10]</v>
      </c>
      <c r="AQ1101" s="9" t="str" cm="1">
        <f t="array" ref="AQ1101">_xlfn.IFS(AR1101 &lt;= 3, "New Relationship[1-3]", AR1101 &lt;= 7, "Established Relationship[4-7]", AR1101 &lt;= 12, "Long Term Relationship[8-12]", AR1101 &lt;= 17, "Very Long Term Relationship[13-17]")</f>
        <v>Established Relationship[4-7]</v>
      </c>
      <c r="AR1101" s="1">
        <v>7</v>
      </c>
    </row>
    <row r="1102" spans="1:44" x14ac:dyDescent="0.25">
      <c r="A1102" s="1">
        <v>35</v>
      </c>
      <c r="B1102" s="8" t="str" cm="1">
        <f t="array" ref="B1102">_xlfn.IFS(A1102 &lt;= 25, "[18-25]", A1102 &lt;= 35, "[26-35]", A1102 &lt;=45, "[36-45]", A1102 &lt;= 60, "[46- 60]")</f>
        <v>[26-35]</v>
      </c>
      <c r="C1102" s="3" t="s">
        <v>43</v>
      </c>
      <c r="D1102">
        <f t="shared" si="17"/>
        <v>0</v>
      </c>
      <c r="E1102" t="s">
        <v>36</v>
      </c>
      <c r="F1102" s="1">
        <v>1402</v>
      </c>
      <c r="G1102" s="3" t="s">
        <v>37</v>
      </c>
      <c r="H1102" s="1">
        <v>28</v>
      </c>
      <c r="I1102" s="9" t="str" cm="1">
        <f t="array" ref="I1102">_xlfn.IFS(H1102 &lt;= 2, "[1-2] very close", H1102 &lt;= 10, "[3-10] close", H1102 &lt;= 20, "[11-20] moderate", H1102 &lt;= 30, "[21-30] far")</f>
        <v>[21-30] far</v>
      </c>
      <c r="J1102" s="1">
        <v>4</v>
      </c>
      <c r="K1102" s="3" t="s">
        <v>38</v>
      </c>
      <c r="L1102" s="1">
        <v>1</v>
      </c>
      <c r="M1102" s="1">
        <v>1554</v>
      </c>
      <c r="N1102" s="1">
        <v>2</v>
      </c>
      <c r="O1102" s="3" t="s">
        <v>39</v>
      </c>
      <c r="P1102" s="1">
        <v>98</v>
      </c>
      <c r="Q1102" s="1">
        <v>2</v>
      </c>
      <c r="R1102" s="1">
        <v>1</v>
      </c>
      <c r="S1102" s="3" t="s">
        <v>57</v>
      </c>
      <c r="T1102" s="1">
        <v>3</v>
      </c>
      <c r="U1102" s="3" t="s">
        <v>48</v>
      </c>
      <c r="V1102" s="4">
        <v>2430</v>
      </c>
      <c r="W1102" s="1">
        <v>26204</v>
      </c>
      <c r="X1102" s="1">
        <v>0</v>
      </c>
      <c r="Y1102" s="3" t="s">
        <v>42</v>
      </c>
      <c r="Z1102" s="3" t="s">
        <v>43</v>
      </c>
      <c r="AA1102" s="5">
        <v>0.23</v>
      </c>
      <c r="AB1102" s="10" t="str" cm="1">
        <f t="array" ref="AB1102">_xlfn.IFS(AA1102 &lt;= 15%, "Low Hike[11-15%]", AA1102 &lt;= 20%, "Moderate Hike[16-20%]", AA1102 &lt;= 25%,"High Hike[21-25%]")</f>
        <v>High Hike[21-25%]</v>
      </c>
      <c r="AC1102" s="1">
        <v>4</v>
      </c>
      <c r="AD1102" s="1">
        <v>1</v>
      </c>
      <c r="AE1102" s="1">
        <v>80</v>
      </c>
      <c r="AF1102" s="1">
        <v>2</v>
      </c>
      <c r="AG1102" s="1">
        <v>6</v>
      </c>
      <c r="AH1102" s="9" t="str" cm="1">
        <f t="array" ref="AH1102">_xlfn.IFS(AG1102 &lt;= 5, "New[1-5]", AG1102 &lt;= 10, "Early Career[6-10]", AG1102 &lt;= 20, "Established[11-20]", AG1102 &lt;= 30, "Veteran[21-30]", AG1102 &lt;= 40, "Late Career[31-40]")</f>
        <v>Early Career[6-10]</v>
      </c>
      <c r="AI1102" s="1">
        <v>5</v>
      </c>
      <c r="AJ1102" s="1">
        <v>3</v>
      </c>
      <c r="AK1102" s="1">
        <v>5</v>
      </c>
      <c r="AL1102" s="9" t="str" cm="1">
        <f t="array" ref="AL1102">_xlfn.IFS(AK1102 &lt;= 5, "New[1-5]", AK1102 &lt;= 10, "Early Career[6-10]", AK1102 &lt;= 20, "Established[11-20]", AK1102 &lt;= 30, "Veteran[21-30]", AK1102 &lt;= 40, "Late Career[31-40]")</f>
        <v>New[1-5]</v>
      </c>
      <c r="AM1102" s="1">
        <v>3</v>
      </c>
      <c r="AN1102" s="9" t="str" cm="1">
        <f t="array" ref="AN1102">_xlfn.IFS(AM1102 &lt;= 3, "New to Role[1-3]", AM1102 &lt;= 7, "Settled[4-7]", AM1102 &lt;= 12, "Experienced[[8-12]", AM1102 &lt;= 18, "Long Tenured[13-18]")</f>
        <v>New to Role[1-3]</v>
      </c>
      <c r="AO1102" s="1">
        <v>4</v>
      </c>
      <c r="AP1102" s="9" t="str" cm="1">
        <f t="array" ref="AP1102">_xlfn.IFS(AO1102 &lt;= 3, "Recently[1-3]", AO1102 &lt;= 6, "Due Soon[4-6]", AO1102 &lt;= 10, "Overdue[7-10]", AO1102 &lt;= 15, "Long Overdue[11-15]")</f>
        <v>Due Soon[4-6]</v>
      </c>
      <c r="AQ1102" s="9" t="str" cm="1">
        <f t="array" ref="AQ1102">_xlfn.IFS(AR1102 &lt;= 3, "New Relationship[1-3]", AR1102 &lt;= 7, "Established Relationship[4-7]", AR1102 &lt;= 12, "Long Term Relationship[8-12]", AR1102 &lt;= 17, "Very Long Term Relationship[13-17]")</f>
        <v>New Relationship[1-3]</v>
      </c>
      <c r="AR1102" s="1">
        <v>2</v>
      </c>
    </row>
    <row r="1103" spans="1:44" x14ac:dyDescent="0.25">
      <c r="A1103" s="1">
        <v>32</v>
      </c>
      <c r="B1103" s="8" t="str" cm="1">
        <f t="array" ref="B1103">_xlfn.IFS(A1103 &lt;= 25, "[18-25]", A1103 &lt;= 35, "[26-35]", A1103 &lt;=45, "[36-45]", A1103 &lt;= 60, "[46- 60]")</f>
        <v>[26-35]</v>
      </c>
      <c r="C1103" s="3" t="s">
        <v>43</v>
      </c>
      <c r="D1103">
        <f t="shared" si="17"/>
        <v>0</v>
      </c>
      <c r="E1103" t="s">
        <v>36</v>
      </c>
      <c r="F1103" s="1">
        <v>824</v>
      </c>
      <c r="G1103" s="3" t="s">
        <v>45</v>
      </c>
      <c r="H1103" s="1">
        <v>5</v>
      </c>
      <c r="I1103" s="9" t="str" cm="1">
        <f t="array" ref="I1103">_xlfn.IFS(H1103 &lt;= 2, "[1-2] very close", H1103 &lt;= 10, "[3-10] close", H1103 &lt;= 20, "[11-20] moderate", H1103 &lt;= 30, "[21-30] far")</f>
        <v>[3-10] close</v>
      </c>
      <c r="J1103" s="1">
        <v>2</v>
      </c>
      <c r="K1103" s="3" t="s">
        <v>38</v>
      </c>
      <c r="L1103" s="1">
        <v>1</v>
      </c>
      <c r="M1103" s="1">
        <v>1555</v>
      </c>
      <c r="N1103" s="1">
        <v>4</v>
      </c>
      <c r="O1103" s="3" t="s">
        <v>39</v>
      </c>
      <c r="P1103" s="1">
        <v>67</v>
      </c>
      <c r="Q1103" s="1">
        <v>2</v>
      </c>
      <c r="R1103" s="1">
        <v>2</v>
      </c>
      <c r="S1103" s="3" t="s">
        <v>47</v>
      </c>
      <c r="T1103" s="1">
        <v>2</v>
      </c>
      <c r="U1103" s="3" t="s">
        <v>48</v>
      </c>
      <c r="V1103" s="4">
        <v>5878</v>
      </c>
      <c r="W1103" s="1">
        <v>15624</v>
      </c>
      <c r="X1103" s="1">
        <v>3</v>
      </c>
      <c r="Y1103" s="3" t="s">
        <v>42</v>
      </c>
      <c r="Z1103" s="3" t="s">
        <v>43</v>
      </c>
      <c r="AA1103" s="5">
        <v>0.12</v>
      </c>
      <c r="AB1103" s="10" t="str" cm="1">
        <f t="array" ref="AB1103">_xlfn.IFS(AA1103 &lt;= 15%, "Low Hike[11-15%]", AA1103 &lt;= 20%, "Moderate Hike[16-20%]", AA1103 &lt;= 25%,"High Hike[21-25%]")</f>
        <v>Low Hike[11-15%]</v>
      </c>
      <c r="AC1103" s="1">
        <v>3</v>
      </c>
      <c r="AD1103" s="1">
        <v>1</v>
      </c>
      <c r="AE1103" s="1">
        <v>80</v>
      </c>
      <c r="AF1103" s="1">
        <v>1</v>
      </c>
      <c r="AG1103" s="1">
        <v>12</v>
      </c>
      <c r="AH1103" s="9" t="str" cm="1">
        <f t="array" ref="AH1103">_xlfn.IFS(AG1103 &lt;= 5, "New[1-5]", AG1103 &lt;= 10, "Early Career[6-10]", AG1103 &lt;= 20, "Established[11-20]", AG1103 &lt;= 30, "Veteran[21-30]", AG1103 &lt;= 40, "Late Career[31-40]")</f>
        <v>Established[11-20]</v>
      </c>
      <c r="AI1103" s="1">
        <v>2</v>
      </c>
      <c r="AJ1103" s="1">
        <v>3</v>
      </c>
      <c r="AK1103" s="1">
        <v>7</v>
      </c>
      <c r="AL1103" s="9" t="str" cm="1">
        <f t="array" ref="AL1103">_xlfn.IFS(AK1103 &lt;= 5, "New[1-5]", AK1103 &lt;= 10, "Early Career[6-10]", AK1103 &lt;= 20, "Established[11-20]", AK1103 &lt;= 30, "Veteran[21-30]", AK1103 &lt;= 40, "Late Career[31-40]")</f>
        <v>Early Career[6-10]</v>
      </c>
      <c r="AM1103" s="1">
        <v>1</v>
      </c>
      <c r="AN1103" s="9" t="str" cm="1">
        <f t="array" ref="AN1103">_xlfn.IFS(AM1103 &lt;= 3, "New to Role[1-3]", AM1103 &lt;= 7, "Settled[4-7]", AM1103 &lt;= 12, "Experienced[[8-12]", AM1103 &lt;= 18, "Long Tenured[13-18]")</f>
        <v>New to Role[1-3]</v>
      </c>
      <c r="AO1103" s="1">
        <v>2</v>
      </c>
      <c r="AP1103" s="9" t="str" cm="1">
        <f t="array" ref="AP1103">_xlfn.IFS(AO1103 &lt;= 3, "Recently[1-3]", AO1103 &lt;= 6, "Due Soon[4-6]", AO1103 &lt;= 10, "Overdue[7-10]", AO1103 &lt;= 15, "Long Overdue[11-15]")</f>
        <v>Recently[1-3]</v>
      </c>
      <c r="AQ1103" s="9" t="str" cm="1">
        <f t="array" ref="AQ1103">_xlfn.IFS(AR1103 &lt;= 3, "New Relationship[1-3]", AR1103 &lt;= 7, "Established Relationship[4-7]", AR1103 &lt;= 12, "Long Term Relationship[8-12]", AR1103 &lt;= 17, "Very Long Term Relationship[13-17]")</f>
        <v>Established Relationship[4-7]</v>
      </c>
      <c r="AR1103" s="1">
        <v>5</v>
      </c>
    </row>
    <row r="1104" spans="1:44" x14ac:dyDescent="0.25">
      <c r="A1104" s="1">
        <v>36</v>
      </c>
      <c r="B1104" s="8" t="str" cm="1">
        <f t="array" ref="B1104">_xlfn.IFS(A1104 &lt;= 25, "[18-25]", A1104 &lt;= 35, "[26-35]", A1104 &lt;=45, "[36-45]", A1104 &lt;= 60, "[46- 60]")</f>
        <v>[36-45]</v>
      </c>
      <c r="C1104" s="3" t="s">
        <v>43</v>
      </c>
      <c r="D1104">
        <f t="shared" si="17"/>
        <v>0</v>
      </c>
      <c r="E1104" t="s">
        <v>36</v>
      </c>
      <c r="F1104" s="1">
        <v>1157</v>
      </c>
      <c r="G1104" s="3" t="s">
        <v>37</v>
      </c>
      <c r="H1104" s="1">
        <v>2</v>
      </c>
      <c r="I1104" s="9" t="str" cm="1">
        <f t="array" ref="I1104">_xlfn.IFS(H1104 &lt;= 2, "[1-2] very close", H1104 &lt;= 10, "[3-10] close", H1104 &lt;= 20, "[11-20] moderate", H1104 &lt;= 30, "[21-30] far")</f>
        <v>[1-2] very close</v>
      </c>
      <c r="J1104" s="1">
        <v>4</v>
      </c>
      <c r="K1104" s="3" t="s">
        <v>38</v>
      </c>
      <c r="L1104" s="1">
        <v>1</v>
      </c>
      <c r="M1104" s="1">
        <v>1556</v>
      </c>
      <c r="N1104" s="1">
        <v>3</v>
      </c>
      <c r="O1104" s="3" t="s">
        <v>46</v>
      </c>
      <c r="P1104" s="1">
        <v>70</v>
      </c>
      <c r="Q1104" s="1">
        <v>3</v>
      </c>
      <c r="R1104" s="1">
        <v>1</v>
      </c>
      <c r="S1104" s="3" t="s">
        <v>57</v>
      </c>
      <c r="T1104" s="1">
        <v>4</v>
      </c>
      <c r="U1104" s="3" t="s">
        <v>41</v>
      </c>
      <c r="V1104" s="4">
        <v>2644</v>
      </c>
      <c r="W1104" s="1">
        <v>17001</v>
      </c>
      <c r="X1104" s="1">
        <v>3</v>
      </c>
      <c r="Y1104" s="3" t="s">
        <v>42</v>
      </c>
      <c r="Z1104" s="3" t="s">
        <v>35</v>
      </c>
      <c r="AA1104" s="5">
        <v>0.21</v>
      </c>
      <c r="AB1104" s="10" t="str" cm="1">
        <f t="array" ref="AB1104">_xlfn.IFS(AA1104 &lt;= 15%, "Low Hike[11-15%]", AA1104 &lt;= 20%, "Moderate Hike[16-20%]", AA1104 &lt;= 25%,"High Hike[21-25%]")</f>
        <v>High Hike[21-25%]</v>
      </c>
      <c r="AC1104" s="1">
        <v>4</v>
      </c>
      <c r="AD1104" s="1">
        <v>4</v>
      </c>
      <c r="AE1104" s="1">
        <v>80</v>
      </c>
      <c r="AF1104" s="1">
        <v>0</v>
      </c>
      <c r="AG1104" s="1">
        <v>7</v>
      </c>
      <c r="AH1104" s="9" t="str" cm="1">
        <f t="array" ref="AH1104">_xlfn.IFS(AG1104 &lt;= 5, "New[1-5]", AG1104 &lt;= 10, "Early Career[6-10]", AG1104 &lt;= 20, "Established[11-20]", AG1104 &lt;= 30, "Veteran[21-30]", AG1104 &lt;= 40, "Late Career[31-40]")</f>
        <v>Early Career[6-10]</v>
      </c>
      <c r="AI1104" s="1">
        <v>3</v>
      </c>
      <c r="AJ1104" s="1">
        <v>2</v>
      </c>
      <c r="AK1104" s="1">
        <v>3</v>
      </c>
      <c r="AL1104" s="9" t="str" cm="1">
        <f t="array" ref="AL1104">_xlfn.IFS(AK1104 &lt;= 5, "New[1-5]", AK1104 &lt;= 10, "Early Career[6-10]", AK1104 &lt;= 20, "Established[11-20]", AK1104 &lt;= 30, "Veteran[21-30]", AK1104 &lt;= 40, "Late Career[31-40]")</f>
        <v>New[1-5]</v>
      </c>
      <c r="AM1104" s="1">
        <v>2</v>
      </c>
      <c r="AN1104" s="9" t="str" cm="1">
        <f t="array" ref="AN1104">_xlfn.IFS(AM1104 &lt;= 3, "New to Role[1-3]", AM1104 &lt;= 7, "Settled[4-7]", AM1104 &lt;= 12, "Experienced[[8-12]", AM1104 &lt;= 18, "Long Tenured[13-18]")</f>
        <v>New to Role[1-3]</v>
      </c>
      <c r="AO1104" s="1">
        <v>1</v>
      </c>
      <c r="AP1104" s="9" t="str" cm="1">
        <f t="array" ref="AP1104">_xlfn.IFS(AO1104 &lt;= 3, "Recently[1-3]", AO1104 &lt;= 6, "Due Soon[4-6]", AO1104 &lt;= 10, "Overdue[7-10]", AO1104 &lt;= 15, "Long Overdue[11-15]")</f>
        <v>Recently[1-3]</v>
      </c>
      <c r="AQ1104" s="9" t="str" cm="1">
        <f t="array" ref="AQ1104">_xlfn.IFS(AR1104 &lt;= 3, "New Relationship[1-3]", AR1104 &lt;= 7, "Established Relationship[4-7]", AR1104 &lt;= 12, "Long Term Relationship[8-12]", AR1104 &lt;= 17, "Very Long Term Relationship[13-17]")</f>
        <v>New Relationship[1-3]</v>
      </c>
      <c r="AR1104" s="1">
        <v>2</v>
      </c>
    </row>
    <row r="1105" spans="1:44" x14ac:dyDescent="0.25">
      <c r="A1105" s="1">
        <v>48</v>
      </c>
      <c r="B1105" s="8" t="str" cm="1">
        <f t="array" ref="B1105">_xlfn.IFS(A1105 &lt;= 25, "[18-25]", A1105 &lt;= 35, "[26-35]", A1105 &lt;=45, "[36-45]", A1105 &lt;= 60, "[46- 60]")</f>
        <v>[46- 60]</v>
      </c>
      <c r="C1105" s="3" t="s">
        <v>43</v>
      </c>
      <c r="D1105">
        <f t="shared" si="17"/>
        <v>0</v>
      </c>
      <c r="E1105" t="s">
        <v>36</v>
      </c>
      <c r="F1105" s="1">
        <v>492</v>
      </c>
      <c r="G1105" s="3" t="s">
        <v>37</v>
      </c>
      <c r="H1105" s="1">
        <v>16</v>
      </c>
      <c r="I1105" s="9" t="str" cm="1">
        <f t="array" ref="I1105">_xlfn.IFS(H1105 &lt;= 2, "[1-2] very close", H1105 &lt;= 10, "[3-10] close", H1105 &lt;= 20, "[11-20] moderate", H1105 &lt;= 30, "[21-30] far")</f>
        <v>[11-20] moderate</v>
      </c>
      <c r="J1105" s="1">
        <v>4</v>
      </c>
      <c r="K1105" s="3" t="s">
        <v>38</v>
      </c>
      <c r="L1105" s="1">
        <v>1</v>
      </c>
      <c r="M1105" s="1">
        <v>1557</v>
      </c>
      <c r="N1105" s="1">
        <v>3</v>
      </c>
      <c r="O1105" s="3" t="s">
        <v>39</v>
      </c>
      <c r="P1105" s="1">
        <v>96</v>
      </c>
      <c r="Q1105" s="1">
        <v>3</v>
      </c>
      <c r="R1105" s="1">
        <v>2</v>
      </c>
      <c r="S1105" s="3" t="s">
        <v>40</v>
      </c>
      <c r="T1105" s="1">
        <v>3</v>
      </c>
      <c r="U1105" s="3" t="s">
        <v>52</v>
      </c>
      <c r="V1105" s="4">
        <v>6439</v>
      </c>
      <c r="W1105" s="1">
        <v>13693</v>
      </c>
      <c r="X1105" s="1">
        <v>8</v>
      </c>
      <c r="Y1105" s="3" t="s">
        <v>42</v>
      </c>
      <c r="Z1105" s="3" t="s">
        <v>43</v>
      </c>
      <c r="AA1105" s="5">
        <v>0.14000000000000001</v>
      </c>
      <c r="AB1105" s="10" t="str" cm="1">
        <f t="array" ref="AB1105">_xlfn.IFS(AA1105 &lt;= 15%, "Low Hike[11-15%]", AA1105 &lt;= 20%, "Moderate Hike[16-20%]", AA1105 &lt;= 25%,"High Hike[21-25%]")</f>
        <v>Low Hike[11-15%]</v>
      </c>
      <c r="AC1105" s="1">
        <v>3</v>
      </c>
      <c r="AD1105" s="1">
        <v>3</v>
      </c>
      <c r="AE1105" s="1">
        <v>80</v>
      </c>
      <c r="AF1105" s="1">
        <v>1</v>
      </c>
      <c r="AG1105" s="1">
        <v>18</v>
      </c>
      <c r="AH1105" s="9" t="str" cm="1">
        <f t="array" ref="AH1105">_xlfn.IFS(AG1105 &lt;= 5, "New[1-5]", AG1105 &lt;= 10, "Early Career[6-10]", AG1105 &lt;= 20, "Established[11-20]", AG1105 &lt;= 30, "Veteran[21-30]", AG1105 &lt;= 40, "Late Career[31-40]")</f>
        <v>Established[11-20]</v>
      </c>
      <c r="AI1105" s="1">
        <v>2</v>
      </c>
      <c r="AJ1105" s="1">
        <v>3</v>
      </c>
      <c r="AK1105" s="1">
        <v>8</v>
      </c>
      <c r="AL1105" s="9" t="str" cm="1">
        <f t="array" ref="AL1105">_xlfn.IFS(AK1105 &lt;= 5, "New[1-5]", AK1105 &lt;= 10, "Early Career[6-10]", AK1105 &lt;= 20, "Established[11-20]", AK1105 &lt;= 30, "Veteran[21-30]", AK1105 &lt;= 40, "Late Career[31-40]")</f>
        <v>Early Career[6-10]</v>
      </c>
      <c r="AM1105" s="1">
        <v>7</v>
      </c>
      <c r="AN1105" s="9" t="str" cm="1">
        <f t="array" ref="AN1105">_xlfn.IFS(AM1105 &lt;= 3, "New to Role[1-3]", AM1105 &lt;= 7, "Settled[4-7]", AM1105 &lt;= 12, "Experienced[[8-12]", AM1105 &lt;= 18, "Long Tenured[13-18]")</f>
        <v>Settled[4-7]</v>
      </c>
      <c r="AO1105" s="1">
        <v>7</v>
      </c>
      <c r="AP1105" s="9" t="str" cm="1">
        <f t="array" ref="AP1105">_xlfn.IFS(AO1105 &lt;= 3, "Recently[1-3]", AO1105 &lt;= 6, "Due Soon[4-6]", AO1105 &lt;= 10, "Overdue[7-10]", AO1105 &lt;= 15, "Long Overdue[11-15]")</f>
        <v>Overdue[7-10]</v>
      </c>
      <c r="AQ1105" s="9" t="str" cm="1">
        <f t="array" ref="AQ1105">_xlfn.IFS(AR1105 &lt;= 3, "New Relationship[1-3]", AR1105 &lt;= 7, "Established Relationship[4-7]", AR1105 &lt;= 12, "Long Term Relationship[8-12]", AR1105 &lt;= 17, "Very Long Term Relationship[13-17]")</f>
        <v>Established Relationship[4-7]</v>
      </c>
      <c r="AR1105" s="1">
        <v>7</v>
      </c>
    </row>
    <row r="1106" spans="1:44" x14ac:dyDescent="0.25">
      <c r="A1106" s="1">
        <v>29</v>
      </c>
      <c r="B1106" s="8" t="str" cm="1">
        <f t="array" ref="B1106">_xlfn.IFS(A1106 &lt;= 25, "[18-25]", A1106 &lt;= 35, "[26-35]", A1106 &lt;=45, "[36-45]", A1106 &lt;= 60, "[46- 60]")</f>
        <v>[26-35]</v>
      </c>
      <c r="C1106" s="3" t="s">
        <v>43</v>
      </c>
      <c r="D1106">
        <f t="shared" si="17"/>
        <v>0</v>
      </c>
      <c r="E1106" t="s">
        <v>36</v>
      </c>
      <c r="F1106" s="1">
        <v>598</v>
      </c>
      <c r="G1106" s="3" t="s">
        <v>45</v>
      </c>
      <c r="H1106" s="1">
        <v>9</v>
      </c>
      <c r="I1106" s="9" t="str" cm="1">
        <f t="array" ref="I1106">_xlfn.IFS(H1106 &lt;= 2, "[1-2] very close", H1106 &lt;= 10, "[3-10] close", H1106 &lt;= 20, "[11-20] moderate", H1106 &lt;= 30, "[21-30] far")</f>
        <v>[3-10] close</v>
      </c>
      <c r="J1106" s="1">
        <v>3</v>
      </c>
      <c r="K1106" s="3" t="s">
        <v>38</v>
      </c>
      <c r="L1106" s="1">
        <v>1</v>
      </c>
      <c r="M1106" s="1">
        <v>1558</v>
      </c>
      <c r="N1106" s="1">
        <v>3</v>
      </c>
      <c r="O1106" s="3" t="s">
        <v>46</v>
      </c>
      <c r="P1106" s="1">
        <v>91</v>
      </c>
      <c r="Q1106" s="1">
        <v>4</v>
      </c>
      <c r="R1106" s="1">
        <v>1</v>
      </c>
      <c r="S1106" s="3" t="s">
        <v>47</v>
      </c>
      <c r="T1106" s="1">
        <v>3</v>
      </c>
      <c r="U1106" s="3" t="s">
        <v>48</v>
      </c>
      <c r="V1106" s="4">
        <v>2451</v>
      </c>
      <c r="W1106" s="1">
        <v>22376</v>
      </c>
      <c r="X1106" s="1">
        <v>6</v>
      </c>
      <c r="Y1106" s="3" t="s">
        <v>42</v>
      </c>
      <c r="Z1106" s="3" t="s">
        <v>43</v>
      </c>
      <c r="AA1106" s="5">
        <v>0.18</v>
      </c>
      <c r="AB1106" s="10" t="str" cm="1">
        <f t="array" ref="AB1106">_xlfn.IFS(AA1106 &lt;= 15%, "Low Hike[11-15%]", AA1106 &lt;= 20%, "Moderate Hike[16-20%]", AA1106 &lt;= 25%,"High Hike[21-25%]")</f>
        <v>Moderate Hike[16-20%]</v>
      </c>
      <c r="AC1106" s="1">
        <v>3</v>
      </c>
      <c r="AD1106" s="1">
        <v>1</v>
      </c>
      <c r="AE1106" s="1">
        <v>80</v>
      </c>
      <c r="AF1106" s="1">
        <v>2</v>
      </c>
      <c r="AG1106" s="1">
        <v>5</v>
      </c>
      <c r="AH1106" s="9" t="str" cm="1">
        <f t="array" ref="AH1106">_xlfn.IFS(AG1106 &lt;= 5, "New[1-5]", AG1106 &lt;= 10, "Early Career[6-10]", AG1106 &lt;= 20, "Established[11-20]", AG1106 &lt;= 30, "Veteran[21-30]", AG1106 &lt;= 40, "Late Career[31-40]")</f>
        <v>New[1-5]</v>
      </c>
      <c r="AI1106" s="1">
        <v>2</v>
      </c>
      <c r="AJ1106" s="1">
        <v>2</v>
      </c>
      <c r="AK1106" s="1">
        <v>1</v>
      </c>
      <c r="AL1106" s="9" t="str" cm="1">
        <f t="array" ref="AL1106">_xlfn.IFS(AK1106 &lt;= 5, "New[1-5]", AK1106 &lt;= 10, "Early Career[6-10]", AK1106 &lt;= 20, "Established[11-20]", AK1106 &lt;= 30, "Veteran[21-30]", AK1106 &lt;= 40, "Late Career[31-40]")</f>
        <v>New[1-5]</v>
      </c>
      <c r="AM1106" s="1">
        <v>0</v>
      </c>
      <c r="AN1106" s="9" t="str" cm="1">
        <f t="array" ref="AN1106">_xlfn.IFS(AM1106 &lt;= 3, "New to Role[1-3]", AM1106 &lt;= 7, "Settled[4-7]", AM1106 &lt;= 12, "Experienced[[8-12]", AM1106 &lt;= 18, "Long Tenured[13-18]")</f>
        <v>New to Role[1-3]</v>
      </c>
      <c r="AO1106" s="1">
        <v>0</v>
      </c>
      <c r="AP1106" s="9" t="str" cm="1">
        <f t="array" ref="AP1106">_xlfn.IFS(AO1106 &lt;= 3, "Recently[1-3]", AO1106 &lt;= 6, "Due Soon[4-6]", AO1106 &lt;= 10, "Overdue[7-10]", AO1106 &lt;= 15, "Long Overdue[11-15]")</f>
        <v>Recently[1-3]</v>
      </c>
      <c r="AQ1106" s="9" t="str" cm="1">
        <f t="array" ref="AQ1106">_xlfn.IFS(AR1106 &lt;= 3, "New Relationship[1-3]", AR1106 &lt;= 7, "Established Relationship[4-7]", AR1106 &lt;= 12, "Long Term Relationship[8-12]", AR1106 &lt;= 17, "Very Long Term Relationship[13-17]")</f>
        <v>New Relationship[1-3]</v>
      </c>
      <c r="AR1106" s="1">
        <v>0</v>
      </c>
    </row>
    <row r="1107" spans="1:44" x14ac:dyDescent="0.25">
      <c r="A1107" s="1">
        <v>33</v>
      </c>
      <c r="B1107" s="8" t="str" cm="1">
        <f t="array" ref="B1107">_xlfn.IFS(A1107 &lt;= 25, "[18-25]", A1107 &lt;= 35, "[26-35]", A1107 &lt;=45, "[36-45]", A1107 &lt;= 60, "[46- 60]")</f>
        <v>[26-35]</v>
      </c>
      <c r="C1107" s="3" t="s">
        <v>43</v>
      </c>
      <c r="D1107">
        <f t="shared" si="17"/>
        <v>0</v>
      </c>
      <c r="E1107" t="s">
        <v>36</v>
      </c>
      <c r="F1107" s="1">
        <v>1242</v>
      </c>
      <c r="G1107" s="3" t="s">
        <v>37</v>
      </c>
      <c r="H1107" s="1">
        <v>8</v>
      </c>
      <c r="I1107" s="9" t="str" cm="1">
        <f t="array" ref="I1107">_xlfn.IFS(H1107 &lt;= 2, "[1-2] very close", H1107 &lt;= 10, "[3-10] close", H1107 &lt;= 20, "[11-20] moderate", H1107 &lt;= 30, "[21-30] far")</f>
        <v>[3-10] close</v>
      </c>
      <c r="J1107" s="1">
        <v>4</v>
      </c>
      <c r="K1107" s="3" t="s">
        <v>38</v>
      </c>
      <c r="L1107" s="1">
        <v>1</v>
      </c>
      <c r="M1107" s="1">
        <v>1560</v>
      </c>
      <c r="N1107" s="1">
        <v>1</v>
      </c>
      <c r="O1107" s="3" t="s">
        <v>46</v>
      </c>
      <c r="P1107" s="1">
        <v>46</v>
      </c>
      <c r="Q1107" s="1">
        <v>3</v>
      </c>
      <c r="R1107" s="1">
        <v>2</v>
      </c>
      <c r="S1107" s="3" t="s">
        <v>40</v>
      </c>
      <c r="T1107" s="1">
        <v>1</v>
      </c>
      <c r="U1107" s="3" t="s">
        <v>48</v>
      </c>
      <c r="V1107" s="4">
        <v>6392</v>
      </c>
      <c r="W1107" s="1">
        <v>10589</v>
      </c>
      <c r="X1107" s="1">
        <v>2</v>
      </c>
      <c r="Y1107" s="3" t="s">
        <v>42</v>
      </c>
      <c r="Z1107" s="3" t="s">
        <v>43</v>
      </c>
      <c r="AA1107" s="5">
        <v>0.13</v>
      </c>
      <c r="AB1107" s="10" t="str" cm="1">
        <f t="array" ref="AB1107">_xlfn.IFS(AA1107 &lt;= 15%, "Low Hike[11-15%]", AA1107 &lt;= 20%, "Moderate Hike[16-20%]", AA1107 &lt;= 25%,"High Hike[21-25%]")</f>
        <v>Low Hike[11-15%]</v>
      </c>
      <c r="AC1107" s="1">
        <v>3</v>
      </c>
      <c r="AD1107" s="1">
        <v>4</v>
      </c>
      <c r="AE1107" s="1">
        <v>80</v>
      </c>
      <c r="AF1107" s="1">
        <v>1</v>
      </c>
      <c r="AG1107" s="1">
        <v>8</v>
      </c>
      <c r="AH1107" s="9" t="str" cm="1">
        <f t="array" ref="AH1107">_xlfn.IFS(AG1107 &lt;= 5, "New[1-5]", AG1107 &lt;= 10, "Early Career[6-10]", AG1107 &lt;= 20, "Established[11-20]", AG1107 &lt;= 30, "Veteran[21-30]", AG1107 &lt;= 40, "Late Career[31-40]")</f>
        <v>Early Career[6-10]</v>
      </c>
      <c r="AI1107" s="1">
        <v>6</v>
      </c>
      <c r="AJ1107" s="1">
        <v>1</v>
      </c>
      <c r="AK1107" s="1">
        <v>2</v>
      </c>
      <c r="AL1107" s="9" t="str" cm="1">
        <f t="array" ref="AL1107">_xlfn.IFS(AK1107 &lt;= 5, "New[1-5]", AK1107 &lt;= 10, "Early Career[6-10]", AK1107 &lt;= 20, "Established[11-20]", AK1107 &lt;= 30, "Veteran[21-30]", AK1107 &lt;= 40, "Late Career[31-40]")</f>
        <v>New[1-5]</v>
      </c>
      <c r="AM1107" s="1">
        <v>2</v>
      </c>
      <c r="AN1107" s="9" t="str" cm="1">
        <f t="array" ref="AN1107">_xlfn.IFS(AM1107 &lt;= 3, "New to Role[1-3]", AM1107 &lt;= 7, "Settled[4-7]", AM1107 &lt;= 12, "Experienced[[8-12]", AM1107 &lt;= 18, "Long Tenured[13-18]")</f>
        <v>New to Role[1-3]</v>
      </c>
      <c r="AO1107" s="1">
        <v>2</v>
      </c>
      <c r="AP1107" s="9" t="str" cm="1">
        <f t="array" ref="AP1107">_xlfn.IFS(AO1107 &lt;= 3, "Recently[1-3]", AO1107 &lt;= 6, "Due Soon[4-6]", AO1107 &lt;= 10, "Overdue[7-10]", AO1107 &lt;= 15, "Long Overdue[11-15]")</f>
        <v>Recently[1-3]</v>
      </c>
      <c r="AQ1107" s="9" t="str" cm="1">
        <f t="array" ref="AQ1107">_xlfn.IFS(AR1107 &lt;= 3, "New Relationship[1-3]", AR1107 &lt;= 7, "Established Relationship[4-7]", AR1107 &lt;= 12, "Long Term Relationship[8-12]", AR1107 &lt;= 17, "Very Long Term Relationship[13-17]")</f>
        <v>New Relationship[1-3]</v>
      </c>
      <c r="AR1107" s="1">
        <v>2</v>
      </c>
    </row>
    <row r="1108" spans="1:44" x14ac:dyDescent="0.25">
      <c r="A1108" s="1">
        <v>30</v>
      </c>
      <c r="B1108" s="8" t="str" cm="1">
        <f t="array" ref="B1108">_xlfn.IFS(A1108 &lt;= 25, "[18-25]", A1108 &lt;= 35, "[26-35]", A1108 &lt;=45, "[36-45]", A1108 &lt;= 60, "[46- 60]")</f>
        <v>[26-35]</v>
      </c>
      <c r="C1108" s="3" t="s">
        <v>35</v>
      </c>
      <c r="D1108">
        <f t="shared" si="17"/>
        <v>1</v>
      </c>
      <c r="E1108" t="s">
        <v>36</v>
      </c>
      <c r="F1108" s="1">
        <v>740</v>
      </c>
      <c r="G1108" s="3" t="s">
        <v>37</v>
      </c>
      <c r="H1108" s="1">
        <v>1</v>
      </c>
      <c r="I1108" s="9" t="str" cm="1">
        <f t="array" ref="I1108">_xlfn.IFS(H1108 &lt;= 2, "[1-2] very close", H1108 &lt;= 10, "[3-10] close", H1108 &lt;= 20, "[11-20] moderate", H1108 &lt;= 30, "[21-30] far")</f>
        <v>[1-2] very close</v>
      </c>
      <c r="J1108" s="1">
        <v>3</v>
      </c>
      <c r="K1108" s="3" t="s">
        <v>38</v>
      </c>
      <c r="L1108" s="1">
        <v>1</v>
      </c>
      <c r="M1108" s="1">
        <v>1562</v>
      </c>
      <c r="N1108" s="1">
        <v>2</v>
      </c>
      <c r="O1108" s="3" t="s">
        <v>46</v>
      </c>
      <c r="P1108" s="1">
        <v>64</v>
      </c>
      <c r="Q1108" s="1">
        <v>2</v>
      </c>
      <c r="R1108" s="1">
        <v>2</v>
      </c>
      <c r="S1108" s="3" t="s">
        <v>40</v>
      </c>
      <c r="T1108" s="1">
        <v>1</v>
      </c>
      <c r="U1108" s="3" t="s">
        <v>48</v>
      </c>
      <c r="V1108" s="4">
        <v>9714</v>
      </c>
      <c r="W1108" s="1">
        <v>5323</v>
      </c>
      <c r="X1108" s="1">
        <v>1</v>
      </c>
      <c r="Y1108" s="3" t="s">
        <v>42</v>
      </c>
      <c r="Z1108" s="3" t="s">
        <v>43</v>
      </c>
      <c r="AA1108" s="5">
        <v>0.11</v>
      </c>
      <c r="AB1108" s="10" t="str" cm="1">
        <f t="array" ref="AB1108">_xlfn.IFS(AA1108 &lt;= 15%, "Low Hike[11-15%]", AA1108 &lt;= 20%, "Moderate Hike[16-20%]", AA1108 &lt;= 25%,"High Hike[21-25%]")</f>
        <v>Low Hike[11-15%]</v>
      </c>
      <c r="AC1108" s="1">
        <v>3</v>
      </c>
      <c r="AD1108" s="1">
        <v>4</v>
      </c>
      <c r="AE1108" s="1">
        <v>80</v>
      </c>
      <c r="AF1108" s="1">
        <v>1</v>
      </c>
      <c r="AG1108" s="1">
        <v>10</v>
      </c>
      <c r="AH1108" s="9" t="str" cm="1">
        <f t="array" ref="AH1108">_xlfn.IFS(AG1108 &lt;= 5, "New[1-5]", AG1108 &lt;= 10, "Early Career[6-10]", AG1108 &lt;= 20, "Established[11-20]", AG1108 &lt;= 30, "Veteran[21-30]", AG1108 &lt;= 40, "Late Career[31-40]")</f>
        <v>Early Career[6-10]</v>
      </c>
      <c r="AI1108" s="1">
        <v>4</v>
      </c>
      <c r="AJ1108" s="1">
        <v>3</v>
      </c>
      <c r="AK1108" s="1">
        <v>10</v>
      </c>
      <c r="AL1108" s="9" t="str" cm="1">
        <f t="array" ref="AL1108">_xlfn.IFS(AK1108 &lt;= 5, "New[1-5]", AK1108 &lt;= 10, "Early Career[6-10]", AK1108 &lt;= 20, "Established[11-20]", AK1108 &lt;= 30, "Veteran[21-30]", AK1108 &lt;= 40, "Late Career[31-40]")</f>
        <v>Early Career[6-10]</v>
      </c>
      <c r="AM1108" s="1">
        <v>8</v>
      </c>
      <c r="AN1108" s="9" t="str" cm="1">
        <f t="array" ref="AN1108">_xlfn.IFS(AM1108 &lt;= 3, "New to Role[1-3]", AM1108 &lt;= 7, "Settled[4-7]", AM1108 &lt;= 12, "Experienced[[8-12]", AM1108 &lt;= 18, "Long Tenured[13-18]")</f>
        <v>Experienced[[8-12]</v>
      </c>
      <c r="AO1108" s="1">
        <v>6</v>
      </c>
      <c r="AP1108" s="9" t="str" cm="1">
        <f t="array" ref="AP1108">_xlfn.IFS(AO1108 &lt;= 3, "Recently[1-3]", AO1108 &lt;= 6, "Due Soon[4-6]", AO1108 &lt;= 10, "Overdue[7-10]", AO1108 &lt;= 15, "Long Overdue[11-15]")</f>
        <v>Due Soon[4-6]</v>
      </c>
      <c r="AQ1108" s="9" t="str" cm="1">
        <f t="array" ref="AQ1108">_xlfn.IFS(AR1108 &lt;= 3, "New Relationship[1-3]", AR1108 &lt;= 7, "Established Relationship[4-7]", AR1108 &lt;= 12, "Long Term Relationship[8-12]", AR1108 &lt;= 17, "Very Long Term Relationship[13-17]")</f>
        <v>Established Relationship[4-7]</v>
      </c>
      <c r="AR1108" s="1">
        <v>7</v>
      </c>
    </row>
    <row r="1109" spans="1:44" x14ac:dyDescent="0.25">
      <c r="A1109" s="1">
        <v>38</v>
      </c>
      <c r="B1109" s="8" t="str" cm="1">
        <f t="array" ref="B1109">_xlfn.IFS(A1109 &lt;= 25, "[18-25]", A1109 &lt;= 35, "[26-35]", A1109 &lt;=45, "[36-45]", A1109 &lt;= 60, "[46- 60]")</f>
        <v>[36-45]</v>
      </c>
      <c r="C1109" s="3" t="s">
        <v>43</v>
      </c>
      <c r="D1109">
        <f t="shared" si="17"/>
        <v>0</v>
      </c>
      <c r="E1109" t="s">
        <v>44</v>
      </c>
      <c r="F1109" s="1">
        <v>888</v>
      </c>
      <c r="G1109" s="3" t="s">
        <v>61</v>
      </c>
      <c r="H1109" s="1">
        <v>10</v>
      </c>
      <c r="I1109" s="9" t="str" cm="1">
        <f t="array" ref="I1109">_xlfn.IFS(H1109 &lt;= 2, "[1-2] very close", H1109 &lt;= 10, "[3-10] close", H1109 &lt;= 20, "[11-20] moderate", H1109 &lt;= 30, "[21-30] far")</f>
        <v>[3-10] close</v>
      </c>
      <c r="J1109" s="1">
        <v>4</v>
      </c>
      <c r="K1109" s="3" t="s">
        <v>61</v>
      </c>
      <c r="L1109" s="1">
        <v>1</v>
      </c>
      <c r="M1109" s="1">
        <v>1563</v>
      </c>
      <c r="N1109" s="1">
        <v>3</v>
      </c>
      <c r="O1109" s="3" t="s">
        <v>46</v>
      </c>
      <c r="P1109" s="1">
        <v>71</v>
      </c>
      <c r="Q1109" s="1">
        <v>3</v>
      </c>
      <c r="R1109" s="1">
        <v>2</v>
      </c>
      <c r="S1109" s="3" t="s">
        <v>61</v>
      </c>
      <c r="T1109" s="1">
        <v>3</v>
      </c>
      <c r="U1109" s="3" t="s">
        <v>48</v>
      </c>
      <c r="V1109" s="4">
        <v>6077</v>
      </c>
      <c r="W1109" s="1">
        <v>14814</v>
      </c>
      <c r="X1109" s="1">
        <v>3</v>
      </c>
      <c r="Y1109" s="3" t="s">
        <v>42</v>
      </c>
      <c r="Z1109" s="3" t="s">
        <v>43</v>
      </c>
      <c r="AA1109" s="5">
        <v>0.11</v>
      </c>
      <c r="AB1109" s="10" t="str" cm="1">
        <f t="array" ref="AB1109">_xlfn.IFS(AA1109 &lt;= 15%, "Low Hike[11-15%]", AA1109 &lt;= 20%, "Moderate Hike[16-20%]", AA1109 &lt;= 25%,"High Hike[21-25%]")</f>
        <v>Low Hike[11-15%]</v>
      </c>
      <c r="AC1109" s="1">
        <v>3</v>
      </c>
      <c r="AD1109" s="1">
        <v>3</v>
      </c>
      <c r="AE1109" s="1">
        <v>80</v>
      </c>
      <c r="AF1109" s="1">
        <v>0</v>
      </c>
      <c r="AG1109" s="1">
        <v>10</v>
      </c>
      <c r="AH1109" s="9" t="str" cm="1">
        <f t="array" ref="AH1109">_xlfn.IFS(AG1109 &lt;= 5, "New[1-5]", AG1109 &lt;= 10, "Early Career[6-10]", AG1109 &lt;= 20, "Established[11-20]", AG1109 &lt;= 30, "Veteran[21-30]", AG1109 &lt;= 40, "Late Career[31-40]")</f>
        <v>Early Career[6-10]</v>
      </c>
      <c r="AI1109" s="1">
        <v>2</v>
      </c>
      <c r="AJ1109" s="1">
        <v>3</v>
      </c>
      <c r="AK1109" s="1">
        <v>6</v>
      </c>
      <c r="AL1109" s="9" t="str" cm="1">
        <f t="array" ref="AL1109">_xlfn.IFS(AK1109 &lt;= 5, "New[1-5]", AK1109 &lt;= 10, "Early Career[6-10]", AK1109 &lt;= 20, "Established[11-20]", AK1109 &lt;= 30, "Veteran[21-30]", AK1109 &lt;= 40, "Late Career[31-40]")</f>
        <v>Early Career[6-10]</v>
      </c>
      <c r="AM1109" s="1">
        <v>3</v>
      </c>
      <c r="AN1109" s="9" t="str" cm="1">
        <f t="array" ref="AN1109">_xlfn.IFS(AM1109 &lt;= 3, "New to Role[1-3]", AM1109 &lt;= 7, "Settled[4-7]", AM1109 &lt;= 12, "Experienced[[8-12]", AM1109 &lt;= 18, "Long Tenured[13-18]")</f>
        <v>New to Role[1-3]</v>
      </c>
      <c r="AO1109" s="1">
        <v>1</v>
      </c>
      <c r="AP1109" s="9" t="str" cm="1">
        <f t="array" ref="AP1109">_xlfn.IFS(AO1109 &lt;= 3, "Recently[1-3]", AO1109 &lt;= 6, "Due Soon[4-6]", AO1109 &lt;= 10, "Overdue[7-10]", AO1109 &lt;= 15, "Long Overdue[11-15]")</f>
        <v>Recently[1-3]</v>
      </c>
      <c r="AQ1109" s="9" t="str" cm="1">
        <f t="array" ref="AQ1109">_xlfn.IFS(AR1109 &lt;= 3, "New Relationship[1-3]", AR1109 &lt;= 7, "Established Relationship[4-7]", AR1109 &lt;= 12, "Long Term Relationship[8-12]", AR1109 &lt;= 17, "Very Long Term Relationship[13-17]")</f>
        <v>New Relationship[1-3]</v>
      </c>
      <c r="AR1109" s="1">
        <v>2</v>
      </c>
    </row>
    <row r="1110" spans="1:44" x14ac:dyDescent="0.25">
      <c r="A1110" s="1">
        <v>35</v>
      </c>
      <c r="B1110" s="8" t="str" cm="1">
        <f t="array" ref="B1110">_xlfn.IFS(A1110 &lt;= 25, "[18-25]", A1110 &lt;= 35, "[26-35]", A1110 &lt;=45, "[36-45]", A1110 &lt;= 60, "[46- 60]")</f>
        <v>[26-35]</v>
      </c>
      <c r="C1110" s="3" t="s">
        <v>43</v>
      </c>
      <c r="D1110">
        <f t="shared" si="17"/>
        <v>0</v>
      </c>
      <c r="E1110" t="s">
        <v>36</v>
      </c>
      <c r="F1110" s="1">
        <v>992</v>
      </c>
      <c r="G1110" s="3" t="s">
        <v>45</v>
      </c>
      <c r="H1110" s="1">
        <v>1</v>
      </c>
      <c r="I1110" s="9" t="str" cm="1">
        <f t="array" ref="I1110">_xlfn.IFS(H1110 &lt;= 2, "[1-2] very close", H1110 &lt;= 10, "[3-10] close", H1110 &lt;= 20, "[11-20] moderate", H1110 &lt;= 30, "[21-30] far")</f>
        <v>[1-2] very close</v>
      </c>
      <c r="J1110" s="1">
        <v>3</v>
      </c>
      <c r="K1110" s="3" t="s">
        <v>51</v>
      </c>
      <c r="L1110" s="1">
        <v>1</v>
      </c>
      <c r="M1110" s="1">
        <v>1564</v>
      </c>
      <c r="N1110" s="1">
        <v>4</v>
      </c>
      <c r="O1110" s="3" t="s">
        <v>46</v>
      </c>
      <c r="P1110" s="1">
        <v>68</v>
      </c>
      <c r="Q1110" s="1">
        <v>2</v>
      </c>
      <c r="R1110" s="1">
        <v>1</v>
      </c>
      <c r="S1110" s="3" t="s">
        <v>50</v>
      </c>
      <c r="T1110" s="1">
        <v>1</v>
      </c>
      <c r="U1110" s="3" t="s">
        <v>41</v>
      </c>
      <c r="V1110" s="4">
        <v>2450</v>
      </c>
      <c r="W1110" s="1">
        <v>21731</v>
      </c>
      <c r="X1110" s="1">
        <v>1</v>
      </c>
      <c r="Y1110" s="3" t="s">
        <v>42</v>
      </c>
      <c r="Z1110" s="3" t="s">
        <v>43</v>
      </c>
      <c r="AA1110" s="5">
        <v>0.19</v>
      </c>
      <c r="AB1110" s="10" t="str" cm="1">
        <f t="array" ref="AB1110">_xlfn.IFS(AA1110 &lt;= 15%, "Low Hike[11-15%]", AA1110 &lt;= 20%, "Moderate Hike[16-20%]", AA1110 &lt;= 25%,"High Hike[21-25%]")</f>
        <v>Moderate Hike[16-20%]</v>
      </c>
      <c r="AC1110" s="1">
        <v>3</v>
      </c>
      <c r="AD1110" s="1">
        <v>2</v>
      </c>
      <c r="AE1110" s="1">
        <v>80</v>
      </c>
      <c r="AF1110" s="1">
        <v>0</v>
      </c>
      <c r="AG1110" s="1">
        <v>3</v>
      </c>
      <c r="AH1110" s="9" t="str" cm="1">
        <f t="array" ref="AH1110">_xlfn.IFS(AG1110 &lt;= 5, "New[1-5]", AG1110 &lt;= 10, "Early Career[6-10]", AG1110 &lt;= 20, "Established[11-20]", AG1110 &lt;= 30, "Veteran[21-30]", AG1110 &lt;= 40, "Late Career[31-40]")</f>
        <v>New[1-5]</v>
      </c>
      <c r="AI1110" s="1">
        <v>3</v>
      </c>
      <c r="AJ1110" s="1">
        <v>3</v>
      </c>
      <c r="AK1110" s="1">
        <v>3</v>
      </c>
      <c r="AL1110" s="9" t="str" cm="1">
        <f t="array" ref="AL1110">_xlfn.IFS(AK1110 &lt;= 5, "New[1-5]", AK1110 &lt;= 10, "Early Career[6-10]", AK1110 &lt;= 20, "Established[11-20]", AK1110 &lt;= 30, "Veteran[21-30]", AK1110 &lt;= 40, "Late Career[31-40]")</f>
        <v>New[1-5]</v>
      </c>
      <c r="AM1110" s="1">
        <v>0</v>
      </c>
      <c r="AN1110" s="9" t="str" cm="1">
        <f t="array" ref="AN1110">_xlfn.IFS(AM1110 &lt;= 3, "New to Role[1-3]", AM1110 &lt;= 7, "Settled[4-7]", AM1110 &lt;= 12, "Experienced[[8-12]", AM1110 &lt;= 18, "Long Tenured[13-18]")</f>
        <v>New to Role[1-3]</v>
      </c>
      <c r="AO1110" s="1">
        <v>1</v>
      </c>
      <c r="AP1110" s="9" t="str" cm="1">
        <f t="array" ref="AP1110">_xlfn.IFS(AO1110 &lt;= 3, "Recently[1-3]", AO1110 &lt;= 6, "Due Soon[4-6]", AO1110 &lt;= 10, "Overdue[7-10]", AO1110 &lt;= 15, "Long Overdue[11-15]")</f>
        <v>Recently[1-3]</v>
      </c>
      <c r="AQ1110" s="9" t="str" cm="1">
        <f t="array" ref="AQ1110">_xlfn.IFS(AR1110 &lt;= 3, "New Relationship[1-3]", AR1110 &lt;= 7, "Established Relationship[4-7]", AR1110 &lt;= 12, "Long Term Relationship[8-12]", AR1110 &lt;= 17, "Very Long Term Relationship[13-17]")</f>
        <v>New Relationship[1-3]</v>
      </c>
      <c r="AR1110" s="1">
        <v>2</v>
      </c>
    </row>
    <row r="1111" spans="1:44" x14ac:dyDescent="0.25">
      <c r="A1111" s="1">
        <v>30</v>
      </c>
      <c r="B1111" s="8" t="str" cm="1">
        <f t="array" ref="B1111">_xlfn.IFS(A1111 &lt;= 25, "[18-25]", A1111 &lt;= 35, "[26-35]", A1111 &lt;=45, "[36-45]", A1111 &lt;= 60, "[46- 60]")</f>
        <v>[26-35]</v>
      </c>
      <c r="C1111" s="3" t="s">
        <v>43</v>
      </c>
      <c r="D1111">
        <f t="shared" si="17"/>
        <v>0</v>
      </c>
      <c r="E1111" t="s">
        <v>36</v>
      </c>
      <c r="F1111" s="1">
        <v>1288</v>
      </c>
      <c r="G1111" s="3" t="s">
        <v>37</v>
      </c>
      <c r="H1111" s="1">
        <v>29</v>
      </c>
      <c r="I1111" s="9" t="str" cm="1">
        <f t="array" ref="I1111">_xlfn.IFS(H1111 &lt;= 2, "[1-2] very close", H1111 &lt;= 10, "[3-10] close", H1111 &lt;= 20, "[11-20] moderate", H1111 &lt;= 30, "[21-30] far")</f>
        <v>[21-30] far</v>
      </c>
      <c r="J1111" s="1">
        <v>4</v>
      </c>
      <c r="K1111" s="3" t="s">
        <v>60</v>
      </c>
      <c r="L1111" s="1">
        <v>1</v>
      </c>
      <c r="M1111" s="1">
        <v>1568</v>
      </c>
      <c r="N1111" s="1">
        <v>3</v>
      </c>
      <c r="O1111" s="3" t="s">
        <v>46</v>
      </c>
      <c r="P1111" s="1">
        <v>33</v>
      </c>
      <c r="Q1111" s="1">
        <v>3</v>
      </c>
      <c r="R1111" s="1">
        <v>3</v>
      </c>
      <c r="S1111" s="3" t="s">
        <v>40</v>
      </c>
      <c r="T1111" s="1">
        <v>2</v>
      </c>
      <c r="U1111" s="3" t="s">
        <v>48</v>
      </c>
      <c r="V1111" s="4">
        <v>9250</v>
      </c>
      <c r="W1111" s="1">
        <v>17799</v>
      </c>
      <c r="X1111" s="1">
        <v>3</v>
      </c>
      <c r="Y1111" s="3" t="s">
        <v>42</v>
      </c>
      <c r="Z1111" s="3" t="s">
        <v>43</v>
      </c>
      <c r="AA1111" s="5">
        <v>0.12</v>
      </c>
      <c r="AB1111" s="10" t="str" cm="1">
        <f t="array" ref="AB1111">_xlfn.IFS(AA1111 &lt;= 15%, "Low Hike[11-15%]", AA1111 &lt;= 20%, "Moderate Hike[16-20%]", AA1111 &lt;= 25%,"High Hike[21-25%]")</f>
        <v>Low Hike[11-15%]</v>
      </c>
      <c r="AC1111" s="1">
        <v>3</v>
      </c>
      <c r="AD1111" s="1">
        <v>2</v>
      </c>
      <c r="AE1111" s="1">
        <v>80</v>
      </c>
      <c r="AF1111" s="1">
        <v>1</v>
      </c>
      <c r="AG1111" s="1">
        <v>9</v>
      </c>
      <c r="AH1111" s="9" t="str" cm="1">
        <f t="array" ref="AH1111">_xlfn.IFS(AG1111 &lt;= 5, "New[1-5]", AG1111 &lt;= 10, "Early Career[6-10]", AG1111 &lt;= 20, "Established[11-20]", AG1111 &lt;= 30, "Veteran[21-30]", AG1111 &lt;= 40, "Late Career[31-40]")</f>
        <v>Early Career[6-10]</v>
      </c>
      <c r="AI1111" s="1">
        <v>3</v>
      </c>
      <c r="AJ1111" s="1">
        <v>3</v>
      </c>
      <c r="AK1111" s="1">
        <v>4</v>
      </c>
      <c r="AL1111" s="9" t="str" cm="1">
        <f t="array" ref="AL1111">_xlfn.IFS(AK1111 &lt;= 5, "New[1-5]", AK1111 &lt;= 10, "Early Career[6-10]", AK1111 &lt;= 20, "Established[11-20]", AK1111 &lt;= 30, "Veteran[21-30]", AK1111 &lt;= 40, "Late Career[31-40]")</f>
        <v>New[1-5]</v>
      </c>
      <c r="AM1111" s="1">
        <v>2</v>
      </c>
      <c r="AN1111" s="9" t="str" cm="1">
        <f t="array" ref="AN1111">_xlfn.IFS(AM1111 &lt;= 3, "New to Role[1-3]", AM1111 &lt;= 7, "Settled[4-7]", AM1111 &lt;= 12, "Experienced[[8-12]", AM1111 &lt;= 18, "Long Tenured[13-18]")</f>
        <v>New to Role[1-3]</v>
      </c>
      <c r="AO1111" s="1">
        <v>1</v>
      </c>
      <c r="AP1111" s="9" t="str" cm="1">
        <f t="array" ref="AP1111">_xlfn.IFS(AO1111 &lt;= 3, "Recently[1-3]", AO1111 &lt;= 6, "Due Soon[4-6]", AO1111 &lt;= 10, "Overdue[7-10]", AO1111 &lt;= 15, "Long Overdue[11-15]")</f>
        <v>Recently[1-3]</v>
      </c>
      <c r="AQ1111" s="9" t="str" cm="1">
        <f t="array" ref="AQ1111">_xlfn.IFS(AR1111 &lt;= 3, "New Relationship[1-3]", AR1111 &lt;= 7, "Established Relationship[4-7]", AR1111 &lt;= 12, "Long Term Relationship[8-12]", AR1111 &lt;= 17, "Very Long Term Relationship[13-17]")</f>
        <v>New Relationship[1-3]</v>
      </c>
      <c r="AR1111" s="1">
        <v>3</v>
      </c>
    </row>
    <row r="1112" spans="1:44" x14ac:dyDescent="0.25">
      <c r="A1112" s="1">
        <v>35</v>
      </c>
      <c r="B1112" s="8" t="str" cm="1">
        <f t="array" ref="B1112">_xlfn.IFS(A1112 &lt;= 25, "[18-25]", A1112 &lt;= 35, "[26-35]", A1112 &lt;=45, "[36-45]", A1112 &lt;= 60, "[46- 60]")</f>
        <v>[26-35]</v>
      </c>
      <c r="C1112" s="3" t="s">
        <v>35</v>
      </c>
      <c r="D1112">
        <f t="shared" si="17"/>
        <v>1</v>
      </c>
      <c r="E1112" t="s">
        <v>36</v>
      </c>
      <c r="F1112" s="1">
        <v>104</v>
      </c>
      <c r="G1112" s="3" t="s">
        <v>45</v>
      </c>
      <c r="H1112" s="1">
        <v>2</v>
      </c>
      <c r="I1112" s="9" t="str" cm="1">
        <f t="array" ref="I1112">_xlfn.IFS(H1112 &lt;= 2, "[1-2] very close", H1112 &lt;= 10, "[3-10] close", H1112 &lt;= 20, "[11-20] moderate", H1112 &lt;= 30, "[21-30] far")</f>
        <v>[1-2] very close</v>
      </c>
      <c r="J1112" s="1">
        <v>3</v>
      </c>
      <c r="K1112" s="3" t="s">
        <v>38</v>
      </c>
      <c r="L1112" s="1">
        <v>1</v>
      </c>
      <c r="M1112" s="1">
        <v>1569</v>
      </c>
      <c r="N1112" s="1">
        <v>1</v>
      </c>
      <c r="O1112" s="3" t="s">
        <v>39</v>
      </c>
      <c r="P1112" s="1">
        <v>69</v>
      </c>
      <c r="Q1112" s="1">
        <v>3</v>
      </c>
      <c r="R1112" s="1">
        <v>1</v>
      </c>
      <c r="S1112" s="3" t="s">
        <v>50</v>
      </c>
      <c r="T1112" s="1">
        <v>1</v>
      </c>
      <c r="U1112" s="3" t="s">
        <v>52</v>
      </c>
      <c r="V1112" s="4">
        <v>2074</v>
      </c>
      <c r="W1112" s="1">
        <v>26619</v>
      </c>
      <c r="X1112" s="1">
        <v>1</v>
      </c>
      <c r="Y1112" s="3" t="s">
        <v>42</v>
      </c>
      <c r="Z1112" s="3" t="s">
        <v>35</v>
      </c>
      <c r="AA1112" s="5">
        <v>0.12</v>
      </c>
      <c r="AB1112" s="10" t="str" cm="1">
        <f t="array" ref="AB1112">_xlfn.IFS(AA1112 &lt;= 15%, "Low Hike[11-15%]", AA1112 &lt;= 20%, "Moderate Hike[16-20%]", AA1112 &lt;= 25%,"High Hike[21-25%]")</f>
        <v>Low Hike[11-15%]</v>
      </c>
      <c r="AC1112" s="1">
        <v>3</v>
      </c>
      <c r="AD1112" s="1">
        <v>4</v>
      </c>
      <c r="AE1112" s="1">
        <v>80</v>
      </c>
      <c r="AF1112" s="1">
        <v>1</v>
      </c>
      <c r="AG1112" s="1">
        <v>1</v>
      </c>
      <c r="AH1112" s="9" t="str" cm="1">
        <f t="array" ref="AH1112">_xlfn.IFS(AG1112 &lt;= 5, "New[1-5]", AG1112 &lt;= 10, "Early Career[6-10]", AG1112 &lt;= 20, "Established[11-20]", AG1112 &lt;= 30, "Veteran[21-30]", AG1112 &lt;= 40, "Late Career[31-40]")</f>
        <v>New[1-5]</v>
      </c>
      <c r="AI1112" s="1">
        <v>2</v>
      </c>
      <c r="AJ1112" s="1">
        <v>3</v>
      </c>
      <c r="AK1112" s="1">
        <v>1</v>
      </c>
      <c r="AL1112" s="9" t="str" cm="1">
        <f t="array" ref="AL1112">_xlfn.IFS(AK1112 &lt;= 5, "New[1-5]", AK1112 &lt;= 10, "Early Career[6-10]", AK1112 &lt;= 20, "Established[11-20]", AK1112 &lt;= 30, "Veteran[21-30]", AK1112 &lt;= 40, "Late Career[31-40]")</f>
        <v>New[1-5]</v>
      </c>
      <c r="AM1112" s="1">
        <v>0</v>
      </c>
      <c r="AN1112" s="9" t="str" cm="1">
        <f t="array" ref="AN1112">_xlfn.IFS(AM1112 &lt;= 3, "New to Role[1-3]", AM1112 &lt;= 7, "Settled[4-7]", AM1112 &lt;= 12, "Experienced[[8-12]", AM1112 &lt;= 18, "Long Tenured[13-18]")</f>
        <v>New to Role[1-3]</v>
      </c>
      <c r="AO1112" s="1">
        <v>0</v>
      </c>
      <c r="AP1112" s="9" t="str" cm="1">
        <f t="array" ref="AP1112">_xlfn.IFS(AO1112 &lt;= 3, "Recently[1-3]", AO1112 &lt;= 6, "Due Soon[4-6]", AO1112 &lt;= 10, "Overdue[7-10]", AO1112 &lt;= 15, "Long Overdue[11-15]")</f>
        <v>Recently[1-3]</v>
      </c>
      <c r="AQ1112" s="9" t="str" cm="1">
        <f t="array" ref="AQ1112">_xlfn.IFS(AR1112 &lt;= 3, "New Relationship[1-3]", AR1112 &lt;= 7, "Established Relationship[4-7]", AR1112 &lt;= 12, "Long Term Relationship[8-12]", AR1112 &lt;= 17, "Very Long Term Relationship[13-17]")</f>
        <v>New Relationship[1-3]</v>
      </c>
      <c r="AR1112" s="1">
        <v>0</v>
      </c>
    </row>
    <row r="1113" spans="1:44" x14ac:dyDescent="0.25">
      <c r="A1113" s="1">
        <v>53</v>
      </c>
      <c r="B1113" s="8" t="str" cm="1">
        <f t="array" ref="B1113">_xlfn.IFS(A1113 &lt;= 25, "[18-25]", A1113 &lt;= 35, "[26-35]", A1113 &lt;=45, "[36-45]", A1113 &lt;= 60, "[46- 60]")</f>
        <v>[46- 60]</v>
      </c>
      <c r="C1113" s="3" t="s">
        <v>35</v>
      </c>
      <c r="D1113">
        <f t="shared" si="17"/>
        <v>1</v>
      </c>
      <c r="E1113" t="s">
        <v>36</v>
      </c>
      <c r="F1113" s="1">
        <v>607</v>
      </c>
      <c r="G1113" s="3" t="s">
        <v>45</v>
      </c>
      <c r="H1113" s="1">
        <v>2</v>
      </c>
      <c r="I1113" s="9" t="str" cm="1">
        <f t="array" ref="I1113">_xlfn.IFS(H1113 &lt;= 2, "[1-2] very close", H1113 &lt;= 10, "[3-10] close", H1113 &lt;= 20, "[11-20] moderate", H1113 &lt;= 30, "[21-30] far")</f>
        <v>[1-2] very close</v>
      </c>
      <c r="J1113" s="1">
        <v>5</v>
      </c>
      <c r="K1113" s="3" t="s">
        <v>60</v>
      </c>
      <c r="L1113" s="1">
        <v>1</v>
      </c>
      <c r="M1113" s="1">
        <v>1572</v>
      </c>
      <c r="N1113" s="1">
        <v>3</v>
      </c>
      <c r="O1113" s="3" t="s">
        <v>39</v>
      </c>
      <c r="P1113" s="1">
        <v>78</v>
      </c>
      <c r="Q1113" s="1">
        <v>2</v>
      </c>
      <c r="R1113" s="1">
        <v>3</v>
      </c>
      <c r="S1113" s="3" t="s">
        <v>53</v>
      </c>
      <c r="T1113" s="1">
        <v>4</v>
      </c>
      <c r="U1113" s="3" t="s">
        <v>48</v>
      </c>
      <c r="V1113" s="4">
        <v>10169</v>
      </c>
      <c r="W1113" s="1">
        <v>14618</v>
      </c>
      <c r="X1113" s="1">
        <v>0</v>
      </c>
      <c r="Y1113" s="3" t="s">
        <v>42</v>
      </c>
      <c r="Z1113" s="3" t="s">
        <v>43</v>
      </c>
      <c r="AA1113" s="5">
        <v>0.16</v>
      </c>
      <c r="AB1113" s="10" t="str" cm="1">
        <f t="array" ref="AB1113">_xlfn.IFS(AA1113 &lt;= 15%, "Low Hike[11-15%]", AA1113 &lt;= 20%, "Moderate Hike[16-20%]", AA1113 &lt;= 25%,"High Hike[21-25%]")</f>
        <v>Moderate Hike[16-20%]</v>
      </c>
      <c r="AC1113" s="1">
        <v>3</v>
      </c>
      <c r="AD1113" s="1">
        <v>2</v>
      </c>
      <c r="AE1113" s="1">
        <v>80</v>
      </c>
      <c r="AF1113" s="1">
        <v>1</v>
      </c>
      <c r="AG1113" s="1">
        <v>34</v>
      </c>
      <c r="AH1113" s="9" t="str" cm="1">
        <f t="array" ref="AH1113">_xlfn.IFS(AG1113 &lt;= 5, "New[1-5]", AG1113 &lt;= 10, "Early Career[6-10]", AG1113 &lt;= 20, "Established[11-20]", AG1113 &lt;= 30, "Veteran[21-30]", AG1113 &lt;= 40, "Late Career[31-40]")</f>
        <v>Late Career[31-40]</v>
      </c>
      <c r="AI1113" s="1">
        <v>4</v>
      </c>
      <c r="AJ1113" s="1">
        <v>3</v>
      </c>
      <c r="AK1113" s="1">
        <v>33</v>
      </c>
      <c r="AL1113" s="9" t="str" cm="1">
        <f t="array" ref="AL1113">_xlfn.IFS(AK1113 &lt;= 5, "New[1-5]", AK1113 &lt;= 10, "Early Career[6-10]", AK1113 &lt;= 20, "Established[11-20]", AK1113 &lt;= 30, "Veteran[21-30]", AK1113 &lt;= 40, "Late Career[31-40]")</f>
        <v>Late Career[31-40]</v>
      </c>
      <c r="AM1113" s="1">
        <v>7</v>
      </c>
      <c r="AN1113" s="9" t="str" cm="1">
        <f t="array" ref="AN1113">_xlfn.IFS(AM1113 &lt;= 3, "New to Role[1-3]", AM1113 &lt;= 7, "Settled[4-7]", AM1113 &lt;= 12, "Experienced[[8-12]", AM1113 &lt;= 18, "Long Tenured[13-18]")</f>
        <v>Settled[4-7]</v>
      </c>
      <c r="AO1113" s="1">
        <v>1</v>
      </c>
      <c r="AP1113" s="9" t="str" cm="1">
        <f t="array" ref="AP1113">_xlfn.IFS(AO1113 &lt;= 3, "Recently[1-3]", AO1113 &lt;= 6, "Due Soon[4-6]", AO1113 &lt;= 10, "Overdue[7-10]", AO1113 &lt;= 15, "Long Overdue[11-15]")</f>
        <v>Recently[1-3]</v>
      </c>
      <c r="AQ1113" s="9" t="str" cm="1">
        <f t="array" ref="AQ1113">_xlfn.IFS(AR1113 &lt;= 3, "New Relationship[1-3]", AR1113 &lt;= 7, "Established Relationship[4-7]", AR1113 &lt;= 12, "Long Term Relationship[8-12]", AR1113 &lt;= 17, "Very Long Term Relationship[13-17]")</f>
        <v>Long Term Relationship[8-12]</v>
      </c>
      <c r="AR1113" s="1">
        <v>9</v>
      </c>
    </row>
    <row r="1114" spans="1:44" x14ac:dyDescent="0.25">
      <c r="A1114" s="1">
        <v>38</v>
      </c>
      <c r="B1114" s="8" t="str" cm="1">
        <f t="array" ref="B1114">_xlfn.IFS(A1114 &lt;= 25, "[18-25]", A1114 &lt;= 35, "[26-35]", A1114 &lt;=45, "[36-45]", A1114 &lt;= 60, "[46- 60]")</f>
        <v>[36-45]</v>
      </c>
      <c r="C1114" s="3" t="s">
        <v>35</v>
      </c>
      <c r="D1114">
        <f t="shared" si="17"/>
        <v>1</v>
      </c>
      <c r="E1114" t="s">
        <v>36</v>
      </c>
      <c r="F1114" s="1">
        <v>903</v>
      </c>
      <c r="G1114" s="3" t="s">
        <v>45</v>
      </c>
      <c r="H1114" s="1">
        <v>2</v>
      </c>
      <c r="I1114" s="9" t="str" cm="1">
        <f t="array" ref="I1114">_xlfn.IFS(H1114 &lt;= 2, "[1-2] very close", H1114 &lt;= 10, "[3-10] close", H1114 &lt;= 20, "[11-20] moderate", H1114 &lt;= 30, "[21-30] far")</f>
        <v>[1-2] very close</v>
      </c>
      <c r="J1114" s="1">
        <v>3</v>
      </c>
      <c r="K1114" s="3" t="s">
        <v>51</v>
      </c>
      <c r="L1114" s="1">
        <v>1</v>
      </c>
      <c r="M1114" s="1">
        <v>1573</v>
      </c>
      <c r="N1114" s="1">
        <v>3</v>
      </c>
      <c r="O1114" s="3" t="s">
        <v>46</v>
      </c>
      <c r="P1114" s="1">
        <v>81</v>
      </c>
      <c r="Q1114" s="1">
        <v>3</v>
      </c>
      <c r="R1114" s="1">
        <v>2</v>
      </c>
      <c r="S1114" s="3" t="s">
        <v>53</v>
      </c>
      <c r="T1114" s="1">
        <v>2</v>
      </c>
      <c r="U1114" s="3" t="s">
        <v>48</v>
      </c>
      <c r="V1114" s="4">
        <v>4855</v>
      </c>
      <c r="W1114" s="1">
        <v>7653</v>
      </c>
      <c r="X1114" s="1">
        <v>4</v>
      </c>
      <c r="Y1114" s="3" t="s">
        <v>42</v>
      </c>
      <c r="Z1114" s="3" t="s">
        <v>43</v>
      </c>
      <c r="AA1114" s="5">
        <v>0.11</v>
      </c>
      <c r="AB1114" s="10" t="str" cm="1">
        <f t="array" ref="AB1114">_xlfn.IFS(AA1114 &lt;= 15%, "Low Hike[11-15%]", AA1114 &lt;= 20%, "Moderate Hike[16-20%]", AA1114 &lt;= 25%,"High Hike[21-25%]")</f>
        <v>Low Hike[11-15%]</v>
      </c>
      <c r="AC1114" s="1">
        <v>3</v>
      </c>
      <c r="AD1114" s="1">
        <v>1</v>
      </c>
      <c r="AE1114" s="1">
        <v>80</v>
      </c>
      <c r="AF1114" s="1">
        <v>2</v>
      </c>
      <c r="AG1114" s="1">
        <v>7</v>
      </c>
      <c r="AH1114" s="9" t="str" cm="1">
        <f t="array" ref="AH1114">_xlfn.IFS(AG1114 &lt;= 5, "New[1-5]", AG1114 &lt;= 10, "Early Career[6-10]", AG1114 &lt;= 20, "Established[11-20]", AG1114 &lt;= 30, "Veteran[21-30]", AG1114 &lt;= 40, "Late Career[31-40]")</f>
        <v>Early Career[6-10]</v>
      </c>
      <c r="AI1114" s="1">
        <v>2</v>
      </c>
      <c r="AJ1114" s="1">
        <v>3</v>
      </c>
      <c r="AK1114" s="1">
        <v>5</v>
      </c>
      <c r="AL1114" s="9" t="str" cm="1">
        <f t="array" ref="AL1114">_xlfn.IFS(AK1114 &lt;= 5, "New[1-5]", AK1114 &lt;= 10, "Early Career[6-10]", AK1114 &lt;= 20, "Established[11-20]", AK1114 &lt;= 30, "Veteran[21-30]", AK1114 &lt;= 40, "Late Career[31-40]")</f>
        <v>New[1-5]</v>
      </c>
      <c r="AM1114" s="1">
        <v>2</v>
      </c>
      <c r="AN1114" s="9" t="str" cm="1">
        <f t="array" ref="AN1114">_xlfn.IFS(AM1114 &lt;= 3, "New to Role[1-3]", AM1114 &lt;= 7, "Settled[4-7]", AM1114 &lt;= 12, "Experienced[[8-12]", AM1114 &lt;= 18, "Long Tenured[13-18]")</f>
        <v>New to Role[1-3]</v>
      </c>
      <c r="AO1114" s="1">
        <v>1</v>
      </c>
      <c r="AP1114" s="9" t="str" cm="1">
        <f t="array" ref="AP1114">_xlfn.IFS(AO1114 &lt;= 3, "Recently[1-3]", AO1114 &lt;= 6, "Due Soon[4-6]", AO1114 &lt;= 10, "Overdue[7-10]", AO1114 &lt;= 15, "Long Overdue[11-15]")</f>
        <v>Recently[1-3]</v>
      </c>
      <c r="AQ1114" s="9" t="str" cm="1">
        <f t="array" ref="AQ1114">_xlfn.IFS(AR1114 &lt;= 3, "New Relationship[1-3]", AR1114 &lt;= 7, "Established Relationship[4-7]", AR1114 &lt;= 12, "Long Term Relationship[8-12]", AR1114 &lt;= 17, "Very Long Term Relationship[13-17]")</f>
        <v>Established Relationship[4-7]</v>
      </c>
      <c r="AR1114" s="1">
        <v>4</v>
      </c>
    </row>
    <row r="1115" spans="1:44" x14ac:dyDescent="0.25">
      <c r="A1115" s="1">
        <v>32</v>
      </c>
      <c r="B1115" s="8" t="str" cm="1">
        <f t="array" ref="B1115">_xlfn.IFS(A1115 &lt;= 25, "[18-25]", A1115 &lt;= 35, "[26-35]", A1115 &lt;=45, "[36-45]", A1115 &lt;= 60, "[46- 60]")</f>
        <v>[26-35]</v>
      </c>
      <c r="C1115" s="3" t="s">
        <v>43</v>
      </c>
      <c r="D1115">
        <f t="shared" si="17"/>
        <v>0</v>
      </c>
      <c r="E1115" t="s">
        <v>62</v>
      </c>
      <c r="F1115" s="1">
        <v>1200</v>
      </c>
      <c r="G1115" s="3" t="s">
        <v>45</v>
      </c>
      <c r="H1115" s="1">
        <v>1</v>
      </c>
      <c r="I1115" s="9" t="str" cm="1">
        <f t="array" ref="I1115">_xlfn.IFS(H1115 &lt;= 2, "[1-2] very close", H1115 &lt;= 10, "[3-10] close", H1115 &lt;= 20, "[11-20] moderate", H1115 &lt;= 30, "[21-30] far")</f>
        <v>[1-2] very close</v>
      </c>
      <c r="J1115" s="1">
        <v>4</v>
      </c>
      <c r="K1115" s="3" t="s">
        <v>60</v>
      </c>
      <c r="L1115" s="1">
        <v>1</v>
      </c>
      <c r="M1115" s="1">
        <v>1574</v>
      </c>
      <c r="N1115" s="1">
        <v>4</v>
      </c>
      <c r="O1115" s="3" t="s">
        <v>46</v>
      </c>
      <c r="P1115" s="1">
        <v>62</v>
      </c>
      <c r="Q1115" s="1">
        <v>3</v>
      </c>
      <c r="R1115" s="1">
        <v>2</v>
      </c>
      <c r="S1115" s="3" t="s">
        <v>47</v>
      </c>
      <c r="T1115" s="1">
        <v>1</v>
      </c>
      <c r="U1115" s="3" t="s">
        <v>48</v>
      </c>
      <c r="V1115" s="4">
        <v>4087</v>
      </c>
      <c r="W1115" s="1">
        <v>25174</v>
      </c>
      <c r="X1115" s="1">
        <v>4</v>
      </c>
      <c r="Y1115" s="3" t="s">
        <v>42</v>
      </c>
      <c r="Z1115" s="3" t="s">
        <v>43</v>
      </c>
      <c r="AA1115" s="5">
        <v>0.14000000000000001</v>
      </c>
      <c r="AB1115" s="10" t="str" cm="1">
        <f t="array" ref="AB1115">_xlfn.IFS(AA1115 &lt;= 15%, "Low Hike[11-15%]", AA1115 &lt;= 20%, "Moderate Hike[16-20%]", AA1115 &lt;= 25%,"High Hike[21-25%]")</f>
        <v>Low Hike[11-15%]</v>
      </c>
      <c r="AC1115" s="1">
        <v>3</v>
      </c>
      <c r="AD1115" s="1">
        <v>2</v>
      </c>
      <c r="AE1115" s="1">
        <v>80</v>
      </c>
      <c r="AF1115" s="1">
        <v>1</v>
      </c>
      <c r="AG1115" s="1">
        <v>9</v>
      </c>
      <c r="AH1115" s="9" t="str" cm="1">
        <f t="array" ref="AH1115">_xlfn.IFS(AG1115 &lt;= 5, "New[1-5]", AG1115 &lt;= 10, "Early Career[6-10]", AG1115 &lt;= 20, "Established[11-20]", AG1115 &lt;= 30, "Veteran[21-30]", AG1115 &lt;= 40, "Late Career[31-40]")</f>
        <v>Early Career[6-10]</v>
      </c>
      <c r="AI1115" s="1">
        <v>3</v>
      </c>
      <c r="AJ1115" s="1">
        <v>2</v>
      </c>
      <c r="AK1115" s="1">
        <v>6</v>
      </c>
      <c r="AL1115" s="9" t="str" cm="1">
        <f t="array" ref="AL1115">_xlfn.IFS(AK1115 &lt;= 5, "New[1-5]", AK1115 &lt;= 10, "Early Career[6-10]", AK1115 &lt;= 20, "Established[11-20]", AK1115 &lt;= 30, "Veteran[21-30]", AK1115 &lt;= 40, "Late Career[31-40]")</f>
        <v>Early Career[6-10]</v>
      </c>
      <c r="AM1115" s="1">
        <v>5</v>
      </c>
      <c r="AN1115" s="9" t="str" cm="1">
        <f t="array" ref="AN1115">_xlfn.IFS(AM1115 &lt;= 3, "New to Role[1-3]", AM1115 &lt;= 7, "Settled[4-7]", AM1115 &lt;= 12, "Experienced[[8-12]", AM1115 &lt;= 18, "Long Tenured[13-18]")</f>
        <v>Settled[4-7]</v>
      </c>
      <c r="AO1115" s="1">
        <v>1</v>
      </c>
      <c r="AP1115" s="9" t="str" cm="1">
        <f t="array" ref="AP1115">_xlfn.IFS(AO1115 &lt;= 3, "Recently[1-3]", AO1115 &lt;= 6, "Due Soon[4-6]", AO1115 &lt;= 10, "Overdue[7-10]", AO1115 &lt;= 15, "Long Overdue[11-15]")</f>
        <v>Recently[1-3]</v>
      </c>
      <c r="AQ1115" s="9" t="str" cm="1">
        <f t="array" ref="AQ1115">_xlfn.IFS(AR1115 &lt;= 3, "New Relationship[1-3]", AR1115 &lt;= 7, "Established Relationship[4-7]", AR1115 &lt;= 12, "Long Term Relationship[8-12]", AR1115 &lt;= 17, "Very Long Term Relationship[13-17]")</f>
        <v>New Relationship[1-3]</v>
      </c>
      <c r="AR1115" s="1">
        <v>2</v>
      </c>
    </row>
    <row r="1116" spans="1:44" x14ac:dyDescent="0.25">
      <c r="A1116" s="1">
        <v>48</v>
      </c>
      <c r="B1116" s="8" t="str" cm="1">
        <f t="array" ref="B1116">_xlfn.IFS(A1116 &lt;= 25, "[18-25]", A1116 &lt;= 35, "[26-35]", A1116 &lt;=45, "[36-45]", A1116 &lt;= 60, "[46- 60]")</f>
        <v>[46- 60]</v>
      </c>
      <c r="C1116" s="3" t="s">
        <v>43</v>
      </c>
      <c r="D1116">
        <f t="shared" si="17"/>
        <v>0</v>
      </c>
      <c r="E1116" t="s">
        <v>36</v>
      </c>
      <c r="F1116" s="1">
        <v>1108</v>
      </c>
      <c r="G1116" s="3" t="s">
        <v>45</v>
      </c>
      <c r="H1116" s="1">
        <v>15</v>
      </c>
      <c r="I1116" s="9" t="str" cm="1">
        <f t="array" ref="I1116">_xlfn.IFS(H1116 &lt;= 2, "[1-2] very close", H1116 &lt;= 10, "[3-10] close", H1116 &lt;= 20, "[11-20] moderate", H1116 &lt;= 30, "[21-30] far")</f>
        <v>[11-20] moderate</v>
      </c>
      <c r="J1116" s="1">
        <v>4</v>
      </c>
      <c r="K1116" s="3" t="s">
        <v>49</v>
      </c>
      <c r="L1116" s="1">
        <v>1</v>
      </c>
      <c r="M1116" s="1">
        <v>1576</v>
      </c>
      <c r="N1116" s="1">
        <v>3</v>
      </c>
      <c r="O1116" s="3" t="s">
        <v>39</v>
      </c>
      <c r="P1116" s="1">
        <v>65</v>
      </c>
      <c r="Q1116" s="1">
        <v>3</v>
      </c>
      <c r="R1116" s="1">
        <v>1</v>
      </c>
      <c r="S1116" s="3" t="s">
        <v>47</v>
      </c>
      <c r="T1116" s="1">
        <v>1</v>
      </c>
      <c r="U1116" s="3" t="s">
        <v>48</v>
      </c>
      <c r="V1116" s="4">
        <v>2367</v>
      </c>
      <c r="W1116" s="1">
        <v>16530</v>
      </c>
      <c r="X1116" s="1">
        <v>8</v>
      </c>
      <c r="Y1116" s="3" t="s">
        <v>42</v>
      </c>
      <c r="Z1116" s="3" t="s">
        <v>43</v>
      </c>
      <c r="AA1116" s="5">
        <v>0.12</v>
      </c>
      <c r="AB1116" s="10" t="str" cm="1">
        <f t="array" ref="AB1116">_xlfn.IFS(AA1116 &lt;= 15%, "Low Hike[11-15%]", AA1116 &lt;= 20%, "Moderate Hike[16-20%]", AA1116 &lt;= 25%,"High Hike[21-25%]")</f>
        <v>Low Hike[11-15%]</v>
      </c>
      <c r="AC1116" s="1">
        <v>3</v>
      </c>
      <c r="AD1116" s="1">
        <v>4</v>
      </c>
      <c r="AE1116" s="1">
        <v>80</v>
      </c>
      <c r="AF1116" s="1">
        <v>1</v>
      </c>
      <c r="AG1116" s="1">
        <v>10</v>
      </c>
      <c r="AH1116" s="9" t="str" cm="1">
        <f t="array" ref="AH1116">_xlfn.IFS(AG1116 &lt;= 5, "New[1-5]", AG1116 &lt;= 10, "Early Career[6-10]", AG1116 &lt;= 20, "Established[11-20]", AG1116 &lt;= 30, "Veteran[21-30]", AG1116 &lt;= 40, "Late Career[31-40]")</f>
        <v>Early Career[6-10]</v>
      </c>
      <c r="AI1116" s="1">
        <v>3</v>
      </c>
      <c r="AJ1116" s="1">
        <v>2</v>
      </c>
      <c r="AK1116" s="1">
        <v>8</v>
      </c>
      <c r="AL1116" s="9" t="str" cm="1">
        <f t="array" ref="AL1116">_xlfn.IFS(AK1116 &lt;= 5, "New[1-5]", AK1116 &lt;= 10, "Early Career[6-10]", AK1116 &lt;= 20, "Established[11-20]", AK1116 &lt;= 30, "Veteran[21-30]", AK1116 &lt;= 40, "Late Career[31-40]")</f>
        <v>Early Career[6-10]</v>
      </c>
      <c r="AM1116" s="1">
        <v>2</v>
      </c>
      <c r="AN1116" s="9" t="str" cm="1">
        <f t="array" ref="AN1116">_xlfn.IFS(AM1116 &lt;= 3, "New to Role[1-3]", AM1116 &lt;= 7, "Settled[4-7]", AM1116 &lt;= 12, "Experienced[[8-12]", AM1116 &lt;= 18, "Long Tenured[13-18]")</f>
        <v>New to Role[1-3]</v>
      </c>
      <c r="AO1116" s="1">
        <v>7</v>
      </c>
      <c r="AP1116" s="9" t="str" cm="1">
        <f t="array" ref="AP1116">_xlfn.IFS(AO1116 &lt;= 3, "Recently[1-3]", AO1116 &lt;= 6, "Due Soon[4-6]", AO1116 &lt;= 10, "Overdue[7-10]", AO1116 &lt;= 15, "Long Overdue[11-15]")</f>
        <v>Overdue[7-10]</v>
      </c>
      <c r="AQ1116" s="9" t="str" cm="1">
        <f t="array" ref="AQ1116">_xlfn.IFS(AR1116 &lt;= 3, "New Relationship[1-3]", AR1116 &lt;= 7, "Established Relationship[4-7]", AR1116 &lt;= 12, "Long Term Relationship[8-12]", AR1116 &lt;= 17, "Very Long Term Relationship[13-17]")</f>
        <v>Established Relationship[4-7]</v>
      </c>
      <c r="AR1116" s="1">
        <v>6</v>
      </c>
    </row>
    <row r="1117" spans="1:44" x14ac:dyDescent="0.25">
      <c r="A1117" s="1">
        <v>34</v>
      </c>
      <c r="B1117" s="8" t="str" cm="1">
        <f t="array" ref="B1117">_xlfn.IFS(A1117 &lt;= 25, "[18-25]", A1117 &lt;= 35, "[26-35]", A1117 &lt;=45, "[36-45]", A1117 &lt;= 60, "[46- 60]")</f>
        <v>[26-35]</v>
      </c>
      <c r="C1117" s="3" t="s">
        <v>43</v>
      </c>
      <c r="D1117">
        <f t="shared" si="17"/>
        <v>0</v>
      </c>
      <c r="E1117" t="s">
        <v>36</v>
      </c>
      <c r="F1117" s="1">
        <v>479</v>
      </c>
      <c r="G1117" s="3" t="s">
        <v>45</v>
      </c>
      <c r="H1117" s="1">
        <v>7</v>
      </c>
      <c r="I1117" s="9" t="str" cm="1">
        <f t="array" ref="I1117">_xlfn.IFS(H1117 &lt;= 2, "[1-2] very close", H1117 &lt;= 10, "[3-10] close", H1117 &lt;= 20, "[11-20] moderate", H1117 &lt;= 30, "[21-30] far")</f>
        <v>[3-10] close</v>
      </c>
      <c r="J1117" s="1">
        <v>4</v>
      </c>
      <c r="K1117" s="3" t="s">
        <v>51</v>
      </c>
      <c r="L1117" s="1">
        <v>1</v>
      </c>
      <c r="M1117" s="1">
        <v>1577</v>
      </c>
      <c r="N1117" s="1">
        <v>1</v>
      </c>
      <c r="O1117" s="3" t="s">
        <v>46</v>
      </c>
      <c r="P1117" s="1">
        <v>35</v>
      </c>
      <c r="Q1117" s="1">
        <v>3</v>
      </c>
      <c r="R1117" s="1">
        <v>1</v>
      </c>
      <c r="S1117" s="3" t="s">
        <v>47</v>
      </c>
      <c r="T1117" s="1">
        <v>4</v>
      </c>
      <c r="U1117" s="3" t="s">
        <v>41</v>
      </c>
      <c r="V1117" s="4">
        <v>2972</v>
      </c>
      <c r="W1117" s="1">
        <v>22061</v>
      </c>
      <c r="X1117" s="1">
        <v>1</v>
      </c>
      <c r="Y1117" s="3" t="s">
        <v>42</v>
      </c>
      <c r="Z1117" s="3" t="s">
        <v>43</v>
      </c>
      <c r="AA1117" s="5">
        <v>0.13</v>
      </c>
      <c r="AB1117" s="10" t="str" cm="1">
        <f t="array" ref="AB1117">_xlfn.IFS(AA1117 &lt;= 15%, "Low Hike[11-15%]", AA1117 &lt;= 20%, "Moderate Hike[16-20%]", AA1117 &lt;= 25%,"High Hike[21-25%]")</f>
        <v>Low Hike[11-15%]</v>
      </c>
      <c r="AC1117" s="1">
        <v>3</v>
      </c>
      <c r="AD1117" s="1">
        <v>3</v>
      </c>
      <c r="AE1117" s="1">
        <v>80</v>
      </c>
      <c r="AF1117" s="1">
        <v>0</v>
      </c>
      <c r="AG1117" s="1">
        <v>1</v>
      </c>
      <c r="AH1117" s="9" t="str" cm="1">
        <f t="array" ref="AH1117">_xlfn.IFS(AG1117 &lt;= 5, "New[1-5]", AG1117 &lt;= 10, "Early Career[6-10]", AG1117 &lt;= 20, "Established[11-20]", AG1117 &lt;= 30, "Veteran[21-30]", AG1117 &lt;= 40, "Late Career[31-40]")</f>
        <v>New[1-5]</v>
      </c>
      <c r="AI1117" s="1">
        <v>4</v>
      </c>
      <c r="AJ1117" s="1">
        <v>1</v>
      </c>
      <c r="AK1117" s="1">
        <v>1</v>
      </c>
      <c r="AL1117" s="9" t="str" cm="1">
        <f t="array" ref="AL1117">_xlfn.IFS(AK1117 &lt;= 5, "New[1-5]", AK1117 &lt;= 10, "Early Career[6-10]", AK1117 &lt;= 20, "Established[11-20]", AK1117 &lt;= 30, "Veteran[21-30]", AK1117 &lt;= 40, "Late Career[31-40]")</f>
        <v>New[1-5]</v>
      </c>
      <c r="AM1117" s="1">
        <v>0</v>
      </c>
      <c r="AN1117" s="9" t="str" cm="1">
        <f t="array" ref="AN1117">_xlfn.IFS(AM1117 &lt;= 3, "New to Role[1-3]", AM1117 &lt;= 7, "Settled[4-7]", AM1117 &lt;= 12, "Experienced[[8-12]", AM1117 &lt;= 18, "Long Tenured[13-18]")</f>
        <v>New to Role[1-3]</v>
      </c>
      <c r="AO1117" s="1">
        <v>0</v>
      </c>
      <c r="AP1117" s="9" t="str" cm="1">
        <f t="array" ref="AP1117">_xlfn.IFS(AO1117 &lt;= 3, "Recently[1-3]", AO1117 &lt;= 6, "Due Soon[4-6]", AO1117 &lt;= 10, "Overdue[7-10]", AO1117 &lt;= 15, "Long Overdue[11-15]")</f>
        <v>Recently[1-3]</v>
      </c>
      <c r="AQ1117" s="9" t="str" cm="1">
        <f t="array" ref="AQ1117">_xlfn.IFS(AR1117 &lt;= 3, "New Relationship[1-3]", AR1117 &lt;= 7, "Established Relationship[4-7]", AR1117 &lt;= 12, "Long Term Relationship[8-12]", AR1117 &lt;= 17, "Very Long Term Relationship[13-17]")</f>
        <v>New Relationship[1-3]</v>
      </c>
      <c r="AR1117" s="1">
        <v>0</v>
      </c>
    </row>
    <row r="1118" spans="1:44" x14ac:dyDescent="0.25">
      <c r="A1118" s="1">
        <v>55</v>
      </c>
      <c r="B1118" s="8" t="str" cm="1">
        <f t="array" ref="B1118">_xlfn.IFS(A1118 &lt;= 25, "[18-25]", A1118 &lt;= 35, "[26-35]", A1118 &lt;=45, "[36-45]", A1118 &lt;= 60, "[46- 60]")</f>
        <v>[46- 60]</v>
      </c>
      <c r="C1118" s="3" t="s">
        <v>43</v>
      </c>
      <c r="D1118">
        <f t="shared" si="17"/>
        <v>0</v>
      </c>
      <c r="E1118" t="s">
        <v>36</v>
      </c>
      <c r="F1118" s="1">
        <v>685</v>
      </c>
      <c r="G1118" s="3" t="s">
        <v>37</v>
      </c>
      <c r="H1118" s="1">
        <v>26</v>
      </c>
      <c r="I1118" s="9" t="str" cm="1">
        <f t="array" ref="I1118">_xlfn.IFS(H1118 &lt;= 2, "[1-2] very close", H1118 &lt;= 10, "[3-10] close", H1118 &lt;= 20, "[11-20] moderate", H1118 &lt;= 30, "[21-30] far")</f>
        <v>[21-30] far</v>
      </c>
      <c r="J1118" s="1">
        <v>5</v>
      </c>
      <c r="K1118" s="3" t="s">
        <v>59</v>
      </c>
      <c r="L1118" s="1">
        <v>1</v>
      </c>
      <c r="M1118" s="1">
        <v>1578</v>
      </c>
      <c r="N1118" s="1">
        <v>3</v>
      </c>
      <c r="O1118" s="3" t="s">
        <v>46</v>
      </c>
      <c r="P1118" s="1">
        <v>60</v>
      </c>
      <c r="Q1118" s="1">
        <v>2</v>
      </c>
      <c r="R1118" s="1">
        <v>5</v>
      </c>
      <c r="S1118" s="3" t="s">
        <v>56</v>
      </c>
      <c r="T1118" s="1">
        <v>4</v>
      </c>
      <c r="U1118" s="3" t="s">
        <v>48</v>
      </c>
      <c r="V1118" s="4">
        <v>19586</v>
      </c>
      <c r="W1118" s="1">
        <v>23037</v>
      </c>
      <c r="X1118" s="1">
        <v>1</v>
      </c>
      <c r="Y1118" s="3" t="s">
        <v>42</v>
      </c>
      <c r="Z1118" s="3" t="s">
        <v>43</v>
      </c>
      <c r="AA1118" s="5">
        <v>0.21</v>
      </c>
      <c r="AB1118" s="10" t="str" cm="1">
        <f t="array" ref="AB1118">_xlfn.IFS(AA1118 &lt;= 15%, "Low Hike[11-15%]", AA1118 &lt;= 20%, "Moderate Hike[16-20%]", AA1118 &lt;= 25%,"High Hike[21-25%]")</f>
        <v>High Hike[21-25%]</v>
      </c>
      <c r="AC1118" s="1">
        <v>4</v>
      </c>
      <c r="AD1118" s="1">
        <v>3</v>
      </c>
      <c r="AE1118" s="1">
        <v>80</v>
      </c>
      <c r="AF1118" s="1">
        <v>1</v>
      </c>
      <c r="AG1118" s="1">
        <v>36</v>
      </c>
      <c r="AH1118" s="9" t="str" cm="1">
        <f t="array" ref="AH1118">_xlfn.IFS(AG1118 &lt;= 5, "New[1-5]", AG1118 &lt;= 10, "Early Career[6-10]", AG1118 &lt;= 20, "Established[11-20]", AG1118 &lt;= 30, "Veteran[21-30]", AG1118 &lt;= 40, "Late Career[31-40]")</f>
        <v>Late Career[31-40]</v>
      </c>
      <c r="AI1118" s="1">
        <v>3</v>
      </c>
      <c r="AJ1118" s="1">
        <v>3</v>
      </c>
      <c r="AK1118" s="1">
        <v>36</v>
      </c>
      <c r="AL1118" s="9" t="str" cm="1">
        <f t="array" ref="AL1118">_xlfn.IFS(AK1118 &lt;= 5, "New[1-5]", AK1118 &lt;= 10, "Early Career[6-10]", AK1118 &lt;= 20, "Established[11-20]", AK1118 &lt;= 30, "Veteran[21-30]", AK1118 &lt;= 40, "Late Career[31-40]")</f>
        <v>Late Career[31-40]</v>
      </c>
      <c r="AM1118" s="1">
        <v>6</v>
      </c>
      <c r="AN1118" s="9" t="str" cm="1">
        <f t="array" ref="AN1118">_xlfn.IFS(AM1118 &lt;= 3, "New to Role[1-3]", AM1118 &lt;= 7, "Settled[4-7]", AM1118 &lt;= 12, "Experienced[[8-12]", AM1118 &lt;= 18, "Long Tenured[13-18]")</f>
        <v>Settled[4-7]</v>
      </c>
      <c r="AO1118" s="1">
        <v>2</v>
      </c>
      <c r="AP1118" s="9" t="str" cm="1">
        <f t="array" ref="AP1118">_xlfn.IFS(AO1118 &lt;= 3, "Recently[1-3]", AO1118 &lt;= 6, "Due Soon[4-6]", AO1118 &lt;= 10, "Overdue[7-10]", AO1118 &lt;= 15, "Long Overdue[11-15]")</f>
        <v>Recently[1-3]</v>
      </c>
      <c r="AQ1118" s="9" t="str" cm="1">
        <f t="array" ref="AQ1118">_xlfn.IFS(AR1118 &lt;= 3, "New Relationship[1-3]", AR1118 &lt;= 7, "Established Relationship[4-7]", AR1118 &lt;= 12, "Long Term Relationship[8-12]", AR1118 &lt;= 17, "Very Long Term Relationship[13-17]")</f>
        <v>Very Long Term Relationship[13-17]</v>
      </c>
      <c r="AR1118" s="1">
        <v>13</v>
      </c>
    </row>
    <row r="1119" spans="1:44" x14ac:dyDescent="0.25">
      <c r="A1119" s="1">
        <v>34</v>
      </c>
      <c r="B1119" s="8" t="str" cm="1">
        <f t="array" ref="B1119">_xlfn.IFS(A1119 &lt;= 25, "[18-25]", A1119 &lt;= 35, "[26-35]", A1119 &lt;=45, "[36-45]", A1119 &lt;= 60, "[46- 60]")</f>
        <v>[26-35]</v>
      </c>
      <c r="C1119" s="3" t="s">
        <v>43</v>
      </c>
      <c r="D1119">
        <f t="shared" si="17"/>
        <v>0</v>
      </c>
      <c r="E1119" t="s">
        <v>36</v>
      </c>
      <c r="F1119" s="1">
        <v>1351</v>
      </c>
      <c r="G1119" s="3" t="s">
        <v>45</v>
      </c>
      <c r="H1119" s="1">
        <v>1</v>
      </c>
      <c r="I1119" s="9" t="str" cm="1">
        <f t="array" ref="I1119">_xlfn.IFS(H1119 &lt;= 2, "[1-2] very close", H1119 &lt;= 10, "[3-10] close", H1119 &lt;= 20, "[11-20] moderate", H1119 &lt;= 30, "[21-30] far")</f>
        <v>[1-2] very close</v>
      </c>
      <c r="J1119" s="1">
        <v>4</v>
      </c>
      <c r="K1119" s="3" t="s">
        <v>38</v>
      </c>
      <c r="L1119" s="1">
        <v>1</v>
      </c>
      <c r="M1119" s="1">
        <v>1580</v>
      </c>
      <c r="N1119" s="1">
        <v>2</v>
      </c>
      <c r="O1119" s="3" t="s">
        <v>46</v>
      </c>
      <c r="P1119" s="1">
        <v>45</v>
      </c>
      <c r="Q1119" s="1">
        <v>3</v>
      </c>
      <c r="R1119" s="1">
        <v>2</v>
      </c>
      <c r="S1119" s="3" t="s">
        <v>47</v>
      </c>
      <c r="T1119" s="1">
        <v>4</v>
      </c>
      <c r="U1119" s="3" t="s">
        <v>48</v>
      </c>
      <c r="V1119" s="4">
        <v>5484</v>
      </c>
      <c r="W1119" s="1">
        <v>13008</v>
      </c>
      <c r="X1119" s="1">
        <v>9</v>
      </c>
      <c r="Y1119" s="3" t="s">
        <v>42</v>
      </c>
      <c r="Z1119" s="3" t="s">
        <v>43</v>
      </c>
      <c r="AA1119" s="5">
        <v>0.17</v>
      </c>
      <c r="AB1119" s="10" t="str" cm="1">
        <f t="array" ref="AB1119">_xlfn.IFS(AA1119 &lt;= 15%, "Low Hike[11-15%]", AA1119 &lt;= 20%, "Moderate Hike[16-20%]", AA1119 &lt;= 25%,"High Hike[21-25%]")</f>
        <v>Moderate Hike[16-20%]</v>
      </c>
      <c r="AC1119" s="1">
        <v>3</v>
      </c>
      <c r="AD1119" s="1">
        <v>2</v>
      </c>
      <c r="AE1119" s="1">
        <v>80</v>
      </c>
      <c r="AF1119" s="1">
        <v>1</v>
      </c>
      <c r="AG1119" s="1">
        <v>9</v>
      </c>
      <c r="AH1119" s="9" t="str" cm="1">
        <f t="array" ref="AH1119">_xlfn.IFS(AG1119 &lt;= 5, "New[1-5]", AG1119 &lt;= 10, "Early Career[6-10]", AG1119 &lt;= 20, "Established[11-20]", AG1119 &lt;= 30, "Veteran[21-30]", AG1119 &lt;= 40, "Late Career[31-40]")</f>
        <v>Early Career[6-10]</v>
      </c>
      <c r="AI1119" s="1">
        <v>3</v>
      </c>
      <c r="AJ1119" s="1">
        <v>2</v>
      </c>
      <c r="AK1119" s="1">
        <v>2</v>
      </c>
      <c r="AL1119" s="9" t="str" cm="1">
        <f t="array" ref="AL1119">_xlfn.IFS(AK1119 &lt;= 5, "New[1-5]", AK1119 &lt;= 10, "Early Career[6-10]", AK1119 &lt;= 20, "Established[11-20]", AK1119 &lt;= 30, "Veteran[21-30]", AK1119 &lt;= 40, "Late Career[31-40]")</f>
        <v>New[1-5]</v>
      </c>
      <c r="AM1119" s="1">
        <v>2</v>
      </c>
      <c r="AN1119" s="9" t="str" cm="1">
        <f t="array" ref="AN1119">_xlfn.IFS(AM1119 &lt;= 3, "New to Role[1-3]", AM1119 &lt;= 7, "Settled[4-7]", AM1119 &lt;= 12, "Experienced[[8-12]", AM1119 &lt;= 18, "Long Tenured[13-18]")</f>
        <v>New to Role[1-3]</v>
      </c>
      <c r="AO1119" s="1">
        <v>2</v>
      </c>
      <c r="AP1119" s="9" t="str" cm="1">
        <f t="array" ref="AP1119">_xlfn.IFS(AO1119 &lt;= 3, "Recently[1-3]", AO1119 &lt;= 6, "Due Soon[4-6]", AO1119 &lt;= 10, "Overdue[7-10]", AO1119 &lt;= 15, "Long Overdue[11-15]")</f>
        <v>Recently[1-3]</v>
      </c>
      <c r="AQ1119" s="9" t="str" cm="1">
        <f t="array" ref="AQ1119">_xlfn.IFS(AR1119 &lt;= 3, "New Relationship[1-3]", AR1119 &lt;= 7, "Established Relationship[4-7]", AR1119 &lt;= 12, "Long Term Relationship[8-12]", AR1119 &lt;= 17, "Very Long Term Relationship[13-17]")</f>
        <v>New Relationship[1-3]</v>
      </c>
      <c r="AR1119" s="1">
        <v>1</v>
      </c>
    </row>
    <row r="1120" spans="1:44" x14ac:dyDescent="0.25">
      <c r="A1120" s="1">
        <v>26</v>
      </c>
      <c r="B1120" s="8" t="str" cm="1">
        <f t="array" ref="B1120">_xlfn.IFS(A1120 &lt;= 25, "[18-25]", A1120 &lt;= 35, "[26-35]", A1120 &lt;=45, "[36-45]", A1120 &lt;= 60, "[46- 60]")</f>
        <v>[26-35]</v>
      </c>
      <c r="C1120" s="3" t="s">
        <v>43</v>
      </c>
      <c r="D1120">
        <f t="shared" si="17"/>
        <v>0</v>
      </c>
      <c r="E1120" t="s">
        <v>36</v>
      </c>
      <c r="F1120" s="1">
        <v>474</v>
      </c>
      <c r="G1120" s="3" t="s">
        <v>45</v>
      </c>
      <c r="H1120" s="1">
        <v>3</v>
      </c>
      <c r="I1120" s="9" t="str" cm="1">
        <f t="array" ref="I1120">_xlfn.IFS(H1120 &lt;= 2, "[1-2] very close", H1120 &lt;= 10, "[3-10] close", H1120 &lt;= 20, "[11-20] moderate", H1120 &lt;= 30, "[21-30] far")</f>
        <v>[3-10] close</v>
      </c>
      <c r="J1120" s="1">
        <v>3</v>
      </c>
      <c r="K1120" s="3" t="s">
        <v>38</v>
      </c>
      <c r="L1120" s="1">
        <v>1</v>
      </c>
      <c r="M1120" s="1">
        <v>1581</v>
      </c>
      <c r="N1120" s="1">
        <v>1</v>
      </c>
      <c r="O1120" s="3" t="s">
        <v>39</v>
      </c>
      <c r="P1120" s="1">
        <v>89</v>
      </c>
      <c r="Q1120" s="1">
        <v>3</v>
      </c>
      <c r="R1120" s="1">
        <v>1</v>
      </c>
      <c r="S1120" s="3" t="s">
        <v>47</v>
      </c>
      <c r="T1120" s="1">
        <v>4</v>
      </c>
      <c r="U1120" s="3" t="s">
        <v>48</v>
      </c>
      <c r="V1120" s="4">
        <v>2061</v>
      </c>
      <c r="W1120" s="1">
        <v>11133</v>
      </c>
      <c r="X1120" s="1">
        <v>1</v>
      </c>
      <c r="Y1120" s="3" t="s">
        <v>42</v>
      </c>
      <c r="Z1120" s="3" t="s">
        <v>43</v>
      </c>
      <c r="AA1120" s="5">
        <v>0.21</v>
      </c>
      <c r="AB1120" s="10" t="str" cm="1">
        <f t="array" ref="AB1120">_xlfn.IFS(AA1120 &lt;= 15%, "Low Hike[11-15%]", AA1120 &lt;= 20%, "Moderate Hike[16-20%]", AA1120 &lt;= 25%,"High Hike[21-25%]")</f>
        <v>High Hike[21-25%]</v>
      </c>
      <c r="AC1120" s="1">
        <v>4</v>
      </c>
      <c r="AD1120" s="1">
        <v>1</v>
      </c>
      <c r="AE1120" s="1">
        <v>80</v>
      </c>
      <c r="AF1120" s="1">
        <v>0</v>
      </c>
      <c r="AG1120" s="1">
        <v>1</v>
      </c>
      <c r="AH1120" s="9" t="str" cm="1">
        <f t="array" ref="AH1120">_xlfn.IFS(AG1120 &lt;= 5, "New[1-5]", AG1120 &lt;= 10, "Early Career[6-10]", AG1120 &lt;= 20, "Established[11-20]", AG1120 &lt;= 30, "Veteran[21-30]", AG1120 &lt;= 40, "Late Career[31-40]")</f>
        <v>New[1-5]</v>
      </c>
      <c r="AI1120" s="1">
        <v>5</v>
      </c>
      <c r="AJ1120" s="1">
        <v>3</v>
      </c>
      <c r="AK1120" s="1">
        <v>1</v>
      </c>
      <c r="AL1120" s="9" t="str" cm="1">
        <f t="array" ref="AL1120">_xlfn.IFS(AK1120 &lt;= 5, "New[1-5]", AK1120 &lt;= 10, "Early Career[6-10]", AK1120 &lt;= 20, "Established[11-20]", AK1120 &lt;= 30, "Veteran[21-30]", AK1120 &lt;= 40, "Late Career[31-40]")</f>
        <v>New[1-5]</v>
      </c>
      <c r="AM1120" s="1">
        <v>0</v>
      </c>
      <c r="AN1120" s="9" t="str" cm="1">
        <f t="array" ref="AN1120">_xlfn.IFS(AM1120 &lt;= 3, "New to Role[1-3]", AM1120 &lt;= 7, "Settled[4-7]", AM1120 &lt;= 12, "Experienced[[8-12]", AM1120 &lt;= 18, "Long Tenured[13-18]")</f>
        <v>New to Role[1-3]</v>
      </c>
      <c r="AO1120" s="1">
        <v>0</v>
      </c>
      <c r="AP1120" s="9" t="str" cm="1">
        <f t="array" ref="AP1120">_xlfn.IFS(AO1120 &lt;= 3, "Recently[1-3]", AO1120 &lt;= 6, "Due Soon[4-6]", AO1120 &lt;= 10, "Overdue[7-10]", AO1120 &lt;= 15, "Long Overdue[11-15]")</f>
        <v>Recently[1-3]</v>
      </c>
      <c r="AQ1120" s="9" t="str" cm="1">
        <f t="array" ref="AQ1120">_xlfn.IFS(AR1120 &lt;= 3, "New Relationship[1-3]", AR1120 &lt;= 7, "Established Relationship[4-7]", AR1120 &lt;= 12, "Long Term Relationship[8-12]", AR1120 &lt;= 17, "Very Long Term Relationship[13-17]")</f>
        <v>New Relationship[1-3]</v>
      </c>
      <c r="AR1120" s="1">
        <v>0</v>
      </c>
    </row>
    <row r="1121" spans="1:44" x14ac:dyDescent="0.25">
      <c r="A1121" s="1">
        <v>38</v>
      </c>
      <c r="B1121" s="8" t="str" cm="1">
        <f t="array" ref="B1121">_xlfn.IFS(A1121 &lt;= 25, "[18-25]", A1121 &lt;= 35, "[26-35]", A1121 &lt;=45, "[36-45]", A1121 &lt;= 60, "[46- 60]")</f>
        <v>[36-45]</v>
      </c>
      <c r="C1121" s="3" t="s">
        <v>43</v>
      </c>
      <c r="D1121">
        <f t="shared" si="17"/>
        <v>0</v>
      </c>
      <c r="E1121" t="s">
        <v>36</v>
      </c>
      <c r="F1121" s="1">
        <v>1245</v>
      </c>
      <c r="G1121" s="3" t="s">
        <v>37</v>
      </c>
      <c r="H1121" s="1">
        <v>14</v>
      </c>
      <c r="I1121" s="9" t="str" cm="1">
        <f t="array" ref="I1121">_xlfn.IFS(H1121 &lt;= 2, "[1-2] very close", H1121 &lt;= 10, "[3-10] close", H1121 &lt;= 20, "[11-20] moderate", H1121 &lt;= 30, "[21-30] far")</f>
        <v>[11-20] moderate</v>
      </c>
      <c r="J1121" s="1">
        <v>3</v>
      </c>
      <c r="K1121" s="3" t="s">
        <v>38</v>
      </c>
      <c r="L1121" s="1">
        <v>1</v>
      </c>
      <c r="M1121" s="1">
        <v>1582</v>
      </c>
      <c r="N1121" s="1">
        <v>3</v>
      </c>
      <c r="O1121" s="3" t="s">
        <v>46</v>
      </c>
      <c r="P1121" s="1">
        <v>80</v>
      </c>
      <c r="Q1121" s="1">
        <v>3</v>
      </c>
      <c r="R1121" s="1">
        <v>2</v>
      </c>
      <c r="S1121" s="3" t="s">
        <v>40</v>
      </c>
      <c r="T1121" s="1">
        <v>2</v>
      </c>
      <c r="U1121" s="3" t="s">
        <v>48</v>
      </c>
      <c r="V1121" s="4">
        <v>9924</v>
      </c>
      <c r="W1121" s="1">
        <v>12355</v>
      </c>
      <c r="X1121" s="1">
        <v>0</v>
      </c>
      <c r="Y1121" s="3" t="s">
        <v>42</v>
      </c>
      <c r="Z1121" s="3" t="s">
        <v>43</v>
      </c>
      <c r="AA1121" s="5">
        <v>0.11</v>
      </c>
      <c r="AB1121" s="10" t="str" cm="1">
        <f t="array" ref="AB1121">_xlfn.IFS(AA1121 &lt;= 15%, "Low Hike[11-15%]", AA1121 &lt;= 20%, "Moderate Hike[16-20%]", AA1121 &lt;= 25%,"High Hike[21-25%]")</f>
        <v>Low Hike[11-15%]</v>
      </c>
      <c r="AC1121" s="1">
        <v>3</v>
      </c>
      <c r="AD1121" s="1">
        <v>4</v>
      </c>
      <c r="AE1121" s="1">
        <v>80</v>
      </c>
      <c r="AF1121" s="1">
        <v>1</v>
      </c>
      <c r="AG1121" s="1">
        <v>10</v>
      </c>
      <c r="AH1121" s="9" t="str" cm="1">
        <f t="array" ref="AH1121">_xlfn.IFS(AG1121 &lt;= 5, "New[1-5]", AG1121 &lt;= 10, "Early Career[6-10]", AG1121 &lt;= 20, "Established[11-20]", AG1121 &lt;= 30, "Veteran[21-30]", AG1121 &lt;= 40, "Late Career[31-40]")</f>
        <v>Early Career[6-10]</v>
      </c>
      <c r="AI1121" s="1">
        <v>3</v>
      </c>
      <c r="AJ1121" s="1">
        <v>3</v>
      </c>
      <c r="AK1121" s="1">
        <v>9</v>
      </c>
      <c r="AL1121" s="9" t="str" cm="1">
        <f t="array" ref="AL1121">_xlfn.IFS(AK1121 &lt;= 5, "New[1-5]", AK1121 &lt;= 10, "Early Career[6-10]", AK1121 &lt;= 20, "Established[11-20]", AK1121 &lt;= 30, "Veteran[21-30]", AK1121 &lt;= 40, "Late Career[31-40]")</f>
        <v>Early Career[6-10]</v>
      </c>
      <c r="AM1121" s="1">
        <v>8</v>
      </c>
      <c r="AN1121" s="9" t="str" cm="1">
        <f t="array" ref="AN1121">_xlfn.IFS(AM1121 &lt;= 3, "New to Role[1-3]", AM1121 &lt;= 7, "Settled[4-7]", AM1121 &lt;= 12, "Experienced[[8-12]", AM1121 &lt;= 18, "Long Tenured[13-18]")</f>
        <v>Experienced[[8-12]</v>
      </c>
      <c r="AO1121" s="1">
        <v>7</v>
      </c>
      <c r="AP1121" s="9" t="str" cm="1">
        <f t="array" ref="AP1121">_xlfn.IFS(AO1121 &lt;= 3, "Recently[1-3]", AO1121 &lt;= 6, "Due Soon[4-6]", AO1121 &lt;= 10, "Overdue[7-10]", AO1121 &lt;= 15, "Long Overdue[11-15]")</f>
        <v>Overdue[7-10]</v>
      </c>
      <c r="AQ1121" s="9" t="str" cm="1">
        <f t="array" ref="AQ1121">_xlfn.IFS(AR1121 &lt;= 3, "New Relationship[1-3]", AR1121 &lt;= 7, "Established Relationship[4-7]", AR1121 &lt;= 12, "Long Term Relationship[8-12]", AR1121 &lt;= 17, "Very Long Term Relationship[13-17]")</f>
        <v>Established Relationship[4-7]</v>
      </c>
      <c r="AR1121" s="1">
        <v>7</v>
      </c>
    </row>
    <row r="1122" spans="1:44" x14ac:dyDescent="0.25">
      <c r="A1122" s="1">
        <v>38</v>
      </c>
      <c r="B1122" s="8" t="str" cm="1">
        <f t="array" ref="B1122">_xlfn.IFS(A1122 &lt;= 25, "[18-25]", A1122 &lt;= 35, "[26-35]", A1122 &lt;=45, "[36-45]", A1122 &lt;= 60, "[46- 60]")</f>
        <v>[36-45]</v>
      </c>
      <c r="C1122" s="3" t="s">
        <v>43</v>
      </c>
      <c r="D1122">
        <f t="shared" si="17"/>
        <v>0</v>
      </c>
      <c r="E1122" t="s">
        <v>36</v>
      </c>
      <c r="F1122" s="1">
        <v>437</v>
      </c>
      <c r="G1122" s="3" t="s">
        <v>37</v>
      </c>
      <c r="H1122" s="1">
        <v>16</v>
      </c>
      <c r="I1122" s="9" t="str" cm="1">
        <f t="array" ref="I1122">_xlfn.IFS(H1122 &lt;= 2, "[1-2] very close", H1122 &lt;= 10, "[3-10] close", H1122 &lt;= 20, "[11-20] moderate", H1122 &lt;= 30, "[21-30] far")</f>
        <v>[11-20] moderate</v>
      </c>
      <c r="J1122" s="1">
        <v>3</v>
      </c>
      <c r="K1122" s="3" t="s">
        <v>38</v>
      </c>
      <c r="L1122" s="1">
        <v>1</v>
      </c>
      <c r="M1122" s="1">
        <v>1583</v>
      </c>
      <c r="N1122" s="1">
        <v>2</v>
      </c>
      <c r="O1122" s="3" t="s">
        <v>39</v>
      </c>
      <c r="P1122" s="1">
        <v>90</v>
      </c>
      <c r="Q1122" s="1">
        <v>3</v>
      </c>
      <c r="R1122" s="1">
        <v>2</v>
      </c>
      <c r="S1122" s="3" t="s">
        <v>40</v>
      </c>
      <c r="T1122" s="1">
        <v>2</v>
      </c>
      <c r="U1122" s="3" t="s">
        <v>41</v>
      </c>
      <c r="V1122" s="4">
        <v>4198</v>
      </c>
      <c r="W1122" s="1">
        <v>16379</v>
      </c>
      <c r="X1122" s="1">
        <v>2</v>
      </c>
      <c r="Y1122" s="3" t="s">
        <v>42</v>
      </c>
      <c r="Z1122" s="3" t="s">
        <v>43</v>
      </c>
      <c r="AA1122" s="5">
        <v>0.12</v>
      </c>
      <c r="AB1122" s="10" t="str" cm="1">
        <f t="array" ref="AB1122">_xlfn.IFS(AA1122 &lt;= 15%, "Low Hike[11-15%]", AA1122 &lt;= 20%, "Moderate Hike[16-20%]", AA1122 &lt;= 25%,"High Hike[21-25%]")</f>
        <v>Low Hike[11-15%]</v>
      </c>
      <c r="AC1122" s="1">
        <v>3</v>
      </c>
      <c r="AD1122" s="1">
        <v>2</v>
      </c>
      <c r="AE1122" s="1">
        <v>80</v>
      </c>
      <c r="AF1122" s="1">
        <v>0</v>
      </c>
      <c r="AG1122" s="1">
        <v>8</v>
      </c>
      <c r="AH1122" s="9" t="str" cm="1">
        <f t="array" ref="AH1122">_xlfn.IFS(AG1122 &lt;= 5, "New[1-5]", AG1122 &lt;= 10, "Early Career[6-10]", AG1122 &lt;= 20, "Established[11-20]", AG1122 &lt;= 30, "Veteran[21-30]", AG1122 &lt;= 40, "Late Career[31-40]")</f>
        <v>Early Career[6-10]</v>
      </c>
      <c r="AI1122" s="1">
        <v>5</v>
      </c>
      <c r="AJ1122" s="1">
        <v>4</v>
      </c>
      <c r="AK1122" s="1">
        <v>3</v>
      </c>
      <c r="AL1122" s="9" t="str" cm="1">
        <f t="array" ref="AL1122">_xlfn.IFS(AK1122 &lt;= 5, "New[1-5]", AK1122 &lt;= 10, "Early Career[6-10]", AK1122 &lt;= 20, "Established[11-20]", AK1122 &lt;= 30, "Veteran[21-30]", AK1122 &lt;= 40, "Late Career[31-40]")</f>
        <v>New[1-5]</v>
      </c>
      <c r="AM1122" s="1">
        <v>2</v>
      </c>
      <c r="AN1122" s="9" t="str" cm="1">
        <f t="array" ref="AN1122">_xlfn.IFS(AM1122 &lt;= 3, "New to Role[1-3]", AM1122 &lt;= 7, "Settled[4-7]", AM1122 &lt;= 12, "Experienced[[8-12]", AM1122 &lt;= 18, "Long Tenured[13-18]")</f>
        <v>New to Role[1-3]</v>
      </c>
      <c r="AO1122" s="1">
        <v>1</v>
      </c>
      <c r="AP1122" s="9" t="str" cm="1">
        <f t="array" ref="AP1122">_xlfn.IFS(AO1122 &lt;= 3, "Recently[1-3]", AO1122 &lt;= 6, "Due Soon[4-6]", AO1122 &lt;= 10, "Overdue[7-10]", AO1122 &lt;= 15, "Long Overdue[11-15]")</f>
        <v>Recently[1-3]</v>
      </c>
      <c r="AQ1122" s="9" t="str" cm="1">
        <f t="array" ref="AQ1122">_xlfn.IFS(AR1122 &lt;= 3, "New Relationship[1-3]", AR1122 &lt;= 7, "Established Relationship[4-7]", AR1122 &lt;= 12, "Long Term Relationship[8-12]", AR1122 &lt;= 17, "Very Long Term Relationship[13-17]")</f>
        <v>New Relationship[1-3]</v>
      </c>
      <c r="AR1122" s="1">
        <v>2</v>
      </c>
    </row>
    <row r="1123" spans="1:44" x14ac:dyDescent="0.25">
      <c r="A1123" s="1">
        <v>36</v>
      </c>
      <c r="B1123" s="8" t="str" cm="1">
        <f t="array" ref="B1123">_xlfn.IFS(A1123 &lt;= 25, "[18-25]", A1123 &lt;= 35, "[26-35]", A1123 &lt;=45, "[36-45]", A1123 &lt;= 60, "[46- 60]")</f>
        <v>[36-45]</v>
      </c>
      <c r="C1123" s="3" t="s">
        <v>43</v>
      </c>
      <c r="D1123">
        <f t="shared" si="17"/>
        <v>0</v>
      </c>
      <c r="E1123" t="s">
        <v>36</v>
      </c>
      <c r="F1123" s="1">
        <v>884</v>
      </c>
      <c r="G1123" s="3" t="s">
        <v>37</v>
      </c>
      <c r="H1123" s="1">
        <v>1</v>
      </c>
      <c r="I1123" s="9" t="str" cm="1">
        <f t="array" ref="I1123">_xlfn.IFS(H1123 &lt;= 2, "[1-2] very close", H1123 &lt;= 10, "[3-10] close", H1123 &lt;= 20, "[11-20] moderate", H1123 &lt;= 30, "[21-30] far")</f>
        <v>[1-2] very close</v>
      </c>
      <c r="J1123" s="1">
        <v>4</v>
      </c>
      <c r="K1123" s="3" t="s">
        <v>38</v>
      </c>
      <c r="L1123" s="1">
        <v>1</v>
      </c>
      <c r="M1123" s="1">
        <v>1585</v>
      </c>
      <c r="N1123" s="1">
        <v>2</v>
      </c>
      <c r="O1123" s="3" t="s">
        <v>39</v>
      </c>
      <c r="P1123" s="1">
        <v>73</v>
      </c>
      <c r="Q1123" s="1">
        <v>3</v>
      </c>
      <c r="R1123" s="1">
        <v>2</v>
      </c>
      <c r="S1123" s="3" t="s">
        <v>40</v>
      </c>
      <c r="T1123" s="1">
        <v>3</v>
      </c>
      <c r="U1123" s="3" t="s">
        <v>41</v>
      </c>
      <c r="V1123" s="4">
        <v>6815</v>
      </c>
      <c r="W1123" s="1">
        <v>21447</v>
      </c>
      <c r="X1123" s="1">
        <v>6</v>
      </c>
      <c r="Y1123" s="3" t="s">
        <v>42</v>
      </c>
      <c r="Z1123" s="3" t="s">
        <v>43</v>
      </c>
      <c r="AA1123" s="5">
        <v>0.13</v>
      </c>
      <c r="AB1123" s="10" t="str" cm="1">
        <f t="array" ref="AB1123">_xlfn.IFS(AA1123 &lt;= 15%, "Low Hike[11-15%]", AA1123 &lt;= 20%, "Moderate Hike[16-20%]", AA1123 &lt;= 25%,"High Hike[21-25%]")</f>
        <v>Low Hike[11-15%]</v>
      </c>
      <c r="AC1123" s="1">
        <v>3</v>
      </c>
      <c r="AD1123" s="1">
        <v>1</v>
      </c>
      <c r="AE1123" s="1">
        <v>80</v>
      </c>
      <c r="AF1123" s="1">
        <v>0</v>
      </c>
      <c r="AG1123" s="1">
        <v>15</v>
      </c>
      <c r="AH1123" s="9" t="str" cm="1">
        <f t="array" ref="AH1123">_xlfn.IFS(AG1123 &lt;= 5, "New[1-5]", AG1123 &lt;= 10, "Early Career[6-10]", AG1123 &lt;= 20, "Established[11-20]", AG1123 &lt;= 30, "Veteran[21-30]", AG1123 &lt;= 40, "Late Career[31-40]")</f>
        <v>Established[11-20]</v>
      </c>
      <c r="AI1123" s="1">
        <v>5</v>
      </c>
      <c r="AJ1123" s="1">
        <v>3</v>
      </c>
      <c r="AK1123" s="1">
        <v>1</v>
      </c>
      <c r="AL1123" s="9" t="str" cm="1">
        <f t="array" ref="AL1123">_xlfn.IFS(AK1123 &lt;= 5, "New[1-5]", AK1123 &lt;= 10, "Early Career[6-10]", AK1123 &lt;= 20, "Established[11-20]", AK1123 &lt;= 30, "Veteran[21-30]", AK1123 &lt;= 40, "Late Career[31-40]")</f>
        <v>New[1-5]</v>
      </c>
      <c r="AM1123" s="1">
        <v>0</v>
      </c>
      <c r="AN1123" s="9" t="str" cm="1">
        <f t="array" ref="AN1123">_xlfn.IFS(AM1123 &lt;= 3, "New to Role[1-3]", AM1123 &lt;= 7, "Settled[4-7]", AM1123 &lt;= 12, "Experienced[[8-12]", AM1123 &lt;= 18, "Long Tenured[13-18]")</f>
        <v>New to Role[1-3]</v>
      </c>
      <c r="AO1123" s="1">
        <v>0</v>
      </c>
      <c r="AP1123" s="9" t="str" cm="1">
        <f t="array" ref="AP1123">_xlfn.IFS(AO1123 &lt;= 3, "Recently[1-3]", AO1123 &lt;= 6, "Due Soon[4-6]", AO1123 &lt;= 10, "Overdue[7-10]", AO1123 &lt;= 15, "Long Overdue[11-15]")</f>
        <v>Recently[1-3]</v>
      </c>
      <c r="AQ1123" s="9" t="str" cm="1">
        <f t="array" ref="AQ1123">_xlfn.IFS(AR1123 &lt;= 3, "New Relationship[1-3]", AR1123 &lt;= 7, "Established Relationship[4-7]", AR1123 &lt;= 12, "Long Term Relationship[8-12]", AR1123 &lt;= 17, "Very Long Term Relationship[13-17]")</f>
        <v>New Relationship[1-3]</v>
      </c>
      <c r="AR1123" s="1">
        <v>0</v>
      </c>
    </row>
    <row r="1124" spans="1:44" x14ac:dyDescent="0.25">
      <c r="A1124" s="1">
        <v>29</v>
      </c>
      <c r="B1124" s="8" t="str" cm="1">
        <f t="array" ref="B1124">_xlfn.IFS(A1124 &lt;= 25, "[18-25]", A1124 &lt;= 35, "[26-35]", A1124 &lt;=45, "[36-45]", A1124 &lt;= 60, "[46- 60]")</f>
        <v>[26-35]</v>
      </c>
      <c r="C1124" s="3" t="s">
        <v>43</v>
      </c>
      <c r="D1124">
        <f t="shared" si="17"/>
        <v>0</v>
      </c>
      <c r="E1124" t="s">
        <v>36</v>
      </c>
      <c r="F1124" s="1">
        <v>1370</v>
      </c>
      <c r="G1124" s="3" t="s">
        <v>45</v>
      </c>
      <c r="H1124" s="1">
        <v>3</v>
      </c>
      <c r="I1124" s="9" t="str" cm="1">
        <f t="array" ref="I1124">_xlfn.IFS(H1124 &lt;= 2, "[1-2] very close", H1124 &lt;= 10, "[3-10] close", H1124 &lt;= 20, "[11-20] moderate", H1124 &lt;= 30, "[21-30] far")</f>
        <v>[3-10] close</v>
      </c>
      <c r="J1124" s="1">
        <v>1</v>
      </c>
      <c r="K1124" s="3" t="s">
        <v>51</v>
      </c>
      <c r="L1124" s="1">
        <v>1</v>
      </c>
      <c r="M1124" s="1">
        <v>1586</v>
      </c>
      <c r="N1124" s="1">
        <v>2</v>
      </c>
      <c r="O1124" s="3" t="s">
        <v>46</v>
      </c>
      <c r="P1124" s="1">
        <v>87</v>
      </c>
      <c r="Q1124" s="1">
        <v>3</v>
      </c>
      <c r="R1124" s="1">
        <v>1</v>
      </c>
      <c r="S1124" s="3" t="s">
        <v>50</v>
      </c>
      <c r="T1124" s="1">
        <v>1</v>
      </c>
      <c r="U1124" s="3" t="s">
        <v>41</v>
      </c>
      <c r="V1124" s="4">
        <v>4723</v>
      </c>
      <c r="W1124" s="1">
        <v>16213</v>
      </c>
      <c r="X1124" s="1">
        <v>1</v>
      </c>
      <c r="Y1124" s="3" t="s">
        <v>42</v>
      </c>
      <c r="Z1124" s="3" t="s">
        <v>35</v>
      </c>
      <c r="AA1124" s="5">
        <v>0.18</v>
      </c>
      <c r="AB1124" s="10" t="str" cm="1">
        <f t="array" ref="AB1124">_xlfn.IFS(AA1124 &lt;= 15%, "Low Hike[11-15%]", AA1124 &lt;= 20%, "Moderate Hike[16-20%]", AA1124 &lt;= 25%,"High Hike[21-25%]")</f>
        <v>Moderate Hike[16-20%]</v>
      </c>
      <c r="AC1124" s="1">
        <v>3</v>
      </c>
      <c r="AD1124" s="1">
        <v>4</v>
      </c>
      <c r="AE1124" s="1">
        <v>80</v>
      </c>
      <c r="AF1124" s="1">
        <v>0</v>
      </c>
      <c r="AG1124" s="1">
        <v>10</v>
      </c>
      <c r="AH1124" s="9" t="str" cm="1">
        <f t="array" ref="AH1124">_xlfn.IFS(AG1124 &lt;= 5, "New[1-5]", AG1124 &lt;= 10, "Early Career[6-10]", AG1124 &lt;= 20, "Established[11-20]", AG1124 &lt;= 30, "Veteran[21-30]", AG1124 &lt;= 40, "Late Career[31-40]")</f>
        <v>Early Career[6-10]</v>
      </c>
      <c r="AI1124" s="1">
        <v>3</v>
      </c>
      <c r="AJ1124" s="1">
        <v>3</v>
      </c>
      <c r="AK1124" s="1">
        <v>10</v>
      </c>
      <c r="AL1124" s="9" t="str" cm="1">
        <f t="array" ref="AL1124">_xlfn.IFS(AK1124 &lt;= 5, "New[1-5]", AK1124 &lt;= 10, "Early Career[6-10]", AK1124 &lt;= 20, "Established[11-20]", AK1124 &lt;= 30, "Veteran[21-30]", AK1124 &lt;= 40, "Late Career[31-40]")</f>
        <v>Early Career[6-10]</v>
      </c>
      <c r="AM1124" s="1">
        <v>9</v>
      </c>
      <c r="AN1124" s="9" t="str" cm="1">
        <f t="array" ref="AN1124">_xlfn.IFS(AM1124 &lt;= 3, "New to Role[1-3]", AM1124 &lt;= 7, "Settled[4-7]", AM1124 &lt;= 12, "Experienced[[8-12]", AM1124 &lt;= 18, "Long Tenured[13-18]")</f>
        <v>Experienced[[8-12]</v>
      </c>
      <c r="AO1124" s="1">
        <v>1</v>
      </c>
      <c r="AP1124" s="9" t="str" cm="1">
        <f t="array" ref="AP1124">_xlfn.IFS(AO1124 &lt;= 3, "Recently[1-3]", AO1124 &lt;= 6, "Due Soon[4-6]", AO1124 &lt;= 10, "Overdue[7-10]", AO1124 &lt;= 15, "Long Overdue[11-15]")</f>
        <v>Recently[1-3]</v>
      </c>
      <c r="AQ1124" s="9" t="str" cm="1">
        <f t="array" ref="AQ1124">_xlfn.IFS(AR1124 &lt;= 3, "New Relationship[1-3]", AR1124 &lt;= 7, "Established Relationship[4-7]", AR1124 &lt;= 12, "Long Term Relationship[8-12]", AR1124 &lt;= 17, "Very Long Term Relationship[13-17]")</f>
        <v>Established Relationship[4-7]</v>
      </c>
      <c r="AR1124" s="1">
        <v>5</v>
      </c>
    </row>
    <row r="1125" spans="1:44" x14ac:dyDescent="0.25">
      <c r="A1125" s="1">
        <v>35</v>
      </c>
      <c r="B1125" s="8" t="str" cm="1">
        <f t="array" ref="B1125">_xlfn.IFS(A1125 &lt;= 25, "[18-25]", A1125 &lt;= 35, "[26-35]", A1125 &lt;=45, "[36-45]", A1125 &lt;= 60, "[46- 60]")</f>
        <v>[26-35]</v>
      </c>
      <c r="C1125" s="3" t="s">
        <v>43</v>
      </c>
      <c r="D1125">
        <f t="shared" si="17"/>
        <v>0</v>
      </c>
      <c r="E1125" t="s">
        <v>36</v>
      </c>
      <c r="F1125" s="1">
        <v>670</v>
      </c>
      <c r="G1125" s="3" t="s">
        <v>45</v>
      </c>
      <c r="H1125" s="1">
        <v>10</v>
      </c>
      <c r="I1125" s="9" t="str" cm="1">
        <f t="array" ref="I1125">_xlfn.IFS(H1125 &lt;= 2, "[1-2] very close", H1125 &lt;= 10, "[3-10] close", H1125 &lt;= 20, "[11-20] moderate", H1125 &lt;= 30, "[21-30] far")</f>
        <v>[3-10] close</v>
      </c>
      <c r="J1125" s="1">
        <v>4</v>
      </c>
      <c r="K1125" s="3" t="s">
        <v>51</v>
      </c>
      <c r="L1125" s="1">
        <v>1</v>
      </c>
      <c r="M1125" s="1">
        <v>1587</v>
      </c>
      <c r="N1125" s="1">
        <v>1</v>
      </c>
      <c r="O1125" s="3" t="s">
        <v>39</v>
      </c>
      <c r="P1125" s="1">
        <v>51</v>
      </c>
      <c r="Q1125" s="1">
        <v>3</v>
      </c>
      <c r="R1125" s="1">
        <v>2</v>
      </c>
      <c r="S1125" s="3" t="s">
        <v>54</v>
      </c>
      <c r="T1125" s="1">
        <v>3</v>
      </c>
      <c r="U1125" s="3" t="s">
        <v>41</v>
      </c>
      <c r="V1125" s="4">
        <v>6142</v>
      </c>
      <c r="W1125" s="1">
        <v>4223</v>
      </c>
      <c r="X1125" s="1">
        <v>3</v>
      </c>
      <c r="Y1125" s="3" t="s">
        <v>42</v>
      </c>
      <c r="Z1125" s="3" t="s">
        <v>35</v>
      </c>
      <c r="AA1125" s="5">
        <v>0.16</v>
      </c>
      <c r="AB1125" s="10" t="str" cm="1">
        <f t="array" ref="AB1125">_xlfn.IFS(AA1125 &lt;= 15%, "Low Hike[11-15%]", AA1125 &lt;= 20%, "Moderate Hike[16-20%]", AA1125 &lt;= 25%,"High Hike[21-25%]")</f>
        <v>Moderate Hike[16-20%]</v>
      </c>
      <c r="AC1125" s="1">
        <v>3</v>
      </c>
      <c r="AD1125" s="1">
        <v>3</v>
      </c>
      <c r="AE1125" s="1">
        <v>80</v>
      </c>
      <c r="AF1125" s="1">
        <v>0</v>
      </c>
      <c r="AG1125" s="1">
        <v>10</v>
      </c>
      <c r="AH1125" s="9" t="str" cm="1">
        <f t="array" ref="AH1125">_xlfn.IFS(AG1125 &lt;= 5, "New[1-5]", AG1125 &lt;= 10, "Early Career[6-10]", AG1125 &lt;= 20, "Established[11-20]", AG1125 &lt;= 30, "Veteran[21-30]", AG1125 &lt;= 40, "Late Career[31-40]")</f>
        <v>Early Career[6-10]</v>
      </c>
      <c r="AI1125" s="1">
        <v>4</v>
      </c>
      <c r="AJ1125" s="1">
        <v>3</v>
      </c>
      <c r="AK1125" s="1">
        <v>5</v>
      </c>
      <c r="AL1125" s="9" t="str" cm="1">
        <f t="array" ref="AL1125">_xlfn.IFS(AK1125 &lt;= 5, "New[1-5]", AK1125 &lt;= 10, "Early Career[6-10]", AK1125 &lt;= 20, "Established[11-20]", AK1125 &lt;= 30, "Veteran[21-30]", AK1125 &lt;= 40, "Late Career[31-40]")</f>
        <v>New[1-5]</v>
      </c>
      <c r="AM1125" s="1">
        <v>2</v>
      </c>
      <c r="AN1125" s="9" t="str" cm="1">
        <f t="array" ref="AN1125">_xlfn.IFS(AM1125 &lt;= 3, "New to Role[1-3]", AM1125 &lt;= 7, "Settled[4-7]", AM1125 &lt;= 12, "Experienced[[8-12]", AM1125 &lt;= 18, "Long Tenured[13-18]")</f>
        <v>New to Role[1-3]</v>
      </c>
      <c r="AO1125" s="1">
        <v>0</v>
      </c>
      <c r="AP1125" s="9" t="str" cm="1">
        <f t="array" ref="AP1125">_xlfn.IFS(AO1125 &lt;= 3, "Recently[1-3]", AO1125 &lt;= 6, "Due Soon[4-6]", AO1125 &lt;= 10, "Overdue[7-10]", AO1125 &lt;= 15, "Long Overdue[11-15]")</f>
        <v>Recently[1-3]</v>
      </c>
      <c r="AQ1125" s="9" t="str" cm="1">
        <f t="array" ref="AQ1125">_xlfn.IFS(AR1125 &lt;= 3, "New Relationship[1-3]", AR1125 &lt;= 7, "Established Relationship[4-7]", AR1125 &lt;= 12, "Long Term Relationship[8-12]", AR1125 &lt;= 17, "Very Long Term Relationship[13-17]")</f>
        <v>Established Relationship[4-7]</v>
      </c>
      <c r="AR1125" s="1">
        <v>4</v>
      </c>
    </row>
    <row r="1126" spans="1:44" x14ac:dyDescent="0.25">
      <c r="A1126" s="1">
        <v>39</v>
      </c>
      <c r="B1126" s="8" t="str" cm="1">
        <f t="array" ref="B1126">_xlfn.IFS(A1126 &lt;= 25, "[18-25]", A1126 &lt;= 35, "[26-35]", A1126 &lt;=45, "[36-45]", A1126 &lt;= 60, "[46- 60]")</f>
        <v>[36-45]</v>
      </c>
      <c r="C1126" s="3" t="s">
        <v>43</v>
      </c>
      <c r="D1126">
        <f t="shared" si="17"/>
        <v>0</v>
      </c>
      <c r="E1126" t="s">
        <v>36</v>
      </c>
      <c r="F1126" s="1">
        <v>1462</v>
      </c>
      <c r="G1126" s="3" t="s">
        <v>37</v>
      </c>
      <c r="H1126" s="1">
        <v>6</v>
      </c>
      <c r="I1126" s="9" t="str" cm="1">
        <f t="array" ref="I1126">_xlfn.IFS(H1126 &lt;= 2, "[1-2] very close", H1126 &lt;= 10, "[3-10] close", H1126 &lt;= 20, "[11-20] moderate", H1126 &lt;= 30, "[21-30] far")</f>
        <v>[3-10] close</v>
      </c>
      <c r="J1126" s="1">
        <v>3</v>
      </c>
      <c r="K1126" s="3" t="s">
        <v>51</v>
      </c>
      <c r="L1126" s="1">
        <v>1</v>
      </c>
      <c r="M1126" s="1">
        <v>1588</v>
      </c>
      <c r="N1126" s="1">
        <v>4</v>
      </c>
      <c r="O1126" s="3" t="s">
        <v>46</v>
      </c>
      <c r="P1126" s="1">
        <v>38</v>
      </c>
      <c r="Q1126" s="1">
        <v>4</v>
      </c>
      <c r="R1126" s="1">
        <v>3</v>
      </c>
      <c r="S1126" s="3" t="s">
        <v>40</v>
      </c>
      <c r="T1126" s="1">
        <v>3</v>
      </c>
      <c r="U1126" s="3" t="s">
        <v>48</v>
      </c>
      <c r="V1126" s="4">
        <v>8237</v>
      </c>
      <c r="W1126" s="1">
        <v>4658</v>
      </c>
      <c r="X1126" s="1">
        <v>2</v>
      </c>
      <c r="Y1126" s="3" t="s">
        <v>42</v>
      </c>
      <c r="Z1126" s="3" t="s">
        <v>43</v>
      </c>
      <c r="AA1126" s="5">
        <v>0.11</v>
      </c>
      <c r="AB1126" s="10" t="str" cm="1">
        <f t="array" ref="AB1126">_xlfn.IFS(AA1126 &lt;= 15%, "Low Hike[11-15%]", AA1126 &lt;= 20%, "Moderate Hike[16-20%]", AA1126 &lt;= 25%,"High Hike[21-25%]")</f>
        <v>Low Hike[11-15%]</v>
      </c>
      <c r="AC1126" s="1">
        <v>3</v>
      </c>
      <c r="AD1126" s="1">
        <v>1</v>
      </c>
      <c r="AE1126" s="1">
        <v>80</v>
      </c>
      <c r="AF1126" s="1">
        <v>1</v>
      </c>
      <c r="AG1126" s="1">
        <v>11</v>
      </c>
      <c r="AH1126" s="9" t="str" cm="1">
        <f t="array" ref="AH1126">_xlfn.IFS(AG1126 &lt;= 5, "New[1-5]", AG1126 &lt;= 10, "Early Career[6-10]", AG1126 &lt;= 20, "Established[11-20]", AG1126 &lt;= 30, "Veteran[21-30]", AG1126 &lt;= 40, "Late Career[31-40]")</f>
        <v>Established[11-20]</v>
      </c>
      <c r="AI1126" s="1">
        <v>3</v>
      </c>
      <c r="AJ1126" s="1">
        <v>3</v>
      </c>
      <c r="AK1126" s="1">
        <v>7</v>
      </c>
      <c r="AL1126" s="9" t="str" cm="1">
        <f t="array" ref="AL1126">_xlfn.IFS(AK1126 &lt;= 5, "New[1-5]", AK1126 &lt;= 10, "Early Career[6-10]", AK1126 &lt;= 20, "Established[11-20]", AK1126 &lt;= 30, "Veteran[21-30]", AK1126 &lt;= 40, "Late Career[31-40]")</f>
        <v>Early Career[6-10]</v>
      </c>
      <c r="AM1126" s="1">
        <v>6</v>
      </c>
      <c r="AN1126" s="9" t="str" cm="1">
        <f t="array" ref="AN1126">_xlfn.IFS(AM1126 &lt;= 3, "New to Role[1-3]", AM1126 &lt;= 7, "Settled[4-7]", AM1126 &lt;= 12, "Experienced[[8-12]", AM1126 &lt;= 18, "Long Tenured[13-18]")</f>
        <v>Settled[4-7]</v>
      </c>
      <c r="AO1126" s="1">
        <v>7</v>
      </c>
      <c r="AP1126" s="9" t="str" cm="1">
        <f t="array" ref="AP1126">_xlfn.IFS(AO1126 &lt;= 3, "Recently[1-3]", AO1126 &lt;= 6, "Due Soon[4-6]", AO1126 &lt;= 10, "Overdue[7-10]", AO1126 &lt;= 15, "Long Overdue[11-15]")</f>
        <v>Overdue[7-10]</v>
      </c>
      <c r="AQ1126" s="9" t="str" cm="1">
        <f t="array" ref="AQ1126">_xlfn.IFS(AR1126 &lt;= 3, "New Relationship[1-3]", AR1126 &lt;= 7, "Established Relationship[4-7]", AR1126 &lt;= 12, "Long Term Relationship[8-12]", AR1126 &lt;= 17, "Very Long Term Relationship[13-17]")</f>
        <v>Established Relationship[4-7]</v>
      </c>
      <c r="AR1126" s="1">
        <v>6</v>
      </c>
    </row>
    <row r="1127" spans="1:44" x14ac:dyDescent="0.25">
      <c r="A1127" s="1">
        <v>29</v>
      </c>
      <c r="B1127" s="8" t="str" cm="1">
        <f t="array" ref="B1127">_xlfn.IFS(A1127 &lt;= 25, "[18-25]", A1127 &lt;= 35, "[26-35]", A1127 &lt;=45, "[36-45]", A1127 &lt;= 60, "[46- 60]")</f>
        <v>[26-35]</v>
      </c>
      <c r="C1127" s="3" t="s">
        <v>43</v>
      </c>
      <c r="D1127">
        <f t="shared" si="17"/>
        <v>0</v>
      </c>
      <c r="E1127" t="s">
        <v>44</v>
      </c>
      <c r="F1127" s="1">
        <v>995</v>
      </c>
      <c r="G1127" s="3" t="s">
        <v>45</v>
      </c>
      <c r="H1127" s="1">
        <v>2</v>
      </c>
      <c r="I1127" s="9" t="str" cm="1">
        <f t="array" ref="I1127">_xlfn.IFS(H1127 &lt;= 2, "[1-2] very close", H1127 &lt;= 10, "[3-10] close", H1127 &lt;= 20, "[11-20] moderate", H1127 &lt;= 30, "[21-30] far")</f>
        <v>[1-2] very close</v>
      </c>
      <c r="J1127" s="1">
        <v>1</v>
      </c>
      <c r="K1127" s="3" t="s">
        <v>38</v>
      </c>
      <c r="L1127" s="1">
        <v>1</v>
      </c>
      <c r="M1127" s="1">
        <v>1590</v>
      </c>
      <c r="N1127" s="1">
        <v>1</v>
      </c>
      <c r="O1127" s="3" t="s">
        <v>46</v>
      </c>
      <c r="P1127" s="1">
        <v>87</v>
      </c>
      <c r="Q1127" s="1">
        <v>3</v>
      </c>
      <c r="R1127" s="1">
        <v>2</v>
      </c>
      <c r="S1127" s="3" t="s">
        <v>54</v>
      </c>
      <c r="T1127" s="1">
        <v>4</v>
      </c>
      <c r="U1127" s="3" t="s">
        <v>52</v>
      </c>
      <c r="V1127" s="4">
        <v>8853</v>
      </c>
      <c r="W1127" s="1">
        <v>24483</v>
      </c>
      <c r="X1127" s="1">
        <v>1</v>
      </c>
      <c r="Y1127" s="3" t="s">
        <v>42</v>
      </c>
      <c r="Z1127" s="3" t="s">
        <v>43</v>
      </c>
      <c r="AA1127" s="5">
        <v>0.19</v>
      </c>
      <c r="AB1127" s="10" t="str" cm="1">
        <f t="array" ref="AB1127">_xlfn.IFS(AA1127 &lt;= 15%, "Low Hike[11-15%]", AA1127 &lt;= 20%, "Moderate Hike[16-20%]", AA1127 &lt;= 25%,"High Hike[21-25%]")</f>
        <v>Moderate Hike[16-20%]</v>
      </c>
      <c r="AC1127" s="1">
        <v>3</v>
      </c>
      <c r="AD1127" s="1">
        <v>4</v>
      </c>
      <c r="AE1127" s="1">
        <v>80</v>
      </c>
      <c r="AF1127" s="1">
        <v>1</v>
      </c>
      <c r="AG1127" s="1">
        <v>6</v>
      </c>
      <c r="AH1127" s="9" t="str" cm="1">
        <f t="array" ref="AH1127">_xlfn.IFS(AG1127 &lt;= 5, "New[1-5]", AG1127 &lt;= 10, "Early Career[6-10]", AG1127 &lt;= 20, "Established[11-20]", AG1127 &lt;= 30, "Veteran[21-30]", AG1127 &lt;= 40, "Late Career[31-40]")</f>
        <v>Early Career[6-10]</v>
      </c>
      <c r="AI1127" s="1">
        <v>0</v>
      </c>
      <c r="AJ1127" s="1">
        <v>4</v>
      </c>
      <c r="AK1127" s="1">
        <v>6</v>
      </c>
      <c r="AL1127" s="9" t="str" cm="1">
        <f t="array" ref="AL1127">_xlfn.IFS(AK1127 &lt;= 5, "New[1-5]", AK1127 &lt;= 10, "Early Career[6-10]", AK1127 &lt;= 20, "Established[11-20]", AK1127 &lt;= 30, "Veteran[21-30]", AK1127 &lt;= 40, "Late Career[31-40]")</f>
        <v>Early Career[6-10]</v>
      </c>
      <c r="AM1127" s="1">
        <v>4</v>
      </c>
      <c r="AN1127" s="9" t="str" cm="1">
        <f t="array" ref="AN1127">_xlfn.IFS(AM1127 &lt;= 3, "New to Role[1-3]", AM1127 &lt;= 7, "Settled[4-7]", AM1127 &lt;= 12, "Experienced[[8-12]", AM1127 &lt;= 18, "Long Tenured[13-18]")</f>
        <v>Settled[4-7]</v>
      </c>
      <c r="AO1127" s="1">
        <v>1</v>
      </c>
      <c r="AP1127" s="9" t="str" cm="1">
        <f t="array" ref="AP1127">_xlfn.IFS(AO1127 &lt;= 3, "Recently[1-3]", AO1127 &lt;= 6, "Due Soon[4-6]", AO1127 &lt;= 10, "Overdue[7-10]", AO1127 &lt;= 15, "Long Overdue[11-15]")</f>
        <v>Recently[1-3]</v>
      </c>
      <c r="AQ1127" s="9" t="str" cm="1">
        <f t="array" ref="AQ1127">_xlfn.IFS(AR1127 &lt;= 3, "New Relationship[1-3]", AR1127 &lt;= 7, "Established Relationship[4-7]", AR1127 &lt;= 12, "Long Term Relationship[8-12]", AR1127 &lt;= 17, "Very Long Term Relationship[13-17]")</f>
        <v>New Relationship[1-3]</v>
      </c>
      <c r="AR1127" s="1">
        <v>3</v>
      </c>
    </row>
    <row r="1128" spans="1:44" x14ac:dyDescent="0.25">
      <c r="A1128" s="1">
        <v>50</v>
      </c>
      <c r="B1128" s="8" t="str" cm="1">
        <f t="array" ref="B1128">_xlfn.IFS(A1128 &lt;= 25, "[18-25]", A1128 &lt;= 35, "[26-35]", A1128 &lt;=45, "[36-45]", A1128 &lt;= 60, "[46- 60]")</f>
        <v>[46- 60]</v>
      </c>
      <c r="C1128" s="3" t="s">
        <v>43</v>
      </c>
      <c r="D1128">
        <f t="shared" si="17"/>
        <v>0</v>
      </c>
      <c r="E1128" t="s">
        <v>36</v>
      </c>
      <c r="F1128" s="1">
        <v>264</v>
      </c>
      <c r="G1128" s="3" t="s">
        <v>37</v>
      </c>
      <c r="H1128" s="1">
        <v>9</v>
      </c>
      <c r="I1128" s="9" t="str" cm="1">
        <f t="array" ref="I1128">_xlfn.IFS(H1128 &lt;= 2, "[1-2] very close", H1128 &lt;= 10, "[3-10] close", H1128 &lt;= 20, "[11-20] moderate", H1128 &lt;= 30, "[21-30] far")</f>
        <v>[3-10] close</v>
      </c>
      <c r="J1128" s="1">
        <v>3</v>
      </c>
      <c r="K1128" s="3" t="s">
        <v>59</v>
      </c>
      <c r="L1128" s="1">
        <v>1</v>
      </c>
      <c r="M1128" s="1">
        <v>1591</v>
      </c>
      <c r="N1128" s="1">
        <v>3</v>
      </c>
      <c r="O1128" s="3" t="s">
        <v>46</v>
      </c>
      <c r="P1128" s="1">
        <v>59</v>
      </c>
      <c r="Q1128" s="1">
        <v>3</v>
      </c>
      <c r="R1128" s="1">
        <v>5</v>
      </c>
      <c r="S1128" s="3" t="s">
        <v>56</v>
      </c>
      <c r="T1128" s="1">
        <v>3</v>
      </c>
      <c r="U1128" s="3" t="s">
        <v>48</v>
      </c>
      <c r="V1128" s="4">
        <v>19331</v>
      </c>
      <c r="W1128" s="1">
        <v>19519</v>
      </c>
      <c r="X1128" s="1">
        <v>4</v>
      </c>
      <c r="Y1128" s="3" t="s">
        <v>42</v>
      </c>
      <c r="Z1128" s="3" t="s">
        <v>35</v>
      </c>
      <c r="AA1128" s="5">
        <v>0.16</v>
      </c>
      <c r="AB1128" s="10" t="str" cm="1">
        <f t="array" ref="AB1128">_xlfn.IFS(AA1128 &lt;= 15%, "Low Hike[11-15%]", AA1128 &lt;= 20%, "Moderate Hike[16-20%]", AA1128 &lt;= 25%,"High Hike[21-25%]")</f>
        <v>Moderate Hike[16-20%]</v>
      </c>
      <c r="AC1128" s="1">
        <v>3</v>
      </c>
      <c r="AD1128" s="1">
        <v>3</v>
      </c>
      <c r="AE1128" s="1">
        <v>80</v>
      </c>
      <c r="AF1128" s="1">
        <v>1</v>
      </c>
      <c r="AG1128" s="1">
        <v>27</v>
      </c>
      <c r="AH1128" s="9" t="str" cm="1">
        <f t="array" ref="AH1128">_xlfn.IFS(AG1128 &lt;= 5, "New[1-5]", AG1128 &lt;= 10, "Early Career[6-10]", AG1128 &lt;= 20, "Established[11-20]", AG1128 &lt;= 30, "Veteran[21-30]", AG1128 &lt;= 40, "Late Career[31-40]")</f>
        <v>Veteran[21-30]</v>
      </c>
      <c r="AI1128" s="1">
        <v>2</v>
      </c>
      <c r="AJ1128" s="1">
        <v>3</v>
      </c>
      <c r="AK1128" s="1">
        <v>1</v>
      </c>
      <c r="AL1128" s="9" t="str" cm="1">
        <f t="array" ref="AL1128">_xlfn.IFS(AK1128 &lt;= 5, "New[1-5]", AK1128 &lt;= 10, "Early Career[6-10]", AK1128 &lt;= 20, "Established[11-20]", AK1128 &lt;= 30, "Veteran[21-30]", AK1128 &lt;= 40, "Late Career[31-40]")</f>
        <v>New[1-5]</v>
      </c>
      <c r="AM1128" s="1">
        <v>0</v>
      </c>
      <c r="AN1128" s="9" t="str" cm="1">
        <f t="array" ref="AN1128">_xlfn.IFS(AM1128 &lt;= 3, "New to Role[1-3]", AM1128 &lt;= 7, "Settled[4-7]", AM1128 &lt;= 12, "Experienced[[8-12]", AM1128 &lt;= 18, "Long Tenured[13-18]")</f>
        <v>New to Role[1-3]</v>
      </c>
      <c r="AO1128" s="1">
        <v>0</v>
      </c>
      <c r="AP1128" s="9" t="str" cm="1">
        <f t="array" ref="AP1128">_xlfn.IFS(AO1128 &lt;= 3, "Recently[1-3]", AO1128 &lt;= 6, "Due Soon[4-6]", AO1128 &lt;= 10, "Overdue[7-10]", AO1128 &lt;= 15, "Long Overdue[11-15]")</f>
        <v>Recently[1-3]</v>
      </c>
      <c r="AQ1128" s="9" t="str" cm="1">
        <f t="array" ref="AQ1128">_xlfn.IFS(AR1128 &lt;= 3, "New Relationship[1-3]", AR1128 &lt;= 7, "Established Relationship[4-7]", AR1128 &lt;= 12, "Long Term Relationship[8-12]", AR1128 &lt;= 17, "Very Long Term Relationship[13-17]")</f>
        <v>New Relationship[1-3]</v>
      </c>
      <c r="AR1128" s="1">
        <v>0</v>
      </c>
    </row>
    <row r="1129" spans="1:44" x14ac:dyDescent="0.25">
      <c r="A1129" s="1">
        <v>23</v>
      </c>
      <c r="B1129" s="8" t="str" cm="1">
        <f t="array" ref="B1129">_xlfn.IFS(A1129 &lt;= 25, "[18-25]", A1129 &lt;= 35, "[26-35]", A1129 &lt;=45, "[36-45]", A1129 &lt;= 60, "[46- 60]")</f>
        <v>[18-25]</v>
      </c>
      <c r="C1129" s="3" t="s">
        <v>43</v>
      </c>
      <c r="D1129">
        <f t="shared" si="17"/>
        <v>0</v>
      </c>
      <c r="E1129" t="s">
        <v>36</v>
      </c>
      <c r="F1129" s="1">
        <v>977</v>
      </c>
      <c r="G1129" s="3" t="s">
        <v>45</v>
      </c>
      <c r="H1129" s="1">
        <v>10</v>
      </c>
      <c r="I1129" s="9" t="str" cm="1">
        <f t="array" ref="I1129">_xlfn.IFS(H1129 &lt;= 2, "[1-2] very close", H1129 &lt;= 10, "[3-10] close", H1129 &lt;= 20, "[11-20] moderate", H1129 &lt;= 30, "[21-30] far")</f>
        <v>[3-10] close</v>
      </c>
      <c r="J1129" s="1">
        <v>3</v>
      </c>
      <c r="K1129" s="3" t="s">
        <v>60</v>
      </c>
      <c r="L1129" s="1">
        <v>1</v>
      </c>
      <c r="M1129" s="1">
        <v>1592</v>
      </c>
      <c r="N1129" s="1">
        <v>4</v>
      </c>
      <c r="O1129" s="3" t="s">
        <v>46</v>
      </c>
      <c r="P1129" s="1">
        <v>45</v>
      </c>
      <c r="Q1129" s="1">
        <v>4</v>
      </c>
      <c r="R1129" s="1">
        <v>1</v>
      </c>
      <c r="S1129" s="3" t="s">
        <v>47</v>
      </c>
      <c r="T1129" s="1">
        <v>3</v>
      </c>
      <c r="U1129" s="3" t="s">
        <v>48</v>
      </c>
      <c r="V1129" s="4">
        <v>2073</v>
      </c>
      <c r="W1129" s="1">
        <v>12826</v>
      </c>
      <c r="X1129" s="1">
        <v>2</v>
      </c>
      <c r="Y1129" s="3" t="s">
        <v>42</v>
      </c>
      <c r="Z1129" s="3" t="s">
        <v>43</v>
      </c>
      <c r="AA1129" s="5">
        <v>0.16</v>
      </c>
      <c r="AB1129" s="10" t="str" cm="1">
        <f t="array" ref="AB1129">_xlfn.IFS(AA1129 &lt;= 15%, "Low Hike[11-15%]", AA1129 &lt;= 20%, "Moderate Hike[16-20%]", AA1129 &lt;= 25%,"High Hike[21-25%]")</f>
        <v>Moderate Hike[16-20%]</v>
      </c>
      <c r="AC1129" s="1">
        <v>3</v>
      </c>
      <c r="AD1129" s="1">
        <v>4</v>
      </c>
      <c r="AE1129" s="1">
        <v>80</v>
      </c>
      <c r="AF1129" s="1">
        <v>1</v>
      </c>
      <c r="AG1129" s="1">
        <v>4</v>
      </c>
      <c r="AH1129" s="9" t="str" cm="1">
        <f t="array" ref="AH1129">_xlfn.IFS(AG1129 &lt;= 5, "New[1-5]", AG1129 &lt;= 10, "Early Career[6-10]", AG1129 &lt;= 20, "Established[11-20]", AG1129 &lt;= 30, "Veteran[21-30]", AG1129 &lt;= 40, "Late Career[31-40]")</f>
        <v>New[1-5]</v>
      </c>
      <c r="AI1129" s="1">
        <v>2</v>
      </c>
      <c r="AJ1129" s="1">
        <v>3</v>
      </c>
      <c r="AK1129" s="1">
        <v>2</v>
      </c>
      <c r="AL1129" s="9" t="str" cm="1">
        <f t="array" ref="AL1129">_xlfn.IFS(AK1129 &lt;= 5, "New[1-5]", AK1129 &lt;= 10, "Early Career[6-10]", AK1129 &lt;= 20, "Established[11-20]", AK1129 &lt;= 30, "Veteran[21-30]", AK1129 &lt;= 40, "Late Career[31-40]")</f>
        <v>New[1-5]</v>
      </c>
      <c r="AM1129" s="1">
        <v>2</v>
      </c>
      <c r="AN1129" s="9" t="str" cm="1">
        <f t="array" ref="AN1129">_xlfn.IFS(AM1129 &lt;= 3, "New to Role[1-3]", AM1129 &lt;= 7, "Settled[4-7]", AM1129 &lt;= 12, "Experienced[[8-12]", AM1129 &lt;= 18, "Long Tenured[13-18]")</f>
        <v>New to Role[1-3]</v>
      </c>
      <c r="AO1129" s="1">
        <v>2</v>
      </c>
      <c r="AP1129" s="9" t="str" cm="1">
        <f t="array" ref="AP1129">_xlfn.IFS(AO1129 &lt;= 3, "Recently[1-3]", AO1129 &lt;= 6, "Due Soon[4-6]", AO1129 &lt;= 10, "Overdue[7-10]", AO1129 &lt;= 15, "Long Overdue[11-15]")</f>
        <v>Recently[1-3]</v>
      </c>
      <c r="AQ1129" s="9" t="str" cm="1">
        <f t="array" ref="AQ1129">_xlfn.IFS(AR1129 &lt;= 3, "New Relationship[1-3]", AR1129 &lt;= 7, "Established Relationship[4-7]", AR1129 &lt;= 12, "Long Term Relationship[8-12]", AR1129 &lt;= 17, "Very Long Term Relationship[13-17]")</f>
        <v>New Relationship[1-3]</v>
      </c>
      <c r="AR1129" s="1">
        <v>2</v>
      </c>
    </row>
    <row r="1130" spans="1:44" x14ac:dyDescent="0.25">
      <c r="A1130" s="1">
        <v>36</v>
      </c>
      <c r="B1130" s="8" t="str" cm="1">
        <f t="array" ref="B1130">_xlfn.IFS(A1130 &lt;= 25, "[18-25]", A1130 &lt;= 35, "[26-35]", A1130 &lt;=45, "[36-45]", A1130 &lt;= 60, "[46- 60]")</f>
        <v>[36-45]</v>
      </c>
      <c r="C1130" s="3" t="s">
        <v>43</v>
      </c>
      <c r="D1130">
        <f t="shared" si="17"/>
        <v>0</v>
      </c>
      <c r="E1130" t="s">
        <v>44</v>
      </c>
      <c r="F1130" s="1">
        <v>1302</v>
      </c>
      <c r="G1130" s="3" t="s">
        <v>45</v>
      </c>
      <c r="H1130" s="1">
        <v>6</v>
      </c>
      <c r="I1130" s="9" t="str" cm="1">
        <f t="array" ref="I1130">_xlfn.IFS(H1130 &lt;= 2, "[1-2] very close", H1130 &lt;= 10, "[3-10] close", H1130 &lt;= 20, "[11-20] moderate", H1130 &lt;= 30, "[21-30] far")</f>
        <v>[3-10] close</v>
      </c>
      <c r="J1130" s="1">
        <v>4</v>
      </c>
      <c r="K1130" s="3" t="s">
        <v>38</v>
      </c>
      <c r="L1130" s="1">
        <v>1</v>
      </c>
      <c r="M1130" s="1">
        <v>1594</v>
      </c>
      <c r="N1130" s="1">
        <v>1</v>
      </c>
      <c r="O1130" s="3" t="s">
        <v>46</v>
      </c>
      <c r="P1130" s="1">
        <v>80</v>
      </c>
      <c r="Q1130" s="1">
        <v>4</v>
      </c>
      <c r="R1130" s="1">
        <v>2</v>
      </c>
      <c r="S1130" s="3" t="s">
        <v>50</v>
      </c>
      <c r="T1130" s="1">
        <v>1</v>
      </c>
      <c r="U1130" s="3" t="s">
        <v>48</v>
      </c>
      <c r="V1130" s="4">
        <v>5562</v>
      </c>
      <c r="W1130" s="1">
        <v>19711</v>
      </c>
      <c r="X1130" s="1">
        <v>3</v>
      </c>
      <c r="Y1130" s="3" t="s">
        <v>42</v>
      </c>
      <c r="Z1130" s="3" t="s">
        <v>35</v>
      </c>
      <c r="AA1130" s="5">
        <v>0.13</v>
      </c>
      <c r="AB1130" s="10" t="str" cm="1">
        <f t="array" ref="AB1130">_xlfn.IFS(AA1130 &lt;= 15%, "Low Hike[11-15%]", AA1130 &lt;= 20%, "Moderate Hike[16-20%]", AA1130 &lt;= 25%,"High Hike[21-25%]")</f>
        <v>Low Hike[11-15%]</v>
      </c>
      <c r="AC1130" s="1">
        <v>3</v>
      </c>
      <c r="AD1130" s="1">
        <v>4</v>
      </c>
      <c r="AE1130" s="1">
        <v>80</v>
      </c>
      <c r="AF1130" s="1">
        <v>1</v>
      </c>
      <c r="AG1130" s="1">
        <v>9</v>
      </c>
      <c r="AH1130" s="9" t="str" cm="1">
        <f t="array" ref="AH1130">_xlfn.IFS(AG1130 &lt;= 5, "New[1-5]", AG1130 &lt;= 10, "Early Career[6-10]", AG1130 &lt;= 20, "Established[11-20]", AG1130 &lt;= 30, "Veteran[21-30]", AG1130 &lt;= 40, "Late Career[31-40]")</f>
        <v>Early Career[6-10]</v>
      </c>
      <c r="AI1130" s="1">
        <v>3</v>
      </c>
      <c r="AJ1130" s="1">
        <v>3</v>
      </c>
      <c r="AK1130" s="1">
        <v>3</v>
      </c>
      <c r="AL1130" s="9" t="str" cm="1">
        <f t="array" ref="AL1130">_xlfn.IFS(AK1130 &lt;= 5, "New[1-5]", AK1130 &lt;= 10, "Early Career[6-10]", AK1130 &lt;= 20, "Established[11-20]", AK1130 &lt;= 30, "Veteran[21-30]", AK1130 &lt;= 40, "Late Career[31-40]")</f>
        <v>New[1-5]</v>
      </c>
      <c r="AM1130" s="1">
        <v>2</v>
      </c>
      <c r="AN1130" s="9" t="str" cm="1">
        <f t="array" ref="AN1130">_xlfn.IFS(AM1130 &lt;= 3, "New to Role[1-3]", AM1130 &lt;= 7, "Settled[4-7]", AM1130 &lt;= 12, "Experienced[[8-12]", AM1130 &lt;= 18, "Long Tenured[13-18]")</f>
        <v>New to Role[1-3]</v>
      </c>
      <c r="AO1130" s="1">
        <v>0</v>
      </c>
      <c r="AP1130" s="9" t="str" cm="1">
        <f t="array" ref="AP1130">_xlfn.IFS(AO1130 &lt;= 3, "Recently[1-3]", AO1130 &lt;= 6, "Due Soon[4-6]", AO1130 &lt;= 10, "Overdue[7-10]", AO1130 &lt;= 15, "Long Overdue[11-15]")</f>
        <v>Recently[1-3]</v>
      </c>
      <c r="AQ1130" s="9" t="str" cm="1">
        <f t="array" ref="AQ1130">_xlfn.IFS(AR1130 &lt;= 3, "New Relationship[1-3]", AR1130 &lt;= 7, "Established Relationship[4-7]", AR1130 &lt;= 12, "Long Term Relationship[8-12]", AR1130 &lt;= 17, "Very Long Term Relationship[13-17]")</f>
        <v>New Relationship[1-3]</v>
      </c>
      <c r="AR1130" s="1">
        <v>2</v>
      </c>
    </row>
    <row r="1131" spans="1:44" x14ac:dyDescent="0.25">
      <c r="A1131" s="1">
        <v>42</v>
      </c>
      <c r="B1131" s="8" t="str" cm="1">
        <f t="array" ref="B1131">_xlfn.IFS(A1131 &lt;= 25, "[18-25]", A1131 &lt;= 35, "[26-35]", A1131 &lt;=45, "[36-45]", A1131 &lt;= 60, "[46- 60]")</f>
        <v>[36-45]</v>
      </c>
      <c r="C1131" s="3" t="s">
        <v>43</v>
      </c>
      <c r="D1131">
        <f t="shared" si="17"/>
        <v>0</v>
      </c>
      <c r="E1131" t="s">
        <v>36</v>
      </c>
      <c r="F1131" s="1">
        <v>1059</v>
      </c>
      <c r="G1131" s="3" t="s">
        <v>45</v>
      </c>
      <c r="H1131" s="1">
        <v>9</v>
      </c>
      <c r="I1131" s="9" t="str" cm="1">
        <f t="array" ref="I1131">_xlfn.IFS(H1131 &lt;= 2, "[1-2] very close", H1131 &lt;= 10, "[3-10] close", H1131 &lt;= 20, "[11-20] moderate", H1131 &lt;= 30, "[21-30] far")</f>
        <v>[3-10] close</v>
      </c>
      <c r="J1131" s="1">
        <v>2</v>
      </c>
      <c r="K1131" s="3" t="s">
        <v>49</v>
      </c>
      <c r="L1131" s="1">
        <v>1</v>
      </c>
      <c r="M1131" s="1">
        <v>1595</v>
      </c>
      <c r="N1131" s="1">
        <v>4</v>
      </c>
      <c r="O1131" s="3" t="s">
        <v>46</v>
      </c>
      <c r="P1131" s="1">
        <v>93</v>
      </c>
      <c r="Q1131" s="1">
        <v>2</v>
      </c>
      <c r="R1131" s="1">
        <v>5</v>
      </c>
      <c r="S1131" s="3" t="s">
        <v>56</v>
      </c>
      <c r="T1131" s="1">
        <v>4</v>
      </c>
      <c r="U1131" s="3" t="s">
        <v>41</v>
      </c>
      <c r="V1131" s="4">
        <v>19613</v>
      </c>
      <c r="W1131" s="1">
        <v>26362</v>
      </c>
      <c r="X1131" s="1">
        <v>8</v>
      </c>
      <c r="Y1131" s="3" t="s">
        <v>42</v>
      </c>
      <c r="Z1131" s="3" t="s">
        <v>43</v>
      </c>
      <c r="AA1131" s="5">
        <v>0.22</v>
      </c>
      <c r="AB1131" s="10" t="str" cm="1">
        <f t="array" ref="AB1131">_xlfn.IFS(AA1131 &lt;= 15%, "Low Hike[11-15%]", AA1131 &lt;= 20%, "Moderate Hike[16-20%]", AA1131 &lt;= 25%,"High Hike[21-25%]")</f>
        <v>High Hike[21-25%]</v>
      </c>
      <c r="AC1131" s="1">
        <v>4</v>
      </c>
      <c r="AD1131" s="1">
        <v>4</v>
      </c>
      <c r="AE1131" s="1">
        <v>80</v>
      </c>
      <c r="AF1131" s="1">
        <v>0</v>
      </c>
      <c r="AG1131" s="1">
        <v>24</v>
      </c>
      <c r="AH1131" s="9" t="str" cm="1">
        <f t="array" ref="AH1131">_xlfn.IFS(AG1131 &lt;= 5, "New[1-5]", AG1131 &lt;= 10, "Early Career[6-10]", AG1131 &lt;= 20, "Established[11-20]", AG1131 &lt;= 30, "Veteran[21-30]", AG1131 &lt;= 40, "Late Career[31-40]")</f>
        <v>Veteran[21-30]</v>
      </c>
      <c r="AI1131" s="1">
        <v>2</v>
      </c>
      <c r="AJ1131" s="1">
        <v>3</v>
      </c>
      <c r="AK1131" s="1">
        <v>1</v>
      </c>
      <c r="AL1131" s="9" t="str" cm="1">
        <f t="array" ref="AL1131">_xlfn.IFS(AK1131 &lt;= 5, "New[1-5]", AK1131 &lt;= 10, "Early Career[6-10]", AK1131 &lt;= 20, "Established[11-20]", AK1131 &lt;= 30, "Veteran[21-30]", AK1131 &lt;= 40, "Late Career[31-40]")</f>
        <v>New[1-5]</v>
      </c>
      <c r="AM1131" s="1">
        <v>0</v>
      </c>
      <c r="AN1131" s="9" t="str" cm="1">
        <f t="array" ref="AN1131">_xlfn.IFS(AM1131 &lt;= 3, "New to Role[1-3]", AM1131 &lt;= 7, "Settled[4-7]", AM1131 &lt;= 12, "Experienced[[8-12]", AM1131 &lt;= 18, "Long Tenured[13-18]")</f>
        <v>New to Role[1-3]</v>
      </c>
      <c r="AO1131" s="1">
        <v>0</v>
      </c>
      <c r="AP1131" s="9" t="str" cm="1">
        <f t="array" ref="AP1131">_xlfn.IFS(AO1131 &lt;= 3, "Recently[1-3]", AO1131 &lt;= 6, "Due Soon[4-6]", AO1131 &lt;= 10, "Overdue[7-10]", AO1131 &lt;= 15, "Long Overdue[11-15]")</f>
        <v>Recently[1-3]</v>
      </c>
      <c r="AQ1131" s="9" t="str" cm="1">
        <f t="array" ref="AQ1131">_xlfn.IFS(AR1131 &lt;= 3, "New Relationship[1-3]", AR1131 &lt;= 7, "Established Relationship[4-7]", AR1131 &lt;= 12, "Long Term Relationship[8-12]", AR1131 &lt;= 17, "Very Long Term Relationship[13-17]")</f>
        <v>New Relationship[1-3]</v>
      </c>
      <c r="AR1131" s="1">
        <v>1</v>
      </c>
    </row>
    <row r="1132" spans="1:44" x14ac:dyDescent="0.25">
      <c r="A1132" s="1">
        <v>35</v>
      </c>
      <c r="B1132" s="8" t="str" cm="1">
        <f t="array" ref="B1132">_xlfn.IFS(A1132 &lt;= 25, "[18-25]", A1132 &lt;= 35, "[26-35]", A1132 &lt;=45, "[36-45]", A1132 &lt;= 60, "[46- 60]")</f>
        <v>[26-35]</v>
      </c>
      <c r="C1132" s="3" t="s">
        <v>43</v>
      </c>
      <c r="D1132">
        <f t="shared" si="17"/>
        <v>0</v>
      </c>
      <c r="E1132" t="s">
        <v>36</v>
      </c>
      <c r="F1132" s="1">
        <v>750</v>
      </c>
      <c r="G1132" s="3" t="s">
        <v>45</v>
      </c>
      <c r="H1132" s="1">
        <v>28</v>
      </c>
      <c r="I1132" s="9" t="str" cm="1">
        <f t="array" ref="I1132">_xlfn.IFS(H1132 &lt;= 2, "[1-2] very close", H1132 &lt;= 10, "[3-10] close", H1132 &lt;= 20, "[11-20] moderate", H1132 &lt;= 30, "[21-30] far")</f>
        <v>[21-30] far</v>
      </c>
      <c r="J1132" s="1">
        <v>3</v>
      </c>
      <c r="K1132" s="3" t="s">
        <v>38</v>
      </c>
      <c r="L1132" s="1">
        <v>1</v>
      </c>
      <c r="M1132" s="1">
        <v>1596</v>
      </c>
      <c r="N1132" s="1">
        <v>2</v>
      </c>
      <c r="O1132" s="3" t="s">
        <v>46</v>
      </c>
      <c r="P1132" s="1">
        <v>46</v>
      </c>
      <c r="Q1132" s="1">
        <v>4</v>
      </c>
      <c r="R1132" s="1">
        <v>2</v>
      </c>
      <c r="S1132" s="3" t="s">
        <v>50</v>
      </c>
      <c r="T1132" s="1">
        <v>3</v>
      </c>
      <c r="U1132" s="3" t="s">
        <v>48</v>
      </c>
      <c r="V1132" s="4">
        <v>3407</v>
      </c>
      <c r="W1132" s="1">
        <v>25348</v>
      </c>
      <c r="X1132" s="1">
        <v>1</v>
      </c>
      <c r="Y1132" s="3" t="s">
        <v>42</v>
      </c>
      <c r="Z1132" s="3" t="s">
        <v>43</v>
      </c>
      <c r="AA1132" s="5">
        <v>0.17</v>
      </c>
      <c r="AB1132" s="10" t="str" cm="1">
        <f t="array" ref="AB1132">_xlfn.IFS(AA1132 &lt;= 15%, "Low Hike[11-15%]", AA1132 &lt;= 20%, "Moderate Hike[16-20%]", AA1132 &lt;= 25%,"High Hike[21-25%]")</f>
        <v>Moderate Hike[16-20%]</v>
      </c>
      <c r="AC1132" s="1">
        <v>3</v>
      </c>
      <c r="AD1132" s="1">
        <v>4</v>
      </c>
      <c r="AE1132" s="1">
        <v>80</v>
      </c>
      <c r="AF1132" s="1">
        <v>2</v>
      </c>
      <c r="AG1132" s="1">
        <v>10</v>
      </c>
      <c r="AH1132" s="9" t="str" cm="1">
        <f t="array" ref="AH1132">_xlfn.IFS(AG1132 &lt;= 5, "New[1-5]", AG1132 &lt;= 10, "Early Career[6-10]", AG1132 &lt;= 20, "Established[11-20]", AG1132 &lt;= 30, "Veteran[21-30]", AG1132 &lt;= 40, "Late Career[31-40]")</f>
        <v>Early Career[6-10]</v>
      </c>
      <c r="AI1132" s="1">
        <v>3</v>
      </c>
      <c r="AJ1132" s="1">
        <v>2</v>
      </c>
      <c r="AK1132" s="1">
        <v>10</v>
      </c>
      <c r="AL1132" s="9" t="str" cm="1">
        <f t="array" ref="AL1132">_xlfn.IFS(AK1132 &lt;= 5, "New[1-5]", AK1132 &lt;= 10, "Early Career[6-10]", AK1132 &lt;= 20, "Established[11-20]", AK1132 &lt;= 30, "Veteran[21-30]", AK1132 &lt;= 40, "Late Career[31-40]")</f>
        <v>Early Career[6-10]</v>
      </c>
      <c r="AM1132" s="1">
        <v>9</v>
      </c>
      <c r="AN1132" s="9" t="str" cm="1">
        <f t="array" ref="AN1132">_xlfn.IFS(AM1132 &lt;= 3, "New to Role[1-3]", AM1132 &lt;= 7, "Settled[4-7]", AM1132 &lt;= 12, "Experienced[[8-12]", AM1132 &lt;= 18, "Long Tenured[13-18]")</f>
        <v>Experienced[[8-12]</v>
      </c>
      <c r="AO1132" s="1">
        <v>6</v>
      </c>
      <c r="AP1132" s="9" t="str" cm="1">
        <f t="array" ref="AP1132">_xlfn.IFS(AO1132 &lt;= 3, "Recently[1-3]", AO1132 &lt;= 6, "Due Soon[4-6]", AO1132 &lt;= 10, "Overdue[7-10]", AO1132 &lt;= 15, "Long Overdue[11-15]")</f>
        <v>Due Soon[4-6]</v>
      </c>
      <c r="AQ1132" s="9" t="str" cm="1">
        <f t="array" ref="AQ1132">_xlfn.IFS(AR1132 &lt;= 3, "New Relationship[1-3]", AR1132 &lt;= 7, "Established Relationship[4-7]", AR1132 &lt;= 12, "Long Term Relationship[8-12]", AR1132 &lt;= 17, "Very Long Term Relationship[13-17]")</f>
        <v>Long Term Relationship[8-12]</v>
      </c>
      <c r="AR1132" s="1">
        <v>8</v>
      </c>
    </row>
    <row r="1133" spans="1:44" x14ac:dyDescent="0.25">
      <c r="A1133" s="1">
        <v>34</v>
      </c>
      <c r="B1133" s="8" t="str" cm="1">
        <f t="array" ref="B1133">_xlfn.IFS(A1133 &lt;= 25, "[18-25]", A1133 &lt;= 35, "[26-35]", A1133 &lt;=45, "[36-45]", A1133 &lt;= 60, "[46- 60]")</f>
        <v>[26-35]</v>
      </c>
      <c r="C1133" s="3" t="s">
        <v>43</v>
      </c>
      <c r="D1133">
        <f t="shared" si="17"/>
        <v>0</v>
      </c>
      <c r="E1133" t="s">
        <v>44</v>
      </c>
      <c r="F1133" s="1">
        <v>653</v>
      </c>
      <c r="G1133" s="3" t="s">
        <v>45</v>
      </c>
      <c r="H1133" s="1">
        <v>10</v>
      </c>
      <c r="I1133" s="9" t="str" cm="1">
        <f t="array" ref="I1133">_xlfn.IFS(H1133 &lt;= 2, "[1-2] very close", H1133 &lt;= 10, "[3-10] close", H1133 &lt;= 20, "[11-20] moderate", H1133 &lt;= 30, "[21-30] far")</f>
        <v>[3-10] close</v>
      </c>
      <c r="J1133" s="1">
        <v>4</v>
      </c>
      <c r="K1133" s="3" t="s">
        <v>60</v>
      </c>
      <c r="L1133" s="1">
        <v>1</v>
      </c>
      <c r="M1133" s="1">
        <v>1597</v>
      </c>
      <c r="N1133" s="1">
        <v>4</v>
      </c>
      <c r="O1133" s="3" t="s">
        <v>46</v>
      </c>
      <c r="P1133" s="1">
        <v>92</v>
      </c>
      <c r="Q1133" s="1">
        <v>2</v>
      </c>
      <c r="R1133" s="1">
        <v>2</v>
      </c>
      <c r="S1133" s="3" t="s">
        <v>54</v>
      </c>
      <c r="T1133" s="1">
        <v>3</v>
      </c>
      <c r="U1133" s="3" t="s">
        <v>48</v>
      </c>
      <c r="V1133" s="4">
        <v>5063</v>
      </c>
      <c r="W1133" s="1">
        <v>15332</v>
      </c>
      <c r="X1133" s="1">
        <v>1</v>
      </c>
      <c r="Y1133" s="3" t="s">
        <v>42</v>
      </c>
      <c r="Z1133" s="3" t="s">
        <v>43</v>
      </c>
      <c r="AA1133" s="5">
        <v>0.14000000000000001</v>
      </c>
      <c r="AB1133" s="10" t="str" cm="1">
        <f t="array" ref="AB1133">_xlfn.IFS(AA1133 &lt;= 15%, "Low Hike[11-15%]", AA1133 &lt;= 20%, "Moderate Hike[16-20%]", AA1133 &lt;= 25%,"High Hike[21-25%]")</f>
        <v>Low Hike[11-15%]</v>
      </c>
      <c r="AC1133" s="1">
        <v>3</v>
      </c>
      <c r="AD1133" s="1">
        <v>2</v>
      </c>
      <c r="AE1133" s="1">
        <v>80</v>
      </c>
      <c r="AF1133" s="1">
        <v>1</v>
      </c>
      <c r="AG1133" s="1">
        <v>8</v>
      </c>
      <c r="AH1133" s="9" t="str" cm="1">
        <f t="array" ref="AH1133">_xlfn.IFS(AG1133 &lt;= 5, "New[1-5]", AG1133 &lt;= 10, "Early Career[6-10]", AG1133 &lt;= 20, "Established[11-20]", AG1133 &lt;= 30, "Veteran[21-30]", AG1133 &lt;= 40, "Late Career[31-40]")</f>
        <v>Early Career[6-10]</v>
      </c>
      <c r="AI1133" s="1">
        <v>3</v>
      </c>
      <c r="AJ1133" s="1">
        <v>2</v>
      </c>
      <c r="AK1133" s="1">
        <v>8</v>
      </c>
      <c r="AL1133" s="9" t="str" cm="1">
        <f t="array" ref="AL1133">_xlfn.IFS(AK1133 &lt;= 5, "New[1-5]", AK1133 &lt;= 10, "Early Career[6-10]", AK1133 &lt;= 20, "Established[11-20]", AK1133 &lt;= 30, "Veteran[21-30]", AK1133 &lt;= 40, "Late Career[31-40]")</f>
        <v>Early Career[6-10]</v>
      </c>
      <c r="AM1133" s="1">
        <v>2</v>
      </c>
      <c r="AN1133" s="9" t="str" cm="1">
        <f t="array" ref="AN1133">_xlfn.IFS(AM1133 &lt;= 3, "New to Role[1-3]", AM1133 &lt;= 7, "Settled[4-7]", AM1133 &lt;= 12, "Experienced[[8-12]", AM1133 &lt;= 18, "Long Tenured[13-18]")</f>
        <v>New to Role[1-3]</v>
      </c>
      <c r="AO1133" s="1">
        <v>7</v>
      </c>
      <c r="AP1133" s="9" t="str" cm="1">
        <f t="array" ref="AP1133">_xlfn.IFS(AO1133 &lt;= 3, "Recently[1-3]", AO1133 &lt;= 6, "Due Soon[4-6]", AO1133 &lt;= 10, "Overdue[7-10]", AO1133 &lt;= 15, "Long Overdue[11-15]")</f>
        <v>Overdue[7-10]</v>
      </c>
      <c r="AQ1133" s="9" t="str" cm="1">
        <f t="array" ref="AQ1133">_xlfn.IFS(AR1133 &lt;= 3, "New Relationship[1-3]", AR1133 &lt;= 7, "Established Relationship[4-7]", AR1133 &lt;= 12, "Long Term Relationship[8-12]", AR1133 &lt;= 17, "Very Long Term Relationship[13-17]")</f>
        <v>Established Relationship[4-7]</v>
      </c>
      <c r="AR1133" s="1">
        <v>7</v>
      </c>
    </row>
    <row r="1134" spans="1:44" x14ac:dyDescent="0.25">
      <c r="A1134" s="1">
        <v>40</v>
      </c>
      <c r="B1134" s="8" t="str" cm="1">
        <f t="array" ref="B1134">_xlfn.IFS(A1134 &lt;= 25, "[18-25]", A1134 &lt;= 35, "[26-35]", A1134 &lt;=45, "[36-45]", A1134 &lt;= 60, "[46- 60]")</f>
        <v>[36-45]</v>
      </c>
      <c r="C1134" s="3" t="s">
        <v>43</v>
      </c>
      <c r="D1134">
        <f t="shared" si="17"/>
        <v>0</v>
      </c>
      <c r="E1134" t="s">
        <v>36</v>
      </c>
      <c r="F1134" s="1">
        <v>118</v>
      </c>
      <c r="G1134" s="3" t="s">
        <v>37</v>
      </c>
      <c r="H1134" s="1">
        <v>14</v>
      </c>
      <c r="I1134" s="9" t="str" cm="1">
        <f t="array" ref="I1134">_xlfn.IFS(H1134 &lt;= 2, "[1-2] very close", H1134 &lt;= 10, "[3-10] close", H1134 &lt;= 20, "[11-20] moderate", H1134 &lt;= 30, "[21-30] far")</f>
        <v>[11-20] moderate</v>
      </c>
      <c r="J1134" s="1">
        <v>2</v>
      </c>
      <c r="K1134" s="3" t="s">
        <v>38</v>
      </c>
      <c r="L1134" s="1">
        <v>1</v>
      </c>
      <c r="M1134" s="1">
        <v>1598</v>
      </c>
      <c r="N1134" s="1">
        <v>4</v>
      </c>
      <c r="O1134" s="3" t="s">
        <v>39</v>
      </c>
      <c r="P1134" s="1">
        <v>84</v>
      </c>
      <c r="Q1134" s="1">
        <v>3</v>
      </c>
      <c r="R1134" s="1">
        <v>2</v>
      </c>
      <c r="S1134" s="3" t="s">
        <v>40</v>
      </c>
      <c r="T1134" s="1">
        <v>1</v>
      </c>
      <c r="U1134" s="3" t="s">
        <v>48</v>
      </c>
      <c r="V1134" s="4">
        <v>4639</v>
      </c>
      <c r="W1134" s="1">
        <v>11262</v>
      </c>
      <c r="X1134" s="1">
        <v>1</v>
      </c>
      <c r="Y1134" s="3" t="s">
        <v>42</v>
      </c>
      <c r="Z1134" s="3" t="s">
        <v>43</v>
      </c>
      <c r="AA1134" s="5">
        <v>0.15</v>
      </c>
      <c r="AB1134" s="10" t="str" cm="1">
        <f t="array" ref="AB1134">_xlfn.IFS(AA1134 &lt;= 15%, "Low Hike[11-15%]", AA1134 &lt;= 20%, "Moderate Hike[16-20%]", AA1134 &lt;= 25%,"High Hike[21-25%]")</f>
        <v>Low Hike[11-15%]</v>
      </c>
      <c r="AC1134" s="1">
        <v>3</v>
      </c>
      <c r="AD1134" s="1">
        <v>3</v>
      </c>
      <c r="AE1134" s="1">
        <v>80</v>
      </c>
      <c r="AF1134" s="1">
        <v>1</v>
      </c>
      <c r="AG1134" s="1">
        <v>5</v>
      </c>
      <c r="AH1134" s="9" t="str" cm="1">
        <f t="array" ref="AH1134">_xlfn.IFS(AG1134 &lt;= 5, "New[1-5]", AG1134 &lt;= 10, "Early Career[6-10]", AG1134 &lt;= 20, "Established[11-20]", AG1134 &lt;= 30, "Veteran[21-30]", AG1134 &lt;= 40, "Late Career[31-40]")</f>
        <v>New[1-5]</v>
      </c>
      <c r="AI1134" s="1">
        <v>2</v>
      </c>
      <c r="AJ1134" s="1">
        <v>3</v>
      </c>
      <c r="AK1134" s="1">
        <v>5</v>
      </c>
      <c r="AL1134" s="9" t="str" cm="1">
        <f t="array" ref="AL1134">_xlfn.IFS(AK1134 &lt;= 5, "New[1-5]", AK1134 &lt;= 10, "Early Career[6-10]", AK1134 &lt;= 20, "Established[11-20]", AK1134 &lt;= 30, "Veteran[21-30]", AK1134 &lt;= 40, "Late Career[31-40]")</f>
        <v>New[1-5]</v>
      </c>
      <c r="AM1134" s="1">
        <v>4</v>
      </c>
      <c r="AN1134" s="9" t="str" cm="1">
        <f t="array" ref="AN1134">_xlfn.IFS(AM1134 &lt;= 3, "New to Role[1-3]", AM1134 &lt;= 7, "Settled[4-7]", AM1134 &lt;= 12, "Experienced[[8-12]", AM1134 &lt;= 18, "Long Tenured[13-18]")</f>
        <v>Settled[4-7]</v>
      </c>
      <c r="AO1134" s="1">
        <v>1</v>
      </c>
      <c r="AP1134" s="9" t="str" cm="1">
        <f t="array" ref="AP1134">_xlfn.IFS(AO1134 &lt;= 3, "Recently[1-3]", AO1134 &lt;= 6, "Due Soon[4-6]", AO1134 &lt;= 10, "Overdue[7-10]", AO1134 &lt;= 15, "Long Overdue[11-15]")</f>
        <v>Recently[1-3]</v>
      </c>
      <c r="AQ1134" s="9" t="str" cm="1">
        <f t="array" ref="AQ1134">_xlfn.IFS(AR1134 &lt;= 3, "New Relationship[1-3]", AR1134 &lt;= 7, "Established Relationship[4-7]", AR1134 &lt;= 12, "Long Term Relationship[8-12]", AR1134 &lt;= 17, "Very Long Term Relationship[13-17]")</f>
        <v>New Relationship[1-3]</v>
      </c>
      <c r="AR1134" s="1">
        <v>2</v>
      </c>
    </row>
    <row r="1135" spans="1:44" x14ac:dyDescent="0.25">
      <c r="A1135" s="1">
        <v>43</v>
      </c>
      <c r="B1135" s="8" t="str" cm="1">
        <f t="array" ref="B1135">_xlfn.IFS(A1135 &lt;= 25, "[18-25]", A1135 &lt;= 35, "[26-35]", A1135 &lt;=45, "[36-45]", A1135 &lt;= 60, "[46- 60]")</f>
        <v>[36-45]</v>
      </c>
      <c r="C1135" s="3" t="s">
        <v>43</v>
      </c>
      <c r="D1135">
        <f t="shared" si="17"/>
        <v>0</v>
      </c>
      <c r="E1135" t="s">
        <v>36</v>
      </c>
      <c r="F1135" s="1">
        <v>990</v>
      </c>
      <c r="G1135" s="3" t="s">
        <v>45</v>
      </c>
      <c r="H1135" s="1">
        <v>27</v>
      </c>
      <c r="I1135" s="9" t="str" cm="1">
        <f t="array" ref="I1135">_xlfn.IFS(H1135 &lt;= 2, "[1-2] very close", H1135 &lt;= 10, "[3-10] close", H1135 &lt;= 20, "[11-20] moderate", H1135 &lt;= 30, "[21-30] far")</f>
        <v>[21-30] far</v>
      </c>
      <c r="J1135" s="1">
        <v>3</v>
      </c>
      <c r="K1135" s="3" t="s">
        <v>60</v>
      </c>
      <c r="L1135" s="1">
        <v>1</v>
      </c>
      <c r="M1135" s="1">
        <v>1599</v>
      </c>
      <c r="N1135" s="1">
        <v>4</v>
      </c>
      <c r="O1135" s="3" t="s">
        <v>46</v>
      </c>
      <c r="P1135" s="1">
        <v>87</v>
      </c>
      <c r="Q1135" s="1">
        <v>4</v>
      </c>
      <c r="R1135" s="1">
        <v>1</v>
      </c>
      <c r="S1135" s="3" t="s">
        <v>50</v>
      </c>
      <c r="T1135" s="1">
        <v>2</v>
      </c>
      <c r="U1135" s="3" t="s">
        <v>52</v>
      </c>
      <c r="V1135" s="4">
        <v>4876</v>
      </c>
      <c r="W1135" s="1">
        <v>5855</v>
      </c>
      <c r="X1135" s="1">
        <v>5</v>
      </c>
      <c r="Y1135" s="3" t="s">
        <v>42</v>
      </c>
      <c r="Z1135" s="3" t="s">
        <v>43</v>
      </c>
      <c r="AA1135" s="5">
        <v>0.12</v>
      </c>
      <c r="AB1135" s="10" t="str" cm="1">
        <f t="array" ref="AB1135">_xlfn.IFS(AA1135 &lt;= 15%, "Low Hike[11-15%]", AA1135 &lt;= 20%, "Moderate Hike[16-20%]", AA1135 &lt;= 25%,"High Hike[21-25%]")</f>
        <v>Low Hike[11-15%]</v>
      </c>
      <c r="AC1135" s="1">
        <v>3</v>
      </c>
      <c r="AD1135" s="1">
        <v>3</v>
      </c>
      <c r="AE1135" s="1">
        <v>80</v>
      </c>
      <c r="AF1135" s="1">
        <v>1</v>
      </c>
      <c r="AG1135" s="1">
        <v>8</v>
      </c>
      <c r="AH1135" s="9" t="str" cm="1">
        <f t="array" ref="AH1135">_xlfn.IFS(AG1135 &lt;= 5, "New[1-5]", AG1135 &lt;= 10, "Early Career[6-10]", AG1135 &lt;= 20, "Established[11-20]", AG1135 &lt;= 30, "Veteran[21-30]", AG1135 &lt;= 40, "Late Career[31-40]")</f>
        <v>Early Career[6-10]</v>
      </c>
      <c r="AI1135" s="1">
        <v>0</v>
      </c>
      <c r="AJ1135" s="1">
        <v>3</v>
      </c>
      <c r="AK1135" s="1">
        <v>6</v>
      </c>
      <c r="AL1135" s="9" t="str" cm="1">
        <f t="array" ref="AL1135">_xlfn.IFS(AK1135 &lt;= 5, "New[1-5]", AK1135 &lt;= 10, "Early Career[6-10]", AK1135 &lt;= 20, "Established[11-20]", AK1135 &lt;= 30, "Veteran[21-30]", AK1135 &lt;= 40, "Late Career[31-40]")</f>
        <v>Early Career[6-10]</v>
      </c>
      <c r="AM1135" s="1">
        <v>4</v>
      </c>
      <c r="AN1135" s="9" t="str" cm="1">
        <f t="array" ref="AN1135">_xlfn.IFS(AM1135 &lt;= 3, "New to Role[1-3]", AM1135 &lt;= 7, "Settled[4-7]", AM1135 &lt;= 12, "Experienced[[8-12]", AM1135 &lt;= 18, "Long Tenured[13-18]")</f>
        <v>Settled[4-7]</v>
      </c>
      <c r="AO1135" s="1">
        <v>0</v>
      </c>
      <c r="AP1135" s="9" t="str" cm="1">
        <f t="array" ref="AP1135">_xlfn.IFS(AO1135 &lt;= 3, "Recently[1-3]", AO1135 &lt;= 6, "Due Soon[4-6]", AO1135 &lt;= 10, "Overdue[7-10]", AO1135 &lt;= 15, "Long Overdue[11-15]")</f>
        <v>Recently[1-3]</v>
      </c>
      <c r="AQ1135" s="9" t="str" cm="1">
        <f t="array" ref="AQ1135">_xlfn.IFS(AR1135 &lt;= 3, "New Relationship[1-3]", AR1135 &lt;= 7, "Established Relationship[4-7]", AR1135 &lt;= 12, "Long Term Relationship[8-12]", AR1135 &lt;= 17, "Very Long Term Relationship[13-17]")</f>
        <v>New Relationship[1-3]</v>
      </c>
      <c r="AR1135" s="1">
        <v>2</v>
      </c>
    </row>
    <row r="1136" spans="1:44" x14ac:dyDescent="0.25">
      <c r="A1136" s="1">
        <v>35</v>
      </c>
      <c r="B1136" s="8" t="str" cm="1">
        <f t="array" ref="B1136">_xlfn.IFS(A1136 &lt;= 25, "[18-25]", A1136 &lt;= 35, "[26-35]", A1136 &lt;=45, "[36-45]", A1136 &lt;= 60, "[46- 60]")</f>
        <v>[26-35]</v>
      </c>
      <c r="C1136" s="3" t="s">
        <v>43</v>
      </c>
      <c r="D1136">
        <f t="shared" si="17"/>
        <v>0</v>
      </c>
      <c r="E1136" t="s">
        <v>36</v>
      </c>
      <c r="F1136" s="1">
        <v>1349</v>
      </c>
      <c r="G1136" s="3" t="s">
        <v>45</v>
      </c>
      <c r="H1136" s="1">
        <v>7</v>
      </c>
      <c r="I1136" s="9" t="str" cm="1">
        <f t="array" ref="I1136">_xlfn.IFS(H1136 &lt;= 2, "[1-2] very close", H1136 &lt;= 10, "[3-10] close", H1136 &lt;= 20, "[11-20] moderate", H1136 &lt;= 30, "[21-30] far")</f>
        <v>[3-10] close</v>
      </c>
      <c r="J1136" s="1">
        <v>2</v>
      </c>
      <c r="K1136" s="3" t="s">
        <v>38</v>
      </c>
      <c r="L1136" s="1">
        <v>1</v>
      </c>
      <c r="M1136" s="1">
        <v>1601</v>
      </c>
      <c r="N1136" s="1">
        <v>3</v>
      </c>
      <c r="O1136" s="3" t="s">
        <v>46</v>
      </c>
      <c r="P1136" s="1">
        <v>63</v>
      </c>
      <c r="Q1136" s="1">
        <v>2</v>
      </c>
      <c r="R1136" s="1">
        <v>1</v>
      </c>
      <c r="S1136" s="3" t="s">
        <v>50</v>
      </c>
      <c r="T1136" s="1">
        <v>4</v>
      </c>
      <c r="U1136" s="3" t="s">
        <v>48</v>
      </c>
      <c r="V1136" s="4">
        <v>2690</v>
      </c>
      <c r="W1136" s="1">
        <v>7713</v>
      </c>
      <c r="X1136" s="1">
        <v>1</v>
      </c>
      <c r="Y1136" s="3" t="s">
        <v>42</v>
      </c>
      <c r="Z1136" s="3" t="s">
        <v>43</v>
      </c>
      <c r="AA1136" s="5">
        <v>0.18</v>
      </c>
      <c r="AB1136" s="10" t="str" cm="1">
        <f t="array" ref="AB1136">_xlfn.IFS(AA1136 &lt;= 15%, "Low Hike[11-15%]", AA1136 &lt;= 20%, "Moderate Hike[16-20%]", AA1136 &lt;= 25%,"High Hike[21-25%]")</f>
        <v>Moderate Hike[16-20%]</v>
      </c>
      <c r="AC1136" s="1">
        <v>3</v>
      </c>
      <c r="AD1136" s="1">
        <v>4</v>
      </c>
      <c r="AE1136" s="1">
        <v>80</v>
      </c>
      <c r="AF1136" s="1">
        <v>1</v>
      </c>
      <c r="AG1136" s="1">
        <v>1</v>
      </c>
      <c r="AH1136" s="9" t="str" cm="1">
        <f t="array" ref="AH1136">_xlfn.IFS(AG1136 &lt;= 5, "New[1-5]", AG1136 &lt;= 10, "Early Career[6-10]", AG1136 &lt;= 20, "Established[11-20]", AG1136 &lt;= 30, "Veteran[21-30]", AG1136 &lt;= 40, "Late Career[31-40]")</f>
        <v>New[1-5]</v>
      </c>
      <c r="AI1136" s="1">
        <v>5</v>
      </c>
      <c r="AJ1136" s="1">
        <v>2</v>
      </c>
      <c r="AK1136" s="1">
        <v>1</v>
      </c>
      <c r="AL1136" s="9" t="str" cm="1">
        <f t="array" ref="AL1136">_xlfn.IFS(AK1136 &lt;= 5, "New[1-5]", AK1136 &lt;= 10, "Early Career[6-10]", AK1136 &lt;= 20, "Established[11-20]", AK1136 &lt;= 30, "Veteran[21-30]", AK1136 &lt;= 40, "Late Career[31-40]")</f>
        <v>New[1-5]</v>
      </c>
      <c r="AM1136" s="1">
        <v>0</v>
      </c>
      <c r="AN1136" s="9" t="str" cm="1">
        <f t="array" ref="AN1136">_xlfn.IFS(AM1136 &lt;= 3, "New to Role[1-3]", AM1136 &lt;= 7, "Settled[4-7]", AM1136 &lt;= 12, "Experienced[[8-12]", AM1136 &lt;= 18, "Long Tenured[13-18]")</f>
        <v>New to Role[1-3]</v>
      </c>
      <c r="AO1136" s="1">
        <v>0</v>
      </c>
      <c r="AP1136" s="9" t="str" cm="1">
        <f t="array" ref="AP1136">_xlfn.IFS(AO1136 &lt;= 3, "Recently[1-3]", AO1136 &lt;= 6, "Due Soon[4-6]", AO1136 &lt;= 10, "Overdue[7-10]", AO1136 &lt;= 15, "Long Overdue[11-15]")</f>
        <v>Recently[1-3]</v>
      </c>
      <c r="AQ1136" s="9" t="str" cm="1">
        <f t="array" ref="AQ1136">_xlfn.IFS(AR1136 &lt;= 3, "New Relationship[1-3]", AR1136 &lt;= 7, "Established Relationship[4-7]", AR1136 &lt;= 12, "Long Term Relationship[8-12]", AR1136 &lt;= 17, "Very Long Term Relationship[13-17]")</f>
        <v>New Relationship[1-3]</v>
      </c>
      <c r="AR1136" s="1">
        <v>1</v>
      </c>
    </row>
    <row r="1137" spans="1:44" x14ac:dyDescent="0.25">
      <c r="A1137" s="1">
        <v>46</v>
      </c>
      <c r="B1137" s="8" t="str" cm="1">
        <f t="array" ref="B1137">_xlfn.IFS(A1137 &lt;= 25, "[18-25]", A1137 &lt;= 35, "[26-35]", A1137 &lt;=45, "[36-45]", A1137 &lt;= 60, "[46- 60]")</f>
        <v>[46- 60]</v>
      </c>
      <c r="C1137" s="3" t="s">
        <v>43</v>
      </c>
      <c r="D1137">
        <f t="shared" si="17"/>
        <v>0</v>
      </c>
      <c r="E1137" t="s">
        <v>36</v>
      </c>
      <c r="F1137" s="1">
        <v>563</v>
      </c>
      <c r="G1137" s="3" t="s">
        <v>37</v>
      </c>
      <c r="H1137" s="1">
        <v>1</v>
      </c>
      <c r="I1137" s="9" t="str" cm="1">
        <f t="array" ref="I1137">_xlfn.IFS(H1137 &lt;= 2, "[1-2] very close", H1137 &lt;= 10, "[3-10] close", H1137 &lt;= 20, "[11-20] moderate", H1137 &lt;= 30, "[21-30] far")</f>
        <v>[1-2] very close</v>
      </c>
      <c r="J1137" s="1">
        <v>4</v>
      </c>
      <c r="K1137" s="3" t="s">
        <v>38</v>
      </c>
      <c r="L1137" s="1">
        <v>1</v>
      </c>
      <c r="M1137" s="1">
        <v>1602</v>
      </c>
      <c r="N1137" s="1">
        <v>4</v>
      </c>
      <c r="O1137" s="3" t="s">
        <v>46</v>
      </c>
      <c r="P1137" s="1">
        <v>56</v>
      </c>
      <c r="Q1137" s="1">
        <v>4</v>
      </c>
      <c r="R1137" s="1">
        <v>4</v>
      </c>
      <c r="S1137" s="3" t="s">
        <v>56</v>
      </c>
      <c r="T1137" s="1">
        <v>1</v>
      </c>
      <c r="U1137" s="3" t="s">
        <v>41</v>
      </c>
      <c r="V1137" s="4">
        <v>17567</v>
      </c>
      <c r="W1137" s="1">
        <v>3156</v>
      </c>
      <c r="X1137" s="1">
        <v>1</v>
      </c>
      <c r="Y1137" s="3" t="s">
        <v>42</v>
      </c>
      <c r="Z1137" s="3" t="s">
        <v>43</v>
      </c>
      <c r="AA1137" s="5">
        <v>0.15</v>
      </c>
      <c r="AB1137" s="10" t="str" cm="1">
        <f t="array" ref="AB1137">_xlfn.IFS(AA1137 &lt;= 15%, "Low Hike[11-15%]", AA1137 &lt;= 20%, "Moderate Hike[16-20%]", AA1137 &lt;= 25%,"High Hike[21-25%]")</f>
        <v>Low Hike[11-15%]</v>
      </c>
      <c r="AC1137" s="1">
        <v>3</v>
      </c>
      <c r="AD1137" s="1">
        <v>2</v>
      </c>
      <c r="AE1137" s="1">
        <v>80</v>
      </c>
      <c r="AF1137" s="1">
        <v>0</v>
      </c>
      <c r="AG1137" s="1">
        <v>27</v>
      </c>
      <c r="AH1137" s="9" t="str" cm="1">
        <f t="array" ref="AH1137">_xlfn.IFS(AG1137 &lt;= 5, "New[1-5]", AG1137 &lt;= 10, "Early Career[6-10]", AG1137 &lt;= 20, "Established[11-20]", AG1137 &lt;= 30, "Veteran[21-30]", AG1137 &lt;= 40, "Late Career[31-40]")</f>
        <v>Veteran[21-30]</v>
      </c>
      <c r="AI1137" s="1">
        <v>5</v>
      </c>
      <c r="AJ1137" s="1">
        <v>1</v>
      </c>
      <c r="AK1137" s="1">
        <v>26</v>
      </c>
      <c r="AL1137" s="9" t="str" cm="1">
        <f t="array" ref="AL1137">_xlfn.IFS(AK1137 &lt;= 5, "New[1-5]", AK1137 &lt;= 10, "Early Career[6-10]", AK1137 &lt;= 20, "Established[11-20]", AK1137 &lt;= 30, "Veteran[21-30]", AK1137 &lt;= 40, "Late Career[31-40]")</f>
        <v>Veteran[21-30]</v>
      </c>
      <c r="AM1137" s="1">
        <v>0</v>
      </c>
      <c r="AN1137" s="9" t="str" cm="1">
        <f t="array" ref="AN1137">_xlfn.IFS(AM1137 &lt;= 3, "New to Role[1-3]", AM1137 &lt;= 7, "Settled[4-7]", AM1137 &lt;= 12, "Experienced[[8-12]", AM1137 &lt;= 18, "Long Tenured[13-18]")</f>
        <v>New to Role[1-3]</v>
      </c>
      <c r="AO1137" s="1">
        <v>0</v>
      </c>
      <c r="AP1137" s="9" t="str" cm="1">
        <f t="array" ref="AP1137">_xlfn.IFS(AO1137 &lt;= 3, "Recently[1-3]", AO1137 &lt;= 6, "Due Soon[4-6]", AO1137 &lt;= 10, "Overdue[7-10]", AO1137 &lt;= 15, "Long Overdue[11-15]")</f>
        <v>Recently[1-3]</v>
      </c>
      <c r="AQ1137" s="9" t="str" cm="1">
        <f t="array" ref="AQ1137">_xlfn.IFS(AR1137 &lt;= 3, "New Relationship[1-3]", AR1137 &lt;= 7, "Established Relationship[4-7]", AR1137 &lt;= 12, "Long Term Relationship[8-12]", AR1137 &lt;= 17, "Very Long Term Relationship[13-17]")</f>
        <v>Long Term Relationship[8-12]</v>
      </c>
      <c r="AR1137" s="1">
        <v>12</v>
      </c>
    </row>
    <row r="1138" spans="1:44" x14ac:dyDescent="0.25">
      <c r="A1138" s="1">
        <v>28</v>
      </c>
      <c r="B1138" s="8" t="str" cm="1">
        <f t="array" ref="B1138">_xlfn.IFS(A1138 &lt;= 25, "[18-25]", A1138 &lt;= 35, "[26-35]", A1138 &lt;=45, "[36-45]", A1138 &lt;= 60, "[46- 60]")</f>
        <v>[26-35]</v>
      </c>
      <c r="C1138" s="3" t="s">
        <v>35</v>
      </c>
      <c r="D1138">
        <f t="shared" si="17"/>
        <v>1</v>
      </c>
      <c r="E1138" t="s">
        <v>36</v>
      </c>
      <c r="F1138" s="1">
        <v>329</v>
      </c>
      <c r="G1138" s="3" t="s">
        <v>45</v>
      </c>
      <c r="H1138" s="1">
        <v>24</v>
      </c>
      <c r="I1138" s="9" t="str" cm="1">
        <f t="array" ref="I1138">_xlfn.IFS(H1138 &lt;= 2, "[1-2] very close", H1138 &lt;= 10, "[3-10] close", H1138 &lt;= 20, "[11-20] moderate", H1138 &lt;= 30, "[21-30] far")</f>
        <v>[21-30] far</v>
      </c>
      <c r="J1138" s="1">
        <v>3</v>
      </c>
      <c r="K1138" s="3" t="s">
        <v>51</v>
      </c>
      <c r="L1138" s="1">
        <v>1</v>
      </c>
      <c r="M1138" s="1">
        <v>1604</v>
      </c>
      <c r="N1138" s="1">
        <v>3</v>
      </c>
      <c r="O1138" s="3" t="s">
        <v>46</v>
      </c>
      <c r="P1138" s="1">
        <v>51</v>
      </c>
      <c r="Q1138" s="1">
        <v>3</v>
      </c>
      <c r="R1138" s="1">
        <v>1</v>
      </c>
      <c r="S1138" s="3" t="s">
        <v>50</v>
      </c>
      <c r="T1138" s="1">
        <v>2</v>
      </c>
      <c r="U1138" s="3" t="s">
        <v>48</v>
      </c>
      <c r="V1138" s="4">
        <v>2408</v>
      </c>
      <c r="W1138" s="1">
        <v>7324</v>
      </c>
      <c r="X1138" s="1">
        <v>1</v>
      </c>
      <c r="Y1138" s="3" t="s">
        <v>42</v>
      </c>
      <c r="Z1138" s="3" t="s">
        <v>35</v>
      </c>
      <c r="AA1138" s="5">
        <v>0.17</v>
      </c>
      <c r="AB1138" s="10" t="str" cm="1">
        <f t="array" ref="AB1138">_xlfn.IFS(AA1138 &lt;= 15%, "Low Hike[11-15%]", AA1138 &lt;= 20%, "Moderate Hike[16-20%]", AA1138 &lt;= 25%,"High Hike[21-25%]")</f>
        <v>Moderate Hike[16-20%]</v>
      </c>
      <c r="AC1138" s="1">
        <v>3</v>
      </c>
      <c r="AD1138" s="1">
        <v>3</v>
      </c>
      <c r="AE1138" s="1">
        <v>80</v>
      </c>
      <c r="AF1138" s="1">
        <v>3</v>
      </c>
      <c r="AG1138" s="1">
        <v>1</v>
      </c>
      <c r="AH1138" s="9" t="str" cm="1">
        <f t="array" ref="AH1138">_xlfn.IFS(AG1138 &lt;= 5, "New[1-5]", AG1138 &lt;= 10, "Early Career[6-10]", AG1138 &lt;= 20, "Established[11-20]", AG1138 &lt;= 30, "Veteran[21-30]", AG1138 &lt;= 40, "Late Career[31-40]")</f>
        <v>New[1-5]</v>
      </c>
      <c r="AI1138" s="1">
        <v>3</v>
      </c>
      <c r="AJ1138" s="1">
        <v>3</v>
      </c>
      <c r="AK1138" s="1">
        <v>1</v>
      </c>
      <c r="AL1138" s="9" t="str" cm="1">
        <f t="array" ref="AL1138">_xlfn.IFS(AK1138 &lt;= 5, "New[1-5]", AK1138 &lt;= 10, "Early Career[6-10]", AK1138 &lt;= 20, "Established[11-20]", AK1138 &lt;= 30, "Veteran[21-30]", AK1138 &lt;= 40, "Late Career[31-40]")</f>
        <v>New[1-5]</v>
      </c>
      <c r="AM1138" s="1">
        <v>1</v>
      </c>
      <c r="AN1138" s="9" t="str" cm="1">
        <f t="array" ref="AN1138">_xlfn.IFS(AM1138 &lt;= 3, "New to Role[1-3]", AM1138 &lt;= 7, "Settled[4-7]", AM1138 &lt;= 12, "Experienced[[8-12]", AM1138 &lt;= 18, "Long Tenured[13-18]")</f>
        <v>New to Role[1-3]</v>
      </c>
      <c r="AO1138" s="1">
        <v>0</v>
      </c>
      <c r="AP1138" s="9" t="str" cm="1">
        <f t="array" ref="AP1138">_xlfn.IFS(AO1138 &lt;= 3, "Recently[1-3]", AO1138 &lt;= 6, "Due Soon[4-6]", AO1138 &lt;= 10, "Overdue[7-10]", AO1138 &lt;= 15, "Long Overdue[11-15]")</f>
        <v>Recently[1-3]</v>
      </c>
      <c r="AQ1138" s="9" t="str" cm="1">
        <f t="array" ref="AQ1138">_xlfn.IFS(AR1138 &lt;= 3, "New Relationship[1-3]", AR1138 &lt;= 7, "Established Relationship[4-7]", AR1138 &lt;= 12, "Long Term Relationship[8-12]", AR1138 &lt;= 17, "Very Long Term Relationship[13-17]")</f>
        <v>New Relationship[1-3]</v>
      </c>
      <c r="AR1138" s="1">
        <v>0</v>
      </c>
    </row>
    <row r="1139" spans="1:44" x14ac:dyDescent="0.25">
      <c r="A1139" s="1">
        <v>22</v>
      </c>
      <c r="B1139" s="8" t="str" cm="1">
        <f t="array" ref="B1139">_xlfn.IFS(A1139 &lt;= 25, "[18-25]", A1139 &lt;= 35, "[26-35]", A1139 &lt;=45, "[36-45]", A1139 &lt;= 60, "[46- 60]")</f>
        <v>[18-25]</v>
      </c>
      <c r="C1139" s="3" t="s">
        <v>43</v>
      </c>
      <c r="D1139">
        <f t="shared" si="17"/>
        <v>0</v>
      </c>
      <c r="E1139" t="s">
        <v>62</v>
      </c>
      <c r="F1139" s="1">
        <v>457</v>
      </c>
      <c r="G1139" s="3" t="s">
        <v>45</v>
      </c>
      <c r="H1139" s="1">
        <v>26</v>
      </c>
      <c r="I1139" s="9" t="str" cm="1">
        <f t="array" ref="I1139">_xlfn.IFS(H1139 &lt;= 2, "[1-2] very close", H1139 &lt;= 10, "[3-10] close", H1139 &lt;= 20, "[11-20] moderate", H1139 &lt;= 30, "[21-30] far")</f>
        <v>[21-30] far</v>
      </c>
      <c r="J1139" s="1">
        <v>2</v>
      </c>
      <c r="K1139" s="3" t="s">
        <v>49</v>
      </c>
      <c r="L1139" s="1">
        <v>1</v>
      </c>
      <c r="M1139" s="1">
        <v>1605</v>
      </c>
      <c r="N1139" s="1">
        <v>2</v>
      </c>
      <c r="O1139" s="3" t="s">
        <v>39</v>
      </c>
      <c r="P1139" s="1">
        <v>85</v>
      </c>
      <c r="Q1139" s="1">
        <v>2</v>
      </c>
      <c r="R1139" s="1">
        <v>1</v>
      </c>
      <c r="S1139" s="3" t="s">
        <v>47</v>
      </c>
      <c r="T1139" s="1">
        <v>3</v>
      </c>
      <c r="U1139" s="3" t="s">
        <v>48</v>
      </c>
      <c r="V1139" s="4">
        <v>2814</v>
      </c>
      <c r="W1139" s="1">
        <v>10293</v>
      </c>
      <c r="X1139" s="1">
        <v>1</v>
      </c>
      <c r="Y1139" s="3" t="s">
        <v>42</v>
      </c>
      <c r="Z1139" s="3" t="s">
        <v>35</v>
      </c>
      <c r="AA1139" s="5">
        <v>0.14000000000000001</v>
      </c>
      <c r="AB1139" s="10" t="str" cm="1">
        <f t="array" ref="AB1139">_xlfn.IFS(AA1139 &lt;= 15%, "Low Hike[11-15%]", AA1139 &lt;= 20%, "Moderate Hike[16-20%]", AA1139 &lt;= 25%,"High Hike[21-25%]")</f>
        <v>Low Hike[11-15%]</v>
      </c>
      <c r="AC1139" s="1">
        <v>3</v>
      </c>
      <c r="AD1139" s="1">
        <v>2</v>
      </c>
      <c r="AE1139" s="1">
        <v>80</v>
      </c>
      <c r="AF1139" s="1">
        <v>0</v>
      </c>
      <c r="AG1139" s="1">
        <v>4</v>
      </c>
      <c r="AH1139" s="9" t="str" cm="1">
        <f t="array" ref="AH1139">_xlfn.IFS(AG1139 &lt;= 5, "New[1-5]", AG1139 &lt;= 10, "Early Career[6-10]", AG1139 &lt;= 20, "Established[11-20]", AG1139 &lt;= 30, "Veteran[21-30]", AG1139 &lt;= 40, "Late Career[31-40]")</f>
        <v>New[1-5]</v>
      </c>
      <c r="AI1139" s="1">
        <v>2</v>
      </c>
      <c r="AJ1139" s="1">
        <v>2</v>
      </c>
      <c r="AK1139" s="1">
        <v>4</v>
      </c>
      <c r="AL1139" s="9" t="str" cm="1">
        <f t="array" ref="AL1139">_xlfn.IFS(AK1139 &lt;= 5, "New[1-5]", AK1139 &lt;= 10, "Early Career[6-10]", AK1139 &lt;= 20, "Established[11-20]", AK1139 &lt;= 30, "Veteran[21-30]", AK1139 &lt;= 40, "Late Career[31-40]")</f>
        <v>New[1-5]</v>
      </c>
      <c r="AM1139" s="1">
        <v>2</v>
      </c>
      <c r="AN1139" s="9" t="str" cm="1">
        <f t="array" ref="AN1139">_xlfn.IFS(AM1139 &lt;= 3, "New to Role[1-3]", AM1139 &lt;= 7, "Settled[4-7]", AM1139 &lt;= 12, "Experienced[[8-12]", AM1139 &lt;= 18, "Long Tenured[13-18]")</f>
        <v>New to Role[1-3]</v>
      </c>
      <c r="AO1139" s="1">
        <v>1</v>
      </c>
      <c r="AP1139" s="9" t="str" cm="1">
        <f t="array" ref="AP1139">_xlfn.IFS(AO1139 &lt;= 3, "Recently[1-3]", AO1139 &lt;= 6, "Due Soon[4-6]", AO1139 &lt;= 10, "Overdue[7-10]", AO1139 &lt;= 15, "Long Overdue[11-15]")</f>
        <v>Recently[1-3]</v>
      </c>
      <c r="AQ1139" s="9" t="str" cm="1">
        <f t="array" ref="AQ1139">_xlfn.IFS(AR1139 &lt;= 3, "New Relationship[1-3]", AR1139 &lt;= 7, "Established Relationship[4-7]", AR1139 &lt;= 12, "Long Term Relationship[8-12]", AR1139 &lt;= 17, "Very Long Term Relationship[13-17]")</f>
        <v>New Relationship[1-3]</v>
      </c>
      <c r="AR1139" s="1">
        <v>3</v>
      </c>
    </row>
    <row r="1140" spans="1:44" x14ac:dyDescent="0.25">
      <c r="A1140" s="1">
        <v>50</v>
      </c>
      <c r="B1140" s="8" t="str" cm="1">
        <f t="array" ref="B1140">_xlfn.IFS(A1140 &lt;= 25, "[18-25]", A1140 &lt;= 35, "[26-35]", A1140 &lt;=45, "[36-45]", A1140 &lt;= 60, "[46- 60]")</f>
        <v>[46- 60]</v>
      </c>
      <c r="C1140" s="3" t="s">
        <v>43</v>
      </c>
      <c r="D1140">
        <f t="shared" si="17"/>
        <v>0</v>
      </c>
      <c r="E1140" t="s">
        <v>44</v>
      </c>
      <c r="F1140" s="1">
        <v>1234</v>
      </c>
      <c r="G1140" s="3" t="s">
        <v>45</v>
      </c>
      <c r="H1140" s="1">
        <v>20</v>
      </c>
      <c r="I1140" s="9" t="str" cm="1">
        <f t="array" ref="I1140">_xlfn.IFS(H1140 &lt;= 2, "[1-2] very close", H1140 &lt;= 10, "[3-10] close", H1140 &lt;= 20, "[11-20] moderate", H1140 &lt;= 30, "[21-30] far")</f>
        <v>[11-20] moderate</v>
      </c>
      <c r="J1140" s="1">
        <v>5</v>
      </c>
      <c r="K1140" s="3" t="s">
        <v>51</v>
      </c>
      <c r="L1140" s="1">
        <v>1</v>
      </c>
      <c r="M1140" s="1">
        <v>1606</v>
      </c>
      <c r="N1140" s="1">
        <v>2</v>
      </c>
      <c r="O1140" s="3" t="s">
        <v>46</v>
      </c>
      <c r="P1140" s="1">
        <v>41</v>
      </c>
      <c r="Q1140" s="1">
        <v>3</v>
      </c>
      <c r="R1140" s="1">
        <v>4</v>
      </c>
      <c r="S1140" s="3" t="s">
        <v>54</v>
      </c>
      <c r="T1140" s="1">
        <v>3</v>
      </c>
      <c r="U1140" s="3" t="s">
        <v>48</v>
      </c>
      <c r="V1140" s="4">
        <v>11245</v>
      </c>
      <c r="W1140" s="1">
        <v>20689</v>
      </c>
      <c r="X1140" s="1">
        <v>2</v>
      </c>
      <c r="Y1140" s="3" t="s">
        <v>42</v>
      </c>
      <c r="Z1140" s="3" t="s">
        <v>35</v>
      </c>
      <c r="AA1140" s="5">
        <v>0.15</v>
      </c>
      <c r="AB1140" s="10" t="str" cm="1">
        <f t="array" ref="AB1140">_xlfn.IFS(AA1140 &lt;= 15%, "Low Hike[11-15%]", AA1140 &lt;= 20%, "Moderate Hike[16-20%]", AA1140 &lt;= 25%,"High Hike[21-25%]")</f>
        <v>Low Hike[11-15%]</v>
      </c>
      <c r="AC1140" s="1">
        <v>3</v>
      </c>
      <c r="AD1140" s="1">
        <v>3</v>
      </c>
      <c r="AE1140" s="1">
        <v>80</v>
      </c>
      <c r="AF1140" s="1">
        <v>1</v>
      </c>
      <c r="AG1140" s="1">
        <v>32</v>
      </c>
      <c r="AH1140" s="9" t="str" cm="1">
        <f t="array" ref="AH1140">_xlfn.IFS(AG1140 &lt;= 5, "New[1-5]", AG1140 &lt;= 10, "Early Career[6-10]", AG1140 &lt;= 20, "Established[11-20]", AG1140 &lt;= 30, "Veteran[21-30]", AG1140 &lt;= 40, "Late Career[31-40]")</f>
        <v>Late Career[31-40]</v>
      </c>
      <c r="AI1140" s="1">
        <v>3</v>
      </c>
      <c r="AJ1140" s="1">
        <v>3</v>
      </c>
      <c r="AK1140" s="1">
        <v>30</v>
      </c>
      <c r="AL1140" s="9" t="str" cm="1">
        <f t="array" ref="AL1140">_xlfn.IFS(AK1140 &lt;= 5, "New[1-5]", AK1140 &lt;= 10, "Early Career[6-10]", AK1140 &lt;= 20, "Established[11-20]", AK1140 &lt;= 30, "Veteran[21-30]", AK1140 &lt;= 40, "Late Career[31-40]")</f>
        <v>Veteran[21-30]</v>
      </c>
      <c r="AM1140" s="1">
        <v>8</v>
      </c>
      <c r="AN1140" s="9" t="str" cm="1">
        <f t="array" ref="AN1140">_xlfn.IFS(AM1140 &lt;= 3, "New to Role[1-3]", AM1140 &lt;= 7, "Settled[4-7]", AM1140 &lt;= 12, "Experienced[[8-12]", AM1140 &lt;= 18, "Long Tenured[13-18]")</f>
        <v>Experienced[[8-12]</v>
      </c>
      <c r="AO1140" s="1">
        <v>12</v>
      </c>
      <c r="AP1140" s="9" t="str" cm="1">
        <f t="array" ref="AP1140">_xlfn.IFS(AO1140 &lt;= 3, "Recently[1-3]", AO1140 &lt;= 6, "Due Soon[4-6]", AO1140 &lt;= 10, "Overdue[7-10]", AO1140 &lt;= 15, "Long Overdue[11-15]")</f>
        <v>Long Overdue[11-15]</v>
      </c>
      <c r="AQ1140" s="9" t="str" cm="1">
        <f t="array" ref="AQ1140">_xlfn.IFS(AR1140 &lt;= 3, "New Relationship[1-3]", AR1140 &lt;= 7, "Established Relationship[4-7]", AR1140 &lt;= 12, "Long Term Relationship[8-12]", AR1140 &lt;= 17, "Very Long Term Relationship[13-17]")</f>
        <v>Very Long Term Relationship[13-17]</v>
      </c>
      <c r="AR1140" s="1">
        <v>13</v>
      </c>
    </row>
    <row r="1141" spans="1:44" x14ac:dyDescent="0.25">
      <c r="A1141" s="1">
        <v>32</v>
      </c>
      <c r="B1141" s="8" t="str" cm="1">
        <f t="array" ref="B1141">_xlfn.IFS(A1141 &lt;= 25, "[18-25]", A1141 &lt;= 35, "[26-35]", A1141 &lt;=45, "[36-45]", A1141 &lt;= 60, "[46- 60]")</f>
        <v>[26-35]</v>
      </c>
      <c r="C1141" s="3" t="s">
        <v>43</v>
      </c>
      <c r="D1141">
        <f t="shared" si="17"/>
        <v>0</v>
      </c>
      <c r="E1141" t="s">
        <v>36</v>
      </c>
      <c r="F1141" s="1">
        <v>634</v>
      </c>
      <c r="G1141" s="3" t="s">
        <v>45</v>
      </c>
      <c r="H1141" s="1">
        <v>5</v>
      </c>
      <c r="I1141" s="9" t="str" cm="1">
        <f t="array" ref="I1141">_xlfn.IFS(H1141 &lt;= 2, "[1-2] very close", H1141 &lt;= 10, "[3-10] close", H1141 &lt;= 20, "[11-20] moderate", H1141 &lt;= 30, "[21-30] far")</f>
        <v>[3-10] close</v>
      </c>
      <c r="J1141" s="1">
        <v>4</v>
      </c>
      <c r="K1141" s="3" t="s">
        <v>49</v>
      </c>
      <c r="L1141" s="1">
        <v>1</v>
      </c>
      <c r="M1141" s="1">
        <v>1607</v>
      </c>
      <c r="N1141" s="1">
        <v>2</v>
      </c>
      <c r="O1141" s="3" t="s">
        <v>39</v>
      </c>
      <c r="P1141" s="1">
        <v>35</v>
      </c>
      <c r="Q1141" s="1">
        <v>4</v>
      </c>
      <c r="R1141" s="1">
        <v>1</v>
      </c>
      <c r="S1141" s="3" t="s">
        <v>47</v>
      </c>
      <c r="T1141" s="1">
        <v>4</v>
      </c>
      <c r="U1141" s="3" t="s">
        <v>48</v>
      </c>
      <c r="V1141" s="4">
        <v>3312</v>
      </c>
      <c r="W1141" s="1">
        <v>18783</v>
      </c>
      <c r="X1141" s="1">
        <v>3</v>
      </c>
      <c r="Y1141" s="3" t="s">
        <v>42</v>
      </c>
      <c r="Z1141" s="3" t="s">
        <v>43</v>
      </c>
      <c r="AA1141" s="5">
        <v>0.17</v>
      </c>
      <c r="AB1141" s="10" t="str" cm="1">
        <f t="array" ref="AB1141">_xlfn.IFS(AA1141 &lt;= 15%, "Low Hike[11-15%]", AA1141 &lt;= 20%, "Moderate Hike[16-20%]", AA1141 &lt;= 25%,"High Hike[21-25%]")</f>
        <v>Moderate Hike[16-20%]</v>
      </c>
      <c r="AC1141" s="1">
        <v>3</v>
      </c>
      <c r="AD1141" s="1">
        <v>4</v>
      </c>
      <c r="AE1141" s="1">
        <v>80</v>
      </c>
      <c r="AF1141" s="1">
        <v>2</v>
      </c>
      <c r="AG1141" s="1">
        <v>6</v>
      </c>
      <c r="AH1141" s="9" t="str" cm="1">
        <f t="array" ref="AH1141">_xlfn.IFS(AG1141 &lt;= 5, "New[1-5]", AG1141 &lt;= 10, "Early Career[6-10]", AG1141 &lt;= 20, "Established[11-20]", AG1141 &lt;= 30, "Veteran[21-30]", AG1141 &lt;= 40, "Late Career[31-40]")</f>
        <v>Early Career[6-10]</v>
      </c>
      <c r="AI1141" s="1">
        <v>3</v>
      </c>
      <c r="AJ1141" s="1">
        <v>3</v>
      </c>
      <c r="AK1141" s="1">
        <v>3</v>
      </c>
      <c r="AL1141" s="9" t="str" cm="1">
        <f t="array" ref="AL1141">_xlfn.IFS(AK1141 &lt;= 5, "New[1-5]", AK1141 &lt;= 10, "Early Career[6-10]", AK1141 &lt;= 20, "Established[11-20]", AK1141 &lt;= 30, "Veteran[21-30]", AK1141 &lt;= 40, "Late Career[31-40]")</f>
        <v>New[1-5]</v>
      </c>
      <c r="AM1141" s="1">
        <v>2</v>
      </c>
      <c r="AN1141" s="9" t="str" cm="1">
        <f t="array" ref="AN1141">_xlfn.IFS(AM1141 &lt;= 3, "New to Role[1-3]", AM1141 &lt;= 7, "Settled[4-7]", AM1141 &lt;= 12, "Experienced[[8-12]", AM1141 &lt;= 18, "Long Tenured[13-18]")</f>
        <v>New to Role[1-3]</v>
      </c>
      <c r="AO1141" s="1">
        <v>0</v>
      </c>
      <c r="AP1141" s="9" t="str" cm="1">
        <f t="array" ref="AP1141">_xlfn.IFS(AO1141 &lt;= 3, "Recently[1-3]", AO1141 &lt;= 6, "Due Soon[4-6]", AO1141 &lt;= 10, "Overdue[7-10]", AO1141 &lt;= 15, "Long Overdue[11-15]")</f>
        <v>Recently[1-3]</v>
      </c>
      <c r="AQ1141" s="9" t="str" cm="1">
        <f t="array" ref="AQ1141">_xlfn.IFS(AR1141 &lt;= 3, "New Relationship[1-3]", AR1141 &lt;= 7, "Established Relationship[4-7]", AR1141 &lt;= 12, "Long Term Relationship[8-12]", AR1141 &lt;= 17, "Very Long Term Relationship[13-17]")</f>
        <v>New Relationship[1-3]</v>
      </c>
      <c r="AR1141" s="1">
        <v>2</v>
      </c>
    </row>
    <row r="1142" spans="1:44" x14ac:dyDescent="0.25">
      <c r="A1142" s="1">
        <v>44</v>
      </c>
      <c r="B1142" s="8" t="str" cm="1">
        <f t="array" ref="B1142">_xlfn.IFS(A1142 &lt;= 25, "[18-25]", A1142 &lt;= 35, "[26-35]", A1142 &lt;=45, "[36-45]", A1142 &lt;= 60, "[46- 60]")</f>
        <v>[36-45]</v>
      </c>
      <c r="C1142" s="3" t="s">
        <v>43</v>
      </c>
      <c r="D1142">
        <f t="shared" si="17"/>
        <v>0</v>
      </c>
      <c r="E1142" t="s">
        <v>36</v>
      </c>
      <c r="F1142" s="1">
        <v>1313</v>
      </c>
      <c r="G1142" s="3" t="s">
        <v>45</v>
      </c>
      <c r="H1142" s="1">
        <v>7</v>
      </c>
      <c r="I1142" s="9" t="str" cm="1">
        <f t="array" ref="I1142">_xlfn.IFS(H1142 &lt;= 2, "[1-2] very close", H1142 &lt;= 10, "[3-10] close", H1142 &lt;= 20, "[11-20] moderate", H1142 &lt;= 30, "[21-30] far")</f>
        <v>[3-10] close</v>
      </c>
      <c r="J1142" s="1">
        <v>3</v>
      </c>
      <c r="K1142" s="3" t="s">
        <v>51</v>
      </c>
      <c r="L1142" s="1">
        <v>1</v>
      </c>
      <c r="M1142" s="1">
        <v>1608</v>
      </c>
      <c r="N1142" s="1">
        <v>2</v>
      </c>
      <c r="O1142" s="3" t="s">
        <v>39</v>
      </c>
      <c r="P1142" s="1">
        <v>31</v>
      </c>
      <c r="Q1142" s="1">
        <v>3</v>
      </c>
      <c r="R1142" s="1">
        <v>5</v>
      </c>
      <c r="S1142" s="3" t="s">
        <v>58</v>
      </c>
      <c r="T1142" s="1">
        <v>4</v>
      </c>
      <c r="U1142" s="3" t="s">
        <v>52</v>
      </c>
      <c r="V1142" s="4">
        <v>19049</v>
      </c>
      <c r="W1142" s="1">
        <v>3549</v>
      </c>
      <c r="X1142" s="1">
        <v>0</v>
      </c>
      <c r="Y1142" s="3" t="s">
        <v>42</v>
      </c>
      <c r="Z1142" s="3" t="s">
        <v>35</v>
      </c>
      <c r="AA1142" s="5">
        <v>0.14000000000000001</v>
      </c>
      <c r="AB1142" s="10" t="str" cm="1">
        <f t="array" ref="AB1142">_xlfn.IFS(AA1142 &lt;= 15%, "Low Hike[11-15%]", AA1142 &lt;= 20%, "Moderate Hike[16-20%]", AA1142 &lt;= 25%,"High Hike[21-25%]")</f>
        <v>Low Hike[11-15%]</v>
      </c>
      <c r="AC1142" s="1">
        <v>3</v>
      </c>
      <c r="AD1142" s="1">
        <v>4</v>
      </c>
      <c r="AE1142" s="1">
        <v>80</v>
      </c>
      <c r="AF1142" s="1">
        <v>1</v>
      </c>
      <c r="AG1142" s="1">
        <v>23</v>
      </c>
      <c r="AH1142" s="9" t="str" cm="1">
        <f t="array" ref="AH1142">_xlfn.IFS(AG1142 &lt;= 5, "New[1-5]", AG1142 &lt;= 10, "Early Career[6-10]", AG1142 &lt;= 20, "Established[11-20]", AG1142 &lt;= 30, "Veteran[21-30]", AG1142 &lt;= 40, "Late Career[31-40]")</f>
        <v>Veteran[21-30]</v>
      </c>
      <c r="AI1142" s="1">
        <v>4</v>
      </c>
      <c r="AJ1142" s="1">
        <v>2</v>
      </c>
      <c r="AK1142" s="1">
        <v>22</v>
      </c>
      <c r="AL1142" s="9" t="str" cm="1">
        <f t="array" ref="AL1142">_xlfn.IFS(AK1142 &lt;= 5, "New[1-5]", AK1142 &lt;= 10, "Early Career[6-10]", AK1142 &lt;= 20, "Established[11-20]", AK1142 &lt;= 30, "Veteran[21-30]", AK1142 &lt;= 40, "Late Career[31-40]")</f>
        <v>Veteran[21-30]</v>
      </c>
      <c r="AM1142" s="1">
        <v>7</v>
      </c>
      <c r="AN1142" s="9" t="str" cm="1">
        <f t="array" ref="AN1142">_xlfn.IFS(AM1142 &lt;= 3, "New to Role[1-3]", AM1142 &lt;= 7, "Settled[4-7]", AM1142 &lt;= 12, "Experienced[[8-12]", AM1142 &lt;= 18, "Long Tenured[13-18]")</f>
        <v>Settled[4-7]</v>
      </c>
      <c r="AO1142" s="1">
        <v>1</v>
      </c>
      <c r="AP1142" s="9" t="str" cm="1">
        <f t="array" ref="AP1142">_xlfn.IFS(AO1142 &lt;= 3, "Recently[1-3]", AO1142 &lt;= 6, "Due Soon[4-6]", AO1142 &lt;= 10, "Overdue[7-10]", AO1142 &lt;= 15, "Long Overdue[11-15]")</f>
        <v>Recently[1-3]</v>
      </c>
      <c r="AQ1142" s="9" t="str" cm="1">
        <f t="array" ref="AQ1142">_xlfn.IFS(AR1142 &lt;= 3, "New Relationship[1-3]", AR1142 &lt;= 7, "Established Relationship[4-7]", AR1142 &lt;= 12, "Long Term Relationship[8-12]", AR1142 &lt;= 17, "Very Long Term Relationship[13-17]")</f>
        <v>Long Term Relationship[8-12]</v>
      </c>
      <c r="AR1142" s="1">
        <v>10</v>
      </c>
    </row>
    <row r="1143" spans="1:44" x14ac:dyDescent="0.25">
      <c r="A1143" s="1">
        <v>30</v>
      </c>
      <c r="B1143" s="8" t="str" cm="1">
        <f t="array" ref="B1143">_xlfn.IFS(A1143 &lt;= 25, "[18-25]", A1143 &lt;= 35, "[26-35]", A1143 &lt;=45, "[36-45]", A1143 &lt;= 60, "[46- 60]")</f>
        <v>[26-35]</v>
      </c>
      <c r="C1143" s="3" t="s">
        <v>43</v>
      </c>
      <c r="D1143">
        <f t="shared" si="17"/>
        <v>0</v>
      </c>
      <c r="E1143" t="s">
        <v>36</v>
      </c>
      <c r="F1143" s="1">
        <v>241</v>
      </c>
      <c r="G1143" s="3" t="s">
        <v>45</v>
      </c>
      <c r="H1143" s="1">
        <v>7</v>
      </c>
      <c r="I1143" s="9" t="str" cm="1">
        <f t="array" ref="I1143">_xlfn.IFS(H1143 &lt;= 2, "[1-2] very close", H1143 &lt;= 10, "[3-10] close", H1143 &lt;= 20, "[11-20] moderate", H1143 &lt;= 30, "[21-30] far")</f>
        <v>[3-10] close</v>
      </c>
      <c r="J1143" s="1">
        <v>3</v>
      </c>
      <c r="K1143" s="3" t="s">
        <v>51</v>
      </c>
      <c r="L1143" s="1">
        <v>1</v>
      </c>
      <c r="M1143" s="1">
        <v>1609</v>
      </c>
      <c r="N1143" s="1">
        <v>2</v>
      </c>
      <c r="O1143" s="3" t="s">
        <v>46</v>
      </c>
      <c r="P1143" s="1">
        <v>48</v>
      </c>
      <c r="Q1143" s="1">
        <v>2</v>
      </c>
      <c r="R1143" s="1">
        <v>1</v>
      </c>
      <c r="S1143" s="3" t="s">
        <v>47</v>
      </c>
      <c r="T1143" s="1">
        <v>2</v>
      </c>
      <c r="U1143" s="3" t="s">
        <v>48</v>
      </c>
      <c r="V1143" s="4">
        <v>2141</v>
      </c>
      <c r="W1143" s="1">
        <v>5348</v>
      </c>
      <c r="X1143" s="1">
        <v>1</v>
      </c>
      <c r="Y1143" s="3" t="s">
        <v>42</v>
      </c>
      <c r="Z1143" s="3" t="s">
        <v>43</v>
      </c>
      <c r="AA1143" s="5">
        <v>0.12</v>
      </c>
      <c r="AB1143" s="10" t="str" cm="1">
        <f t="array" ref="AB1143">_xlfn.IFS(AA1143 &lt;= 15%, "Low Hike[11-15%]", AA1143 &lt;= 20%, "Moderate Hike[16-20%]", AA1143 &lt;= 25%,"High Hike[21-25%]")</f>
        <v>Low Hike[11-15%]</v>
      </c>
      <c r="AC1143" s="1">
        <v>3</v>
      </c>
      <c r="AD1143" s="1">
        <v>2</v>
      </c>
      <c r="AE1143" s="1">
        <v>80</v>
      </c>
      <c r="AF1143" s="1">
        <v>1</v>
      </c>
      <c r="AG1143" s="1">
        <v>6</v>
      </c>
      <c r="AH1143" s="9" t="str" cm="1">
        <f t="array" ref="AH1143">_xlfn.IFS(AG1143 &lt;= 5, "New[1-5]", AG1143 &lt;= 10, "Early Career[6-10]", AG1143 &lt;= 20, "Established[11-20]", AG1143 &lt;= 30, "Veteran[21-30]", AG1143 &lt;= 40, "Late Career[31-40]")</f>
        <v>Early Career[6-10]</v>
      </c>
      <c r="AI1143" s="1">
        <v>3</v>
      </c>
      <c r="AJ1143" s="1">
        <v>2</v>
      </c>
      <c r="AK1143" s="1">
        <v>6</v>
      </c>
      <c r="AL1143" s="9" t="str" cm="1">
        <f t="array" ref="AL1143">_xlfn.IFS(AK1143 &lt;= 5, "New[1-5]", AK1143 &lt;= 10, "Early Career[6-10]", AK1143 &lt;= 20, "Established[11-20]", AK1143 &lt;= 30, "Veteran[21-30]", AK1143 &lt;= 40, "Late Career[31-40]")</f>
        <v>Early Career[6-10]</v>
      </c>
      <c r="AM1143" s="1">
        <v>4</v>
      </c>
      <c r="AN1143" s="9" t="str" cm="1">
        <f t="array" ref="AN1143">_xlfn.IFS(AM1143 &lt;= 3, "New to Role[1-3]", AM1143 &lt;= 7, "Settled[4-7]", AM1143 &lt;= 12, "Experienced[[8-12]", AM1143 &lt;= 18, "Long Tenured[13-18]")</f>
        <v>Settled[4-7]</v>
      </c>
      <c r="AO1143" s="1">
        <v>1</v>
      </c>
      <c r="AP1143" s="9" t="str" cm="1">
        <f t="array" ref="AP1143">_xlfn.IFS(AO1143 &lt;= 3, "Recently[1-3]", AO1143 &lt;= 6, "Due Soon[4-6]", AO1143 &lt;= 10, "Overdue[7-10]", AO1143 &lt;= 15, "Long Overdue[11-15]")</f>
        <v>Recently[1-3]</v>
      </c>
      <c r="AQ1143" s="9" t="str" cm="1">
        <f t="array" ref="AQ1143">_xlfn.IFS(AR1143 &lt;= 3, "New Relationship[1-3]", AR1143 &lt;= 7, "Established Relationship[4-7]", AR1143 &lt;= 12, "Long Term Relationship[8-12]", AR1143 &lt;= 17, "Very Long Term Relationship[13-17]")</f>
        <v>New Relationship[1-3]</v>
      </c>
      <c r="AR1143" s="1">
        <v>1</v>
      </c>
    </row>
    <row r="1144" spans="1:44" x14ac:dyDescent="0.25">
      <c r="A1144" s="1">
        <v>45</v>
      </c>
      <c r="B1144" s="8" t="str" cm="1">
        <f t="array" ref="B1144">_xlfn.IFS(A1144 &lt;= 25, "[18-25]", A1144 &lt;= 35, "[26-35]", A1144 &lt;=45, "[36-45]", A1144 &lt;= 60, "[46- 60]")</f>
        <v>[36-45]</v>
      </c>
      <c r="C1144" s="3" t="s">
        <v>43</v>
      </c>
      <c r="D1144">
        <f t="shared" si="17"/>
        <v>0</v>
      </c>
      <c r="E1144" t="s">
        <v>36</v>
      </c>
      <c r="F1144" s="1">
        <v>1015</v>
      </c>
      <c r="G1144" s="3" t="s">
        <v>45</v>
      </c>
      <c r="H1144" s="1">
        <v>5</v>
      </c>
      <c r="I1144" s="9" t="str" cm="1">
        <f t="array" ref="I1144">_xlfn.IFS(H1144 &lt;= 2, "[1-2] very close", H1144 &lt;= 10, "[3-10] close", H1144 &lt;= 20, "[11-20] moderate", H1144 &lt;= 30, "[21-30] far")</f>
        <v>[3-10] close</v>
      </c>
      <c r="J1144" s="1">
        <v>5</v>
      </c>
      <c r="K1144" s="3" t="s">
        <v>51</v>
      </c>
      <c r="L1144" s="1">
        <v>1</v>
      </c>
      <c r="M1144" s="1">
        <v>1611</v>
      </c>
      <c r="N1144" s="1">
        <v>3</v>
      </c>
      <c r="O1144" s="3" t="s">
        <v>39</v>
      </c>
      <c r="P1144" s="1">
        <v>50</v>
      </c>
      <c r="Q1144" s="1">
        <v>1</v>
      </c>
      <c r="R1144" s="1">
        <v>2</v>
      </c>
      <c r="S1144" s="3" t="s">
        <v>50</v>
      </c>
      <c r="T1144" s="1">
        <v>1</v>
      </c>
      <c r="U1144" s="3" t="s">
        <v>41</v>
      </c>
      <c r="V1144" s="4">
        <v>5769</v>
      </c>
      <c r="W1144" s="1">
        <v>23447</v>
      </c>
      <c r="X1144" s="1">
        <v>1</v>
      </c>
      <c r="Y1144" s="3" t="s">
        <v>42</v>
      </c>
      <c r="Z1144" s="3" t="s">
        <v>35</v>
      </c>
      <c r="AA1144" s="5">
        <v>0.14000000000000001</v>
      </c>
      <c r="AB1144" s="10" t="str" cm="1">
        <f t="array" ref="AB1144">_xlfn.IFS(AA1144 &lt;= 15%, "Low Hike[11-15%]", AA1144 &lt;= 20%, "Moderate Hike[16-20%]", AA1144 &lt;= 25%,"High Hike[21-25%]")</f>
        <v>Low Hike[11-15%]</v>
      </c>
      <c r="AC1144" s="1">
        <v>3</v>
      </c>
      <c r="AD1144" s="1">
        <v>1</v>
      </c>
      <c r="AE1144" s="1">
        <v>80</v>
      </c>
      <c r="AF1144" s="1">
        <v>0</v>
      </c>
      <c r="AG1144" s="1">
        <v>10</v>
      </c>
      <c r="AH1144" s="9" t="str" cm="1">
        <f t="array" ref="AH1144">_xlfn.IFS(AG1144 &lt;= 5, "New[1-5]", AG1144 &lt;= 10, "Early Career[6-10]", AG1144 &lt;= 20, "Established[11-20]", AG1144 &lt;= 30, "Veteran[21-30]", AG1144 &lt;= 40, "Late Career[31-40]")</f>
        <v>Early Career[6-10]</v>
      </c>
      <c r="AI1144" s="1">
        <v>3</v>
      </c>
      <c r="AJ1144" s="1">
        <v>3</v>
      </c>
      <c r="AK1144" s="1">
        <v>10</v>
      </c>
      <c r="AL1144" s="9" t="str" cm="1">
        <f t="array" ref="AL1144">_xlfn.IFS(AK1144 &lt;= 5, "New[1-5]", AK1144 &lt;= 10, "Early Career[6-10]", AK1144 &lt;= 20, "Established[11-20]", AK1144 &lt;= 30, "Veteran[21-30]", AK1144 &lt;= 40, "Late Career[31-40]")</f>
        <v>Early Career[6-10]</v>
      </c>
      <c r="AM1144" s="1">
        <v>7</v>
      </c>
      <c r="AN1144" s="9" t="str" cm="1">
        <f t="array" ref="AN1144">_xlfn.IFS(AM1144 &lt;= 3, "New to Role[1-3]", AM1144 &lt;= 7, "Settled[4-7]", AM1144 &lt;= 12, "Experienced[[8-12]", AM1144 &lt;= 18, "Long Tenured[13-18]")</f>
        <v>Settled[4-7]</v>
      </c>
      <c r="AO1144" s="1">
        <v>1</v>
      </c>
      <c r="AP1144" s="9" t="str" cm="1">
        <f t="array" ref="AP1144">_xlfn.IFS(AO1144 &lt;= 3, "Recently[1-3]", AO1144 &lt;= 6, "Due Soon[4-6]", AO1144 &lt;= 10, "Overdue[7-10]", AO1144 &lt;= 15, "Long Overdue[11-15]")</f>
        <v>Recently[1-3]</v>
      </c>
      <c r="AQ1144" s="9" t="str" cm="1">
        <f t="array" ref="AQ1144">_xlfn.IFS(AR1144 &lt;= 3, "New Relationship[1-3]", AR1144 &lt;= 7, "Established Relationship[4-7]", AR1144 &lt;= 12, "Long Term Relationship[8-12]", AR1144 &lt;= 17, "Very Long Term Relationship[13-17]")</f>
        <v>Established Relationship[4-7]</v>
      </c>
      <c r="AR1144" s="1">
        <v>4</v>
      </c>
    </row>
    <row r="1145" spans="1:44" x14ac:dyDescent="0.25">
      <c r="A1145" s="1">
        <v>45</v>
      </c>
      <c r="B1145" s="8" t="str" cm="1">
        <f t="array" ref="B1145">_xlfn.IFS(A1145 &lt;= 25, "[18-25]", A1145 &lt;= 35, "[26-35]", A1145 &lt;=45, "[36-45]", A1145 &lt;= 60, "[46- 60]")</f>
        <v>[36-45]</v>
      </c>
      <c r="C1145" s="3" t="s">
        <v>43</v>
      </c>
      <c r="D1145">
        <f t="shared" si="17"/>
        <v>0</v>
      </c>
      <c r="E1145" t="s">
        <v>62</v>
      </c>
      <c r="F1145" s="1">
        <v>336</v>
      </c>
      <c r="G1145" s="3" t="s">
        <v>37</v>
      </c>
      <c r="H1145" s="1">
        <v>26</v>
      </c>
      <c r="I1145" s="9" t="str" cm="1">
        <f t="array" ref="I1145">_xlfn.IFS(H1145 &lt;= 2, "[1-2] very close", H1145 &lt;= 10, "[3-10] close", H1145 &lt;= 20, "[11-20] moderate", H1145 &lt;= 30, "[21-30] far")</f>
        <v>[21-30] far</v>
      </c>
      <c r="J1145" s="1">
        <v>3</v>
      </c>
      <c r="K1145" s="3" t="s">
        <v>59</v>
      </c>
      <c r="L1145" s="1">
        <v>1</v>
      </c>
      <c r="M1145" s="1">
        <v>1612</v>
      </c>
      <c r="N1145" s="1">
        <v>1</v>
      </c>
      <c r="O1145" s="3" t="s">
        <v>46</v>
      </c>
      <c r="P1145" s="1">
        <v>52</v>
      </c>
      <c r="Q1145" s="1">
        <v>2</v>
      </c>
      <c r="R1145" s="1">
        <v>2</v>
      </c>
      <c r="S1145" s="3" t="s">
        <v>40</v>
      </c>
      <c r="T1145" s="1">
        <v>1</v>
      </c>
      <c r="U1145" s="3" t="s">
        <v>48</v>
      </c>
      <c r="V1145" s="4">
        <v>4385</v>
      </c>
      <c r="W1145" s="1">
        <v>24162</v>
      </c>
      <c r="X1145" s="1">
        <v>1</v>
      </c>
      <c r="Y1145" s="3" t="s">
        <v>42</v>
      </c>
      <c r="Z1145" s="3" t="s">
        <v>43</v>
      </c>
      <c r="AA1145" s="5">
        <v>0.15</v>
      </c>
      <c r="AB1145" s="10" t="str" cm="1">
        <f t="array" ref="AB1145">_xlfn.IFS(AA1145 &lt;= 15%, "Low Hike[11-15%]", AA1145 &lt;= 20%, "Moderate Hike[16-20%]", AA1145 &lt;= 25%,"High Hike[21-25%]")</f>
        <v>Low Hike[11-15%]</v>
      </c>
      <c r="AC1145" s="1">
        <v>3</v>
      </c>
      <c r="AD1145" s="1">
        <v>1</v>
      </c>
      <c r="AE1145" s="1">
        <v>80</v>
      </c>
      <c r="AF1145" s="1">
        <v>1</v>
      </c>
      <c r="AG1145" s="1">
        <v>10</v>
      </c>
      <c r="AH1145" s="9" t="str" cm="1">
        <f t="array" ref="AH1145">_xlfn.IFS(AG1145 &lt;= 5, "New[1-5]", AG1145 &lt;= 10, "Early Career[6-10]", AG1145 &lt;= 20, "Established[11-20]", AG1145 &lt;= 30, "Veteran[21-30]", AG1145 &lt;= 40, "Late Career[31-40]")</f>
        <v>Early Career[6-10]</v>
      </c>
      <c r="AI1145" s="1">
        <v>2</v>
      </c>
      <c r="AJ1145" s="1">
        <v>3</v>
      </c>
      <c r="AK1145" s="1">
        <v>10</v>
      </c>
      <c r="AL1145" s="9" t="str" cm="1">
        <f t="array" ref="AL1145">_xlfn.IFS(AK1145 &lt;= 5, "New[1-5]", AK1145 &lt;= 10, "Early Career[6-10]", AK1145 &lt;= 20, "Established[11-20]", AK1145 &lt;= 30, "Veteran[21-30]", AK1145 &lt;= 40, "Late Career[31-40]")</f>
        <v>Early Career[6-10]</v>
      </c>
      <c r="AM1145" s="1">
        <v>7</v>
      </c>
      <c r="AN1145" s="9" t="str" cm="1">
        <f t="array" ref="AN1145">_xlfn.IFS(AM1145 &lt;= 3, "New to Role[1-3]", AM1145 &lt;= 7, "Settled[4-7]", AM1145 &lt;= 12, "Experienced[[8-12]", AM1145 &lt;= 18, "Long Tenured[13-18]")</f>
        <v>Settled[4-7]</v>
      </c>
      <c r="AO1145" s="1">
        <v>4</v>
      </c>
      <c r="AP1145" s="9" t="str" cm="1">
        <f t="array" ref="AP1145">_xlfn.IFS(AO1145 &lt;= 3, "Recently[1-3]", AO1145 &lt;= 6, "Due Soon[4-6]", AO1145 &lt;= 10, "Overdue[7-10]", AO1145 &lt;= 15, "Long Overdue[11-15]")</f>
        <v>Due Soon[4-6]</v>
      </c>
      <c r="AQ1145" s="9" t="str" cm="1">
        <f t="array" ref="AQ1145">_xlfn.IFS(AR1145 &lt;= 3, "New Relationship[1-3]", AR1145 &lt;= 7, "Established Relationship[4-7]", AR1145 &lt;= 12, "Long Term Relationship[8-12]", AR1145 &lt;= 17, "Very Long Term Relationship[13-17]")</f>
        <v>Established Relationship[4-7]</v>
      </c>
      <c r="AR1145" s="1">
        <v>5</v>
      </c>
    </row>
    <row r="1146" spans="1:44" x14ac:dyDescent="0.25">
      <c r="A1146" s="1">
        <v>31</v>
      </c>
      <c r="B1146" s="8" t="str" cm="1">
        <f t="array" ref="B1146">_xlfn.IFS(A1146 &lt;= 25, "[18-25]", A1146 &lt;= 35, "[26-35]", A1146 &lt;=45, "[36-45]", A1146 &lt;= 60, "[46- 60]")</f>
        <v>[26-35]</v>
      </c>
      <c r="C1146" s="3" t="s">
        <v>43</v>
      </c>
      <c r="D1146">
        <f t="shared" si="17"/>
        <v>0</v>
      </c>
      <c r="E1146" t="s">
        <v>44</v>
      </c>
      <c r="F1146" s="1">
        <v>715</v>
      </c>
      <c r="G1146" s="3" t="s">
        <v>37</v>
      </c>
      <c r="H1146" s="1">
        <v>2</v>
      </c>
      <c r="I1146" s="9" t="str" cm="1">
        <f t="array" ref="I1146">_xlfn.IFS(H1146 &lt;= 2, "[1-2] very close", H1146 &lt;= 10, "[3-10] close", H1146 &lt;= 20, "[11-20] moderate", H1146 &lt;= 30, "[21-30] far")</f>
        <v>[1-2] very close</v>
      </c>
      <c r="J1146" s="1">
        <v>4</v>
      </c>
      <c r="K1146" s="3" t="s">
        <v>49</v>
      </c>
      <c r="L1146" s="1">
        <v>1</v>
      </c>
      <c r="M1146" s="1">
        <v>1613</v>
      </c>
      <c r="N1146" s="1">
        <v>4</v>
      </c>
      <c r="O1146" s="3" t="s">
        <v>46</v>
      </c>
      <c r="P1146" s="1">
        <v>54</v>
      </c>
      <c r="Q1146" s="1">
        <v>3</v>
      </c>
      <c r="R1146" s="1">
        <v>2</v>
      </c>
      <c r="S1146" s="3" t="s">
        <v>40</v>
      </c>
      <c r="T1146" s="1">
        <v>1</v>
      </c>
      <c r="U1146" s="3" t="s">
        <v>41</v>
      </c>
      <c r="V1146" s="4">
        <v>5332</v>
      </c>
      <c r="W1146" s="1">
        <v>21602</v>
      </c>
      <c r="X1146" s="1">
        <v>7</v>
      </c>
      <c r="Y1146" s="3" t="s">
        <v>42</v>
      </c>
      <c r="Z1146" s="3" t="s">
        <v>43</v>
      </c>
      <c r="AA1146" s="5">
        <v>0.13</v>
      </c>
      <c r="AB1146" s="10" t="str" cm="1">
        <f t="array" ref="AB1146">_xlfn.IFS(AA1146 &lt;= 15%, "Low Hike[11-15%]", AA1146 &lt;= 20%, "Moderate Hike[16-20%]", AA1146 &lt;= 25%,"High Hike[21-25%]")</f>
        <v>Low Hike[11-15%]</v>
      </c>
      <c r="AC1146" s="1">
        <v>3</v>
      </c>
      <c r="AD1146" s="1">
        <v>4</v>
      </c>
      <c r="AE1146" s="1">
        <v>80</v>
      </c>
      <c r="AF1146" s="1">
        <v>0</v>
      </c>
      <c r="AG1146" s="1">
        <v>10</v>
      </c>
      <c r="AH1146" s="9" t="str" cm="1">
        <f t="array" ref="AH1146">_xlfn.IFS(AG1146 &lt;= 5, "New[1-5]", AG1146 &lt;= 10, "Early Career[6-10]", AG1146 &lt;= 20, "Established[11-20]", AG1146 &lt;= 30, "Veteran[21-30]", AG1146 &lt;= 40, "Late Career[31-40]")</f>
        <v>Early Career[6-10]</v>
      </c>
      <c r="AI1146" s="1">
        <v>3</v>
      </c>
      <c r="AJ1146" s="1">
        <v>3</v>
      </c>
      <c r="AK1146" s="1">
        <v>5</v>
      </c>
      <c r="AL1146" s="9" t="str" cm="1">
        <f t="array" ref="AL1146">_xlfn.IFS(AK1146 &lt;= 5, "New[1-5]", AK1146 &lt;= 10, "Early Career[6-10]", AK1146 &lt;= 20, "Established[11-20]", AK1146 &lt;= 30, "Veteran[21-30]", AK1146 &lt;= 40, "Late Career[31-40]")</f>
        <v>New[1-5]</v>
      </c>
      <c r="AM1146" s="1">
        <v>2</v>
      </c>
      <c r="AN1146" s="9" t="str" cm="1">
        <f t="array" ref="AN1146">_xlfn.IFS(AM1146 &lt;= 3, "New to Role[1-3]", AM1146 &lt;= 7, "Settled[4-7]", AM1146 &lt;= 12, "Experienced[[8-12]", AM1146 &lt;= 18, "Long Tenured[13-18]")</f>
        <v>New to Role[1-3]</v>
      </c>
      <c r="AO1146" s="1">
        <v>0</v>
      </c>
      <c r="AP1146" s="9" t="str" cm="1">
        <f t="array" ref="AP1146">_xlfn.IFS(AO1146 &lt;= 3, "Recently[1-3]", AO1146 &lt;= 6, "Due Soon[4-6]", AO1146 &lt;= 10, "Overdue[7-10]", AO1146 &lt;= 15, "Long Overdue[11-15]")</f>
        <v>Recently[1-3]</v>
      </c>
      <c r="AQ1146" s="9" t="str" cm="1">
        <f t="array" ref="AQ1146">_xlfn.IFS(AR1146 &lt;= 3, "New Relationship[1-3]", AR1146 &lt;= 7, "Established Relationship[4-7]", AR1146 &lt;= 12, "Long Term Relationship[8-12]", AR1146 &lt;= 17, "Very Long Term Relationship[13-17]")</f>
        <v>New Relationship[1-3]</v>
      </c>
      <c r="AR1146" s="1">
        <v>3</v>
      </c>
    </row>
    <row r="1147" spans="1:44" x14ac:dyDescent="0.25">
      <c r="A1147" s="1">
        <v>36</v>
      </c>
      <c r="B1147" s="8" t="str" cm="1">
        <f t="array" ref="B1147">_xlfn.IFS(A1147 &lt;= 25, "[18-25]", A1147 &lt;= 35, "[26-35]", A1147 &lt;=45, "[36-45]", A1147 &lt;= 60, "[46- 60]")</f>
        <v>[36-45]</v>
      </c>
      <c r="C1147" s="3" t="s">
        <v>43</v>
      </c>
      <c r="D1147">
        <f t="shared" si="17"/>
        <v>0</v>
      </c>
      <c r="E1147" t="s">
        <v>36</v>
      </c>
      <c r="F1147" s="1">
        <v>559</v>
      </c>
      <c r="G1147" s="3" t="s">
        <v>45</v>
      </c>
      <c r="H1147" s="1">
        <v>12</v>
      </c>
      <c r="I1147" s="9" t="str" cm="1">
        <f t="array" ref="I1147">_xlfn.IFS(H1147 &lt;= 2, "[1-2] very close", H1147 &lt;= 10, "[3-10] close", H1147 &lt;= 20, "[11-20] moderate", H1147 &lt;= 30, "[21-30] far")</f>
        <v>[11-20] moderate</v>
      </c>
      <c r="J1147" s="1">
        <v>4</v>
      </c>
      <c r="K1147" s="3" t="s">
        <v>38</v>
      </c>
      <c r="L1147" s="1">
        <v>1</v>
      </c>
      <c r="M1147" s="1">
        <v>1614</v>
      </c>
      <c r="N1147" s="1">
        <v>3</v>
      </c>
      <c r="O1147" s="3" t="s">
        <v>39</v>
      </c>
      <c r="P1147" s="1">
        <v>76</v>
      </c>
      <c r="Q1147" s="1">
        <v>3</v>
      </c>
      <c r="R1147" s="1">
        <v>2</v>
      </c>
      <c r="S1147" s="3" t="s">
        <v>53</v>
      </c>
      <c r="T1147" s="1">
        <v>3</v>
      </c>
      <c r="U1147" s="3" t="s">
        <v>48</v>
      </c>
      <c r="V1147" s="4">
        <v>4663</v>
      </c>
      <c r="W1147" s="1">
        <v>12421</v>
      </c>
      <c r="X1147" s="1">
        <v>9</v>
      </c>
      <c r="Y1147" s="3" t="s">
        <v>42</v>
      </c>
      <c r="Z1147" s="3" t="s">
        <v>35</v>
      </c>
      <c r="AA1147" s="5">
        <v>0.12</v>
      </c>
      <c r="AB1147" s="10" t="str" cm="1">
        <f t="array" ref="AB1147">_xlfn.IFS(AA1147 &lt;= 15%, "Low Hike[11-15%]", AA1147 &lt;= 20%, "Moderate Hike[16-20%]", AA1147 &lt;= 25%,"High Hike[21-25%]")</f>
        <v>Low Hike[11-15%]</v>
      </c>
      <c r="AC1147" s="1">
        <v>3</v>
      </c>
      <c r="AD1147" s="1">
        <v>2</v>
      </c>
      <c r="AE1147" s="1">
        <v>80</v>
      </c>
      <c r="AF1147" s="1">
        <v>2</v>
      </c>
      <c r="AG1147" s="1">
        <v>7</v>
      </c>
      <c r="AH1147" s="9" t="str" cm="1">
        <f t="array" ref="AH1147">_xlfn.IFS(AG1147 &lt;= 5, "New[1-5]", AG1147 &lt;= 10, "Early Career[6-10]", AG1147 &lt;= 20, "Established[11-20]", AG1147 &lt;= 30, "Veteran[21-30]", AG1147 &lt;= 40, "Late Career[31-40]")</f>
        <v>Early Career[6-10]</v>
      </c>
      <c r="AI1147" s="1">
        <v>2</v>
      </c>
      <c r="AJ1147" s="1">
        <v>3</v>
      </c>
      <c r="AK1147" s="1">
        <v>3</v>
      </c>
      <c r="AL1147" s="9" t="str" cm="1">
        <f t="array" ref="AL1147">_xlfn.IFS(AK1147 &lt;= 5, "New[1-5]", AK1147 &lt;= 10, "Early Career[6-10]", AK1147 &lt;= 20, "Established[11-20]", AK1147 &lt;= 30, "Veteran[21-30]", AK1147 &lt;= 40, "Late Career[31-40]")</f>
        <v>New[1-5]</v>
      </c>
      <c r="AM1147" s="1">
        <v>2</v>
      </c>
      <c r="AN1147" s="9" t="str" cm="1">
        <f t="array" ref="AN1147">_xlfn.IFS(AM1147 &lt;= 3, "New to Role[1-3]", AM1147 &lt;= 7, "Settled[4-7]", AM1147 &lt;= 12, "Experienced[[8-12]", AM1147 &lt;= 18, "Long Tenured[13-18]")</f>
        <v>New to Role[1-3]</v>
      </c>
      <c r="AO1147" s="1">
        <v>1</v>
      </c>
      <c r="AP1147" s="9" t="str" cm="1">
        <f t="array" ref="AP1147">_xlfn.IFS(AO1147 &lt;= 3, "Recently[1-3]", AO1147 &lt;= 6, "Due Soon[4-6]", AO1147 &lt;= 10, "Overdue[7-10]", AO1147 &lt;= 15, "Long Overdue[11-15]")</f>
        <v>Recently[1-3]</v>
      </c>
      <c r="AQ1147" s="9" t="str" cm="1">
        <f t="array" ref="AQ1147">_xlfn.IFS(AR1147 &lt;= 3, "New Relationship[1-3]", AR1147 &lt;= 7, "Established Relationship[4-7]", AR1147 &lt;= 12, "Long Term Relationship[8-12]", AR1147 &lt;= 17, "Very Long Term Relationship[13-17]")</f>
        <v>New Relationship[1-3]</v>
      </c>
      <c r="AR1147" s="1">
        <v>1</v>
      </c>
    </row>
    <row r="1148" spans="1:44" x14ac:dyDescent="0.25">
      <c r="A1148" s="1">
        <v>34</v>
      </c>
      <c r="B1148" s="8" t="str" cm="1">
        <f t="array" ref="B1148">_xlfn.IFS(A1148 &lt;= 25, "[18-25]", A1148 &lt;= 35, "[26-35]", A1148 &lt;=45, "[36-45]", A1148 &lt;= 60, "[46- 60]")</f>
        <v>[26-35]</v>
      </c>
      <c r="C1148" s="3" t="s">
        <v>43</v>
      </c>
      <c r="D1148">
        <f t="shared" si="17"/>
        <v>0</v>
      </c>
      <c r="E1148" t="s">
        <v>44</v>
      </c>
      <c r="F1148" s="1">
        <v>426</v>
      </c>
      <c r="G1148" s="3" t="s">
        <v>45</v>
      </c>
      <c r="H1148" s="1">
        <v>10</v>
      </c>
      <c r="I1148" s="9" t="str" cm="1">
        <f t="array" ref="I1148">_xlfn.IFS(H1148 &lt;= 2, "[1-2] very close", H1148 &lt;= 10, "[3-10] close", H1148 &lt;= 20, "[11-20] moderate", H1148 &lt;= 30, "[21-30] far")</f>
        <v>[3-10] close</v>
      </c>
      <c r="J1148" s="1">
        <v>4</v>
      </c>
      <c r="K1148" s="3" t="s">
        <v>38</v>
      </c>
      <c r="L1148" s="1">
        <v>1</v>
      </c>
      <c r="M1148" s="1">
        <v>1615</v>
      </c>
      <c r="N1148" s="1">
        <v>3</v>
      </c>
      <c r="O1148" s="3" t="s">
        <v>46</v>
      </c>
      <c r="P1148" s="1">
        <v>42</v>
      </c>
      <c r="Q1148" s="1">
        <v>4</v>
      </c>
      <c r="R1148" s="1">
        <v>2</v>
      </c>
      <c r="S1148" s="3" t="s">
        <v>53</v>
      </c>
      <c r="T1148" s="1">
        <v>4</v>
      </c>
      <c r="U1148" s="3" t="s">
        <v>52</v>
      </c>
      <c r="V1148" s="4">
        <v>4724</v>
      </c>
      <c r="W1148" s="1">
        <v>17000</v>
      </c>
      <c r="X1148" s="1">
        <v>1</v>
      </c>
      <c r="Y1148" s="3" t="s">
        <v>42</v>
      </c>
      <c r="Z1148" s="3" t="s">
        <v>43</v>
      </c>
      <c r="AA1148" s="5">
        <v>0.13</v>
      </c>
      <c r="AB1148" s="10" t="str" cm="1">
        <f t="array" ref="AB1148">_xlfn.IFS(AA1148 &lt;= 15%, "Low Hike[11-15%]", AA1148 &lt;= 20%, "Moderate Hike[16-20%]", AA1148 &lt;= 25%,"High Hike[21-25%]")</f>
        <v>Low Hike[11-15%]</v>
      </c>
      <c r="AC1148" s="1">
        <v>3</v>
      </c>
      <c r="AD1148" s="1">
        <v>1</v>
      </c>
      <c r="AE1148" s="1">
        <v>80</v>
      </c>
      <c r="AF1148" s="1">
        <v>1</v>
      </c>
      <c r="AG1148" s="1">
        <v>9</v>
      </c>
      <c r="AH1148" s="9" t="str" cm="1">
        <f t="array" ref="AH1148">_xlfn.IFS(AG1148 &lt;= 5, "New[1-5]", AG1148 &lt;= 10, "Early Career[6-10]", AG1148 &lt;= 20, "Established[11-20]", AG1148 &lt;= 30, "Veteran[21-30]", AG1148 &lt;= 40, "Late Career[31-40]")</f>
        <v>Early Career[6-10]</v>
      </c>
      <c r="AI1148" s="1">
        <v>3</v>
      </c>
      <c r="AJ1148" s="1">
        <v>3</v>
      </c>
      <c r="AK1148" s="1">
        <v>9</v>
      </c>
      <c r="AL1148" s="9" t="str" cm="1">
        <f t="array" ref="AL1148">_xlfn.IFS(AK1148 &lt;= 5, "New[1-5]", AK1148 &lt;= 10, "Early Career[6-10]", AK1148 &lt;= 20, "Established[11-20]", AK1148 &lt;= 30, "Veteran[21-30]", AK1148 &lt;= 40, "Late Career[31-40]")</f>
        <v>Early Career[6-10]</v>
      </c>
      <c r="AM1148" s="1">
        <v>7</v>
      </c>
      <c r="AN1148" s="9" t="str" cm="1">
        <f t="array" ref="AN1148">_xlfn.IFS(AM1148 &lt;= 3, "New to Role[1-3]", AM1148 &lt;= 7, "Settled[4-7]", AM1148 &lt;= 12, "Experienced[[8-12]", AM1148 &lt;= 18, "Long Tenured[13-18]")</f>
        <v>Settled[4-7]</v>
      </c>
      <c r="AO1148" s="1">
        <v>7</v>
      </c>
      <c r="AP1148" s="9" t="str" cm="1">
        <f t="array" ref="AP1148">_xlfn.IFS(AO1148 &lt;= 3, "Recently[1-3]", AO1148 &lt;= 6, "Due Soon[4-6]", AO1148 &lt;= 10, "Overdue[7-10]", AO1148 &lt;= 15, "Long Overdue[11-15]")</f>
        <v>Overdue[7-10]</v>
      </c>
      <c r="AQ1148" s="9" t="str" cm="1">
        <f t="array" ref="AQ1148">_xlfn.IFS(AR1148 &lt;= 3, "New Relationship[1-3]", AR1148 &lt;= 7, "Established Relationship[4-7]", AR1148 &lt;= 12, "Long Term Relationship[8-12]", AR1148 &lt;= 17, "Very Long Term Relationship[13-17]")</f>
        <v>New Relationship[1-3]</v>
      </c>
      <c r="AR1148" s="1">
        <v>2</v>
      </c>
    </row>
    <row r="1149" spans="1:44" x14ac:dyDescent="0.25">
      <c r="A1149" s="1">
        <v>49</v>
      </c>
      <c r="B1149" s="8" t="str" cm="1">
        <f t="array" ref="B1149">_xlfn.IFS(A1149 &lt;= 25, "[18-25]", A1149 &lt;= 35, "[26-35]", A1149 &lt;=45, "[36-45]", A1149 &lt;= 60, "[46- 60]")</f>
        <v>[46- 60]</v>
      </c>
      <c r="C1149" s="3" t="s">
        <v>43</v>
      </c>
      <c r="D1149">
        <f t="shared" si="17"/>
        <v>0</v>
      </c>
      <c r="E1149" t="s">
        <v>36</v>
      </c>
      <c r="F1149" s="1">
        <v>722</v>
      </c>
      <c r="G1149" s="3" t="s">
        <v>45</v>
      </c>
      <c r="H1149" s="1">
        <v>25</v>
      </c>
      <c r="I1149" s="9" t="str" cm="1">
        <f t="array" ref="I1149">_xlfn.IFS(H1149 &lt;= 2, "[1-2] very close", H1149 &lt;= 10, "[3-10] close", H1149 &lt;= 20, "[11-20] moderate", H1149 &lt;= 30, "[21-30] far")</f>
        <v>[21-30] far</v>
      </c>
      <c r="J1149" s="1">
        <v>4</v>
      </c>
      <c r="K1149" s="3" t="s">
        <v>38</v>
      </c>
      <c r="L1149" s="1">
        <v>1</v>
      </c>
      <c r="M1149" s="1">
        <v>1617</v>
      </c>
      <c r="N1149" s="1">
        <v>3</v>
      </c>
      <c r="O1149" s="3" t="s">
        <v>39</v>
      </c>
      <c r="P1149" s="1">
        <v>84</v>
      </c>
      <c r="Q1149" s="1">
        <v>3</v>
      </c>
      <c r="R1149" s="1">
        <v>1</v>
      </c>
      <c r="S1149" s="3" t="s">
        <v>50</v>
      </c>
      <c r="T1149" s="1">
        <v>1</v>
      </c>
      <c r="U1149" s="3" t="s">
        <v>48</v>
      </c>
      <c r="V1149" s="4">
        <v>3211</v>
      </c>
      <c r="W1149" s="1">
        <v>22102</v>
      </c>
      <c r="X1149" s="1">
        <v>1</v>
      </c>
      <c r="Y1149" s="3" t="s">
        <v>42</v>
      </c>
      <c r="Z1149" s="3" t="s">
        <v>43</v>
      </c>
      <c r="AA1149" s="5">
        <v>0.14000000000000001</v>
      </c>
      <c r="AB1149" s="10" t="str" cm="1">
        <f t="array" ref="AB1149">_xlfn.IFS(AA1149 &lt;= 15%, "Low Hike[11-15%]", AA1149 &lt;= 20%, "Moderate Hike[16-20%]", AA1149 &lt;= 25%,"High Hike[21-25%]")</f>
        <v>Low Hike[11-15%]</v>
      </c>
      <c r="AC1149" s="1">
        <v>3</v>
      </c>
      <c r="AD1149" s="1">
        <v>4</v>
      </c>
      <c r="AE1149" s="1">
        <v>80</v>
      </c>
      <c r="AF1149" s="1">
        <v>1</v>
      </c>
      <c r="AG1149" s="1">
        <v>10</v>
      </c>
      <c r="AH1149" s="9" t="str" cm="1">
        <f t="array" ref="AH1149">_xlfn.IFS(AG1149 &lt;= 5, "New[1-5]", AG1149 &lt;= 10, "Early Career[6-10]", AG1149 &lt;= 20, "Established[11-20]", AG1149 &lt;= 30, "Veteran[21-30]", AG1149 &lt;= 40, "Late Career[31-40]")</f>
        <v>Early Career[6-10]</v>
      </c>
      <c r="AI1149" s="1">
        <v>3</v>
      </c>
      <c r="AJ1149" s="1">
        <v>2</v>
      </c>
      <c r="AK1149" s="1">
        <v>9</v>
      </c>
      <c r="AL1149" s="9" t="str" cm="1">
        <f t="array" ref="AL1149">_xlfn.IFS(AK1149 &lt;= 5, "New[1-5]", AK1149 &lt;= 10, "Early Career[6-10]", AK1149 &lt;= 20, "Established[11-20]", AK1149 &lt;= 30, "Veteran[21-30]", AK1149 &lt;= 40, "Late Career[31-40]")</f>
        <v>Early Career[6-10]</v>
      </c>
      <c r="AM1149" s="1">
        <v>6</v>
      </c>
      <c r="AN1149" s="9" t="str" cm="1">
        <f t="array" ref="AN1149">_xlfn.IFS(AM1149 &lt;= 3, "New to Role[1-3]", AM1149 &lt;= 7, "Settled[4-7]", AM1149 &lt;= 12, "Experienced[[8-12]", AM1149 &lt;= 18, "Long Tenured[13-18]")</f>
        <v>Settled[4-7]</v>
      </c>
      <c r="AO1149" s="1">
        <v>1</v>
      </c>
      <c r="AP1149" s="9" t="str" cm="1">
        <f t="array" ref="AP1149">_xlfn.IFS(AO1149 &lt;= 3, "Recently[1-3]", AO1149 &lt;= 6, "Due Soon[4-6]", AO1149 &lt;= 10, "Overdue[7-10]", AO1149 &lt;= 15, "Long Overdue[11-15]")</f>
        <v>Recently[1-3]</v>
      </c>
      <c r="AQ1149" s="9" t="str" cm="1">
        <f t="array" ref="AQ1149">_xlfn.IFS(AR1149 &lt;= 3, "New Relationship[1-3]", AR1149 &lt;= 7, "Established Relationship[4-7]", AR1149 &lt;= 12, "Long Term Relationship[8-12]", AR1149 &lt;= 17, "Very Long Term Relationship[13-17]")</f>
        <v>Established Relationship[4-7]</v>
      </c>
      <c r="AR1149" s="1">
        <v>4</v>
      </c>
    </row>
    <row r="1150" spans="1:44" x14ac:dyDescent="0.25">
      <c r="A1150" s="1">
        <v>39</v>
      </c>
      <c r="B1150" s="8" t="str" cm="1">
        <f t="array" ref="B1150">_xlfn.IFS(A1150 &lt;= 25, "[18-25]", A1150 &lt;= 35, "[26-35]", A1150 &lt;=45, "[36-45]", A1150 &lt;= 60, "[46- 60]")</f>
        <v>[36-45]</v>
      </c>
      <c r="C1150" s="3" t="s">
        <v>43</v>
      </c>
      <c r="D1150">
        <f t="shared" si="17"/>
        <v>0</v>
      </c>
      <c r="E1150" t="s">
        <v>36</v>
      </c>
      <c r="F1150" s="1">
        <v>1387</v>
      </c>
      <c r="G1150" s="3" t="s">
        <v>45</v>
      </c>
      <c r="H1150" s="1">
        <v>10</v>
      </c>
      <c r="I1150" s="9" t="str" cm="1">
        <f t="array" ref="I1150">_xlfn.IFS(H1150 &lt;= 2, "[1-2] very close", H1150 &lt;= 10, "[3-10] close", H1150 &lt;= 20, "[11-20] moderate", H1150 &lt;= 30, "[21-30] far")</f>
        <v>[3-10] close</v>
      </c>
      <c r="J1150" s="1">
        <v>5</v>
      </c>
      <c r="K1150" s="3" t="s">
        <v>51</v>
      </c>
      <c r="L1150" s="1">
        <v>1</v>
      </c>
      <c r="M1150" s="1">
        <v>1618</v>
      </c>
      <c r="N1150" s="1">
        <v>2</v>
      </c>
      <c r="O1150" s="3" t="s">
        <v>46</v>
      </c>
      <c r="P1150" s="1">
        <v>76</v>
      </c>
      <c r="Q1150" s="1">
        <v>3</v>
      </c>
      <c r="R1150" s="1">
        <v>2</v>
      </c>
      <c r="S1150" s="3" t="s">
        <v>53</v>
      </c>
      <c r="T1150" s="1">
        <v>1</v>
      </c>
      <c r="U1150" s="3" t="s">
        <v>48</v>
      </c>
      <c r="V1150" s="4">
        <v>5377</v>
      </c>
      <c r="W1150" s="1">
        <v>3835</v>
      </c>
      <c r="X1150" s="1">
        <v>2</v>
      </c>
      <c r="Y1150" s="3" t="s">
        <v>42</v>
      </c>
      <c r="Z1150" s="3" t="s">
        <v>43</v>
      </c>
      <c r="AA1150" s="5">
        <v>0.13</v>
      </c>
      <c r="AB1150" s="10" t="str" cm="1">
        <f t="array" ref="AB1150">_xlfn.IFS(AA1150 &lt;= 15%, "Low Hike[11-15%]", AA1150 &lt;= 20%, "Moderate Hike[16-20%]", AA1150 &lt;= 25%,"High Hike[21-25%]")</f>
        <v>Low Hike[11-15%]</v>
      </c>
      <c r="AC1150" s="1">
        <v>3</v>
      </c>
      <c r="AD1150" s="1">
        <v>4</v>
      </c>
      <c r="AE1150" s="1">
        <v>80</v>
      </c>
      <c r="AF1150" s="1">
        <v>3</v>
      </c>
      <c r="AG1150" s="1">
        <v>10</v>
      </c>
      <c r="AH1150" s="9" t="str" cm="1">
        <f t="array" ref="AH1150">_xlfn.IFS(AG1150 &lt;= 5, "New[1-5]", AG1150 &lt;= 10, "Early Career[6-10]", AG1150 &lt;= 20, "Established[11-20]", AG1150 &lt;= 30, "Veteran[21-30]", AG1150 &lt;= 40, "Late Career[31-40]")</f>
        <v>Early Career[6-10]</v>
      </c>
      <c r="AI1150" s="1">
        <v>3</v>
      </c>
      <c r="AJ1150" s="1">
        <v>3</v>
      </c>
      <c r="AK1150" s="1">
        <v>7</v>
      </c>
      <c r="AL1150" s="9" t="str" cm="1">
        <f t="array" ref="AL1150">_xlfn.IFS(AK1150 &lt;= 5, "New[1-5]", AK1150 &lt;= 10, "Early Career[6-10]", AK1150 &lt;= 20, "Established[11-20]", AK1150 &lt;= 30, "Veteran[21-30]", AK1150 &lt;= 40, "Late Career[31-40]")</f>
        <v>Early Career[6-10]</v>
      </c>
      <c r="AM1150" s="1">
        <v>7</v>
      </c>
      <c r="AN1150" s="9" t="str" cm="1">
        <f t="array" ref="AN1150">_xlfn.IFS(AM1150 &lt;= 3, "New to Role[1-3]", AM1150 &lt;= 7, "Settled[4-7]", AM1150 &lt;= 12, "Experienced[[8-12]", AM1150 &lt;= 18, "Long Tenured[13-18]")</f>
        <v>Settled[4-7]</v>
      </c>
      <c r="AO1150" s="1">
        <v>7</v>
      </c>
      <c r="AP1150" s="9" t="str" cm="1">
        <f t="array" ref="AP1150">_xlfn.IFS(AO1150 &lt;= 3, "Recently[1-3]", AO1150 &lt;= 6, "Due Soon[4-6]", AO1150 &lt;= 10, "Overdue[7-10]", AO1150 &lt;= 15, "Long Overdue[11-15]")</f>
        <v>Overdue[7-10]</v>
      </c>
      <c r="AQ1150" s="9" t="str" cm="1">
        <f t="array" ref="AQ1150">_xlfn.IFS(AR1150 &lt;= 3, "New Relationship[1-3]", AR1150 &lt;= 7, "Established Relationship[4-7]", AR1150 &lt;= 12, "Long Term Relationship[8-12]", AR1150 &lt;= 17, "Very Long Term Relationship[13-17]")</f>
        <v>Established Relationship[4-7]</v>
      </c>
      <c r="AR1150" s="1">
        <v>7</v>
      </c>
    </row>
    <row r="1151" spans="1:44" x14ac:dyDescent="0.25">
      <c r="A1151" s="1">
        <v>27</v>
      </c>
      <c r="B1151" s="8" t="str" cm="1">
        <f t="array" ref="B1151">_xlfn.IFS(A1151 &lt;= 25, "[18-25]", A1151 &lt;= 35, "[26-35]", A1151 &lt;=45, "[36-45]", A1151 &lt;= 60, "[46- 60]")</f>
        <v>[26-35]</v>
      </c>
      <c r="C1151" s="3" t="s">
        <v>43</v>
      </c>
      <c r="D1151">
        <f t="shared" si="17"/>
        <v>0</v>
      </c>
      <c r="E1151" t="s">
        <v>36</v>
      </c>
      <c r="F1151" s="1">
        <v>1302</v>
      </c>
      <c r="G1151" s="3" t="s">
        <v>45</v>
      </c>
      <c r="H1151" s="1">
        <v>19</v>
      </c>
      <c r="I1151" s="9" t="str" cm="1">
        <f t="array" ref="I1151">_xlfn.IFS(H1151 &lt;= 2, "[1-2] very close", H1151 &lt;= 10, "[3-10] close", H1151 &lt;= 20, "[11-20] moderate", H1151 &lt;= 30, "[21-30] far")</f>
        <v>[11-20] moderate</v>
      </c>
      <c r="J1151" s="1">
        <v>3</v>
      </c>
      <c r="K1151" s="3" t="s">
        <v>49</v>
      </c>
      <c r="L1151" s="1">
        <v>1</v>
      </c>
      <c r="M1151" s="1">
        <v>1619</v>
      </c>
      <c r="N1151" s="1">
        <v>4</v>
      </c>
      <c r="O1151" s="3" t="s">
        <v>46</v>
      </c>
      <c r="P1151" s="1">
        <v>67</v>
      </c>
      <c r="Q1151" s="1">
        <v>2</v>
      </c>
      <c r="R1151" s="1">
        <v>1</v>
      </c>
      <c r="S1151" s="3" t="s">
        <v>50</v>
      </c>
      <c r="T1151" s="1">
        <v>1</v>
      </c>
      <c r="U1151" s="3" t="s">
        <v>52</v>
      </c>
      <c r="V1151" s="4">
        <v>4066</v>
      </c>
      <c r="W1151" s="1">
        <v>16290</v>
      </c>
      <c r="X1151" s="1">
        <v>1</v>
      </c>
      <c r="Y1151" s="3" t="s">
        <v>42</v>
      </c>
      <c r="Z1151" s="3" t="s">
        <v>43</v>
      </c>
      <c r="AA1151" s="5">
        <v>0.11</v>
      </c>
      <c r="AB1151" s="10" t="str" cm="1">
        <f t="array" ref="AB1151">_xlfn.IFS(AA1151 &lt;= 15%, "Low Hike[11-15%]", AA1151 &lt;= 20%, "Moderate Hike[16-20%]", AA1151 &lt;= 25%,"High Hike[21-25%]")</f>
        <v>Low Hike[11-15%]</v>
      </c>
      <c r="AC1151" s="1">
        <v>3</v>
      </c>
      <c r="AD1151" s="1">
        <v>1</v>
      </c>
      <c r="AE1151" s="1">
        <v>80</v>
      </c>
      <c r="AF1151" s="1">
        <v>2</v>
      </c>
      <c r="AG1151" s="1">
        <v>7</v>
      </c>
      <c r="AH1151" s="9" t="str" cm="1">
        <f t="array" ref="AH1151">_xlfn.IFS(AG1151 &lt;= 5, "New[1-5]", AG1151 &lt;= 10, "Early Career[6-10]", AG1151 &lt;= 20, "Established[11-20]", AG1151 &lt;= 30, "Veteran[21-30]", AG1151 &lt;= 40, "Late Career[31-40]")</f>
        <v>Early Career[6-10]</v>
      </c>
      <c r="AI1151" s="1">
        <v>3</v>
      </c>
      <c r="AJ1151" s="1">
        <v>3</v>
      </c>
      <c r="AK1151" s="1">
        <v>7</v>
      </c>
      <c r="AL1151" s="9" t="str" cm="1">
        <f t="array" ref="AL1151">_xlfn.IFS(AK1151 &lt;= 5, "New[1-5]", AK1151 &lt;= 10, "Early Career[6-10]", AK1151 &lt;= 20, "Established[11-20]", AK1151 &lt;= 30, "Veteran[21-30]", AK1151 &lt;= 40, "Late Career[31-40]")</f>
        <v>Early Career[6-10]</v>
      </c>
      <c r="AM1151" s="1">
        <v>7</v>
      </c>
      <c r="AN1151" s="9" t="str" cm="1">
        <f t="array" ref="AN1151">_xlfn.IFS(AM1151 &lt;= 3, "New to Role[1-3]", AM1151 &lt;= 7, "Settled[4-7]", AM1151 &lt;= 12, "Experienced[[8-12]", AM1151 &lt;= 18, "Long Tenured[13-18]")</f>
        <v>Settled[4-7]</v>
      </c>
      <c r="AO1151" s="1">
        <v>0</v>
      </c>
      <c r="AP1151" s="9" t="str" cm="1">
        <f t="array" ref="AP1151">_xlfn.IFS(AO1151 &lt;= 3, "Recently[1-3]", AO1151 &lt;= 6, "Due Soon[4-6]", AO1151 &lt;= 10, "Overdue[7-10]", AO1151 &lt;= 15, "Long Overdue[11-15]")</f>
        <v>Recently[1-3]</v>
      </c>
      <c r="AQ1151" s="9" t="str" cm="1">
        <f t="array" ref="AQ1151">_xlfn.IFS(AR1151 &lt;= 3, "New Relationship[1-3]", AR1151 &lt;= 7, "Established Relationship[4-7]", AR1151 &lt;= 12, "Long Term Relationship[8-12]", AR1151 &lt;= 17, "Very Long Term Relationship[13-17]")</f>
        <v>Established Relationship[4-7]</v>
      </c>
      <c r="AR1151" s="1">
        <v>7</v>
      </c>
    </row>
    <row r="1152" spans="1:44" x14ac:dyDescent="0.25">
      <c r="A1152" s="1">
        <v>35</v>
      </c>
      <c r="B1152" s="8" t="str" cm="1">
        <f t="array" ref="B1152">_xlfn.IFS(A1152 &lt;= 25, "[18-25]", A1152 &lt;= 35, "[26-35]", A1152 &lt;=45, "[36-45]", A1152 &lt;= 60, "[46- 60]")</f>
        <v>[26-35]</v>
      </c>
      <c r="C1152" s="3" t="s">
        <v>43</v>
      </c>
      <c r="D1152">
        <f t="shared" si="17"/>
        <v>0</v>
      </c>
      <c r="E1152" t="s">
        <v>36</v>
      </c>
      <c r="F1152" s="1">
        <v>819</v>
      </c>
      <c r="G1152" s="3" t="s">
        <v>45</v>
      </c>
      <c r="H1152" s="1">
        <v>18</v>
      </c>
      <c r="I1152" s="9" t="str" cm="1">
        <f t="array" ref="I1152">_xlfn.IFS(H1152 &lt;= 2, "[1-2] very close", H1152 &lt;= 10, "[3-10] close", H1152 &lt;= 20, "[11-20] moderate", H1152 &lt;= 30, "[21-30] far")</f>
        <v>[11-20] moderate</v>
      </c>
      <c r="J1152" s="1">
        <v>5</v>
      </c>
      <c r="K1152" s="3" t="s">
        <v>38</v>
      </c>
      <c r="L1152" s="1">
        <v>1</v>
      </c>
      <c r="M1152" s="1">
        <v>1621</v>
      </c>
      <c r="N1152" s="1">
        <v>2</v>
      </c>
      <c r="O1152" s="3" t="s">
        <v>46</v>
      </c>
      <c r="P1152" s="1">
        <v>48</v>
      </c>
      <c r="Q1152" s="1">
        <v>4</v>
      </c>
      <c r="R1152" s="1">
        <v>2</v>
      </c>
      <c r="S1152" s="3" t="s">
        <v>47</v>
      </c>
      <c r="T1152" s="1">
        <v>1</v>
      </c>
      <c r="U1152" s="3" t="s">
        <v>48</v>
      </c>
      <c r="V1152" s="4">
        <v>5208</v>
      </c>
      <c r="W1152" s="1">
        <v>26312</v>
      </c>
      <c r="X1152" s="1">
        <v>1</v>
      </c>
      <c r="Y1152" s="3" t="s">
        <v>42</v>
      </c>
      <c r="Z1152" s="3" t="s">
        <v>43</v>
      </c>
      <c r="AA1152" s="5">
        <v>0.11</v>
      </c>
      <c r="AB1152" s="10" t="str" cm="1">
        <f t="array" ref="AB1152">_xlfn.IFS(AA1152 &lt;= 15%, "Low Hike[11-15%]", AA1152 &lt;= 20%, "Moderate Hike[16-20%]", AA1152 &lt;= 25%,"High Hike[21-25%]")</f>
        <v>Low Hike[11-15%]</v>
      </c>
      <c r="AC1152" s="1">
        <v>3</v>
      </c>
      <c r="AD1152" s="1">
        <v>4</v>
      </c>
      <c r="AE1152" s="1">
        <v>80</v>
      </c>
      <c r="AF1152" s="1">
        <v>0</v>
      </c>
      <c r="AG1152" s="1">
        <v>16</v>
      </c>
      <c r="AH1152" s="9" t="str" cm="1">
        <f t="array" ref="AH1152">_xlfn.IFS(AG1152 &lt;= 5, "New[1-5]", AG1152 &lt;= 10, "Early Career[6-10]", AG1152 &lt;= 20, "Established[11-20]", AG1152 &lt;= 30, "Veteran[21-30]", AG1152 &lt;= 40, "Late Career[31-40]")</f>
        <v>Established[11-20]</v>
      </c>
      <c r="AI1152" s="1">
        <v>2</v>
      </c>
      <c r="AJ1152" s="1">
        <v>3</v>
      </c>
      <c r="AK1152" s="1">
        <v>16</v>
      </c>
      <c r="AL1152" s="9" t="str" cm="1">
        <f t="array" ref="AL1152">_xlfn.IFS(AK1152 &lt;= 5, "New[1-5]", AK1152 &lt;= 10, "Early Career[6-10]", AK1152 &lt;= 20, "Established[11-20]", AK1152 &lt;= 30, "Veteran[21-30]", AK1152 &lt;= 40, "Late Career[31-40]")</f>
        <v>Established[11-20]</v>
      </c>
      <c r="AM1152" s="1">
        <v>15</v>
      </c>
      <c r="AN1152" s="9" t="str" cm="1">
        <f t="array" ref="AN1152">_xlfn.IFS(AM1152 &lt;= 3, "New to Role[1-3]", AM1152 &lt;= 7, "Settled[4-7]", AM1152 &lt;= 12, "Experienced[[8-12]", AM1152 &lt;= 18, "Long Tenured[13-18]")</f>
        <v>Long Tenured[13-18]</v>
      </c>
      <c r="AO1152" s="1">
        <v>1</v>
      </c>
      <c r="AP1152" s="9" t="str" cm="1">
        <f t="array" ref="AP1152">_xlfn.IFS(AO1152 &lt;= 3, "Recently[1-3]", AO1152 &lt;= 6, "Due Soon[4-6]", AO1152 &lt;= 10, "Overdue[7-10]", AO1152 &lt;= 15, "Long Overdue[11-15]")</f>
        <v>Recently[1-3]</v>
      </c>
      <c r="AQ1152" s="9" t="str" cm="1">
        <f t="array" ref="AQ1152">_xlfn.IFS(AR1152 &lt;= 3, "New Relationship[1-3]", AR1152 &lt;= 7, "Established Relationship[4-7]", AR1152 &lt;= 12, "Long Term Relationship[8-12]", AR1152 &lt;= 17, "Very Long Term Relationship[13-17]")</f>
        <v>Long Term Relationship[8-12]</v>
      </c>
      <c r="AR1152" s="1">
        <v>10</v>
      </c>
    </row>
    <row r="1153" spans="1:44" x14ac:dyDescent="0.25">
      <c r="A1153" s="1">
        <v>28</v>
      </c>
      <c r="B1153" s="8" t="str" cm="1">
        <f t="array" ref="B1153">_xlfn.IFS(A1153 &lt;= 25, "[18-25]", A1153 &lt;= 35, "[26-35]", A1153 &lt;=45, "[36-45]", A1153 &lt;= 60, "[46- 60]")</f>
        <v>[26-35]</v>
      </c>
      <c r="C1153" s="3" t="s">
        <v>43</v>
      </c>
      <c r="D1153">
        <f t="shared" si="17"/>
        <v>0</v>
      </c>
      <c r="E1153" t="s">
        <v>36</v>
      </c>
      <c r="F1153" s="1">
        <v>580</v>
      </c>
      <c r="G1153" s="3" t="s">
        <v>45</v>
      </c>
      <c r="H1153" s="1">
        <v>27</v>
      </c>
      <c r="I1153" s="9" t="str" cm="1">
        <f t="array" ref="I1153">_xlfn.IFS(H1153 &lt;= 2, "[1-2] very close", H1153 &lt;= 10, "[3-10] close", H1153 &lt;= 20, "[11-20] moderate", H1153 &lt;= 30, "[21-30] far")</f>
        <v>[21-30] far</v>
      </c>
      <c r="J1153" s="1">
        <v>3</v>
      </c>
      <c r="K1153" s="3" t="s">
        <v>51</v>
      </c>
      <c r="L1153" s="1">
        <v>1</v>
      </c>
      <c r="M1153" s="1">
        <v>1622</v>
      </c>
      <c r="N1153" s="1">
        <v>2</v>
      </c>
      <c r="O1153" s="3" t="s">
        <v>39</v>
      </c>
      <c r="P1153" s="1">
        <v>39</v>
      </c>
      <c r="Q1153" s="1">
        <v>1</v>
      </c>
      <c r="R1153" s="1">
        <v>2</v>
      </c>
      <c r="S1153" s="3" t="s">
        <v>53</v>
      </c>
      <c r="T1153" s="1">
        <v>1</v>
      </c>
      <c r="U1153" s="3" t="s">
        <v>52</v>
      </c>
      <c r="V1153" s="4">
        <v>4877</v>
      </c>
      <c r="W1153" s="1">
        <v>20460</v>
      </c>
      <c r="X1153" s="1">
        <v>0</v>
      </c>
      <c r="Y1153" s="3" t="s">
        <v>42</v>
      </c>
      <c r="Z1153" s="3" t="s">
        <v>43</v>
      </c>
      <c r="AA1153" s="5">
        <v>0.21</v>
      </c>
      <c r="AB1153" s="10" t="str" cm="1">
        <f t="array" ref="AB1153">_xlfn.IFS(AA1153 &lt;= 15%, "Low Hike[11-15%]", AA1153 &lt;= 20%, "Moderate Hike[16-20%]", AA1153 &lt;= 25%,"High Hike[21-25%]")</f>
        <v>High Hike[21-25%]</v>
      </c>
      <c r="AC1153" s="1">
        <v>4</v>
      </c>
      <c r="AD1153" s="1">
        <v>2</v>
      </c>
      <c r="AE1153" s="1">
        <v>80</v>
      </c>
      <c r="AF1153" s="1">
        <v>1</v>
      </c>
      <c r="AG1153" s="1">
        <v>6</v>
      </c>
      <c r="AH1153" s="9" t="str" cm="1">
        <f t="array" ref="AH1153">_xlfn.IFS(AG1153 &lt;= 5, "New[1-5]", AG1153 &lt;= 10, "Early Career[6-10]", AG1153 &lt;= 20, "Established[11-20]", AG1153 &lt;= 30, "Veteran[21-30]", AG1153 &lt;= 40, "Late Career[31-40]")</f>
        <v>Early Career[6-10]</v>
      </c>
      <c r="AI1153" s="1">
        <v>5</v>
      </c>
      <c r="AJ1153" s="1">
        <v>2</v>
      </c>
      <c r="AK1153" s="1">
        <v>5</v>
      </c>
      <c r="AL1153" s="9" t="str" cm="1">
        <f t="array" ref="AL1153">_xlfn.IFS(AK1153 &lt;= 5, "New[1-5]", AK1153 &lt;= 10, "Early Career[6-10]", AK1153 &lt;= 20, "Established[11-20]", AK1153 &lt;= 30, "Veteran[21-30]", AK1153 &lt;= 40, "Late Career[31-40]")</f>
        <v>New[1-5]</v>
      </c>
      <c r="AM1153" s="1">
        <v>3</v>
      </c>
      <c r="AN1153" s="9" t="str" cm="1">
        <f t="array" ref="AN1153">_xlfn.IFS(AM1153 &lt;= 3, "New to Role[1-3]", AM1153 &lt;= 7, "Settled[4-7]", AM1153 &lt;= 12, "Experienced[[8-12]", AM1153 &lt;= 18, "Long Tenured[13-18]")</f>
        <v>New to Role[1-3]</v>
      </c>
      <c r="AO1153" s="1">
        <v>0</v>
      </c>
      <c r="AP1153" s="9" t="str" cm="1">
        <f t="array" ref="AP1153">_xlfn.IFS(AO1153 &lt;= 3, "Recently[1-3]", AO1153 &lt;= 6, "Due Soon[4-6]", AO1153 &lt;= 10, "Overdue[7-10]", AO1153 &lt;= 15, "Long Overdue[11-15]")</f>
        <v>Recently[1-3]</v>
      </c>
      <c r="AQ1153" s="9" t="str" cm="1">
        <f t="array" ref="AQ1153">_xlfn.IFS(AR1153 &lt;= 3, "New Relationship[1-3]", AR1153 &lt;= 7, "Established Relationship[4-7]", AR1153 &lt;= 12, "Long Term Relationship[8-12]", AR1153 &lt;= 17, "Very Long Term Relationship[13-17]")</f>
        <v>New Relationship[1-3]</v>
      </c>
      <c r="AR1153" s="1">
        <v>0</v>
      </c>
    </row>
    <row r="1154" spans="1:44" x14ac:dyDescent="0.25">
      <c r="A1154" s="1">
        <v>21</v>
      </c>
      <c r="B1154" s="8" t="str" cm="1">
        <f t="array" ref="B1154">_xlfn.IFS(A1154 &lt;= 25, "[18-25]", A1154 &lt;= 35, "[26-35]", A1154 &lt;=45, "[36-45]", A1154 &lt;= 60, "[46- 60]")</f>
        <v>[18-25]</v>
      </c>
      <c r="C1154" s="3" t="s">
        <v>43</v>
      </c>
      <c r="D1154">
        <f t="shared" ref="D1154:D1217" si="18">IF(C1154 = "Yes",1, 0)</f>
        <v>0</v>
      </c>
      <c r="E1154" t="s">
        <v>36</v>
      </c>
      <c r="F1154" s="1">
        <v>546</v>
      </c>
      <c r="G1154" s="3" t="s">
        <v>45</v>
      </c>
      <c r="H1154" s="1">
        <v>5</v>
      </c>
      <c r="I1154" s="9" t="str" cm="1">
        <f t="array" ref="I1154">_xlfn.IFS(H1154 &lt;= 2, "[1-2] very close", H1154 &lt;= 10, "[3-10] close", H1154 &lt;= 20, "[11-20] moderate", H1154 &lt;= 30, "[21-30] far")</f>
        <v>[3-10] close</v>
      </c>
      <c r="J1154" s="1">
        <v>1</v>
      </c>
      <c r="K1154" s="3" t="s">
        <v>51</v>
      </c>
      <c r="L1154" s="1">
        <v>1</v>
      </c>
      <c r="M1154" s="1">
        <v>1623</v>
      </c>
      <c r="N1154" s="1">
        <v>3</v>
      </c>
      <c r="O1154" s="3" t="s">
        <v>46</v>
      </c>
      <c r="P1154" s="1">
        <v>97</v>
      </c>
      <c r="Q1154" s="1">
        <v>3</v>
      </c>
      <c r="R1154" s="1">
        <v>1</v>
      </c>
      <c r="S1154" s="3" t="s">
        <v>47</v>
      </c>
      <c r="T1154" s="1">
        <v>4</v>
      </c>
      <c r="U1154" s="3" t="s">
        <v>41</v>
      </c>
      <c r="V1154" s="4">
        <v>3117</v>
      </c>
      <c r="W1154" s="1">
        <v>26009</v>
      </c>
      <c r="X1154" s="1">
        <v>1</v>
      </c>
      <c r="Y1154" s="3" t="s">
        <v>42</v>
      </c>
      <c r="Z1154" s="3" t="s">
        <v>43</v>
      </c>
      <c r="AA1154" s="5">
        <v>0.18</v>
      </c>
      <c r="AB1154" s="10" t="str" cm="1">
        <f t="array" ref="AB1154">_xlfn.IFS(AA1154 &lt;= 15%, "Low Hike[11-15%]", AA1154 &lt;= 20%, "Moderate Hike[16-20%]", AA1154 &lt;= 25%,"High Hike[21-25%]")</f>
        <v>Moderate Hike[16-20%]</v>
      </c>
      <c r="AC1154" s="1">
        <v>3</v>
      </c>
      <c r="AD1154" s="1">
        <v>3</v>
      </c>
      <c r="AE1154" s="1">
        <v>80</v>
      </c>
      <c r="AF1154" s="1">
        <v>0</v>
      </c>
      <c r="AG1154" s="1">
        <v>3</v>
      </c>
      <c r="AH1154" s="9" t="str" cm="1">
        <f t="array" ref="AH1154">_xlfn.IFS(AG1154 &lt;= 5, "New[1-5]", AG1154 &lt;= 10, "Early Career[6-10]", AG1154 &lt;= 20, "Established[11-20]", AG1154 &lt;= 30, "Veteran[21-30]", AG1154 &lt;= 40, "Late Career[31-40]")</f>
        <v>New[1-5]</v>
      </c>
      <c r="AI1154" s="1">
        <v>2</v>
      </c>
      <c r="AJ1154" s="1">
        <v>3</v>
      </c>
      <c r="AK1154" s="1">
        <v>2</v>
      </c>
      <c r="AL1154" s="9" t="str" cm="1">
        <f t="array" ref="AL1154">_xlfn.IFS(AK1154 &lt;= 5, "New[1-5]", AK1154 &lt;= 10, "Early Career[6-10]", AK1154 &lt;= 20, "Established[11-20]", AK1154 &lt;= 30, "Veteran[21-30]", AK1154 &lt;= 40, "Late Career[31-40]")</f>
        <v>New[1-5]</v>
      </c>
      <c r="AM1154" s="1">
        <v>2</v>
      </c>
      <c r="AN1154" s="9" t="str" cm="1">
        <f t="array" ref="AN1154">_xlfn.IFS(AM1154 &lt;= 3, "New to Role[1-3]", AM1154 &lt;= 7, "Settled[4-7]", AM1154 &lt;= 12, "Experienced[[8-12]", AM1154 &lt;= 18, "Long Tenured[13-18]")</f>
        <v>New to Role[1-3]</v>
      </c>
      <c r="AO1154" s="1">
        <v>2</v>
      </c>
      <c r="AP1154" s="9" t="str" cm="1">
        <f t="array" ref="AP1154">_xlfn.IFS(AO1154 &lt;= 3, "Recently[1-3]", AO1154 &lt;= 6, "Due Soon[4-6]", AO1154 &lt;= 10, "Overdue[7-10]", AO1154 &lt;= 15, "Long Overdue[11-15]")</f>
        <v>Recently[1-3]</v>
      </c>
      <c r="AQ1154" s="9" t="str" cm="1">
        <f t="array" ref="AQ1154">_xlfn.IFS(AR1154 &lt;= 3, "New Relationship[1-3]", AR1154 &lt;= 7, "Established Relationship[4-7]", AR1154 &lt;= 12, "Long Term Relationship[8-12]", AR1154 &lt;= 17, "Very Long Term Relationship[13-17]")</f>
        <v>New Relationship[1-3]</v>
      </c>
      <c r="AR1154" s="1">
        <v>2</v>
      </c>
    </row>
    <row r="1155" spans="1:44" x14ac:dyDescent="0.25">
      <c r="A1155" s="1">
        <v>18</v>
      </c>
      <c r="B1155" s="8" t="str" cm="1">
        <f t="array" ref="B1155">_xlfn.IFS(A1155 &lt;= 25, "[18-25]", A1155 &lt;= 35, "[26-35]", A1155 &lt;=45, "[36-45]", A1155 &lt;= 60, "[46- 60]")</f>
        <v>[18-25]</v>
      </c>
      <c r="C1155" s="3" t="s">
        <v>35</v>
      </c>
      <c r="D1155">
        <f t="shared" si="18"/>
        <v>1</v>
      </c>
      <c r="E1155" t="s">
        <v>44</v>
      </c>
      <c r="F1155" s="1">
        <v>544</v>
      </c>
      <c r="G1155" s="3" t="s">
        <v>37</v>
      </c>
      <c r="H1155" s="1">
        <v>3</v>
      </c>
      <c r="I1155" s="9" t="str" cm="1">
        <f t="array" ref="I1155">_xlfn.IFS(H1155 &lt;= 2, "[1-2] very close", H1155 &lt;= 10, "[3-10] close", H1155 &lt;= 20, "[11-20] moderate", H1155 &lt;= 30, "[21-30] far")</f>
        <v>[3-10] close</v>
      </c>
      <c r="J1155" s="1">
        <v>2</v>
      </c>
      <c r="K1155" s="3" t="s">
        <v>51</v>
      </c>
      <c r="L1155" s="1">
        <v>1</v>
      </c>
      <c r="M1155" s="1">
        <v>1624</v>
      </c>
      <c r="N1155" s="1">
        <v>2</v>
      </c>
      <c r="O1155" s="3" t="s">
        <v>39</v>
      </c>
      <c r="P1155" s="1">
        <v>70</v>
      </c>
      <c r="Q1155" s="1">
        <v>3</v>
      </c>
      <c r="R1155" s="1">
        <v>1</v>
      </c>
      <c r="S1155" s="3" t="s">
        <v>57</v>
      </c>
      <c r="T1155" s="1">
        <v>4</v>
      </c>
      <c r="U1155" s="3" t="s">
        <v>41</v>
      </c>
      <c r="V1155" s="4">
        <v>1569</v>
      </c>
      <c r="W1155" s="1">
        <v>18420</v>
      </c>
      <c r="X1155" s="1">
        <v>1</v>
      </c>
      <c r="Y1155" s="3" t="s">
        <v>42</v>
      </c>
      <c r="Z1155" s="3" t="s">
        <v>35</v>
      </c>
      <c r="AA1155" s="5">
        <v>0.12</v>
      </c>
      <c r="AB1155" s="10" t="str" cm="1">
        <f t="array" ref="AB1155">_xlfn.IFS(AA1155 &lt;= 15%, "Low Hike[11-15%]", AA1155 &lt;= 20%, "Moderate Hike[16-20%]", AA1155 &lt;= 25%,"High Hike[21-25%]")</f>
        <v>Low Hike[11-15%]</v>
      </c>
      <c r="AC1155" s="1">
        <v>3</v>
      </c>
      <c r="AD1155" s="1">
        <v>3</v>
      </c>
      <c r="AE1155" s="1">
        <v>80</v>
      </c>
      <c r="AF1155" s="1">
        <v>0</v>
      </c>
      <c r="AG1155" s="1">
        <v>0</v>
      </c>
      <c r="AH1155" s="9" t="str" cm="1">
        <f t="array" ref="AH1155">_xlfn.IFS(AG1155 &lt;= 5, "New[1-5]", AG1155 &lt;= 10, "Early Career[6-10]", AG1155 &lt;= 20, "Established[11-20]", AG1155 &lt;= 30, "Veteran[21-30]", AG1155 &lt;= 40, "Late Career[31-40]")</f>
        <v>New[1-5]</v>
      </c>
      <c r="AI1155" s="1">
        <v>2</v>
      </c>
      <c r="AJ1155" s="1">
        <v>4</v>
      </c>
      <c r="AK1155" s="1">
        <v>0</v>
      </c>
      <c r="AL1155" s="9" t="str" cm="1">
        <f t="array" ref="AL1155">_xlfn.IFS(AK1155 &lt;= 5, "New[1-5]", AK1155 &lt;= 10, "Early Career[6-10]", AK1155 &lt;= 20, "Established[11-20]", AK1155 &lt;= 30, "Veteran[21-30]", AK1155 &lt;= 40, "Late Career[31-40]")</f>
        <v>New[1-5]</v>
      </c>
      <c r="AM1155" s="1">
        <v>0</v>
      </c>
      <c r="AN1155" s="9" t="str" cm="1">
        <f t="array" ref="AN1155">_xlfn.IFS(AM1155 &lt;= 3, "New to Role[1-3]", AM1155 &lt;= 7, "Settled[4-7]", AM1155 &lt;= 12, "Experienced[[8-12]", AM1155 &lt;= 18, "Long Tenured[13-18]")</f>
        <v>New to Role[1-3]</v>
      </c>
      <c r="AO1155" s="1">
        <v>0</v>
      </c>
      <c r="AP1155" s="9" t="str" cm="1">
        <f t="array" ref="AP1155">_xlfn.IFS(AO1155 &lt;= 3, "Recently[1-3]", AO1155 &lt;= 6, "Due Soon[4-6]", AO1155 &lt;= 10, "Overdue[7-10]", AO1155 &lt;= 15, "Long Overdue[11-15]")</f>
        <v>Recently[1-3]</v>
      </c>
      <c r="AQ1155" s="9" t="str" cm="1">
        <f t="array" ref="AQ1155">_xlfn.IFS(AR1155 &lt;= 3, "New Relationship[1-3]", AR1155 &lt;= 7, "Established Relationship[4-7]", AR1155 &lt;= 12, "Long Term Relationship[8-12]", AR1155 &lt;= 17, "Very Long Term Relationship[13-17]")</f>
        <v>New Relationship[1-3]</v>
      </c>
      <c r="AR1155" s="1">
        <v>0</v>
      </c>
    </row>
    <row r="1156" spans="1:44" x14ac:dyDescent="0.25">
      <c r="A1156" s="1">
        <v>47</v>
      </c>
      <c r="B1156" s="8" t="str" cm="1">
        <f t="array" ref="B1156">_xlfn.IFS(A1156 &lt;= 25, "[18-25]", A1156 &lt;= 35, "[26-35]", A1156 &lt;=45, "[36-45]", A1156 &lt;= 60, "[46- 60]")</f>
        <v>[46- 60]</v>
      </c>
      <c r="C1156" s="3" t="s">
        <v>43</v>
      </c>
      <c r="D1156">
        <f t="shared" si="18"/>
        <v>0</v>
      </c>
      <c r="E1156" t="s">
        <v>36</v>
      </c>
      <c r="F1156" s="1">
        <v>1176</v>
      </c>
      <c r="G1156" s="3" t="s">
        <v>61</v>
      </c>
      <c r="H1156" s="1">
        <v>26</v>
      </c>
      <c r="I1156" s="9" t="str" cm="1">
        <f t="array" ref="I1156">_xlfn.IFS(H1156 &lt;= 2, "[1-2] very close", H1156 &lt;= 10, "[3-10] close", H1156 &lt;= 20, "[11-20] moderate", H1156 &lt;= 30, "[21-30] far")</f>
        <v>[21-30] far</v>
      </c>
      <c r="J1156" s="1">
        <v>4</v>
      </c>
      <c r="K1156" s="3" t="s">
        <v>38</v>
      </c>
      <c r="L1156" s="1">
        <v>1</v>
      </c>
      <c r="M1156" s="1">
        <v>1625</v>
      </c>
      <c r="N1156" s="1">
        <v>4</v>
      </c>
      <c r="O1156" s="3" t="s">
        <v>39</v>
      </c>
      <c r="P1156" s="1">
        <v>98</v>
      </c>
      <c r="Q1156" s="1">
        <v>3</v>
      </c>
      <c r="R1156" s="1">
        <v>5</v>
      </c>
      <c r="S1156" s="3" t="s">
        <v>56</v>
      </c>
      <c r="T1156" s="1">
        <v>3</v>
      </c>
      <c r="U1156" s="3" t="s">
        <v>48</v>
      </c>
      <c r="V1156" s="4">
        <v>19658</v>
      </c>
      <c r="W1156" s="1">
        <v>5220</v>
      </c>
      <c r="X1156" s="1">
        <v>3</v>
      </c>
      <c r="Y1156" s="3" t="s">
        <v>42</v>
      </c>
      <c r="Z1156" s="3" t="s">
        <v>43</v>
      </c>
      <c r="AA1156" s="5">
        <v>0.11</v>
      </c>
      <c r="AB1156" s="10" t="str" cm="1">
        <f t="array" ref="AB1156">_xlfn.IFS(AA1156 &lt;= 15%, "Low Hike[11-15%]", AA1156 &lt;= 20%, "Moderate Hike[16-20%]", AA1156 &lt;= 25%,"High Hike[21-25%]")</f>
        <v>Low Hike[11-15%]</v>
      </c>
      <c r="AC1156" s="1">
        <v>3</v>
      </c>
      <c r="AD1156" s="1">
        <v>3</v>
      </c>
      <c r="AE1156" s="1">
        <v>80</v>
      </c>
      <c r="AF1156" s="1">
        <v>1</v>
      </c>
      <c r="AG1156" s="1">
        <v>27</v>
      </c>
      <c r="AH1156" s="9" t="str" cm="1">
        <f t="array" ref="AH1156">_xlfn.IFS(AG1156 &lt;= 5, "New[1-5]", AG1156 &lt;= 10, "Early Career[6-10]", AG1156 &lt;= 20, "Established[11-20]", AG1156 &lt;= 30, "Veteran[21-30]", AG1156 &lt;= 40, "Late Career[31-40]")</f>
        <v>Veteran[21-30]</v>
      </c>
      <c r="AI1156" s="1">
        <v>2</v>
      </c>
      <c r="AJ1156" s="1">
        <v>3</v>
      </c>
      <c r="AK1156" s="1">
        <v>5</v>
      </c>
      <c r="AL1156" s="9" t="str" cm="1">
        <f t="array" ref="AL1156">_xlfn.IFS(AK1156 &lt;= 5, "New[1-5]", AK1156 &lt;= 10, "Early Career[6-10]", AK1156 &lt;= 20, "Established[11-20]", AK1156 &lt;= 30, "Veteran[21-30]", AK1156 &lt;= 40, "Late Career[31-40]")</f>
        <v>New[1-5]</v>
      </c>
      <c r="AM1156" s="1">
        <v>2</v>
      </c>
      <c r="AN1156" s="9" t="str" cm="1">
        <f t="array" ref="AN1156">_xlfn.IFS(AM1156 &lt;= 3, "New to Role[1-3]", AM1156 &lt;= 7, "Settled[4-7]", AM1156 &lt;= 12, "Experienced[[8-12]", AM1156 &lt;= 18, "Long Tenured[13-18]")</f>
        <v>New to Role[1-3]</v>
      </c>
      <c r="AO1156" s="1">
        <v>1</v>
      </c>
      <c r="AP1156" s="9" t="str" cm="1">
        <f t="array" ref="AP1156">_xlfn.IFS(AO1156 &lt;= 3, "Recently[1-3]", AO1156 &lt;= 6, "Due Soon[4-6]", AO1156 &lt;= 10, "Overdue[7-10]", AO1156 &lt;= 15, "Long Overdue[11-15]")</f>
        <v>Recently[1-3]</v>
      </c>
      <c r="AQ1156" s="9" t="str" cm="1">
        <f t="array" ref="AQ1156">_xlfn.IFS(AR1156 &lt;= 3, "New Relationship[1-3]", AR1156 &lt;= 7, "Established Relationship[4-7]", AR1156 &lt;= 12, "Long Term Relationship[8-12]", AR1156 &lt;= 17, "Very Long Term Relationship[13-17]")</f>
        <v>New Relationship[1-3]</v>
      </c>
      <c r="AR1156" s="1">
        <v>0</v>
      </c>
    </row>
    <row r="1157" spans="1:44" x14ac:dyDescent="0.25">
      <c r="A1157" s="1">
        <v>39</v>
      </c>
      <c r="B1157" s="8" t="str" cm="1">
        <f t="array" ref="B1157">_xlfn.IFS(A1157 &lt;= 25, "[18-25]", A1157 &lt;= 35, "[26-35]", A1157 &lt;=45, "[36-45]", A1157 &lt;= 60, "[46- 60]")</f>
        <v>[36-45]</v>
      </c>
      <c r="C1157" s="3" t="s">
        <v>43</v>
      </c>
      <c r="D1157">
        <f t="shared" si="18"/>
        <v>0</v>
      </c>
      <c r="E1157" t="s">
        <v>36</v>
      </c>
      <c r="F1157" s="1">
        <v>170</v>
      </c>
      <c r="G1157" s="3" t="s">
        <v>45</v>
      </c>
      <c r="H1157" s="1">
        <v>3</v>
      </c>
      <c r="I1157" s="9" t="str" cm="1">
        <f t="array" ref="I1157">_xlfn.IFS(H1157 &lt;= 2, "[1-2] very close", H1157 &lt;= 10, "[3-10] close", H1157 &lt;= 20, "[11-20] moderate", H1157 &lt;= 30, "[21-30] far")</f>
        <v>[3-10] close</v>
      </c>
      <c r="J1157" s="1">
        <v>2</v>
      </c>
      <c r="K1157" s="3" t="s">
        <v>51</v>
      </c>
      <c r="L1157" s="1">
        <v>1</v>
      </c>
      <c r="M1157" s="1">
        <v>1627</v>
      </c>
      <c r="N1157" s="1">
        <v>3</v>
      </c>
      <c r="O1157" s="3" t="s">
        <v>46</v>
      </c>
      <c r="P1157" s="1">
        <v>76</v>
      </c>
      <c r="Q1157" s="1">
        <v>2</v>
      </c>
      <c r="R1157" s="1">
        <v>2</v>
      </c>
      <c r="S1157" s="3" t="s">
        <v>50</v>
      </c>
      <c r="T1157" s="1">
        <v>3</v>
      </c>
      <c r="U1157" s="3" t="s">
        <v>52</v>
      </c>
      <c r="V1157" s="4">
        <v>3069</v>
      </c>
      <c r="W1157" s="1">
        <v>10302</v>
      </c>
      <c r="X1157" s="1">
        <v>0</v>
      </c>
      <c r="Y1157" s="3" t="s">
        <v>42</v>
      </c>
      <c r="Z1157" s="3" t="s">
        <v>43</v>
      </c>
      <c r="AA1157" s="5">
        <v>0.15</v>
      </c>
      <c r="AB1157" s="10" t="str" cm="1">
        <f t="array" ref="AB1157">_xlfn.IFS(AA1157 &lt;= 15%, "Low Hike[11-15%]", AA1157 &lt;= 20%, "Moderate Hike[16-20%]", AA1157 &lt;= 25%,"High Hike[21-25%]")</f>
        <v>Low Hike[11-15%]</v>
      </c>
      <c r="AC1157" s="1">
        <v>3</v>
      </c>
      <c r="AD1157" s="1">
        <v>4</v>
      </c>
      <c r="AE1157" s="1">
        <v>80</v>
      </c>
      <c r="AF1157" s="1">
        <v>1</v>
      </c>
      <c r="AG1157" s="1">
        <v>11</v>
      </c>
      <c r="AH1157" s="9" t="str" cm="1">
        <f t="array" ref="AH1157">_xlfn.IFS(AG1157 &lt;= 5, "New[1-5]", AG1157 &lt;= 10, "Early Career[6-10]", AG1157 &lt;= 20, "Established[11-20]", AG1157 &lt;= 30, "Veteran[21-30]", AG1157 &lt;= 40, "Late Career[31-40]")</f>
        <v>Established[11-20]</v>
      </c>
      <c r="AI1157" s="1">
        <v>3</v>
      </c>
      <c r="AJ1157" s="1">
        <v>3</v>
      </c>
      <c r="AK1157" s="1">
        <v>10</v>
      </c>
      <c r="AL1157" s="9" t="str" cm="1">
        <f t="array" ref="AL1157">_xlfn.IFS(AK1157 &lt;= 5, "New[1-5]", AK1157 &lt;= 10, "Early Career[6-10]", AK1157 &lt;= 20, "Established[11-20]", AK1157 &lt;= 30, "Veteran[21-30]", AK1157 &lt;= 40, "Late Career[31-40]")</f>
        <v>Early Career[6-10]</v>
      </c>
      <c r="AM1157" s="1">
        <v>8</v>
      </c>
      <c r="AN1157" s="9" t="str" cm="1">
        <f t="array" ref="AN1157">_xlfn.IFS(AM1157 &lt;= 3, "New to Role[1-3]", AM1157 &lt;= 7, "Settled[4-7]", AM1157 &lt;= 12, "Experienced[[8-12]", AM1157 &lt;= 18, "Long Tenured[13-18]")</f>
        <v>Experienced[[8-12]</v>
      </c>
      <c r="AO1157" s="1">
        <v>0</v>
      </c>
      <c r="AP1157" s="9" t="str" cm="1">
        <f t="array" ref="AP1157">_xlfn.IFS(AO1157 &lt;= 3, "Recently[1-3]", AO1157 &lt;= 6, "Due Soon[4-6]", AO1157 &lt;= 10, "Overdue[7-10]", AO1157 &lt;= 15, "Long Overdue[11-15]")</f>
        <v>Recently[1-3]</v>
      </c>
      <c r="AQ1157" s="9" t="str" cm="1">
        <f t="array" ref="AQ1157">_xlfn.IFS(AR1157 &lt;= 3, "New Relationship[1-3]", AR1157 &lt;= 7, "Established Relationship[4-7]", AR1157 &lt;= 12, "Long Term Relationship[8-12]", AR1157 &lt;= 17, "Very Long Term Relationship[13-17]")</f>
        <v>Established Relationship[4-7]</v>
      </c>
      <c r="AR1157" s="1">
        <v>7</v>
      </c>
    </row>
    <row r="1158" spans="1:44" x14ac:dyDescent="0.25">
      <c r="A1158" s="1">
        <v>40</v>
      </c>
      <c r="B1158" s="8" t="str" cm="1">
        <f t="array" ref="B1158">_xlfn.IFS(A1158 &lt;= 25, "[18-25]", A1158 &lt;= 35, "[26-35]", A1158 &lt;=45, "[36-45]", A1158 &lt;= 60, "[46- 60]")</f>
        <v>[36-45]</v>
      </c>
      <c r="C1158" s="3" t="s">
        <v>43</v>
      </c>
      <c r="D1158">
        <f t="shared" si="18"/>
        <v>0</v>
      </c>
      <c r="E1158" t="s">
        <v>36</v>
      </c>
      <c r="F1158" s="1">
        <v>884</v>
      </c>
      <c r="G1158" s="3" t="s">
        <v>45</v>
      </c>
      <c r="H1158" s="1">
        <v>15</v>
      </c>
      <c r="I1158" s="9" t="str" cm="1">
        <f t="array" ref="I1158">_xlfn.IFS(H1158 &lt;= 2, "[1-2] very close", H1158 &lt;= 10, "[3-10] close", H1158 &lt;= 20, "[11-20] moderate", H1158 &lt;= 30, "[21-30] far")</f>
        <v>[11-20] moderate</v>
      </c>
      <c r="J1158" s="1">
        <v>3</v>
      </c>
      <c r="K1158" s="3" t="s">
        <v>38</v>
      </c>
      <c r="L1158" s="1">
        <v>1</v>
      </c>
      <c r="M1158" s="1">
        <v>1628</v>
      </c>
      <c r="N1158" s="1">
        <v>1</v>
      </c>
      <c r="O1158" s="3" t="s">
        <v>39</v>
      </c>
      <c r="P1158" s="1">
        <v>80</v>
      </c>
      <c r="Q1158" s="1">
        <v>2</v>
      </c>
      <c r="R1158" s="1">
        <v>3</v>
      </c>
      <c r="S1158" s="3" t="s">
        <v>53</v>
      </c>
      <c r="T1158" s="1">
        <v>3</v>
      </c>
      <c r="U1158" s="3" t="s">
        <v>48</v>
      </c>
      <c r="V1158" s="4">
        <v>10435</v>
      </c>
      <c r="W1158" s="1">
        <v>25800</v>
      </c>
      <c r="X1158" s="1">
        <v>1</v>
      </c>
      <c r="Y1158" s="3" t="s">
        <v>42</v>
      </c>
      <c r="Z1158" s="3" t="s">
        <v>43</v>
      </c>
      <c r="AA1158" s="5">
        <v>0.13</v>
      </c>
      <c r="AB1158" s="10" t="str" cm="1">
        <f t="array" ref="AB1158">_xlfn.IFS(AA1158 &lt;= 15%, "Low Hike[11-15%]", AA1158 &lt;= 20%, "Moderate Hike[16-20%]", AA1158 &lt;= 25%,"High Hike[21-25%]")</f>
        <v>Low Hike[11-15%]</v>
      </c>
      <c r="AC1158" s="1">
        <v>3</v>
      </c>
      <c r="AD1158" s="1">
        <v>4</v>
      </c>
      <c r="AE1158" s="1">
        <v>80</v>
      </c>
      <c r="AF1158" s="1">
        <v>2</v>
      </c>
      <c r="AG1158" s="1">
        <v>18</v>
      </c>
      <c r="AH1158" s="9" t="str" cm="1">
        <f t="array" ref="AH1158">_xlfn.IFS(AG1158 &lt;= 5, "New[1-5]", AG1158 &lt;= 10, "Early Career[6-10]", AG1158 &lt;= 20, "Established[11-20]", AG1158 &lt;= 30, "Veteran[21-30]", AG1158 &lt;= 40, "Late Career[31-40]")</f>
        <v>Established[11-20]</v>
      </c>
      <c r="AI1158" s="1">
        <v>2</v>
      </c>
      <c r="AJ1158" s="1">
        <v>3</v>
      </c>
      <c r="AK1158" s="1">
        <v>18</v>
      </c>
      <c r="AL1158" s="9" t="str" cm="1">
        <f t="array" ref="AL1158">_xlfn.IFS(AK1158 &lt;= 5, "New[1-5]", AK1158 &lt;= 10, "Early Career[6-10]", AK1158 &lt;= 20, "Established[11-20]", AK1158 &lt;= 30, "Veteran[21-30]", AK1158 &lt;= 40, "Late Career[31-40]")</f>
        <v>Established[11-20]</v>
      </c>
      <c r="AM1158" s="1">
        <v>15</v>
      </c>
      <c r="AN1158" s="9" t="str" cm="1">
        <f t="array" ref="AN1158">_xlfn.IFS(AM1158 &lt;= 3, "New to Role[1-3]", AM1158 &lt;= 7, "Settled[4-7]", AM1158 &lt;= 12, "Experienced[[8-12]", AM1158 &lt;= 18, "Long Tenured[13-18]")</f>
        <v>Long Tenured[13-18]</v>
      </c>
      <c r="AO1158" s="1">
        <v>14</v>
      </c>
      <c r="AP1158" s="9" t="str" cm="1">
        <f t="array" ref="AP1158">_xlfn.IFS(AO1158 &lt;= 3, "Recently[1-3]", AO1158 &lt;= 6, "Due Soon[4-6]", AO1158 &lt;= 10, "Overdue[7-10]", AO1158 &lt;= 15, "Long Overdue[11-15]")</f>
        <v>Long Overdue[11-15]</v>
      </c>
      <c r="AQ1158" s="9" t="str" cm="1">
        <f t="array" ref="AQ1158">_xlfn.IFS(AR1158 &lt;= 3, "New Relationship[1-3]", AR1158 &lt;= 7, "Established Relationship[4-7]", AR1158 &lt;= 12, "Long Term Relationship[8-12]", AR1158 &lt;= 17, "Very Long Term Relationship[13-17]")</f>
        <v>Long Term Relationship[8-12]</v>
      </c>
      <c r="AR1158" s="1">
        <v>12</v>
      </c>
    </row>
    <row r="1159" spans="1:44" x14ac:dyDescent="0.25">
      <c r="A1159" s="1">
        <v>35</v>
      </c>
      <c r="B1159" s="8" t="str" cm="1">
        <f t="array" ref="B1159">_xlfn.IFS(A1159 &lt;= 25, "[18-25]", A1159 &lt;= 35, "[26-35]", A1159 &lt;=45, "[36-45]", A1159 &lt;= 60, "[46- 60]")</f>
        <v>[26-35]</v>
      </c>
      <c r="C1159" s="3" t="s">
        <v>43</v>
      </c>
      <c r="D1159">
        <f t="shared" si="18"/>
        <v>0</v>
      </c>
      <c r="E1159" t="s">
        <v>62</v>
      </c>
      <c r="F1159" s="1">
        <v>208</v>
      </c>
      <c r="G1159" s="3" t="s">
        <v>45</v>
      </c>
      <c r="H1159" s="1">
        <v>8</v>
      </c>
      <c r="I1159" s="9" t="str" cm="1">
        <f t="array" ref="I1159">_xlfn.IFS(H1159 &lt;= 2, "[1-2] very close", H1159 &lt;= 10, "[3-10] close", H1159 &lt;= 20, "[11-20] moderate", H1159 &lt;= 30, "[21-30] far")</f>
        <v>[3-10] close</v>
      </c>
      <c r="J1159" s="1">
        <v>4</v>
      </c>
      <c r="K1159" s="3" t="s">
        <v>38</v>
      </c>
      <c r="L1159" s="1">
        <v>1</v>
      </c>
      <c r="M1159" s="1">
        <v>1630</v>
      </c>
      <c r="N1159" s="1">
        <v>3</v>
      </c>
      <c r="O1159" s="3" t="s">
        <v>39</v>
      </c>
      <c r="P1159" s="1">
        <v>52</v>
      </c>
      <c r="Q1159" s="1">
        <v>3</v>
      </c>
      <c r="R1159" s="1">
        <v>2</v>
      </c>
      <c r="S1159" s="3" t="s">
        <v>54</v>
      </c>
      <c r="T1159" s="1">
        <v>3</v>
      </c>
      <c r="U1159" s="3" t="s">
        <v>48</v>
      </c>
      <c r="V1159" s="4">
        <v>4148</v>
      </c>
      <c r="W1159" s="1">
        <v>12250</v>
      </c>
      <c r="X1159" s="1">
        <v>1</v>
      </c>
      <c r="Y1159" s="3" t="s">
        <v>42</v>
      </c>
      <c r="Z1159" s="3" t="s">
        <v>43</v>
      </c>
      <c r="AA1159" s="5">
        <v>0.12</v>
      </c>
      <c r="AB1159" s="10" t="str" cm="1">
        <f t="array" ref="AB1159">_xlfn.IFS(AA1159 &lt;= 15%, "Low Hike[11-15%]", AA1159 &lt;= 20%, "Moderate Hike[16-20%]", AA1159 &lt;= 25%,"High Hike[21-25%]")</f>
        <v>Low Hike[11-15%]</v>
      </c>
      <c r="AC1159" s="1">
        <v>3</v>
      </c>
      <c r="AD1159" s="1">
        <v>4</v>
      </c>
      <c r="AE1159" s="1">
        <v>80</v>
      </c>
      <c r="AF1159" s="1">
        <v>1</v>
      </c>
      <c r="AG1159" s="1">
        <v>15</v>
      </c>
      <c r="AH1159" s="9" t="str" cm="1">
        <f t="array" ref="AH1159">_xlfn.IFS(AG1159 &lt;= 5, "New[1-5]", AG1159 &lt;= 10, "Early Career[6-10]", AG1159 &lt;= 20, "Established[11-20]", AG1159 &lt;= 30, "Veteran[21-30]", AG1159 &lt;= 40, "Late Career[31-40]")</f>
        <v>Established[11-20]</v>
      </c>
      <c r="AI1159" s="1">
        <v>5</v>
      </c>
      <c r="AJ1159" s="1">
        <v>3</v>
      </c>
      <c r="AK1159" s="1">
        <v>14</v>
      </c>
      <c r="AL1159" s="9" t="str" cm="1">
        <f t="array" ref="AL1159">_xlfn.IFS(AK1159 &lt;= 5, "New[1-5]", AK1159 &lt;= 10, "Early Career[6-10]", AK1159 &lt;= 20, "Established[11-20]", AK1159 &lt;= 30, "Veteran[21-30]", AK1159 &lt;= 40, "Late Career[31-40]")</f>
        <v>Established[11-20]</v>
      </c>
      <c r="AM1159" s="1">
        <v>11</v>
      </c>
      <c r="AN1159" s="9" t="str" cm="1">
        <f t="array" ref="AN1159">_xlfn.IFS(AM1159 &lt;= 3, "New to Role[1-3]", AM1159 &lt;= 7, "Settled[4-7]", AM1159 &lt;= 12, "Experienced[[8-12]", AM1159 &lt;= 18, "Long Tenured[13-18]")</f>
        <v>Experienced[[8-12]</v>
      </c>
      <c r="AO1159" s="1">
        <v>2</v>
      </c>
      <c r="AP1159" s="9" t="str" cm="1">
        <f t="array" ref="AP1159">_xlfn.IFS(AO1159 &lt;= 3, "Recently[1-3]", AO1159 &lt;= 6, "Due Soon[4-6]", AO1159 &lt;= 10, "Overdue[7-10]", AO1159 &lt;= 15, "Long Overdue[11-15]")</f>
        <v>Recently[1-3]</v>
      </c>
      <c r="AQ1159" s="9" t="str" cm="1">
        <f t="array" ref="AQ1159">_xlfn.IFS(AR1159 &lt;= 3, "New Relationship[1-3]", AR1159 &lt;= 7, "Established Relationship[4-7]", AR1159 &lt;= 12, "Long Term Relationship[8-12]", AR1159 &lt;= 17, "Very Long Term Relationship[13-17]")</f>
        <v>Long Term Relationship[8-12]</v>
      </c>
      <c r="AR1159" s="1">
        <v>9</v>
      </c>
    </row>
    <row r="1160" spans="1:44" x14ac:dyDescent="0.25">
      <c r="A1160" s="1">
        <v>37</v>
      </c>
      <c r="B1160" s="8" t="str" cm="1">
        <f t="array" ref="B1160">_xlfn.IFS(A1160 &lt;= 25, "[18-25]", A1160 &lt;= 35, "[26-35]", A1160 &lt;=45, "[36-45]", A1160 &lt;= 60, "[46- 60]")</f>
        <v>[36-45]</v>
      </c>
      <c r="C1160" s="3" t="s">
        <v>43</v>
      </c>
      <c r="D1160">
        <f t="shared" si="18"/>
        <v>0</v>
      </c>
      <c r="E1160" t="s">
        <v>36</v>
      </c>
      <c r="F1160" s="1">
        <v>671</v>
      </c>
      <c r="G1160" s="3" t="s">
        <v>45</v>
      </c>
      <c r="H1160" s="1">
        <v>19</v>
      </c>
      <c r="I1160" s="9" t="str" cm="1">
        <f t="array" ref="I1160">_xlfn.IFS(H1160 &lt;= 2, "[1-2] very close", H1160 &lt;= 10, "[3-10] close", H1160 &lt;= 20, "[11-20] moderate", H1160 &lt;= 30, "[21-30] far")</f>
        <v>[11-20] moderate</v>
      </c>
      <c r="J1160" s="1">
        <v>3</v>
      </c>
      <c r="K1160" s="3" t="s">
        <v>38</v>
      </c>
      <c r="L1160" s="1">
        <v>1</v>
      </c>
      <c r="M1160" s="1">
        <v>1631</v>
      </c>
      <c r="N1160" s="1">
        <v>3</v>
      </c>
      <c r="O1160" s="3" t="s">
        <v>46</v>
      </c>
      <c r="P1160" s="1">
        <v>85</v>
      </c>
      <c r="Q1160" s="1">
        <v>3</v>
      </c>
      <c r="R1160" s="1">
        <v>2</v>
      </c>
      <c r="S1160" s="3" t="s">
        <v>53</v>
      </c>
      <c r="T1160" s="1">
        <v>3</v>
      </c>
      <c r="U1160" s="3" t="s">
        <v>48</v>
      </c>
      <c r="V1160" s="4">
        <v>5768</v>
      </c>
      <c r="W1160" s="1">
        <v>26493</v>
      </c>
      <c r="X1160" s="1">
        <v>3</v>
      </c>
      <c r="Y1160" s="3" t="s">
        <v>42</v>
      </c>
      <c r="Z1160" s="3" t="s">
        <v>43</v>
      </c>
      <c r="AA1160" s="5">
        <v>0.17</v>
      </c>
      <c r="AB1160" s="10" t="str" cm="1">
        <f t="array" ref="AB1160">_xlfn.IFS(AA1160 &lt;= 15%, "Low Hike[11-15%]", AA1160 &lt;= 20%, "Moderate Hike[16-20%]", AA1160 &lt;= 25%,"High Hike[21-25%]")</f>
        <v>Moderate Hike[16-20%]</v>
      </c>
      <c r="AC1160" s="1">
        <v>3</v>
      </c>
      <c r="AD1160" s="1">
        <v>1</v>
      </c>
      <c r="AE1160" s="1">
        <v>80</v>
      </c>
      <c r="AF1160" s="1">
        <v>3</v>
      </c>
      <c r="AG1160" s="1">
        <v>9</v>
      </c>
      <c r="AH1160" s="9" t="str" cm="1">
        <f t="array" ref="AH1160">_xlfn.IFS(AG1160 &lt;= 5, "New[1-5]", AG1160 &lt;= 10, "Early Career[6-10]", AG1160 &lt;= 20, "Established[11-20]", AG1160 &lt;= 30, "Veteran[21-30]", AG1160 &lt;= 40, "Late Career[31-40]")</f>
        <v>Early Career[6-10]</v>
      </c>
      <c r="AI1160" s="1">
        <v>2</v>
      </c>
      <c r="AJ1160" s="1">
        <v>2</v>
      </c>
      <c r="AK1160" s="1">
        <v>4</v>
      </c>
      <c r="AL1160" s="9" t="str" cm="1">
        <f t="array" ref="AL1160">_xlfn.IFS(AK1160 &lt;= 5, "New[1-5]", AK1160 &lt;= 10, "Early Career[6-10]", AK1160 &lt;= 20, "Established[11-20]", AK1160 &lt;= 30, "Veteran[21-30]", AK1160 &lt;= 40, "Late Career[31-40]")</f>
        <v>New[1-5]</v>
      </c>
      <c r="AM1160" s="1">
        <v>3</v>
      </c>
      <c r="AN1160" s="9" t="str" cm="1">
        <f t="array" ref="AN1160">_xlfn.IFS(AM1160 &lt;= 3, "New to Role[1-3]", AM1160 &lt;= 7, "Settled[4-7]", AM1160 &lt;= 12, "Experienced[[8-12]", AM1160 &lt;= 18, "Long Tenured[13-18]")</f>
        <v>New to Role[1-3]</v>
      </c>
      <c r="AO1160" s="1">
        <v>0</v>
      </c>
      <c r="AP1160" s="9" t="str" cm="1">
        <f t="array" ref="AP1160">_xlfn.IFS(AO1160 &lt;= 3, "Recently[1-3]", AO1160 &lt;= 6, "Due Soon[4-6]", AO1160 &lt;= 10, "Overdue[7-10]", AO1160 &lt;= 15, "Long Overdue[11-15]")</f>
        <v>Recently[1-3]</v>
      </c>
      <c r="AQ1160" s="9" t="str" cm="1">
        <f t="array" ref="AQ1160">_xlfn.IFS(AR1160 &lt;= 3, "New Relationship[1-3]", AR1160 &lt;= 7, "Established Relationship[4-7]", AR1160 &lt;= 12, "Long Term Relationship[8-12]", AR1160 &lt;= 17, "Very Long Term Relationship[13-17]")</f>
        <v>New Relationship[1-3]</v>
      </c>
      <c r="AR1160" s="1">
        <v>2</v>
      </c>
    </row>
    <row r="1161" spans="1:44" x14ac:dyDescent="0.25">
      <c r="A1161" s="1">
        <v>39</v>
      </c>
      <c r="B1161" s="8" t="str" cm="1">
        <f t="array" ref="B1161">_xlfn.IFS(A1161 &lt;= 25, "[18-25]", A1161 &lt;= 35, "[26-35]", A1161 &lt;=45, "[36-45]", A1161 &lt;= 60, "[46- 60]")</f>
        <v>[36-45]</v>
      </c>
      <c r="C1161" s="3" t="s">
        <v>43</v>
      </c>
      <c r="D1161">
        <f t="shared" si="18"/>
        <v>0</v>
      </c>
      <c r="E1161" t="s">
        <v>44</v>
      </c>
      <c r="F1161" s="1">
        <v>711</v>
      </c>
      <c r="G1161" s="3" t="s">
        <v>45</v>
      </c>
      <c r="H1161" s="1">
        <v>4</v>
      </c>
      <c r="I1161" s="9" t="str" cm="1">
        <f t="array" ref="I1161">_xlfn.IFS(H1161 &lt;= 2, "[1-2] very close", H1161 &lt;= 10, "[3-10] close", H1161 &lt;= 20, "[11-20] moderate", H1161 &lt;= 30, "[21-30] far")</f>
        <v>[3-10] close</v>
      </c>
      <c r="J1161" s="1">
        <v>3</v>
      </c>
      <c r="K1161" s="3" t="s">
        <v>51</v>
      </c>
      <c r="L1161" s="1">
        <v>1</v>
      </c>
      <c r="M1161" s="1">
        <v>1633</v>
      </c>
      <c r="N1161" s="1">
        <v>1</v>
      </c>
      <c r="O1161" s="3" t="s">
        <v>39</v>
      </c>
      <c r="P1161" s="1">
        <v>81</v>
      </c>
      <c r="Q1161" s="1">
        <v>3</v>
      </c>
      <c r="R1161" s="1">
        <v>2</v>
      </c>
      <c r="S1161" s="3" t="s">
        <v>53</v>
      </c>
      <c r="T1161" s="1">
        <v>3</v>
      </c>
      <c r="U1161" s="3" t="s">
        <v>41</v>
      </c>
      <c r="V1161" s="4">
        <v>5042</v>
      </c>
      <c r="W1161" s="1">
        <v>3140</v>
      </c>
      <c r="X1161" s="1">
        <v>0</v>
      </c>
      <c r="Y1161" s="3" t="s">
        <v>42</v>
      </c>
      <c r="Z1161" s="3" t="s">
        <v>43</v>
      </c>
      <c r="AA1161" s="5">
        <v>0.13</v>
      </c>
      <c r="AB1161" s="10" t="str" cm="1">
        <f t="array" ref="AB1161">_xlfn.IFS(AA1161 &lt;= 15%, "Low Hike[11-15%]", AA1161 &lt;= 20%, "Moderate Hike[16-20%]", AA1161 &lt;= 25%,"High Hike[21-25%]")</f>
        <v>Low Hike[11-15%]</v>
      </c>
      <c r="AC1161" s="1">
        <v>3</v>
      </c>
      <c r="AD1161" s="1">
        <v>4</v>
      </c>
      <c r="AE1161" s="1">
        <v>80</v>
      </c>
      <c r="AF1161" s="1">
        <v>0</v>
      </c>
      <c r="AG1161" s="1">
        <v>10</v>
      </c>
      <c r="AH1161" s="9" t="str" cm="1">
        <f t="array" ref="AH1161">_xlfn.IFS(AG1161 &lt;= 5, "New[1-5]", AG1161 &lt;= 10, "Early Career[6-10]", AG1161 &lt;= 20, "Established[11-20]", AG1161 &lt;= 30, "Veteran[21-30]", AG1161 &lt;= 40, "Late Career[31-40]")</f>
        <v>Early Career[6-10]</v>
      </c>
      <c r="AI1161" s="1">
        <v>2</v>
      </c>
      <c r="AJ1161" s="1">
        <v>1</v>
      </c>
      <c r="AK1161" s="1">
        <v>9</v>
      </c>
      <c r="AL1161" s="9" t="str" cm="1">
        <f t="array" ref="AL1161">_xlfn.IFS(AK1161 &lt;= 5, "New[1-5]", AK1161 &lt;= 10, "Early Career[6-10]", AK1161 &lt;= 20, "Established[11-20]", AK1161 &lt;= 30, "Veteran[21-30]", AK1161 &lt;= 40, "Late Career[31-40]")</f>
        <v>Early Career[6-10]</v>
      </c>
      <c r="AM1161" s="1">
        <v>2</v>
      </c>
      <c r="AN1161" s="9" t="str" cm="1">
        <f t="array" ref="AN1161">_xlfn.IFS(AM1161 &lt;= 3, "New to Role[1-3]", AM1161 &lt;= 7, "Settled[4-7]", AM1161 &lt;= 12, "Experienced[[8-12]", AM1161 &lt;= 18, "Long Tenured[13-18]")</f>
        <v>New to Role[1-3]</v>
      </c>
      <c r="AO1161" s="1">
        <v>3</v>
      </c>
      <c r="AP1161" s="9" t="str" cm="1">
        <f t="array" ref="AP1161">_xlfn.IFS(AO1161 &lt;= 3, "Recently[1-3]", AO1161 &lt;= 6, "Due Soon[4-6]", AO1161 &lt;= 10, "Overdue[7-10]", AO1161 &lt;= 15, "Long Overdue[11-15]")</f>
        <v>Recently[1-3]</v>
      </c>
      <c r="AQ1161" s="9" t="str" cm="1">
        <f t="array" ref="AQ1161">_xlfn.IFS(AR1161 &lt;= 3, "New Relationship[1-3]", AR1161 &lt;= 7, "Established Relationship[4-7]", AR1161 &lt;= 12, "Long Term Relationship[8-12]", AR1161 &lt;= 17, "Very Long Term Relationship[13-17]")</f>
        <v>Long Term Relationship[8-12]</v>
      </c>
      <c r="AR1161" s="1">
        <v>8</v>
      </c>
    </row>
    <row r="1162" spans="1:44" x14ac:dyDescent="0.25">
      <c r="A1162" s="1">
        <v>45</v>
      </c>
      <c r="B1162" s="8" t="str" cm="1">
        <f t="array" ref="B1162">_xlfn.IFS(A1162 &lt;= 25, "[18-25]", A1162 &lt;= 35, "[26-35]", A1162 &lt;=45, "[36-45]", A1162 &lt;= 60, "[46- 60]")</f>
        <v>[36-45]</v>
      </c>
      <c r="C1162" s="3" t="s">
        <v>43</v>
      </c>
      <c r="D1162">
        <f t="shared" si="18"/>
        <v>0</v>
      </c>
      <c r="E1162" t="s">
        <v>36</v>
      </c>
      <c r="F1162" s="1">
        <v>1329</v>
      </c>
      <c r="G1162" s="3" t="s">
        <v>45</v>
      </c>
      <c r="H1162" s="1">
        <v>2</v>
      </c>
      <c r="I1162" s="9" t="str" cm="1">
        <f t="array" ref="I1162">_xlfn.IFS(H1162 &lt;= 2, "[1-2] very close", H1162 &lt;= 10, "[3-10] close", H1162 &lt;= 20, "[11-20] moderate", H1162 &lt;= 30, "[21-30] far")</f>
        <v>[1-2] very close</v>
      </c>
      <c r="J1162" s="1">
        <v>2</v>
      </c>
      <c r="K1162" s="3" t="s">
        <v>49</v>
      </c>
      <c r="L1162" s="1">
        <v>1</v>
      </c>
      <c r="M1162" s="1">
        <v>1635</v>
      </c>
      <c r="N1162" s="1">
        <v>4</v>
      </c>
      <c r="O1162" s="3" t="s">
        <v>39</v>
      </c>
      <c r="P1162" s="1">
        <v>59</v>
      </c>
      <c r="Q1162" s="1">
        <v>2</v>
      </c>
      <c r="R1162" s="1">
        <v>2</v>
      </c>
      <c r="S1162" s="3" t="s">
        <v>53</v>
      </c>
      <c r="T1162" s="1">
        <v>4</v>
      </c>
      <c r="U1162" s="3" t="s">
        <v>52</v>
      </c>
      <c r="V1162" s="4">
        <v>5770</v>
      </c>
      <c r="W1162" s="1">
        <v>5388</v>
      </c>
      <c r="X1162" s="1">
        <v>1</v>
      </c>
      <c r="Y1162" s="3" t="s">
        <v>42</v>
      </c>
      <c r="Z1162" s="3" t="s">
        <v>43</v>
      </c>
      <c r="AA1162" s="5">
        <v>0.19</v>
      </c>
      <c r="AB1162" s="10" t="str" cm="1">
        <f t="array" ref="AB1162">_xlfn.IFS(AA1162 &lt;= 15%, "Low Hike[11-15%]", AA1162 &lt;= 20%, "Moderate Hike[16-20%]", AA1162 &lt;= 25%,"High Hike[21-25%]")</f>
        <v>Moderate Hike[16-20%]</v>
      </c>
      <c r="AC1162" s="1">
        <v>3</v>
      </c>
      <c r="AD1162" s="1">
        <v>1</v>
      </c>
      <c r="AE1162" s="1">
        <v>80</v>
      </c>
      <c r="AF1162" s="1">
        <v>2</v>
      </c>
      <c r="AG1162" s="1">
        <v>10</v>
      </c>
      <c r="AH1162" s="9" t="str" cm="1">
        <f t="array" ref="AH1162">_xlfn.IFS(AG1162 &lt;= 5, "New[1-5]", AG1162 &lt;= 10, "Early Career[6-10]", AG1162 &lt;= 20, "Established[11-20]", AG1162 &lt;= 30, "Veteran[21-30]", AG1162 &lt;= 40, "Late Career[31-40]")</f>
        <v>Early Career[6-10]</v>
      </c>
      <c r="AI1162" s="1">
        <v>3</v>
      </c>
      <c r="AJ1162" s="1">
        <v>3</v>
      </c>
      <c r="AK1162" s="1">
        <v>10</v>
      </c>
      <c r="AL1162" s="9" t="str" cm="1">
        <f t="array" ref="AL1162">_xlfn.IFS(AK1162 &lt;= 5, "New[1-5]", AK1162 &lt;= 10, "Early Career[6-10]", AK1162 &lt;= 20, "Established[11-20]", AK1162 &lt;= 30, "Veteran[21-30]", AK1162 &lt;= 40, "Late Career[31-40]")</f>
        <v>Early Career[6-10]</v>
      </c>
      <c r="AM1162" s="1">
        <v>7</v>
      </c>
      <c r="AN1162" s="9" t="str" cm="1">
        <f t="array" ref="AN1162">_xlfn.IFS(AM1162 &lt;= 3, "New to Role[1-3]", AM1162 &lt;= 7, "Settled[4-7]", AM1162 &lt;= 12, "Experienced[[8-12]", AM1162 &lt;= 18, "Long Tenured[13-18]")</f>
        <v>Settled[4-7]</v>
      </c>
      <c r="AO1162" s="1">
        <v>3</v>
      </c>
      <c r="AP1162" s="9" t="str" cm="1">
        <f t="array" ref="AP1162">_xlfn.IFS(AO1162 &lt;= 3, "Recently[1-3]", AO1162 &lt;= 6, "Due Soon[4-6]", AO1162 &lt;= 10, "Overdue[7-10]", AO1162 &lt;= 15, "Long Overdue[11-15]")</f>
        <v>Recently[1-3]</v>
      </c>
      <c r="AQ1162" s="9" t="str" cm="1">
        <f t="array" ref="AQ1162">_xlfn.IFS(AR1162 &lt;= 3, "New Relationship[1-3]", AR1162 &lt;= 7, "Established Relationship[4-7]", AR1162 &lt;= 12, "Long Term Relationship[8-12]", AR1162 &lt;= 17, "Very Long Term Relationship[13-17]")</f>
        <v>Long Term Relationship[8-12]</v>
      </c>
      <c r="AR1162" s="1">
        <v>9</v>
      </c>
    </row>
    <row r="1163" spans="1:44" x14ac:dyDescent="0.25">
      <c r="A1163" s="1">
        <v>38</v>
      </c>
      <c r="B1163" s="8" t="str" cm="1">
        <f t="array" ref="B1163">_xlfn.IFS(A1163 &lt;= 25, "[18-25]", A1163 &lt;= 35, "[26-35]", A1163 &lt;=45, "[36-45]", A1163 &lt;= 60, "[46- 60]")</f>
        <v>[36-45]</v>
      </c>
      <c r="C1163" s="3" t="s">
        <v>43</v>
      </c>
      <c r="D1163">
        <f t="shared" si="18"/>
        <v>0</v>
      </c>
      <c r="E1163" t="s">
        <v>36</v>
      </c>
      <c r="F1163" s="1">
        <v>397</v>
      </c>
      <c r="G1163" s="3" t="s">
        <v>45</v>
      </c>
      <c r="H1163" s="1">
        <v>2</v>
      </c>
      <c r="I1163" s="9" t="str" cm="1">
        <f t="array" ref="I1163">_xlfn.IFS(H1163 &lt;= 2, "[1-2] very close", H1163 &lt;= 10, "[3-10] close", H1163 &lt;= 20, "[11-20] moderate", H1163 &lt;= 30, "[21-30] far")</f>
        <v>[1-2] very close</v>
      </c>
      <c r="J1163" s="1">
        <v>2</v>
      </c>
      <c r="K1163" s="3" t="s">
        <v>51</v>
      </c>
      <c r="L1163" s="1">
        <v>1</v>
      </c>
      <c r="M1163" s="1">
        <v>1638</v>
      </c>
      <c r="N1163" s="1">
        <v>4</v>
      </c>
      <c r="O1163" s="3" t="s">
        <v>39</v>
      </c>
      <c r="P1163" s="1">
        <v>54</v>
      </c>
      <c r="Q1163" s="1">
        <v>2</v>
      </c>
      <c r="R1163" s="1">
        <v>3</v>
      </c>
      <c r="S1163" s="3" t="s">
        <v>53</v>
      </c>
      <c r="T1163" s="1">
        <v>3</v>
      </c>
      <c r="U1163" s="3" t="s">
        <v>48</v>
      </c>
      <c r="V1163" s="4">
        <v>7756</v>
      </c>
      <c r="W1163" s="1">
        <v>14199</v>
      </c>
      <c r="X1163" s="1">
        <v>3</v>
      </c>
      <c r="Y1163" s="3" t="s">
        <v>42</v>
      </c>
      <c r="Z1163" s="3" t="s">
        <v>35</v>
      </c>
      <c r="AA1163" s="5">
        <v>0.19</v>
      </c>
      <c r="AB1163" s="10" t="str" cm="1">
        <f t="array" ref="AB1163">_xlfn.IFS(AA1163 &lt;= 15%, "Low Hike[11-15%]", AA1163 &lt;= 20%, "Moderate Hike[16-20%]", AA1163 &lt;= 25%,"High Hike[21-25%]")</f>
        <v>Moderate Hike[16-20%]</v>
      </c>
      <c r="AC1163" s="1">
        <v>3</v>
      </c>
      <c r="AD1163" s="1">
        <v>4</v>
      </c>
      <c r="AE1163" s="1">
        <v>80</v>
      </c>
      <c r="AF1163" s="1">
        <v>1</v>
      </c>
      <c r="AG1163" s="1">
        <v>10</v>
      </c>
      <c r="AH1163" s="9" t="str" cm="1">
        <f t="array" ref="AH1163">_xlfn.IFS(AG1163 &lt;= 5, "New[1-5]", AG1163 &lt;= 10, "Early Career[6-10]", AG1163 &lt;= 20, "Established[11-20]", AG1163 &lt;= 30, "Veteran[21-30]", AG1163 &lt;= 40, "Late Career[31-40]")</f>
        <v>Early Career[6-10]</v>
      </c>
      <c r="AI1163" s="1">
        <v>6</v>
      </c>
      <c r="AJ1163" s="1">
        <v>4</v>
      </c>
      <c r="AK1163" s="1">
        <v>5</v>
      </c>
      <c r="AL1163" s="9" t="str" cm="1">
        <f t="array" ref="AL1163">_xlfn.IFS(AK1163 &lt;= 5, "New[1-5]", AK1163 &lt;= 10, "Early Career[6-10]", AK1163 &lt;= 20, "Established[11-20]", AK1163 &lt;= 30, "Veteran[21-30]", AK1163 &lt;= 40, "Late Career[31-40]")</f>
        <v>New[1-5]</v>
      </c>
      <c r="AM1163" s="1">
        <v>4</v>
      </c>
      <c r="AN1163" s="9" t="str" cm="1">
        <f t="array" ref="AN1163">_xlfn.IFS(AM1163 &lt;= 3, "New to Role[1-3]", AM1163 &lt;= 7, "Settled[4-7]", AM1163 &lt;= 12, "Experienced[[8-12]", AM1163 &lt;= 18, "Long Tenured[13-18]")</f>
        <v>Settled[4-7]</v>
      </c>
      <c r="AO1163" s="1">
        <v>0</v>
      </c>
      <c r="AP1163" s="9" t="str" cm="1">
        <f t="array" ref="AP1163">_xlfn.IFS(AO1163 &lt;= 3, "Recently[1-3]", AO1163 &lt;= 6, "Due Soon[4-6]", AO1163 &lt;= 10, "Overdue[7-10]", AO1163 &lt;= 15, "Long Overdue[11-15]")</f>
        <v>Recently[1-3]</v>
      </c>
      <c r="AQ1163" s="9" t="str" cm="1">
        <f t="array" ref="AQ1163">_xlfn.IFS(AR1163 &lt;= 3, "New Relationship[1-3]", AR1163 &lt;= 7, "Established Relationship[4-7]", AR1163 &lt;= 12, "Long Term Relationship[8-12]", AR1163 &lt;= 17, "Very Long Term Relationship[13-17]")</f>
        <v>New Relationship[1-3]</v>
      </c>
      <c r="AR1163" s="1">
        <v>2</v>
      </c>
    </row>
    <row r="1164" spans="1:44" x14ac:dyDescent="0.25">
      <c r="A1164" s="1">
        <v>35</v>
      </c>
      <c r="B1164" s="8" t="str" cm="1">
        <f t="array" ref="B1164">_xlfn.IFS(A1164 &lt;= 25, "[18-25]", A1164 &lt;= 35, "[26-35]", A1164 &lt;=45, "[36-45]", A1164 &lt;= 60, "[46- 60]")</f>
        <v>[26-35]</v>
      </c>
      <c r="C1164" s="3" t="s">
        <v>35</v>
      </c>
      <c r="D1164">
        <f t="shared" si="18"/>
        <v>1</v>
      </c>
      <c r="E1164" t="s">
        <v>36</v>
      </c>
      <c r="F1164" s="1">
        <v>737</v>
      </c>
      <c r="G1164" s="3" t="s">
        <v>37</v>
      </c>
      <c r="H1164" s="1">
        <v>10</v>
      </c>
      <c r="I1164" s="9" t="str" cm="1">
        <f t="array" ref="I1164">_xlfn.IFS(H1164 &lt;= 2, "[1-2] very close", H1164 &lt;= 10, "[3-10] close", H1164 &lt;= 20, "[11-20] moderate", H1164 &lt;= 30, "[21-30] far")</f>
        <v>[3-10] close</v>
      </c>
      <c r="J1164" s="1">
        <v>3</v>
      </c>
      <c r="K1164" s="3" t="s">
        <v>51</v>
      </c>
      <c r="L1164" s="1">
        <v>1</v>
      </c>
      <c r="M1164" s="1">
        <v>1639</v>
      </c>
      <c r="N1164" s="1">
        <v>4</v>
      </c>
      <c r="O1164" s="3" t="s">
        <v>46</v>
      </c>
      <c r="P1164" s="1">
        <v>55</v>
      </c>
      <c r="Q1164" s="1">
        <v>2</v>
      </c>
      <c r="R1164" s="1">
        <v>3</v>
      </c>
      <c r="S1164" s="3" t="s">
        <v>40</v>
      </c>
      <c r="T1164" s="1">
        <v>1</v>
      </c>
      <c r="U1164" s="3" t="s">
        <v>48</v>
      </c>
      <c r="V1164" s="4">
        <v>10306</v>
      </c>
      <c r="W1164" s="1">
        <v>21530</v>
      </c>
      <c r="X1164" s="1">
        <v>9</v>
      </c>
      <c r="Y1164" s="3" t="s">
        <v>42</v>
      </c>
      <c r="Z1164" s="3" t="s">
        <v>43</v>
      </c>
      <c r="AA1164" s="5">
        <v>0.17</v>
      </c>
      <c r="AB1164" s="10" t="str" cm="1">
        <f t="array" ref="AB1164">_xlfn.IFS(AA1164 &lt;= 15%, "Low Hike[11-15%]", AA1164 &lt;= 20%, "Moderate Hike[16-20%]", AA1164 &lt;= 25%,"High Hike[21-25%]")</f>
        <v>Moderate Hike[16-20%]</v>
      </c>
      <c r="AC1164" s="1">
        <v>3</v>
      </c>
      <c r="AD1164" s="1">
        <v>3</v>
      </c>
      <c r="AE1164" s="1">
        <v>80</v>
      </c>
      <c r="AF1164" s="1">
        <v>0</v>
      </c>
      <c r="AG1164" s="1">
        <v>15</v>
      </c>
      <c r="AH1164" s="9" t="str" cm="1">
        <f t="array" ref="AH1164">_xlfn.IFS(AG1164 &lt;= 5, "New[1-5]", AG1164 &lt;= 10, "Early Career[6-10]", AG1164 &lt;= 20, "Established[11-20]", AG1164 &lt;= 30, "Veteran[21-30]", AG1164 &lt;= 40, "Late Career[31-40]")</f>
        <v>Established[11-20]</v>
      </c>
      <c r="AI1164" s="1">
        <v>3</v>
      </c>
      <c r="AJ1164" s="1">
        <v>3</v>
      </c>
      <c r="AK1164" s="1">
        <v>13</v>
      </c>
      <c r="AL1164" s="9" t="str" cm="1">
        <f t="array" ref="AL1164">_xlfn.IFS(AK1164 &lt;= 5, "New[1-5]", AK1164 &lt;= 10, "Early Career[6-10]", AK1164 &lt;= 20, "Established[11-20]", AK1164 &lt;= 30, "Veteran[21-30]", AK1164 &lt;= 40, "Late Career[31-40]")</f>
        <v>Established[11-20]</v>
      </c>
      <c r="AM1164" s="1">
        <v>12</v>
      </c>
      <c r="AN1164" s="9" t="str" cm="1">
        <f t="array" ref="AN1164">_xlfn.IFS(AM1164 &lt;= 3, "New to Role[1-3]", AM1164 &lt;= 7, "Settled[4-7]", AM1164 &lt;= 12, "Experienced[[8-12]", AM1164 &lt;= 18, "Long Tenured[13-18]")</f>
        <v>Experienced[[8-12]</v>
      </c>
      <c r="AO1164" s="1">
        <v>6</v>
      </c>
      <c r="AP1164" s="9" t="str" cm="1">
        <f t="array" ref="AP1164">_xlfn.IFS(AO1164 &lt;= 3, "Recently[1-3]", AO1164 &lt;= 6, "Due Soon[4-6]", AO1164 &lt;= 10, "Overdue[7-10]", AO1164 &lt;= 15, "Long Overdue[11-15]")</f>
        <v>Due Soon[4-6]</v>
      </c>
      <c r="AQ1164" s="9" t="str" cm="1">
        <f t="array" ref="AQ1164">_xlfn.IFS(AR1164 &lt;= 3, "New Relationship[1-3]", AR1164 &lt;= 7, "Established Relationship[4-7]", AR1164 &lt;= 12, "Long Term Relationship[8-12]", AR1164 &lt;= 17, "Very Long Term Relationship[13-17]")</f>
        <v>New Relationship[1-3]</v>
      </c>
      <c r="AR1164" s="1">
        <v>0</v>
      </c>
    </row>
    <row r="1165" spans="1:44" x14ac:dyDescent="0.25">
      <c r="A1165" s="1">
        <v>37</v>
      </c>
      <c r="B1165" s="8" t="str" cm="1">
        <f t="array" ref="B1165">_xlfn.IFS(A1165 &lt;= 25, "[18-25]", A1165 &lt;= 35, "[26-35]", A1165 &lt;=45, "[36-45]", A1165 &lt;= 60, "[46- 60]")</f>
        <v>[36-45]</v>
      </c>
      <c r="C1165" s="3" t="s">
        <v>43</v>
      </c>
      <c r="D1165">
        <f t="shared" si="18"/>
        <v>0</v>
      </c>
      <c r="E1165" t="s">
        <v>36</v>
      </c>
      <c r="F1165" s="1">
        <v>1470</v>
      </c>
      <c r="G1165" s="3" t="s">
        <v>45</v>
      </c>
      <c r="H1165" s="1">
        <v>10</v>
      </c>
      <c r="I1165" s="9" t="str" cm="1">
        <f t="array" ref="I1165">_xlfn.IFS(H1165 &lt;= 2, "[1-2] very close", H1165 &lt;= 10, "[3-10] close", H1165 &lt;= 20, "[11-20] moderate", H1165 &lt;= 30, "[21-30] far")</f>
        <v>[3-10] close</v>
      </c>
      <c r="J1165" s="1">
        <v>3</v>
      </c>
      <c r="K1165" s="3" t="s">
        <v>51</v>
      </c>
      <c r="L1165" s="1">
        <v>1</v>
      </c>
      <c r="M1165" s="1">
        <v>1640</v>
      </c>
      <c r="N1165" s="1">
        <v>2</v>
      </c>
      <c r="O1165" s="3" t="s">
        <v>39</v>
      </c>
      <c r="P1165" s="1">
        <v>71</v>
      </c>
      <c r="Q1165" s="1">
        <v>3</v>
      </c>
      <c r="R1165" s="1">
        <v>1</v>
      </c>
      <c r="S1165" s="3" t="s">
        <v>47</v>
      </c>
      <c r="T1165" s="1">
        <v>2</v>
      </c>
      <c r="U1165" s="3" t="s">
        <v>48</v>
      </c>
      <c r="V1165" s="4">
        <v>3936</v>
      </c>
      <c r="W1165" s="1">
        <v>9953</v>
      </c>
      <c r="X1165" s="1">
        <v>1</v>
      </c>
      <c r="Y1165" s="3" t="s">
        <v>42</v>
      </c>
      <c r="Z1165" s="3" t="s">
        <v>43</v>
      </c>
      <c r="AA1165" s="5">
        <v>0.11</v>
      </c>
      <c r="AB1165" s="10" t="str" cm="1">
        <f t="array" ref="AB1165">_xlfn.IFS(AA1165 &lt;= 15%, "Low Hike[11-15%]", AA1165 &lt;= 20%, "Moderate Hike[16-20%]", AA1165 &lt;= 25%,"High Hike[21-25%]")</f>
        <v>Low Hike[11-15%]</v>
      </c>
      <c r="AC1165" s="1">
        <v>3</v>
      </c>
      <c r="AD1165" s="1">
        <v>1</v>
      </c>
      <c r="AE1165" s="1">
        <v>80</v>
      </c>
      <c r="AF1165" s="1">
        <v>1</v>
      </c>
      <c r="AG1165" s="1">
        <v>8</v>
      </c>
      <c r="AH1165" s="9" t="str" cm="1">
        <f t="array" ref="AH1165">_xlfn.IFS(AG1165 &lt;= 5, "New[1-5]", AG1165 &lt;= 10, "Early Career[6-10]", AG1165 &lt;= 20, "Established[11-20]", AG1165 &lt;= 30, "Veteran[21-30]", AG1165 &lt;= 40, "Late Career[31-40]")</f>
        <v>Early Career[6-10]</v>
      </c>
      <c r="AI1165" s="1">
        <v>2</v>
      </c>
      <c r="AJ1165" s="1">
        <v>1</v>
      </c>
      <c r="AK1165" s="1">
        <v>8</v>
      </c>
      <c r="AL1165" s="9" t="str" cm="1">
        <f t="array" ref="AL1165">_xlfn.IFS(AK1165 &lt;= 5, "New[1-5]", AK1165 &lt;= 10, "Early Career[6-10]", AK1165 &lt;= 20, "Established[11-20]", AK1165 &lt;= 30, "Veteran[21-30]", AK1165 &lt;= 40, "Late Career[31-40]")</f>
        <v>Early Career[6-10]</v>
      </c>
      <c r="AM1165" s="1">
        <v>4</v>
      </c>
      <c r="AN1165" s="9" t="str" cm="1">
        <f t="array" ref="AN1165">_xlfn.IFS(AM1165 &lt;= 3, "New to Role[1-3]", AM1165 &lt;= 7, "Settled[4-7]", AM1165 &lt;= 12, "Experienced[[8-12]", AM1165 &lt;= 18, "Long Tenured[13-18]")</f>
        <v>Settled[4-7]</v>
      </c>
      <c r="AO1165" s="1">
        <v>7</v>
      </c>
      <c r="AP1165" s="9" t="str" cm="1">
        <f t="array" ref="AP1165">_xlfn.IFS(AO1165 &lt;= 3, "Recently[1-3]", AO1165 &lt;= 6, "Due Soon[4-6]", AO1165 &lt;= 10, "Overdue[7-10]", AO1165 &lt;= 15, "Long Overdue[11-15]")</f>
        <v>Overdue[7-10]</v>
      </c>
      <c r="AQ1165" s="9" t="str" cm="1">
        <f t="array" ref="AQ1165">_xlfn.IFS(AR1165 &lt;= 3, "New Relationship[1-3]", AR1165 &lt;= 7, "Established Relationship[4-7]", AR1165 &lt;= 12, "Long Term Relationship[8-12]", AR1165 &lt;= 17, "Very Long Term Relationship[13-17]")</f>
        <v>Established Relationship[4-7]</v>
      </c>
      <c r="AR1165" s="1">
        <v>7</v>
      </c>
    </row>
    <row r="1166" spans="1:44" x14ac:dyDescent="0.25">
      <c r="A1166" s="1">
        <v>40</v>
      </c>
      <c r="B1166" s="8" t="str" cm="1">
        <f t="array" ref="B1166">_xlfn.IFS(A1166 &lt;= 25, "[18-25]", A1166 &lt;= 35, "[26-35]", A1166 &lt;=45, "[36-45]", A1166 &lt;= 60, "[46- 60]")</f>
        <v>[36-45]</v>
      </c>
      <c r="C1166" s="3" t="s">
        <v>43</v>
      </c>
      <c r="D1166">
        <f t="shared" si="18"/>
        <v>0</v>
      </c>
      <c r="E1166" t="s">
        <v>36</v>
      </c>
      <c r="F1166" s="1">
        <v>448</v>
      </c>
      <c r="G1166" s="3" t="s">
        <v>45</v>
      </c>
      <c r="H1166" s="1">
        <v>16</v>
      </c>
      <c r="I1166" s="9" t="str" cm="1">
        <f t="array" ref="I1166">_xlfn.IFS(H1166 &lt;= 2, "[1-2] very close", H1166 &lt;= 10, "[3-10] close", H1166 &lt;= 20, "[11-20] moderate", H1166 &lt;= 30, "[21-30] far")</f>
        <v>[11-20] moderate</v>
      </c>
      <c r="J1166" s="1">
        <v>3</v>
      </c>
      <c r="K1166" s="3" t="s">
        <v>38</v>
      </c>
      <c r="L1166" s="1">
        <v>1</v>
      </c>
      <c r="M1166" s="1">
        <v>1641</v>
      </c>
      <c r="N1166" s="1">
        <v>3</v>
      </c>
      <c r="O1166" s="3" t="s">
        <v>39</v>
      </c>
      <c r="P1166" s="1">
        <v>84</v>
      </c>
      <c r="Q1166" s="1">
        <v>3</v>
      </c>
      <c r="R1166" s="1">
        <v>3</v>
      </c>
      <c r="S1166" s="3" t="s">
        <v>53</v>
      </c>
      <c r="T1166" s="1">
        <v>4</v>
      </c>
      <c r="U1166" s="3" t="s">
        <v>41</v>
      </c>
      <c r="V1166" s="4">
        <v>7945</v>
      </c>
      <c r="W1166" s="1">
        <v>19948</v>
      </c>
      <c r="X1166" s="1">
        <v>6</v>
      </c>
      <c r="Y1166" s="3" t="s">
        <v>42</v>
      </c>
      <c r="Z1166" s="3" t="s">
        <v>35</v>
      </c>
      <c r="AA1166" s="5">
        <v>0.15</v>
      </c>
      <c r="AB1166" s="10" t="str" cm="1">
        <f t="array" ref="AB1166">_xlfn.IFS(AA1166 &lt;= 15%, "Low Hike[11-15%]", AA1166 &lt;= 20%, "Moderate Hike[16-20%]", AA1166 &lt;= 25%,"High Hike[21-25%]")</f>
        <v>Low Hike[11-15%]</v>
      </c>
      <c r="AC1166" s="1">
        <v>3</v>
      </c>
      <c r="AD1166" s="1">
        <v>4</v>
      </c>
      <c r="AE1166" s="1">
        <v>80</v>
      </c>
      <c r="AF1166" s="1">
        <v>0</v>
      </c>
      <c r="AG1166" s="1">
        <v>18</v>
      </c>
      <c r="AH1166" s="9" t="str" cm="1">
        <f t="array" ref="AH1166">_xlfn.IFS(AG1166 &lt;= 5, "New[1-5]", AG1166 &lt;= 10, "Early Career[6-10]", AG1166 &lt;= 20, "Established[11-20]", AG1166 &lt;= 30, "Veteran[21-30]", AG1166 &lt;= 40, "Late Career[31-40]")</f>
        <v>Established[11-20]</v>
      </c>
      <c r="AI1166" s="1">
        <v>2</v>
      </c>
      <c r="AJ1166" s="1">
        <v>2</v>
      </c>
      <c r="AK1166" s="1">
        <v>4</v>
      </c>
      <c r="AL1166" s="9" t="str" cm="1">
        <f t="array" ref="AL1166">_xlfn.IFS(AK1166 &lt;= 5, "New[1-5]", AK1166 &lt;= 10, "Early Career[6-10]", AK1166 &lt;= 20, "Established[11-20]", AK1166 &lt;= 30, "Veteran[21-30]", AK1166 &lt;= 40, "Late Career[31-40]")</f>
        <v>New[1-5]</v>
      </c>
      <c r="AM1166" s="1">
        <v>2</v>
      </c>
      <c r="AN1166" s="9" t="str" cm="1">
        <f t="array" ref="AN1166">_xlfn.IFS(AM1166 &lt;= 3, "New to Role[1-3]", AM1166 &lt;= 7, "Settled[4-7]", AM1166 &lt;= 12, "Experienced[[8-12]", AM1166 &lt;= 18, "Long Tenured[13-18]")</f>
        <v>New to Role[1-3]</v>
      </c>
      <c r="AO1166" s="1">
        <v>3</v>
      </c>
      <c r="AP1166" s="9" t="str" cm="1">
        <f t="array" ref="AP1166">_xlfn.IFS(AO1166 &lt;= 3, "Recently[1-3]", AO1166 &lt;= 6, "Due Soon[4-6]", AO1166 &lt;= 10, "Overdue[7-10]", AO1166 &lt;= 15, "Long Overdue[11-15]")</f>
        <v>Recently[1-3]</v>
      </c>
      <c r="AQ1166" s="9" t="str" cm="1">
        <f t="array" ref="AQ1166">_xlfn.IFS(AR1166 &lt;= 3, "New Relationship[1-3]", AR1166 &lt;= 7, "Established Relationship[4-7]", AR1166 &lt;= 12, "Long Term Relationship[8-12]", AR1166 &lt;= 17, "Very Long Term Relationship[13-17]")</f>
        <v>New Relationship[1-3]</v>
      </c>
      <c r="AR1166" s="1">
        <v>3</v>
      </c>
    </row>
    <row r="1167" spans="1:44" x14ac:dyDescent="0.25">
      <c r="A1167" s="1">
        <v>44</v>
      </c>
      <c r="B1167" s="8" t="str" cm="1">
        <f t="array" ref="B1167">_xlfn.IFS(A1167 &lt;= 25, "[18-25]", A1167 &lt;= 35, "[26-35]", A1167 &lt;=45, "[36-45]", A1167 &lt;= 60, "[46- 60]")</f>
        <v>[36-45]</v>
      </c>
      <c r="C1167" s="3" t="s">
        <v>43</v>
      </c>
      <c r="D1167">
        <f t="shared" si="18"/>
        <v>0</v>
      </c>
      <c r="E1167" t="s">
        <v>44</v>
      </c>
      <c r="F1167" s="1">
        <v>602</v>
      </c>
      <c r="G1167" s="3" t="s">
        <v>61</v>
      </c>
      <c r="H1167" s="1">
        <v>1</v>
      </c>
      <c r="I1167" s="9" t="str" cm="1">
        <f t="array" ref="I1167">_xlfn.IFS(H1167 &lt;= 2, "[1-2] very close", H1167 &lt;= 10, "[3-10] close", H1167 &lt;= 20, "[11-20] moderate", H1167 &lt;= 30, "[21-30] far")</f>
        <v>[1-2] very close</v>
      </c>
      <c r="J1167" s="1">
        <v>5</v>
      </c>
      <c r="K1167" s="3" t="s">
        <v>61</v>
      </c>
      <c r="L1167" s="1">
        <v>1</v>
      </c>
      <c r="M1167" s="1">
        <v>1642</v>
      </c>
      <c r="N1167" s="1">
        <v>1</v>
      </c>
      <c r="O1167" s="3" t="s">
        <v>46</v>
      </c>
      <c r="P1167" s="1">
        <v>37</v>
      </c>
      <c r="Q1167" s="1">
        <v>3</v>
      </c>
      <c r="R1167" s="1">
        <v>2</v>
      </c>
      <c r="S1167" s="3" t="s">
        <v>61</v>
      </c>
      <c r="T1167" s="1">
        <v>4</v>
      </c>
      <c r="U1167" s="3" t="s">
        <v>48</v>
      </c>
      <c r="V1167" s="4">
        <v>5743</v>
      </c>
      <c r="W1167" s="1">
        <v>10503</v>
      </c>
      <c r="X1167" s="1">
        <v>4</v>
      </c>
      <c r="Y1167" s="3" t="s">
        <v>42</v>
      </c>
      <c r="Z1167" s="3" t="s">
        <v>35</v>
      </c>
      <c r="AA1167" s="5">
        <v>0.11</v>
      </c>
      <c r="AB1167" s="10" t="str" cm="1">
        <f t="array" ref="AB1167">_xlfn.IFS(AA1167 &lt;= 15%, "Low Hike[11-15%]", AA1167 &lt;= 20%, "Moderate Hike[16-20%]", AA1167 &lt;= 25%,"High Hike[21-25%]")</f>
        <v>Low Hike[11-15%]</v>
      </c>
      <c r="AC1167" s="1">
        <v>3</v>
      </c>
      <c r="AD1167" s="1">
        <v>3</v>
      </c>
      <c r="AE1167" s="1">
        <v>80</v>
      </c>
      <c r="AF1167" s="1">
        <v>0</v>
      </c>
      <c r="AG1167" s="1">
        <v>14</v>
      </c>
      <c r="AH1167" s="9" t="str" cm="1">
        <f t="array" ref="AH1167">_xlfn.IFS(AG1167 &lt;= 5, "New[1-5]", AG1167 &lt;= 10, "Early Career[6-10]", AG1167 &lt;= 20, "Established[11-20]", AG1167 &lt;= 30, "Veteran[21-30]", AG1167 &lt;= 40, "Late Career[31-40]")</f>
        <v>Established[11-20]</v>
      </c>
      <c r="AI1167" s="1">
        <v>3</v>
      </c>
      <c r="AJ1167" s="1">
        <v>3</v>
      </c>
      <c r="AK1167" s="1">
        <v>10</v>
      </c>
      <c r="AL1167" s="9" t="str" cm="1">
        <f t="array" ref="AL1167">_xlfn.IFS(AK1167 &lt;= 5, "New[1-5]", AK1167 &lt;= 10, "Early Career[6-10]", AK1167 &lt;= 20, "Established[11-20]", AK1167 &lt;= 30, "Veteran[21-30]", AK1167 &lt;= 40, "Late Career[31-40]")</f>
        <v>Early Career[6-10]</v>
      </c>
      <c r="AM1167" s="1">
        <v>7</v>
      </c>
      <c r="AN1167" s="9" t="str" cm="1">
        <f t="array" ref="AN1167">_xlfn.IFS(AM1167 &lt;= 3, "New to Role[1-3]", AM1167 &lt;= 7, "Settled[4-7]", AM1167 &lt;= 12, "Experienced[[8-12]", AM1167 &lt;= 18, "Long Tenured[13-18]")</f>
        <v>Settled[4-7]</v>
      </c>
      <c r="AO1167" s="1">
        <v>0</v>
      </c>
      <c r="AP1167" s="9" t="str" cm="1">
        <f t="array" ref="AP1167">_xlfn.IFS(AO1167 &lt;= 3, "Recently[1-3]", AO1167 &lt;= 6, "Due Soon[4-6]", AO1167 &lt;= 10, "Overdue[7-10]", AO1167 &lt;= 15, "Long Overdue[11-15]")</f>
        <v>Recently[1-3]</v>
      </c>
      <c r="AQ1167" s="9" t="str" cm="1">
        <f t="array" ref="AQ1167">_xlfn.IFS(AR1167 &lt;= 3, "New Relationship[1-3]", AR1167 &lt;= 7, "Established Relationship[4-7]", AR1167 &lt;= 12, "Long Term Relationship[8-12]", AR1167 &lt;= 17, "Very Long Term Relationship[13-17]")</f>
        <v>New Relationship[1-3]</v>
      </c>
      <c r="AR1167" s="1">
        <v>2</v>
      </c>
    </row>
    <row r="1168" spans="1:44" x14ac:dyDescent="0.25">
      <c r="A1168" s="1">
        <v>48</v>
      </c>
      <c r="B1168" s="8" t="str" cm="1">
        <f t="array" ref="B1168">_xlfn.IFS(A1168 &lt;= 25, "[18-25]", A1168 &lt;= 35, "[26-35]", A1168 &lt;=45, "[36-45]", A1168 &lt;= 60, "[46- 60]")</f>
        <v>[46- 60]</v>
      </c>
      <c r="C1168" s="3" t="s">
        <v>43</v>
      </c>
      <c r="D1168">
        <f t="shared" si="18"/>
        <v>0</v>
      </c>
      <c r="E1168" t="s">
        <v>44</v>
      </c>
      <c r="F1168" s="1">
        <v>365</v>
      </c>
      <c r="G1168" s="3" t="s">
        <v>45</v>
      </c>
      <c r="H1168" s="1">
        <v>4</v>
      </c>
      <c r="I1168" s="9" t="str" cm="1">
        <f t="array" ref="I1168">_xlfn.IFS(H1168 &lt;= 2, "[1-2] very close", H1168 &lt;= 10, "[3-10] close", H1168 &lt;= 20, "[11-20] moderate", H1168 &lt;= 30, "[21-30] far")</f>
        <v>[3-10] close</v>
      </c>
      <c r="J1168" s="1">
        <v>5</v>
      </c>
      <c r="K1168" s="3" t="s">
        <v>51</v>
      </c>
      <c r="L1168" s="1">
        <v>1</v>
      </c>
      <c r="M1168" s="1">
        <v>1644</v>
      </c>
      <c r="N1168" s="1">
        <v>3</v>
      </c>
      <c r="O1168" s="3" t="s">
        <v>46</v>
      </c>
      <c r="P1168" s="1">
        <v>89</v>
      </c>
      <c r="Q1168" s="1">
        <v>2</v>
      </c>
      <c r="R1168" s="1">
        <v>4</v>
      </c>
      <c r="S1168" s="3" t="s">
        <v>56</v>
      </c>
      <c r="T1168" s="1">
        <v>4</v>
      </c>
      <c r="U1168" s="3" t="s">
        <v>48</v>
      </c>
      <c r="V1168" s="4">
        <v>15202</v>
      </c>
      <c r="W1168" s="1">
        <v>5602</v>
      </c>
      <c r="X1168" s="1">
        <v>2</v>
      </c>
      <c r="Y1168" s="3" t="s">
        <v>42</v>
      </c>
      <c r="Z1168" s="3" t="s">
        <v>43</v>
      </c>
      <c r="AA1168" s="5">
        <v>0.25</v>
      </c>
      <c r="AB1168" s="10" t="str" cm="1">
        <f t="array" ref="AB1168">_xlfn.IFS(AA1168 &lt;= 15%, "Low Hike[11-15%]", AA1168 &lt;= 20%, "Moderate Hike[16-20%]", AA1168 &lt;= 25%,"High Hike[21-25%]")</f>
        <v>High Hike[21-25%]</v>
      </c>
      <c r="AC1168" s="1">
        <v>4</v>
      </c>
      <c r="AD1168" s="1">
        <v>2</v>
      </c>
      <c r="AE1168" s="1">
        <v>80</v>
      </c>
      <c r="AF1168" s="1">
        <v>1</v>
      </c>
      <c r="AG1168" s="1">
        <v>23</v>
      </c>
      <c r="AH1168" s="9" t="str" cm="1">
        <f t="array" ref="AH1168">_xlfn.IFS(AG1168 &lt;= 5, "New[1-5]", AG1168 &lt;= 10, "Early Career[6-10]", AG1168 &lt;= 20, "Established[11-20]", AG1168 &lt;= 30, "Veteran[21-30]", AG1168 &lt;= 40, "Late Career[31-40]")</f>
        <v>Veteran[21-30]</v>
      </c>
      <c r="AI1168" s="1">
        <v>3</v>
      </c>
      <c r="AJ1168" s="1">
        <v>3</v>
      </c>
      <c r="AK1168" s="1">
        <v>2</v>
      </c>
      <c r="AL1168" s="9" t="str" cm="1">
        <f t="array" ref="AL1168">_xlfn.IFS(AK1168 &lt;= 5, "New[1-5]", AK1168 &lt;= 10, "Early Career[6-10]", AK1168 &lt;= 20, "Established[11-20]", AK1168 &lt;= 30, "Veteran[21-30]", AK1168 &lt;= 40, "Late Career[31-40]")</f>
        <v>New[1-5]</v>
      </c>
      <c r="AM1168" s="1">
        <v>2</v>
      </c>
      <c r="AN1168" s="9" t="str" cm="1">
        <f t="array" ref="AN1168">_xlfn.IFS(AM1168 &lt;= 3, "New to Role[1-3]", AM1168 &lt;= 7, "Settled[4-7]", AM1168 &lt;= 12, "Experienced[[8-12]", AM1168 &lt;= 18, "Long Tenured[13-18]")</f>
        <v>New to Role[1-3]</v>
      </c>
      <c r="AO1168" s="1">
        <v>2</v>
      </c>
      <c r="AP1168" s="9" t="str" cm="1">
        <f t="array" ref="AP1168">_xlfn.IFS(AO1168 &lt;= 3, "Recently[1-3]", AO1168 &lt;= 6, "Due Soon[4-6]", AO1168 &lt;= 10, "Overdue[7-10]", AO1168 &lt;= 15, "Long Overdue[11-15]")</f>
        <v>Recently[1-3]</v>
      </c>
      <c r="AQ1168" s="9" t="str" cm="1">
        <f t="array" ref="AQ1168">_xlfn.IFS(AR1168 &lt;= 3, "New Relationship[1-3]", AR1168 &lt;= 7, "Established Relationship[4-7]", AR1168 &lt;= 12, "Long Term Relationship[8-12]", AR1168 &lt;= 17, "Very Long Term Relationship[13-17]")</f>
        <v>New Relationship[1-3]</v>
      </c>
      <c r="AR1168" s="1">
        <v>2</v>
      </c>
    </row>
    <row r="1169" spans="1:44" x14ac:dyDescent="0.25">
      <c r="A1169" s="1">
        <v>35</v>
      </c>
      <c r="B1169" s="8" t="str" cm="1">
        <f t="array" ref="B1169">_xlfn.IFS(A1169 &lt;= 25, "[18-25]", A1169 &lt;= 35, "[26-35]", A1169 &lt;=45, "[36-45]", A1169 &lt;= 60, "[46- 60]")</f>
        <v>[26-35]</v>
      </c>
      <c r="C1169" s="3" t="s">
        <v>35</v>
      </c>
      <c r="D1169">
        <f t="shared" si="18"/>
        <v>1</v>
      </c>
      <c r="E1169" t="s">
        <v>36</v>
      </c>
      <c r="F1169" s="1">
        <v>763</v>
      </c>
      <c r="G1169" s="3" t="s">
        <v>37</v>
      </c>
      <c r="H1169" s="1">
        <v>15</v>
      </c>
      <c r="I1169" s="9" t="str" cm="1">
        <f t="array" ref="I1169">_xlfn.IFS(H1169 &lt;= 2, "[1-2] very close", H1169 &lt;= 10, "[3-10] close", H1169 &lt;= 20, "[11-20] moderate", H1169 &lt;= 30, "[21-30] far")</f>
        <v>[11-20] moderate</v>
      </c>
      <c r="J1169" s="1">
        <v>2</v>
      </c>
      <c r="K1169" s="3" t="s">
        <v>51</v>
      </c>
      <c r="L1169" s="1">
        <v>1</v>
      </c>
      <c r="M1169" s="1">
        <v>1645</v>
      </c>
      <c r="N1169" s="1">
        <v>1</v>
      </c>
      <c r="O1169" s="3" t="s">
        <v>46</v>
      </c>
      <c r="P1169" s="1">
        <v>59</v>
      </c>
      <c r="Q1169" s="1">
        <v>1</v>
      </c>
      <c r="R1169" s="1">
        <v>2</v>
      </c>
      <c r="S1169" s="3" t="s">
        <v>40</v>
      </c>
      <c r="T1169" s="1">
        <v>4</v>
      </c>
      <c r="U1169" s="3" t="s">
        <v>52</v>
      </c>
      <c r="V1169" s="4">
        <v>5440</v>
      </c>
      <c r="W1169" s="1">
        <v>22098</v>
      </c>
      <c r="X1169" s="1">
        <v>6</v>
      </c>
      <c r="Y1169" s="3" t="s">
        <v>42</v>
      </c>
      <c r="Z1169" s="3" t="s">
        <v>35</v>
      </c>
      <c r="AA1169" s="5">
        <v>0.14000000000000001</v>
      </c>
      <c r="AB1169" s="10" t="str" cm="1">
        <f t="array" ref="AB1169">_xlfn.IFS(AA1169 &lt;= 15%, "Low Hike[11-15%]", AA1169 &lt;= 20%, "Moderate Hike[16-20%]", AA1169 &lt;= 25%,"High Hike[21-25%]")</f>
        <v>Low Hike[11-15%]</v>
      </c>
      <c r="AC1169" s="1">
        <v>3</v>
      </c>
      <c r="AD1169" s="1">
        <v>4</v>
      </c>
      <c r="AE1169" s="1">
        <v>80</v>
      </c>
      <c r="AF1169" s="1">
        <v>2</v>
      </c>
      <c r="AG1169" s="1">
        <v>7</v>
      </c>
      <c r="AH1169" s="9" t="str" cm="1">
        <f t="array" ref="AH1169">_xlfn.IFS(AG1169 &lt;= 5, "New[1-5]", AG1169 &lt;= 10, "Early Career[6-10]", AG1169 &lt;= 20, "Established[11-20]", AG1169 &lt;= 30, "Veteran[21-30]", AG1169 &lt;= 40, "Late Career[31-40]")</f>
        <v>Early Career[6-10]</v>
      </c>
      <c r="AI1169" s="1">
        <v>2</v>
      </c>
      <c r="AJ1169" s="1">
        <v>2</v>
      </c>
      <c r="AK1169" s="1">
        <v>2</v>
      </c>
      <c r="AL1169" s="9" t="str" cm="1">
        <f t="array" ref="AL1169">_xlfn.IFS(AK1169 &lt;= 5, "New[1-5]", AK1169 &lt;= 10, "Early Career[6-10]", AK1169 &lt;= 20, "Established[11-20]", AK1169 &lt;= 30, "Veteran[21-30]", AK1169 &lt;= 40, "Late Career[31-40]")</f>
        <v>New[1-5]</v>
      </c>
      <c r="AM1169" s="1">
        <v>2</v>
      </c>
      <c r="AN1169" s="9" t="str" cm="1">
        <f t="array" ref="AN1169">_xlfn.IFS(AM1169 &lt;= 3, "New to Role[1-3]", AM1169 &lt;= 7, "Settled[4-7]", AM1169 &lt;= 12, "Experienced[[8-12]", AM1169 &lt;= 18, "Long Tenured[13-18]")</f>
        <v>New to Role[1-3]</v>
      </c>
      <c r="AO1169" s="1">
        <v>2</v>
      </c>
      <c r="AP1169" s="9" t="str" cm="1">
        <f t="array" ref="AP1169">_xlfn.IFS(AO1169 &lt;= 3, "Recently[1-3]", AO1169 &lt;= 6, "Due Soon[4-6]", AO1169 &lt;= 10, "Overdue[7-10]", AO1169 &lt;= 15, "Long Overdue[11-15]")</f>
        <v>Recently[1-3]</v>
      </c>
      <c r="AQ1169" s="9" t="str" cm="1">
        <f t="array" ref="AQ1169">_xlfn.IFS(AR1169 &lt;= 3, "New Relationship[1-3]", AR1169 &lt;= 7, "Established Relationship[4-7]", AR1169 &lt;= 12, "Long Term Relationship[8-12]", AR1169 &lt;= 17, "Very Long Term Relationship[13-17]")</f>
        <v>New Relationship[1-3]</v>
      </c>
      <c r="AR1169" s="1">
        <v>2</v>
      </c>
    </row>
    <row r="1170" spans="1:44" x14ac:dyDescent="0.25">
      <c r="A1170" s="1">
        <v>24</v>
      </c>
      <c r="B1170" s="8" t="str" cm="1">
        <f t="array" ref="B1170">_xlfn.IFS(A1170 &lt;= 25, "[18-25]", A1170 &lt;= 35, "[26-35]", A1170 &lt;=45, "[36-45]", A1170 &lt;= 60, "[46- 60]")</f>
        <v>[18-25]</v>
      </c>
      <c r="C1170" s="3" t="s">
        <v>43</v>
      </c>
      <c r="D1170">
        <f t="shared" si="18"/>
        <v>0</v>
      </c>
      <c r="E1170" t="s">
        <v>44</v>
      </c>
      <c r="F1170" s="1">
        <v>567</v>
      </c>
      <c r="G1170" s="3" t="s">
        <v>45</v>
      </c>
      <c r="H1170" s="1">
        <v>2</v>
      </c>
      <c r="I1170" s="9" t="str" cm="1">
        <f t="array" ref="I1170">_xlfn.IFS(H1170 &lt;= 2, "[1-2] very close", H1170 &lt;= 10, "[3-10] close", H1170 &lt;= 20, "[11-20] moderate", H1170 &lt;= 30, "[21-30] far")</f>
        <v>[1-2] very close</v>
      </c>
      <c r="J1170" s="1">
        <v>1</v>
      </c>
      <c r="K1170" s="3" t="s">
        <v>60</v>
      </c>
      <c r="L1170" s="1">
        <v>1</v>
      </c>
      <c r="M1170" s="1">
        <v>1646</v>
      </c>
      <c r="N1170" s="1">
        <v>1</v>
      </c>
      <c r="O1170" s="3" t="s">
        <v>39</v>
      </c>
      <c r="P1170" s="1">
        <v>32</v>
      </c>
      <c r="Q1170" s="1">
        <v>3</v>
      </c>
      <c r="R1170" s="1">
        <v>1</v>
      </c>
      <c r="S1170" s="3" t="s">
        <v>47</v>
      </c>
      <c r="T1170" s="1">
        <v>4</v>
      </c>
      <c r="U1170" s="3" t="s">
        <v>41</v>
      </c>
      <c r="V1170" s="4">
        <v>3760</v>
      </c>
      <c r="W1170" s="1">
        <v>17218</v>
      </c>
      <c r="X1170" s="1">
        <v>1</v>
      </c>
      <c r="Y1170" s="3" t="s">
        <v>42</v>
      </c>
      <c r="Z1170" s="3" t="s">
        <v>35</v>
      </c>
      <c r="AA1170" s="5">
        <v>0.13</v>
      </c>
      <c r="AB1170" s="10" t="str" cm="1">
        <f t="array" ref="AB1170">_xlfn.IFS(AA1170 &lt;= 15%, "Low Hike[11-15%]", AA1170 &lt;= 20%, "Moderate Hike[16-20%]", AA1170 &lt;= 25%,"High Hike[21-25%]")</f>
        <v>Low Hike[11-15%]</v>
      </c>
      <c r="AC1170" s="1">
        <v>3</v>
      </c>
      <c r="AD1170" s="1">
        <v>3</v>
      </c>
      <c r="AE1170" s="1">
        <v>80</v>
      </c>
      <c r="AF1170" s="1">
        <v>0</v>
      </c>
      <c r="AG1170" s="1">
        <v>6</v>
      </c>
      <c r="AH1170" s="9" t="str" cm="1">
        <f t="array" ref="AH1170">_xlfn.IFS(AG1170 &lt;= 5, "New[1-5]", AG1170 &lt;= 10, "Early Career[6-10]", AG1170 &lt;= 20, "Established[11-20]", AG1170 &lt;= 30, "Veteran[21-30]", AG1170 &lt;= 40, "Late Career[31-40]")</f>
        <v>Early Career[6-10]</v>
      </c>
      <c r="AI1170" s="1">
        <v>2</v>
      </c>
      <c r="AJ1170" s="1">
        <v>3</v>
      </c>
      <c r="AK1170" s="1">
        <v>6</v>
      </c>
      <c r="AL1170" s="9" t="str" cm="1">
        <f t="array" ref="AL1170">_xlfn.IFS(AK1170 &lt;= 5, "New[1-5]", AK1170 &lt;= 10, "Early Career[6-10]", AK1170 &lt;= 20, "Established[11-20]", AK1170 &lt;= 30, "Veteran[21-30]", AK1170 &lt;= 40, "Late Career[31-40]")</f>
        <v>Early Career[6-10]</v>
      </c>
      <c r="AM1170" s="1">
        <v>3</v>
      </c>
      <c r="AN1170" s="9" t="str" cm="1">
        <f t="array" ref="AN1170">_xlfn.IFS(AM1170 &lt;= 3, "New to Role[1-3]", AM1170 &lt;= 7, "Settled[4-7]", AM1170 &lt;= 12, "Experienced[[8-12]", AM1170 &lt;= 18, "Long Tenured[13-18]")</f>
        <v>New to Role[1-3]</v>
      </c>
      <c r="AO1170" s="1">
        <v>1</v>
      </c>
      <c r="AP1170" s="9" t="str" cm="1">
        <f t="array" ref="AP1170">_xlfn.IFS(AO1170 &lt;= 3, "Recently[1-3]", AO1170 &lt;= 6, "Due Soon[4-6]", AO1170 &lt;= 10, "Overdue[7-10]", AO1170 &lt;= 15, "Long Overdue[11-15]")</f>
        <v>Recently[1-3]</v>
      </c>
      <c r="AQ1170" s="9" t="str" cm="1">
        <f t="array" ref="AQ1170">_xlfn.IFS(AR1170 &lt;= 3, "New Relationship[1-3]", AR1170 &lt;= 7, "Established Relationship[4-7]", AR1170 &lt;= 12, "Long Term Relationship[8-12]", AR1170 &lt;= 17, "Very Long Term Relationship[13-17]")</f>
        <v>New Relationship[1-3]</v>
      </c>
      <c r="AR1170" s="1">
        <v>3</v>
      </c>
    </row>
    <row r="1171" spans="1:44" x14ac:dyDescent="0.25">
      <c r="A1171" s="1">
        <v>27</v>
      </c>
      <c r="B1171" s="8" t="str" cm="1">
        <f t="array" ref="B1171">_xlfn.IFS(A1171 &lt;= 25, "[18-25]", A1171 &lt;= 35, "[26-35]", A1171 &lt;=45, "[36-45]", A1171 &lt;= 60, "[46- 60]")</f>
        <v>[26-35]</v>
      </c>
      <c r="C1171" s="3" t="s">
        <v>43</v>
      </c>
      <c r="D1171">
        <f t="shared" si="18"/>
        <v>0</v>
      </c>
      <c r="E1171" t="s">
        <v>36</v>
      </c>
      <c r="F1171" s="1">
        <v>486</v>
      </c>
      <c r="G1171" s="3" t="s">
        <v>45</v>
      </c>
      <c r="H1171" s="1">
        <v>8</v>
      </c>
      <c r="I1171" s="9" t="str" cm="1">
        <f t="array" ref="I1171">_xlfn.IFS(H1171 &lt;= 2, "[1-2] very close", H1171 &lt;= 10, "[3-10] close", H1171 &lt;= 20, "[11-20] moderate", H1171 &lt;= 30, "[21-30] far")</f>
        <v>[3-10] close</v>
      </c>
      <c r="J1171" s="1">
        <v>3</v>
      </c>
      <c r="K1171" s="3" t="s">
        <v>51</v>
      </c>
      <c r="L1171" s="1">
        <v>1</v>
      </c>
      <c r="M1171" s="1">
        <v>1647</v>
      </c>
      <c r="N1171" s="1">
        <v>2</v>
      </c>
      <c r="O1171" s="3" t="s">
        <v>39</v>
      </c>
      <c r="P1171" s="1">
        <v>86</v>
      </c>
      <c r="Q1171" s="1">
        <v>4</v>
      </c>
      <c r="R1171" s="1">
        <v>1</v>
      </c>
      <c r="S1171" s="3" t="s">
        <v>47</v>
      </c>
      <c r="T1171" s="1">
        <v>3</v>
      </c>
      <c r="U1171" s="3" t="s">
        <v>48</v>
      </c>
      <c r="V1171" s="4">
        <v>3517</v>
      </c>
      <c r="W1171" s="1">
        <v>22490</v>
      </c>
      <c r="X1171" s="1">
        <v>7</v>
      </c>
      <c r="Y1171" s="3" t="s">
        <v>42</v>
      </c>
      <c r="Z1171" s="3" t="s">
        <v>43</v>
      </c>
      <c r="AA1171" s="5">
        <v>0.17</v>
      </c>
      <c r="AB1171" s="10" t="str" cm="1">
        <f t="array" ref="AB1171">_xlfn.IFS(AA1171 &lt;= 15%, "Low Hike[11-15%]", AA1171 &lt;= 20%, "Moderate Hike[16-20%]", AA1171 &lt;= 25%,"High Hike[21-25%]")</f>
        <v>Moderate Hike[16-20%]</v>
      </c>
      <c r="AC1171" s="1">
        <v>3</v>
      </c>
      <c r="AD1171" s="1">
        <v>1</v>
      </c>
      <c r="AE1171" s="1">
        <v>80</v>
      </c>
      <c r="AF1171" s="1">
        <v>0</v>
      </c>
      <c r="AG1171" s="1">
        <v>5</v>
      </c>
      <c r="AH1171" s="9" t="str" cm="1">
        <f t="array" ref="AH1171">_xlfn.IFS(AG1171 &lt;= 5, "New[1-5]", AG1171 &lt;= 10, "Early Career[6-10]", AG1171 &lt;= 20, "Established[11-20]", AG1171 &lt;= 30, "Veteran[21-30]", AG1171 &lt;= 40, "Late Career[31-40]")</f>
        <v>New[1-5]</v>
      </c>
      <c r="AI1171" s="1">
        <v>0</v>
      </c>
      <c r="AJ1171" s="1">
        <v>3</v>
      </c>
      <c r="AK1171" s="1">
        <v>3</v>
      </c>
      <c r="AL1171" s="9" t="str" cm="1">
        <f t="array" ref="AL1171">_xlfn.IFS(AK1171 &lt;= 5, "New[1-5]", AK1171 &lt;= 10, "Early Career[6-10]", AK1171 &lt;= 20, "Established[11-20]", AK1171 &lt;= 30, "Veteran[21-30]", AK1171 &lt;= 40, "Late Career[31-40]")</f>
        <v>New[1-5]</v>
      </c>
      <c r="AM1171" s="1">
        <v>2</v>
      </c>
      <c r="AN1171" s="9" t="str" cm="1">
        <f t="array" ref="AN1171">_xlfn.IFS(AM1171 &lt;= 3, "New to Role[1-3]", AM1171 &lt;= 7, "Settled[4-7]", AM1171 &lt;= 12, "Experienced[[8-12]", AM1171 &lt;= 18, "Long Tenured[13-18]")</f>
        <v>New to Role[1-3]</v>
      </c>
      <c r="AO1171" s="1">
        <v>0</v>
      </c>
      <c r="AP1171" s="9" t="str" cm="1">
        <f t="array" ref="AP1171">_xlfn.IFS(AO1171 &lt;= 3, "Recently[1-3]", AO1171 &lt;= 6, "Due Soon[4-6]", AO1171 &lt;= 10, "Overdue[7-10]", AO1171 &lt;= 15, "Long Overdue[11-15]")</f>
        <v>Recently[1-3]</v>
      </c>
      <c r="AQ1171" s="9" t="str" cm="1">
        <f t="array" ref="AQ1171">_xlfn.IFS(AR1171 &lt;= 3, "New Relationship[1-3]", AR1171 &lt;= 7, "Established Relationship[4-7]", AR1171 &lt;= 12, "Long Term Relationship[8-12]", AR1171 &lt;= 17, "Very Long Term Relationship[13-17]")</f>
        <v>New Relationship[1-3]</v>
      </c>
      <c r="AR1171" s="1">
        <v>2</v>
      </c>
    </row>
    <row r="1172" spans="1:44" x14ac:dyDescent="0.25">
      <c r="A1172" s="1">
        <v>27</v>
      </c>
      <c r="B1172" s="8" t="str" cm="1">
        <f t="array" ref="B1172">_xlfn.IFS(A1172 &lt;= 25, "[18-25]", A1172 &lt;= 35, "[26-35]", A1172 &lt;=45, "[36-45]", A1172 &lt;= 60, "[46- 60]")</f>
        <v>[26-35]</v>
      </c>
      <c r="C1172" s="3" t="s">
        <v>43</v>
      </c>
      <c r="D1172">
        <f t="shared" si="18"/>
        <v>0</v>
      </c>
      <c r="E1172" t="s">
        <v>44</v>
      </c>
      <c r="F1172" s="1">
        <v>591</v>
      </c>
      <c r="G1172" s="3" t="s">
        <v>45</v>
      </c>
      <c r="H1172" s="1">
        <v>2</v>
      </c>
      <c r="I1172" s="9" t="str" cm="1">
        <f t="array" ref="I1172">_xlfn.IFS(H1172 &lt;= 2, "[1-2] very close", H1172 &lt;= 10, "[3-10] close", H1172 &lt;= 20, "[11-20] moderate", H1172 &lt;= 30, "[21-30] far")</f>
        <v>[1-2] very close</v>
      </c>
      <c r="J1172" s="1">
        <v>3</v>
      </c>
      <c r="K1172" s="3" t="s">
        <v>51</v>
      </c>
      <c r="L1172" s="1">
        <v>1</v>
      </c>
      <c r="M1172" s="1">
        <v>1648</v>
      </c>
      <c r="N1172" s="1">
        <v>4</v>
      </c>
      <c r="O1172" s="3" t="s">
        <v>46</v>
      </c>
      <c r="P1172" s="1">
        <v>87</v>
      </c>
      <c r="Q1172" s="1">
        <v>3</v>
      </c>
      <c r="R1172" s="1">
        <v>1</v>
      </c>
      <c r="S1172" s="3" t="s">
        <v>47</v>
      </c>
      <c r="T1172" s="1">
        <v>4</v>
      </c>
      <c r="U1172" s="3" t="s">
        <v>41</v>
      </c>
      <c r="V1172" s="4">
        <v>2580</v>
      </c>
      <c r="W1172" s="1">
        <v>6297</v>
      </c>
      <c r="X1172" s="1">
        <v>2</v>
      </c>
      <c r="Y1172" s="3" t="s">
        <v>42</v>
      </c>
      <c r="Z1172" s="3" t="s">
        <v>43</v>
      </c>
      <c r="AA1172" s="5">
        <v>0.13</v>
      </c>
      <c r="AB1172" s="10" t="str" cm="1">
        <f t="array" ref="AB1172">_xlfn.IFS(AA1172 &lt;= 15%, "Low Hike[11-15%]", AA1172 &lt;= 20%, "Moderate Hike[16-20%]", AA1172 &lt;= 25%,"High Hike[21-25%]")</f>
        <v>Low Hike[11-15%]</v>
      </c>
      <c r="AC1172" s="1">
        <v>3</v>
      </c>
      <c r="AD1172" s="1">
        <v>3</v>
      </c>
      <c r="AE1172" s="1">
        <v>80</v>
      </c>
      <c r="AF1172" s="1">
        <v>0</v>
      </c>
      <c r="AG1172" s="1">
        <v>6</v>
      </c>
      <c r="AH1172" s="9" t="str" cm="1">
        <f t="array" ref="AH1172">_xlfn.IFS(AG1172 &lt;= 5, "New[1-5]", AG1172 &lt;= 10, "Early Career[6-10]", AG1172 &lt;= 20, "Established[11-20]", AG1172 &lt;= 30, "Veteran[21-30]", AG1172 &lt;= 40, "Late Career[31-40]")</f>
        <v>Early Career[6-10]</v>
      </c>
      <c r="AI1172" s="1">
        <v>0</v>
      </c>
      <c r="AJ1172" s="1">
        <v>2</v>
      </c>
      <c r="AK1172" s="1">
        <v>4</v>
      </c>
      <c r="AL1172" s="9" t="str" cm="1">
        <f t="array" ref="AL1172">_xlfn.IFS(AK1172 &lt;= 5, "New[1-5]", AK1172 &lt;= 10, "Early Career[6-10]", AK1172 &lt;= 20, "Established[11-20]", AK1172 &lt;= 30, "Veteran[21-30]", AK1172 &lt;= 40, "Late Career[31-40]")</f>
        <v>New[1-5]</v>
      </c>
      <c r="AM1172" s="1">
        <v>2</v>
      </c>
      <c r="AN1172" s="9" t="str" cm="1">
        <f t="array" ref="AN1172">_xlfn.IFS(AM1172 &lt;= 3, "New to Role[1-3]", AM1172 &lt;= 7, "Settled[4-7]", AM1172 &lt;= 12, "Experienced[[8-12]", AM1172 &lt;= 18, "Long Tenured[13-18]")</f>
        <v>New to Role[1-3]</v>
      </c>
      <c r="AO1172" s="1">
        <v>1</v>
      </c>
      <c r="AP1172" s="9" t="str" cm="1">
        <f t="array" ref="AP1172">_xlfn.IFS(AO1172 &lt;= 3, "Recently[1-3]", AO1172 &lt;= 6, "Due Soon[4-6]", AO1172 &lt;= 10, "Overdue[7-10]", AO1172 &lt;= 15, "Long Overdue[11-15]")</f>
        <v>Recently[1-3]</v>
      </c>
      <c r="AQ1172" s="9" t="str" cm="1">
        <f t="array" ref="AQ1172">_xlfn.IFS(AR1172 &lt;= 3, "New Relationship[1-3]", AR1172 &lt;= 7, "Established Relationship[4-7]", AR1172 &lt;= 12, "Long Term Relationship[8-12]", AR1172 &lt;= 17, "Very Long Term Relationship[13-17]")</f>
        <v>New Relationship[1-3]</v>
      </c>
      <c r="AR1172" s="1">
        <v>2</v>
      </c>
    </row>
    <row r="1173" spans="1:44" x14ac:dyDescent="0.25">
      <c r="A1173" s="1">
        <v>40</v>
      </c>
      <c r="B1173" s="8" t="str" cm="1">
        <f t="array" ref="B1173">_xlfn.IFS(A1173 &lt;= 25, "[18-25]", A1173 &lt;= 35, "[26-35]", A1173 &lt;=45, "[36-45]", A1173 &lt;= 60, "[46- 60]")</f>
        <v>[36-45]</v>
      </c>
      <c r="C1173" s="3" t="s">
        <v>35</v>
      </c>
      <c r="D1173">
        <f t="shared" si="18"/>
        <v>1</v>
      </c>
      <c r="E1173" t="s">
        <v>36</v>
      </c>
      <c r="F1173" s="1">
        <v>1329</v>
      </c>
      <c r="G1173" s="3" t="s">
        <v>45</v>
      </c>
      <c r="H1173" s="1">
        <v>7</v>
      </c>
      <c r="I1173" s="9" t="str" cm="1">
        <f t="array" ref="I1173">_xlfn.IFS(H1173 &lt;= 2, "[1-2] very close", H1173 &lt;= 10, "[3-10] close", H1173 &lt;= 20, "[11-20] moderate", H1173 &lt;= 30, "[21-30] far")</f>
        <v>[3-10] close</v>
      </c>
      <c r="J1173" s="1">
        <v>3</v>
      </c>
      <c r="K1173" s="3" t="s">
        <v>38</v>
      </c>
      <c r="L1173" s="1">
        <v>1</v>
      </c>
      <c r="M1173" s="1">
        <v>1649</v>
      </c>
      <c r="N1173" s="1">
        <v>1</v>
      </c>
      <c r="O1173" s="3" t="s">
        <v>46</v>
      </c>
      <c r="P1173" s="1">
        <v>73</v>
      </c>
      <c r="Q1173" s="1">
        <v>3</v>
      </c>
      <c r="R1173" s="1">
        <v>1</v>
      </c>
      <c r="S1173" s="3" t="s">
        <v>50</v>
      </c>
      <c r="T1173" s="1">
        <v>1</v>
      </c>
      <c r="U1173" s="3" t="s">
        <v>41</v>
      </c>
      <c r="V1173" s="4">
        <v>2166</v>
      </c>
      <c r="W1173" s="1">
        <v>3339</v>
      </c>
      <c r="X1173" s="1">
        <v>3</v>
      </c>
      <c r="Y1173" s="3" t="s">
        <v>42</v>
      </c>
      <c r="Z1173" s="3" t="s">
        <v>35</v>
      </c>
      <c r="AA1173" s="5">
        <v>0.14000000000000001</v>
      </c>
      <c r="AB1173" s="10" t="str" cm="1">
        <f t="array" ref="AB1173">_xlfn.IFS(AA1173 &lt;= 15%, "Low Hike[11-15%]", AA1173 &lt;= 20%, "Moderate Hike[16-20%]", AA1173 &lt;= 25%,"High Hike[21-25%]")</f>
        <v>Low Hike[11-15%]</v>
      </c>
      <c r="AC1173" s="1">
        <v>3</v>
      </c>
      <c r="AD1173" s="1">
        <v>2</v>
      </c>
      <c r="AE1173" s="1">
        <v>80</v>
      </c>
      <c r="AF1173" s="1">
        <v>0</v>
      </c>
      <c r="AG1173" s="1">
        <v>10</v>
      </c>
      <c r="AH1173" s="9" t="str" cm="1">
        <f t="array" ref="AH1173">_xlfn.IFS(AG1173 &lt;= 5, "New[1-5]", AG1173 &lt;= 10, "Early Career[6-10]", AG1173 &lt;= 20, "Established[11-20]", AG1173 &lt;= 30, "Veteran[21-30]", AG1173 &lt;= 40, "Late Career[31-40]")</f>
        <v>Early Career[6-10]</v>
      </c>
      <c r="AI1173" s="1">
        <v>3</v>
      </c>
      <c r="AJ1173" s="1">
        <v>1</v>
      </c>
      <c r="AK1173" s="1">
        <v>4</v>
      </c>
      <c r="AL1173" s="9" t="str" cm="1">
        <f t="array" ref="AL1173">_xlfn.IFS(AK1173 &lt;= 5, "New[1-5]", AK1173 &lt;= 10, "Early Career[6-10]", AK1173 &lt;= 20, "Established[11-20]", AK1173 &lt;= 30, "Veteran[21-30]", AK1173 &lt;= 40, "Late Career[31-40]")</f>
        <v>New[1-5]</v>
      </c>
      <c r="AM1173" s="1">
        <v>2</v>
      </c>
      <c r="AN1173" s="9" t="str" cm="1">
        <f t="array" ref="AN1173">_xlfn.IFS(AM1173 &lt;= 3, "New to Role[1-3]", AM1173 &lt;= 7, "Settled[4-7]", AM1173 &lt;= 12, "Experienced[[8-12]", AM1173 &lt;= 18, "Long Tenured[13-18]")</f>
        <v>New to Role[1-3]</v>
      </c>
      <c r="AO1173" s="1">
        <v>0</v>
      </c>
      <c r="AP1173" s="9" t="str" cm="1">
        <f t="array" ref="AP1173">_xlfn.IFS(AO1173 &lt;= 3, "Recently[1-3]", AO1173 &lt;= 6, "Due Soon[4-6]", AO1173 &lt;= 10, "Overdue[7-10]", AO1173 &lt;= 15, "Long Overdue[11-15]")</f>
        <v>Recently[1-3]</v>
      </c>
      <c r="AQ1173" s="9" t="str" cm="1">
        <f t="array" ref="AQ1173">_xlfn.IFS(AR1173 &lt;= 3, "New Relationship[1-3]", AR1173 &lt;= 7, "Established Relationship[4-7]", AR1173 &lt;= 12, "Long Term Relationship[8-12]", AR1173 &lt;= 17, "Very Long Term Relationship[13-17]")</f>
        <v>New Relationship[1-3]</v>
      </c>
      <c r="AR1173" s="1">
        <v>3</v>
      </c>
    </row>
    <row r="1174" spans="1:44" x14ac:dyDescent="0.25">
      <c r="A1174" s="1">
        <v>29</v>
      </c>
      <c r="B1174" s="8" t="str" cm="1">
        <f t="array" ref="B1174">_xlfn.IFS(A1174 &lt;= 25, "[18-25]", A1174 &lt;= 35, "[26-35]", A1174 &lt;=45, "[36-45]", A1174 &lt;= 60, "[46- 60]")</f>
        <v>[26-35]</v>
      </c>
      <c r="C1174" s="3" t="s">
        <v>43</v>
      </c>
      <c r="D1174">
        <f t="shared" si="18"/>
        <v>0</v>
      </c>
      <c r="E1174" t="s">
        <v>36</v>
      </c>
      <c r="F1174" s="1">
        <v>469</v>
      </c>
      <c r="G1174" s="3" t="s">
        <v>37</v>
      </c>
      <c r="H1174" s="1">
        <v>10</v>
      </c>
      <c r="I1174" s="9" t="str" cm="1">
        <f t="array" ref="I1174">_xlfn.IFS(H1174 &lt;= 2, "[1-2] very close", H1174 &lt;= 10, "[3-10] close", H1174 &lt;= 20, "[11-20] moderate", H1174 &lt;= 30, "[21-30] far")</f>
        <v>[3-10] close</v>
      </c>
      <c r="J1174" s="1">
        <v>3</v>
      </c>
      <c r="K1174" s="3" t="s">
        <v>51</v>
      </c>
      <c r="L1174" s="1">
        <v>1</v>
      </c>
      <c r="M1174" s="1">
        <v>1650</v>
      </c>
      <c r="N1174" s="1">
        <v>3</v>
      </c>
      <c r="O1174" s="3" t="s">
        <v>46</v>
      </c>
      <c r="P1174" s="1">
        <v>42</v>
      </c>
      <c r="Q1174" s="1">
        <v>2</v>
      </c>
      <c r="R1174" s="1">
        <v>2</v>
      </c>
      <c r="S1174" s="3" t="s">
        <v>40</v>
      </c>
      <c r="T1174" s="1">
        <v>3</v>
      </c>
      <c r="U1174" s="3" t="s">
        <v>41</v>
      </c>
      <c r="V1174" s="4">
        <v>5869</v>
      </c>
      <c r="W1174" s="1">
        <v>23413</v>
      </c>
      <c r="X1174" s="1">
        <v>9</v>
      </c>
      <c r="Y1174" s="3" t="s">
        <v>42</v>
      </c>
      <c r="Z1174" s="3" t="s">
        <v>43</v>
      </c>
      <c r="AA1174" s="5">
        <v>0.11</v>
      </c>
      <c r="AB1174" s="10" t="str" cm="1">
        <f t="array" ref="AB1174">_xlfn.IFS(AA1174 &lt;= 15%, "Low Hike[11-15%]", AA1174 &lt;= 20%, "Moderate Hike[16-20%]", AA1174 &lt;= 25%,"High Hike[21-25%]")</f>
        <v>Low Hike[11-15%]</v>
      </c>
      <c r="AC1174" s="1">
        <v>3</v>
      </c>
      <c r="AD1174" s="1">
        <v>3</v>
      </c>
      <c r="AE1174" s="1">
        <v>80</v>
      </c>
      <c r="AF1174" s="1">
        <v>0</v>
      </c>
      <c r="AG1174" s="1">
        <v>8</v>
      </c>
      <c r="AH1174" s="9" t="str" cm="1">
        <f t="array" ref="AH1174">_xlfn.IFS(AG1174 &lt;= 5, "New[1-5]", AG1174 &lt;= 10, "Early Career[6-10]", AG1174 &lt;= 20, "Established[11-20]", AG1174 &lt;= 30, "Veteran[21-30]", AG1174 &lt;= 40, "Late Career[31-40]")</f>
        <v>Early Career[6-10]</v>
      </c>
      <c r="AI1174" s="1">
        <v>2</v>
      </c>
      <c r="AJ1174" s="1">
        <v>3</v>
      </c>
      <c r="AK1174" s="1">
        <v>5</v>
      </c>
      <c r="AL1174" s="9" t="str" cm="1">
        <f t="array" ref="AL1174">_xlfn.IFS(AK1174 &lt;= 5, "New[1-5]", AK1174 &lt;= 10, "Early Career[6-10]", AK1174 &lt;= 20, "Established[11-20]", AK1174 &lt;= 30, "Veteran[21-30]", AK1174 &lt;= 40, "Late Career[31-40]")</f>
        <v>New[1-5]</v>
      </c>
      <c r="AM1174" s="1">
        <v>2</v>
      </c>
      <c r="AN1174" s="9" t="str" cm="1">
        <f t="array" ref="AN1174">_xlfn.IFS(AM1174 &lt;= 3, "New to Role[1-3]", AM1174 &lt;= 7, "Settled[4-7]", AM1174 &lt;= 12, "Experienced[[8-12]", AM1174 &lt;= 18, "Long Tenured[13-18]")</f>
        <v>New to Role[1-3]</v>
      </c>
      <c r="AO1174" s="1">
        <v>1</v>
      </c>
      <c r="AP1174" s="9" t="str" cm="1">
        <f t="array" ref="AP1174">_xlfn.IFS(AO1174 &lt;= 3, "Recently[1-3]", AO1174 &lt;= 6, "Due Soon[4-6]", AO1174 &lt;= 10, "Overdue[7-10]", AO1174 &lt;= 15, "Long Overdue[11-15]")</f>
        <v>Recently[1-3]</v>
      </c>
      <c r="AQ1174" s="9" t="str" cm="1">
        <f t="array" ref="AQ1174">_xlfn.IFS(AR1174 &lt;= 3, "New Relationship[1-3]", AR1174 &lt;= 7, "Established Relationship[4-7]", AR1174 &lt;= 12, "Long Term Relationship[8-12]", AR1174 &lt;= 17, "Very Long Term Relationship[13-17]")</f>
        <v>Established Relationship[4-7]</v>
      </c>
      <c r="AR1174" s="1">
        <v>4</v>
      </c>
    </row>
    <row r="1175" spans="1:44" x14ac:dyDescent="0.25">
      <c r="A1175" s="1">
        <v>36</v>
      </c>
      <c r="B1175" s="8" t="str" cm="1">
        <f t="array" ref="B1175">_xlfn.IFS(A1175 &lt;= 25, "[18-25]", A1175 &lt;= 35, "[26-35]", A1175 &lt;=45, "[36-45]", A1175 &lt;= 60, "[46- 60]")</f>
        <v>[36-45]</v>
      </c>
      <c r="C1175" s="3" t="s">
        <v>43</v>
      </c>
      <c r="D1175">
        <f t="shared" si="18"/>
        <v>0</v>
      </c>
      <c r="E1175" t="s">
        <v>36</v>
      </c>
      <c r="F1175" s="1">
        <v>711</v>
      </c>
      <c r="G1175" s="3" t="s">
        <v>45</v>
      </c>
      <c r="H1175" s="1">
        <v>5</v>
      </c>
      <c r="I1175" s="9" t="str" cm="1">
        <f t="array" ref="I1175">_xlfn.IFS(H1175 &lt;= 2, "[1-2] very close", H1175 &lt;= 10, "[3-10] close", H1175 &lt;= 20, "[11-20] moderate", H1175 &lt;= 30, "[21-30] far")</f>
        <v>[3-10] close</v>
      </c>
      <c r="J1175" s="1">
        <v>4</v>
      </c>
      <c r="K1175" s="3" t="s">
        <v>38</v>
      </c>
      <c r="L1175" s="1">
        <v>1</v>
      </c>
      <c r="M1175" s="1">
        <v>1651</v>
      </c>
      <c r="N1175" s="1">
        <v>2</v>
      </c>
      <c r="O1175" s="3" t="s">
        <v>39</v>
      </c>
      <c r="P1175" s="1">
        <v>42</v>
      </c>
      <c r="Q1175" s="1">
        <v>3</v>
      </c>
      <c r="R1175" s="1">
        <v>3</v>
      </c>
      <c r="S1175" s="3" t="s">
        <v>54</v>
      </c>
      <c r="T1175" s="1">
        <v>1</v>
      </c>
      <c r="U1175" s="3" t="s">
        <v>48</v>
      </c>
      <c r="V1175" s="4">
        <v>8008</v>
      </c>
      <c r="W1175" s="1">
        <v>22792</v>
      </c>
      <c r="X1175" s="1">
        <v>4</v>
      </c>
      <c r="Y1175" s="3" t="s">
        <v>42</v>
      </c>
      <c r="Z1175" s="3" t="s">
        <v>43</v>
      </c>
      <c r="AA1175" s="5">
        <v>0.12</v>
      </c>
      <c r="AB1175" s="10" t="str" cm="1">
        <f t="array" ref="AB1175">_xlfn.IFS(AA1175 &lt;= 15%, "Low Hike[11-15%]", AA1175 &lt;= 20%, "Moderate Hike[16-20%]", AA1175 &lt;= 25%,"High Hike[21-25%]")</f>
        <v>Low Hike[11-15%]</v>
      </c>
      <c r="AC1175" s="1">
        <v>3</v>
      </c>
      <c r="AD1175" s="1">
        <v>3</v>
      </c>
      <c r="AE1175" s="1">
        <v>80</v>
      </c>
      <c r="AF1175" s="1">
        <v>2</v>
      </c>
      <c r="AG1175" s="1">
        <v>9</v>
      </c>
      <c r="AH1175" s="9" t="str" cm="1">
        <f t="array" ref="AH1175">_xlfn.IFS(AG1175 &lt;= 5, "New[1-5]", AG1175 &lt;= 10, "Early Career[6-10]", AG1175 &lt;= 20, "Established[11-20]", AG1175 &lt;= 30, "Veteran[21-30]", AG1175 &lt;= 40, "Late Career[31-40]")</f>
        <v>Early Career[6-10]</v>
      </c>
      <c r="AI1175" s="1">
        <v>6</v>
      </c>
      <c r="AJ1175" s="1">
        <v>3</v>
      </c>
      <c r="AK1175" s="1">
        <v>3</v>
      </c>
      <c r="AL1175" s="9" t="str" cm="1">
        <f t="array" ref="AL1175">_xlfn.IFS(AK1175 &lt;= 5, "New[1-5]", AK1175 &lt;= 10, "Early Career[6-10]", AK1175 &lt;= 20, "Established[11-20]", AK1175 &lt;= 30, "Veteran[21-30]", AK1175 &lt;= 40, "Late Career[31-40]")</f>
        <v>New[1-5]</v>
      </c>
      <c r="AM1175" s="1">
        <v>2</v>
      </c>
      <c r="AN1175" s="9" t="str" cm="1">
        <f t="array" ref="AN1175">_xlfn.IFS(AM1175 &lt;= 3, "New to Role[1-3]", AM1175 &lt;= 7, "Settled[4-7]", AM1175 &lt;= 12, "Experienced[[8-12]", AM1175 &lt;= 18, "Long Tenured[13-18]")</f>
        <v>New to Role[1-3]</v>
      </c>
      <c r="AO1175" s="1">
        <v>0</v>
      </c>
      <c r="AP1175" s="9" t="str" cm="1">
        <f t="array" ref="AP1175">_xlfn.IFS(AO1175 &lt;= 3, "Recently[1-3]", AO1175 &lt;= 6, "Due Soon[4-6]", AO1175 &lt;= 10, "Overdue[7-10]", AO1175 &lt;= 15, "Long Overdue[11-15]")</f>
        <v>Recently[1-3]</v>
      </c>
      <c r="AQ1175" s="9" t="str" cm="1">
        <f t="array" ref="AQ1175">_xlfn.IFS(AR1175 &lt;= 3, "New Relationship[1-3]", AR1175 &lt;= 7, "Established Relationship[4-7]", AR1175 &lt;= 12, "Long Term Relationship[8-12]", AR1175 &lt;= 17, "Very Long Term Relationship[13-17]")</f>
        <v>New Relationship[1-3]</v>
      </c>
      <c r="AR1175" s="1">
        <v>2</v>
      </c>
    </row>
    <row r="1176" spans="1:44" x14ac:dyDescent="0.25">
      <c r="A1176" s="1">
        <v>25</v>
      </c>
      <c r="B1176" s="8" t="str" cm="1">
        <f t="array" ref="B1176">_xlfn.IFS(A1176 &lt;= 25, "[18-25]", A1176 &lt;= 35, "[26-35]", A1176 &lt;=45, "[36-45]", A1176 &lt;= 60, "[46- 60]")</f>
        <v>[18-25]</v>
      </c>
      <c r="C1176" s="3" t="s">
        <v>43</v>
      </c>
      <c r="D1176">
        <f t="shared" si="18"/>
        <v>0</v>
      </c>
      <c r="E1176" t="s">
        <v>44</v>
      </c>
      <c r="F1176" s="1">
        <v>772</v>
      </c>
      <c r="G1176" s="3" t="s">
        <v>45</v>
      </c>
      <c r="H1176" s="1">
        <v>2</v>
      </c>
      <c r="I1176" s="9" t="str" cm="1">
        <f t="array" ref="I1176">_xlfn.IFS(H1176 &lt;= 2, "[1-2] very close", H1176 &lt;= 10, "[3-10] close", H1176 &lt;= 20, "[11-20] moderate", H1176 &lt;= 30, "[21-30] far")</f>
        <v>[1-2] very close</v>
      </c>
      <c r="J1176" s="1">
        <v>1</v>
      </c>
      <c r="K1176" s="3" t="s">
        <v>38</v>
      </c>
      <c r="L1176" s="1">
        <v>1</v>
      </c>
      <c r="M1176" s="1">
        <v>1653</v>
      </c>
      <c r="N1176" s="1">
        <v>4</v>
      </c>
      <c r="O1176" s="3" t="s">
        <v>46</v>
      </c>
      <c r="P1176" s="1">
        <v>77</v>
      </c>
      <c r="Q1176" s="1">
        <v>4</v>
      </c>
      <c r="R1176" s="1">
        <v>2</v>
      </c>
      <c r="S1176" s="3" t="s">
        <v>53</v>
      </c>
      <c r="T1176" s="1">
        <v>3</v>
      </c>
      <c r="U1176" s="3" t="s">
        <v>52</v>
      </c>
      <c r="V1176" s="4">
        <v>5206</v>
      </c>
      <c r="W1176" s="1">
        <v>4973</v>
      </c>
      <c r="X1176" s="1">
        <v>1</v>
      </c>
      <c r="Y1176" s="3" t="s">
        <v>42</v>
      </c>
      <c r="Z1176" s="3" t="s">
        <v>43</v>
      </c>
      <c r="AA1176" s="5">
        <v>0.17</v>
      </c>
      <c r="AB1176" s="10" t="str" cm="1">
        <f t="array" ref="AB1176">_xlfn.IFS(AA1176 &lt;= 15%, "Low Hike[11-15%]", AA1176 &lt;= 20%, "Moderate Hike[16-20%]", AA1176 &lt;= 25%,"High Hike[21-25%]")</f>
        <v>Moderate Hike[16-20%]</v>
      </c>
      <c r="AC1176" s="1">
        <v>3</v>
      </c>
      <c r="AD1176" s="1">
        <v>3</v>
      </c>
      <c r="AE1176" s="1">
        <v>80</v>
      </c>
      <c r="AF1176" s="1">
        <v>2</v>
      </c>
      <c r="AG1176" s="1">
        <v>7</v>
      </c>
      <c r="AH1176" s="9" t="str" cm="1">
        <f t="array" ref="AH1176">_xlfn.IFS(AG1176 &lt;= 5, "New[1-5]", AG1176 &lt;= 10, "Early Career[6-10]", AG1176 &lt;= 20, "Established[11-20]", AG1176 &lt;= 30, "Veteran[21-30]", AG1176 &lt;= 40, "Late Career[31-40]")</f>
        <v>Early Career[6-10]</v>
      </c>
      <c r="AI1176" s="1">
        <v>6</v>
      </c>
      <c r="AJ1176" s="1">
        <v>3</v>
      </c>
      <c r="AK1176" s="1">
        <v>7</v>
      </c>
      <c r="AL1176" s="9" t="str" cm="1">
        <f t="array" ref="AL1176">_xlfn.IFS(AK1176 &lt;= 5, "New[1-5]", AK1176 &lt;= 10, "Early Career[6-10]", AK1176 &lt;= 20, "Established[11-20]", AK1176 &lt;= 30, "Veteran[21-30]", AK1176 &lt;= 40, "Late Career[31-40]")</f>
        <v>Early Career[6-10]</v>
      </c>
      <c r="AM1176" s="1">
        <v>7</v>
      </c>
      <c r="AN1176" s="9" t="str" cm="1">
        <f t="array" ref="AN1176">_xlfn.IFS(AM1176 &lt;= 3, "New to Role[1-3]", AM1176 &lt;= 7, "Settled[4-7]", AM1176 &lt;= 12, "Experienced[[8-12]", AM1176 &lt;= 18, "Long Tenured[13-18]")</f>
        <v>Settled[4-7]</v>
      </c>
      <c r="AO1176" s="1">
        <v>0</v>
      </c>
      <c r="AP1176" s="9" t="str" cm="1">
        <f t="array" ref="AP1176">_xlfn.IFS(AO1176 &lt;= 3, "Recently[1-3]", AO1176 &lt;= 6, "Due Soon[4-6]", AO1176 &lt;= 10, "Overdue[7-10]", AO1176 &lt;= 15, "Long Overdue[11-15]")</f>
        <v>Recently[1-3]</v>
      </c>
      <c r="AQ1176" s="9" t="str" cm="1">
        <f t="array" ref="AQ1176">_xlfn.IFS(AR1176 &lt;= 3, "New Relationship[1-3]", AR1176 &lt;= 7, "Established Relationship[4-7]", AR1176 &lt;= 12, "Long Term Relationship[8-12]", AR1176 &lt;= 17, "Very Long Term Relationship[13-17]")</f>
        <v>Established Relationship[4-7]</v>
      </c>
      <c r="AR1176" s="1">
        <v>7</v>
      </c>
    </row>
    <row r="1177" spans="1:44" x14ac:dyDescent="0.25">
      <c r="A1177" s="1">
        <v>39</v>
      </c>
      <c r="B1177" s="8" t="str" cm="1">
        <f t="array" ref="B1177">_xlfn.IFS(A1177 &lt;= 25, "[18-25]", A1177 &lt;= 35, "[26-35]", A1177 &lt;=45, "[36-45]", A1177 &lt;= 60, "[46- 60]")</f>
        <v>[36-45]</v>
      </c>
      <c r="C1177" s="3" t="s">
        <v>43</v>
      </c>
      <c r="D1177">
        <f t="shared" si="18"/>
        <v>0</v>
      </c>
      <c r="E1177" t="s">
        <v>36</v>
      </c>
      <c r="F1177" s="1">
        <v>492</v>
      </c>
      <c r="G1177" s="3" t="s">
        <v>45</v>
      </c>
      <c r="H1177" s="1">
        <v>12</v>
      </c>
      <c r="I1177" s="9" t="str" cm="1">
        <f t="array" ref="I1177">_xlfn.IFS(H1177 &lt;= 2, "[1-2] very close", H1177 &lt;= 10, "[3-10] close", H1177 &lt;= 20, "[11-20] moderate", H1177 &lt;= 30, "[21-30] far")</f>
        <v>[11-20] moderate</v>
      </c>
      <c r="J1177" s="1">
        <v>3</v>
      </c>
      <c r="K1177" s="3" t="s">
        <v>51</v>
      </c>
      <c r="L1177" s="1">
        <v>1</v>
      </c>
      <c r="M1177" s="1">
        <v>1654</v>
      </c>
      <c r="N1177" s="1">
        <v>4</v>
      </c>
      <c r="O1177" s="3" t="s">
        <v>46</v>
      </c>
      <c r="P1177" s="1">
        <v>66</v>
      </c>
      <c r="Q1177" s="1">
        <v>3</v>
      </c>
      <c r="R1177" s="1">
        <v>2</v>
      </c>
      <c r="S1177" s="3" t="s">
        <v>53</v>
      </c>
      <c r="T1177" s="1">
        <v>2</v>
      </c>
      <c r="U1177" s="3" t="s">
        <v>48</v>
      </c>
      <c r="V1177" s="4">
        <v>5295</v>
      </c>
      <c r="W1177" s="1">
        <v>7693</v>
      </c>
      <c r="X1177" s="1">
        <v>4</v>
      </c>
      <c r="Y1177" s="3" t="s">
        <v>42</v>
      </c>
      <c r="Z1177" s="3" t="s">
        <v>43</v>
      </c>
      <c r="AA1177" s="5">
        <v>0.21</v>
      </c>
      <c r="AB1177" s="10" t="str" cm="1">
        <f t="array" ref="AB1177">_xlfn.IFS(AA1177 &lt;= 15%, "Low Hike[11-15%]", AA1177 &lt;= 20%, "Moderate Hike[16-20%]", AA1177 &lt;= 25%,"High Hike[21-25%]")</f>
        <v>High Hike[21-25%]</v>
      </c>
      <c r="AC1177" s="1">
        <v>4</v>
      </c>
      <c r="AD1177" s="1">
        <v>3</v>
      </c>
      <c r="AE1177" s="1">
        <v>80</v>
      </c>
      <c r="AF1177" s="1">
        <v>0</v>
      </c>
      <c r="AG1177" s="1">
        <v>7</v>
      </c>
      <c r="AH1177" s="9" t="str" cm="1">
        <f t="array" ref="AH1177">_xlfn.IFS(AG1177 &lt;= 5, "New[1-5]", AG1177 &lt;= 10, "Early Career[6-10]", AG1177 &lt;= 20, "Established[11-20]", AG1177 &lt;= 30, "Veteran[21-30]", AG1177 &lt;= 40, "Late Career[31-40]")</f>
        <v>Early Career[6-10]</v>
      </c>
      <c r="AI1177" s="1">
        <v>3</v>
      </c>
      <c r="AJ1177" s="1">
        <v>3</v>
      </c>
      <c r="AK1177" s="1">
        <v>5</v>
      </c>
      <c r="AL1177" s="9" t="str" cm="1">
        <f t="array" ref="AL1177">_xlfn.IFS(AK1177 &lt;= 5, "New[1-5]", AK1177 &lt;= 10, "Early Career[6-10]", AK1177 &lt;= 20, "Established[11-20]", AK1177 &lt;= 30, "Veteran[21-30]", AK1177 &lt;= 40, "Late Career[31-40]")</f>
        <v>New[1-5]</v>
      </c>
      <c r="AM1177" s="1">
        <v>4</v>
      </c>
      <c r="AN1177" s="9" t="str" cm="1">
        <f t="array" ref="AN1177">_xlfn.IFS(AM1177 &lt;= 3, "New to Role[1-3]", AM1177 &lt;= 7, "Settled[4-7]", AM1177 &lt;= 12, "Experienced[[8-12]", AM1177 &lt;= 18, "Long Tenured[13-18]")</f>
        <v>Settled[4-7]</v>
      </c>
      <c r="AO1177" s="1">
        <v>1</v>
      </c>
      <c r="AP1177" s="9" t="str" cm="1">
        <f t="array" ref="AP1177">_xlfn.IFS(AO1177 &lt;= 3, "Recently[1-3]", AO1177 &lt;= 6, "Due Soon[4-6]", AO1177 &lt;= 10, "Overdue[7-10]", AO1177 &lt;= 15, "Long Overdue[11-15]")</f>
        <v>Recently[1-3]</v>
      </c>
      <c r="AQ1177" s="9" t="str" cm="1">
        <f t="array" ref="AQ1177">_xlfn.IFS(AR1177 &lt;= 3, "New Relationship[1-3]", AR1177 &lt;= 7, "Established Relationship[4-7]", AR1177 &lt;= 12, "Long Term Relationship[8-12]", AR1177 &lt;= 17, "Very Long Term Relationship[13-17]")</f>
        <v>New Relationship[1-3]</v>
      </c>
      <c r="AR1177" s="1">
        <v>0</v>
      </c>
    </row>
    <row r="1178" spans="1:44" x14ac:dyDescent="0.25">
      <c r="A1178" s="1">
        <v>49</v>
      </c>
      <c r="B1178" s="8" t="str" cm="1">
        <f t="array" ref="B1178">_xlfn.IFS(A1178 &lt;= 25, "[18-25]", A1178 &lt;= 35, "[26-35]", A1178 &lt;=45, "[36-45]", A1178 &lt;= 60, "[46- 60]")</f>
        <v>[46- 60]</v>
      </c>
      <c r="C1178" s="3" t="s">
        <v>43</v>
      </c>
      <c r="D1178">
        <f t="shared" si="18"/>
        <v>0</v>
      </c>
      <c r="E1178" t="s">
        <v>36</v>
      </c>
      <c r="F1178" s="1">
        <v>301</v>
      </c>
      <c r="G1178" s="3" t="s">
        <v>45</v>
      </c>
      <c r="H1178" s="1">
        <v>22</v>
      </c>
      <c r="I1178" s="9" t="str" cm="1">
        <f t="array" ref="I1178">_xlfn.IFS(H1178 &lt;= 2, "[1-2] very close", H1178 &lt;= 10, "[3-10] close", H1178 &lt;= 20, "[11-20] moderate", H1178 &lt;= 30, "[21-30] far")</f>
        <v>[21-30] far</v>
      </c>
      <c r="J1178" s="1">
        <v>4</v>
      </c>
      <c r="K1178" s="3" t="s">
        <v>49</v>
      </c>
      <c r="L1178" s="1">
        <v>1</v>
      </c>
      <c r="M1178" s="1">
        <v>1655</v>
      </c>
      <c r="N1178" s="1">
        <v>1</v>
      </c>
      <c r="O1178" s="3" t="s">
        <v>39</v>
      </c>
      <c r="P1178" s="1">
        <v>72</v>
      </c>
      <c r="Q1178" s="1">
        <v>3</v>
      </c>
      <c r="R1178" s="1">
        <v>4</v>
      </c>
      <c r="S1178" s="3" t="s">
        <v>58</v>
      </c>
      <c r="T1178" s="1">
        <v>2</v>
      </c>
      <c r="U1178" s="3" t="s">
        <v>48</v>
      </c>
      <c r="V1178" s="4">
        <v>16413</v>
      </c>
      <c r="W1178" s="1">
        <v>3498</v>
      </c>
      <c r="X1178" s="1">
        <v>3</v>
      </c>
      <c r="Y1178" s="3" t="s">
        <v>42</v>
      </c>
      <c r="Z1178" s="3" t="s">
        <v>43</v>
      </c>
      <c r="AA1178" s="5">
        <v>0.16</v>
      </c>
      <c r="AB1178" s="10" t="str" cm="1">
        <f t="array" ref="AB1178">_xlfn.IFS(AA1178 &lt;= 15%, "Low Hike[11-15%]", AA1178 &lt;= 20%, "Moderate Hike[16-20%]", AA1178 &lt;= 25%,"High Hike[21-25%]")</f>
        <v>Moderate Hike[16-20%]</v>
      </c>
      <c r="AC1178" s="1">
        <v>3</v>
      </c>
      <c r="AD1178" s="1">
        <v>2</v>
      </c>
      <c r="AE1178" s="1">
        <v>80</v>
      </c>
      <c r="AF1178" s="1">
        <v>2</v>
      </c>
      <c r="AG1178" s="1">
        <v>27</v>
      </c>
      <c r="AH1178" s="9" t="str" cm="1">
        <f t="array" ref="AH1178">_xlfn.IFS(AG1178 &lt;= 5, "New[1-5]", AG1178 &lt;= 10, "Early Career[6-10]", AG1178 &lt;= 20, "Established[11-20]", AG1178 &lt;= 30, "Veteran[21-30]", AG1178 &lt;= 40, "Late Career[31-40]")</f>
        <v>Veteran[21-30]</v>
      </c>
      <c r="AI1178" s="1">
        <v>2</v>
      </c>
      <c r="AJ1178" s="1">
        <v>3</v>
      </c>
      <c r="AK1178" s="1">
        <v>4</v>
      </c>
      <c r="AL1178" s="9" t="str" cm="1">
        <f t="array" ref="AL1178">_xlfn.IFS(AK1178 &lt;= 5, "New[1-5]", AK1178 &lt;= 10, "Early Career[6-10]", AK1178 &lt;= 20, "Established[11-20]", AK1178 &lt;= 30, "Veteran[21-30]", AK1178 &lt;= 40, "Late Career[31-40]")</f>
        <v>New[1-5]</v>
      </c>
      <c r="AM1178" s="1">
        <v>2</v>
      </c>
      <c r="AN1178" s="9" t="str" cm="1">
        <f t="array" ref="AN1178">_xlfn.IFS(AM1178 &lt;= 3, "New to Role[1-3]", AM1178 &lt;= 7, "Settled[4-7]", AM1178 &lt;= 12, "Experienced[[8-12]", AM1178 &lt;= 18, "Long Tenured[13-18]")</f>
        <v>New to Role[1-3]</v>
      </c>
      <c r="AO1178" s="1">
        <v>1</v>
      </c>
      <c r="AP1178" s="9" t="str" cm="1">
        <f t="array" ref="AP1178">_xlfn.IFS(AO1178 &lt;= 3, "Recently[1-3]", AO1178 &lt;= 6, "Due Soon[4-6]", AO1178 &lt;= 10, "Overdue[7-10]", AO1178 &lt;= 15, "Long Overdue[11-15]")</f>
        <v>Recently[1-3]</v>
      </c>
      <c r="AQ1178" s="9" t="str" cm="1">
        <f t="array" ref="AQ1178">_xlfn.IFS(AR1178 &lt;= 3, "New Relationship[1-3]", AR1178 &lt;= 7, "Established Relationship[4-7]", AR1178 &lt;= 12, "Long Term Relationship[8-12]", AR1178 &lt;= 17, "Very Long Term Relationship[13-17]")</f>
        <v>New Relationship[1-3]</v>
      </c>
      <c r="AR1178" s="1">
        <v>2</v>
      </c>
    </row>
    <row r="1179" spans="1:44" x14ac:dyDescent="0.25">
      <c r="A1179" s="1">
        <v>50</v>
      </c>
      <c r="B1179" s="8" t="str" cm="1">
        <f t="array" ref="B1179">_xlfn.IFS(A1179 &lt;= 25, "[18-25]", A1179 &lt;= 35, "[26-35]", A1179 &lt;=45, "[36-45]", A1179 &lt;= 60, "[46- 60]")</f>
        <v>[46- 60]</v>
      </c>
      <c r="C1179" s="3" t="s">
        <v>43</v>
      </c>
      <c r="D1179">
        <f t="shared" si="18"/>
        <v>0</v>
      </c>
      <c r="E1179" t="s">
        <v>36</v>
      </c>
      <c r="F1179" s="1">
        <v>813</v>
      </c>
      <c r="G1179" s="3" t="s">
        <v>45</v>
      </c>
      <c r="H1179" s="1">
        <v>17</v>
      </c>
      <c r="I1179" s="9" t="str" cm="1">
        <f t="array" ref="I1179">_xlfn.IFS(H1179 &lt;= 2, "[1-2] very close", H1179 &lt;= 10, "[3-10] close", H1179 &lt;= 20, "[11-20] moderate", H1179 &lt;= 30, "[21-30] far")</f>
        <v>[11-20] moderate</v>
      </c>
      <c r="J1179" s="1">
        <v>5</v>
      </c>
      <c r="K1179" s="3" t="s">
        <v>38</v>
      </c>
      <c r="L1179" s="1">
        <v>1</v>
      </c>
      <c r="M1179" s="1">
        <v>1656</v>
      </c>
      <c r="N1179" s="1">
        <v>4</v>
      </c>
      <c r="O1179" s="3" t="s">
        <v>39</v>
      </c>
      <c r="P1179" s="1">
        <v>50</v>
      </c>
      <c r="Q1179" s="1">
        <v>2</v>
      </c>
      <c r="R1179" s="1">
        <v>3</v>
      </c>
      <c r="S1179" s="3" t="s">
        <v>58</v>
      </c>
      <c r="T1179" s="1">
        <v>1</v>
      </c>
      <c r="U1179" s="3" t="s">
        <v>52</v>
      </c>
      <c r="V1179" s="4">
        <v>13269</v>
      </c>
      <c r="W1179" s="1">
        <v>21981</v>
      </c>
      <c r="X1179" s="1">
        <v>5</v>
      </c>
      <c r="Y1179" s="3" t="s">
        <v>42</v>
      </c>
      <c r="Z1179" s="3" t="s">
        <v>43</v>
      </c>
      <c r="AA1179" s="5">
        <v>0.15</v>
      </c>
      <c r="AB1179" s="10" t="str" cm="1">
        <f t="array" ref="AB1179">_xlfn.IFS(AA1179 &lt;= 15%, "Low Hike[11-15%]", AA1179 &lt;= 20%, "Moderate Hike[16-20%]", AA1179 &lt;= 25%,"High Hike[21-25%]")</f>
        <v>Low Hike[11-15%]</v>
      </c>
      <c r="AC1179" s="1">
        <v>3</v>
      </c>
      <c r="AD1179" s="1">
        <v>3</v>
      </c>
      <c r="AE1179" s="1">
        <v>80</v>
      </c>
      <c r="AF1179" s="1">
        <v>3</v>
      </c>
      <c r="AG1179" s="1">
        <v>19</v>
      </c>
      <c r="AH1179" s="9" t="str" cm="1">
        <f t="array" ref="AH1179">_xlfn.IFS(AG1179 &lt;= 5, "New[1-5]", AG1179 &lt;= 10, "Early Career[6-10]", AG1179 &lt;= 20, "Established[11-20]", AG1179 &lt;= 30, "Veteran[21-30]", AG1179 &lt;= 40, "Late Career[31-40]")</f>
        <v>Established[11-20]</v>
      </c>
      <c r="AI1179" s="1">
        <v>3</v>
      </c>
      <c r="AJ1179" s="1">
        <v>3</v>
      </c>
      <c r="AK1179" s="1">
        <v>14</v>
      </c>
      <c r="AL1179" s="9" t="str" cm="1">
        <f t="array" ref="AL1179">_xlfn.IFS(AK1179 &lt;= 5, "New[1-5]", AK1179 &lt;= 10, "Early Career[6-10]", AK1179 &lt;= 20, "Established[11-20]", AK1179 &lt;= 30, "Veteran[21-30]", AK1179 &lt;= 40, "Late Career[31-40]")</f>
        <v>Established[11-20]</v>
      </c>
      <c r="AM1179" s="1">
        <v>11</v>
      </c>
      <c r="AN1179" s="9" t="str" cm="1">
        <f t="array" ref="AN1179">_xlfn.IFS(AM1179 &lt;= 3, "New to Role[1-3]", AM1179 &lt;= 7, "Settled[4-7]", AM1179 &lt;= 12, "Experienced[[8-12]", AM1179 &lt;= 18, "Long Tenured[13-18]")</f>
        <v>Experienced[[8-12]</v>
      </c>
      <c r="AO1179" s="1">
        <v>1</v>
      </c>
      <c r="AP1179" s="9" t="str" cm="1">
        <f t="array" ref="AP1179">_xlfn.IFS(AO1179 &lt;= 3, "Recently[1-3]", AO1179 &lt;= 6, "Due Soon[4-6]", AO1179 &lt;= 10, "Overdue[7-10]", AO1179 &lt;= 15, "Long Overdue[11-15]")</f>
        <v>Recently[1-3]</v>
      </c>
      <c r="AQ1179" s="9" t="str" cm="1">
        <f t="array" ref="AQ1179">_xlfn.IFS(AR1179 &lt;= 3, "New Relationship[1-3]", AR1179 &lt;= 7, "Established Relationship[4-7]", AR1179 &lt;= 12, "Long Term Relationship[8-12]", AR1179 &lt;= 17, "Very Long Term Relationship[13-17]")</f>
        <v>Long Term Relationship[8-12]</v>
      </c>
      <c r="AR1179" s="1">
        <v>11</v>
      </c>
    </row>
    <row r="1180" spans="1:44" x14ac:dyDescent="0.25">
      <c r="A1180" s="1">
        <v>20</v>
      </c>
      <c r="B1180" s="8" t="str" cm="1">
        <f t="array" ref="B1180">_xlfn.IFS(A1180 &lt;= 25, "[18-25]", A1180 &lt;= 35, "[26-35]", A1180 &lt;=45, "[36-45]", A1180 &lt;= 60, "[46- 60]")</f>
        <v>[18-25]</v>
      </c>
      <c r="C1180" s="3" t="s">
        <v>43</v>
      </c>
      <c r="D1180">
        <f t="shared" si="18"/>
        <v>0</v>
      </c>
      <c r="E1180" t="s">
        <v>36</v>
      </c>
      <c r="F1180" s="1">
        <v>1141</v>
      </c>
      <c r="G1180" s="3" t="s">
        <v>37</v>
      </c>
      <c r="H1180" s="1">
        <v>2</v>
      </c>
      <c r="I1180" s="9" t="str" cm="1">
        <f t="array" ref="I1180">_xlfn.IFS(H1180 &lt;= 2, "[1-2] very close", H1180 &lt;= 10, "[3-10] close", H1180 &lt;= 20, "[11-20] moderate", H1180 &lt;= 30, "[21-30] far")</f>
        <v>[1-2] very close</v>
      </c>
      <c r="J1180" s="1">
        <v>3</v>
      </c>
      <c r="K1180" s="3" t="s">
        <v>51</v>
      </c>
      <c r="L1180" s="1">
        <v>1</v>
      </c>
      <c r="M1180" s="1">
        <v>1657</v>
      </c>
      <c r="N1180" s="1">
        <v>3</v>
      </c>
      <c r="O1180" s="3" t="s">
        <v>39</v>
      </c>
      <c r="P1180" s="1">
        <v>31</v>
      </c>
      <c r="Q1180" s="1">
        <v>3</v>
      </c>
      <c r="R1180" s="1">
        <v>1</v>
      </c>
      <c r="S1180" s="3" t="s">
        <v>57</v>
      </c>
      <c r="T1180" s="1">
        <v>3</v>
      </c>
      <c r="U1180" s="3" t="s">
        <v>41</v>
      </c>
      <c r="V1180" s="4">
        <v>2783</v>
      </c>
      <c r="W1180" s="1">
        <v>13251</v>
      </c>
      <c r="X1180" s="1">
        <v>1</v>
      </c>
      <c r="Y1180" s="3" t="s">
        <v>42</v>
      </c>
      <c r="Z1180" s="3" t="s">
        <v>43</v>
      </c>
      <c r="AA1180" s="5">
        <v>0.19</v>
      </c>
      <c r="AB1180" s="10" t="str" cm="1">
        <f t="array" ref="AB1180">_xlfn.IFS(AA1180 &lt;= 15%, "Low Hike[11-15%]", AA1180 &lt;= 20%, "Moderate Hike[16-20%]", AA1180 &lt;= 25%,"High Hike[21-25%]")</f>
        <v>Moderate Hike[16-20%]</v>
      </c>
      <c r="AC1180" s="1">
        <v>3</v>
      </c>
      <c r="AD1180" s="1">
        <v>1</v>
      </c>
      <c r="AE1180" s="1">
        <v>80</v>
      </c>
      <c r="AF1180" s="1">
        <v>0</v>
      </c>
      <c r="AG1180" s="1">
        <v>2</v>
      </c>
      <c r="AH1180" s="9" t="str" cm="1">
        <f t="array" ref="AH1180">_xlfn.IFS(AG1180 &lt;= 5, "New[1-5]", AG1180 &lt;= 10, "Early Career[6-10]", AG1180 &lt;= 20, "Established[11-20]", AG1180 &lt;= 30, "Veteran[21-30]", AG1180 &lt;= 40, "Late Career[31-40]")</f>
        <v>New[1-5]</v>
      </c>
      <c r="AI1180" s="1">
        <v>3</v>
      </c>
      <c r="AJ1180" s="1">
        <v>3</v>
      </c>
      <c r="AK1180" s="1">
        <v>2</v>
      </c>
      <c r="AL1180" s="9" t="str" cm="1">
        <f t="array" ref="AL1180">_xlfn.IFS(AK1180 &lt;= 5, "New[1-5]", AK1180 &lt;= 10, "Early Career[6-10]", AK1180 &lt;= 20, "Established[11-20]", AK1180 &lt;= 30, "Veteran[21-30]", AK1180 &lt;= 40, "Late Career[31-40]")</f>
        <v>New[1-5]</v>
      </c>
      <c r="AM1180" s="1">
        <v>2</v>
      </c>
      <c r="AN1180" s="9" t="str" cm="1">
        <f t="array" ref="AN1180">_xlfn.IFS(AM1180 &lt;= 3, "New to Role[1-3]", AM1180 &lt;= 7, "Settled[4-7]", AM1180 &lt;= 12, "Experienced[[8-12]", AM1180 &lt;= 18, "Long Tenured[13-18]")</f>
        <v>New to Role[1-3]</v>
      </c>
      <c r="AO1180" s="1">
        <v>2</v>
      </c>
      <c r="AP1180" s="9" t="str" cm="1">
        <f t="array" ref="AP1180">_xlfn.IFS(AO1180 &lt;= 3, "Recently[1-3]", AO1180 &lt;= 6, "Due Soon[4-6]", AO1180 &lt;= 10, "Overdue[7-10]", AO1180 &lt;= 15, "Long Overdue[11-15]")</f>
        <v>Recently[1-3]</v>
      </c>
      <c r="AQ1180" s="9" t="str" cm="1">
        <f t="array" ref="AQ1180">_xlfn.IFS(AR1180 &lt;= 3, "New Relationship[1-3]", AR1180 &lt;= 7, "Established Relationship[4-7]", AR1180 &lt;= 12, "Long Term Relationship[8-12]", AR1180 &lt;= 17, "Very Long Term Relationship[13-17]")</f>
        <v>New Relationship[1-3]</v>
      </c>
      <c r="AR1180" s="1">
        <v>2</v>
      </c>
    </row>
    <row r="1181" spans="1:44" x14ac:dyDescent="0.25">
      <c r="A1181" s="1">
        <v>34</v>
      </c>
      <c r="B1181" s="8" t="str" cm="1">
        <f t="array" ref="B1181">_xlfn.IFS(A1181 &lt;= 25, "[18-25]", A1181 &lt;= 35, "[26-35]", A1181 &lt;=45, "[36-45]", A1181 &lt;= 60, "[46- 60]")</f>
        <v>[26-35]</v>
      </c>
      <c r="C1181" s="3" t="s">
        <v>43</v>
      </c>
      <c r="D1181">
        <f t="shared" si="18"/>
        <v>0</v>
      </c>
      <c r="E1181" t="s">
        <v>36</v>
      </c>
      <c r="F1181" s="1">
        <v>1130</v>
      </c>
      <c r="G1181" s="3" t="s">
        <v>45</v>
      </c>
      <c r="H1181" s="1">
        <v>3</v>
      </c>
      <c r="I1181" s="9" t="str" cm="1">
        <f t="array" ref="I1181">_xlfn.IFS(H1181 &lt;= 2, "[1-2] very close", H1181 &lt;= 10, "[3-10] close", H1181 &lt;= 20, "[11-20] moderate", H1181 &lt;= 30, "[21-30] far")</f>
        <v>[3-10] close</v>
      </c>
      <c r="J1181" s="1">
        <v>3</v>
      </c>
      <c r="K1181" s="3" t="s">
        <v>38</v>
      </c>
      <c r="L1181" s="1">
        <v>1</v>
      </c>
      <c r="M1181" s="1">
        <v>1658</v>
      </c>
      <c r="N1181" s="1">
        <v>4</v>
      </c>
      <c r="O1181" s="3" t="s">
        <v>39</v>
      </c>
      <c r="P1181" s="1">
        <v>66</v>
      </c>
      <c r="Q1181" s="1">
        <v>3</v>
      </c>
      <c r="R1181" s="1">
        <v>2</v>
      </c>
      <c r="S1181" s="3" t="s">
        <v>47</v>
      </c>
      <c r="T1181" s="1">
        <v>2</v>
      </c>
      <c r="U1181" s="3" t="s">
        <v>52</v>
      </c>
      <c r="V1181" s="4">
        <v>5433</v>
      </c>
      <c r="W1181" s="1">
        <v>19332</v>
      </c>
      <c r="X1181" s="1">
        <v>1</v>
      </c>
      <c r="Y1181" s="3" t="s">
        <v>42</v>
      </c>
      <c r="Z1181" s="3" t="s">
        <v>43</v>
      </c>
      <c r="AA1181" s="5">
        <v>0.12</v>
      </c>
      <c r="AB1181" s="10" t="str" cm="1">
        <f t="array" ref="AB1181">_xlfn.IFS(AA1181 &lt;= 15%, "Low Hike[11-15%]", AA1181 &lt;= 20%, "Moderate Hike[16-20%]", AA1181 &lt;= 25%,"High Hike[21-25%]")</f>
        <v>Low Hike[11-15%]</v>
      </c>
      <c r="AC1181" s="1">
        <v>3</v>
      </c>
      <c r="AD1181" s="1">
        <v>3</v>
      </c>
      <c r="AE1181" s="1">
        <v>80</v>
      </c>
      <c r="AF1181" s="1">
        <v>1</v>
      </c>
      <c r="AG1181" s="1">
        <v>11</v>
      </c>
      <c r="AH1181" s="9" t="str" cm="1">
        <f t="array" ref="AH1181">_xlfn.IFS(AG1181 &lt;= 5, "New[1-5]", AG1181 &lt;= 10, "Early Career[6-10]", AG1181 &lt;= 20, "Established[11-20]", AG1181 &lt;= 30, "Veteran[21-30]", AG1181 &lt;= 40, "Late Career[31-40]")</f>
        <v>Established[11-20]</v>
      </c>
      <c r="AI1181" s="1">
        <v>2</v>
      </c>
      <c r="AJ1181" s="1">
        <v>3</v>
      </c>
      <c r="AK1181" s="1">
        <v>11</v>
      </c>
      <c r="AL1181" s="9" t="str" cm="1">
        <f t="array" ref="AL1181">_xlfn.IFS(AK1181 &lt;= 5, "New[1-5]", AK1181 &lt;= 10, "Early Career[6-10]", AK1181 &lt;= 20, "Established[11-20]", AK1181 &lt;= 30, "Veteran[21-30]", AK1181 &lt;= 40, "Late Career[31-40]")</f>
        <v>Established[11-20]</v>
      </c>
      <c r="AM1181" s="1">
        <v>8</v>
      </c>
      <c r="AN1181" s="9" t="str" cm="1">
        <f t="array" ref="AN1181">_xlfn.IFS(AM1181 &lt;= 3, "New to Role[1-3]", AM1181 &lt;= 7, "Settled[4-7]", AM1181 &lt;= 12, "Experienced[[8-12]", AM1181 &lt;= 18, "Long Tenured[13-18]")</f>
        <v>Experienced[[8-12]</v>
      </c>
      <c r="AO1181" s="1">
        <v>7</v>
      </c>
      <c r="AP1181" s="9" t="str" cm="1">
        <f t="array" ref="AP1181">_xlfn.IFS(AO1181 &lt;= 3, "Recently[1-3]", AO1181 &lt;= 6, "Due Soon[4-6]", AO1181 &lt;= 10, "Overdue[7-10]", AO1181 &lt;= 15, "Long Overdue[11-15]")</f>
        <v>Overdue[7-10]</v>
      </c>
      <c r="AQ1181" s="9" t="str" cm="1">
        <f t="array" ref="AQ1181">_xlfn.IFS(AR1181 &lt;= 3, "New Relationship[1-3]", AR1181 &lt;= 7, "Established Relationship[4-7]", AR1181 &lt;= 12, "Long Term Relationship[8-12]", AR1181 &lt;= 17, "Very Long Term Relationship[13-17]")</f>
        <v>Long Term Relationship[8-12]</v>
      </c>
      <c r="AR1181" s="1">
        <v>9</v>
      </c>
    </row>
    <row r="1182" spans="1:44" x14ac:dyDescent="0.25">
      <c r="A1182" s="1">
        <v>36</v>
      </c>
      <c r="B1182" s="8" t="str" cm="1">
        <f t="array" ref="B1182">_xlfn.IFS(A1182 &lt;= 25, "[18-25]", A1182 &lt;= 35, "[26-35]", A1182 &lt;=45, "[36-45]", A1182 &lt;= 60, "[46- 60]")</f>
        <v>[36-45]</v>
      </c>
      <c r="C1182" s="3" t="s">
        <v>43</v>
      </c>
      <c r="D1182">
        <f t="shared" si="18"/>
        <v>0</v>
      </c>
      <c r="E1182" t="s">
        <v>36</v>
      </c>
      <c r="F1182" s="1">
        <v>311</v>
      </c>
      <c r="G1182" s="3" t="s">
        <v>45</v>
      </c>
      <c r="H1182" s="1">
        <v>7</v>
      </c>
      <c r="I1182" s="9" t="str" cm="1">
        <f t="array" ref="I1182">_xlfn.IFS(H1182 &lt;= 2, "[1-2] very close", H1182 &lt;= 10, "[3-10] close", H1182 &lt;= 20, "[11-20] moderate", H1182 &lt;= 30, "[21-30] far")</f>
        <v>[3-10] close</v>
      </c>
      <c r="J1182" s="1">
        <v>3</v>
      </c>
      <c r="K1182" s="3" t="s">
        <v>38</v>
      </c>
      <c r="L1182" s="1">
        <v>1</v>
      </c>
      <c r="M1182" s="1">
        <v>1659</v>
      </c>
      <c r="N1182" s="1">
        <v>1</v>
      </c>
      <c r="O1182" s="3" t="s">
        <v>46</v>
      </c>
      <c r="P1182" s="1">
        <v>77</v>
      </c>
      <c r="Q1182" s="1">
        <v>3</v>
      </c>
      <c r="R1182" s="1">
        <v>1</v>
      </c>
      <c r="S1182" s="3" t="s">
        <v>50</v>
      </c>
      <c r="T1182" s="1">
        <v>2</v>
      </c>
      <c r="U1182" s="3" t="s">
        <v>41</v>
      </c>
      <c r="V1182" s="4">
        <v>2013</v>
      </c>
      <c r="W1182" s="1">
        <v>10950</v>
      </c>
      <c r="X1182" s="1">
        <v>2</v>
      </c>
      <c r="Y1182" s="3" t="s">
        <v>42</v>
      </c>
      <c r="Z1182" s="3" t="s">
        <v>43</v>
      </c>
      <c r="AA1182" s="5">
        <v>0.11</v>
      </c>
      <c r="AB1182" s="10" t="str" cm="1">
        <f t="array" ref="AB1182">_xlfn.IFS(AA1182 &lt;= 15%, "Low Hike[11-15%]", AA1182 &lt;= 20%, "Moderate Hike[16-20%]", AA1182 &lt;= 25%,"High Hike[21-25%]")</f>
        <v>Low Hike[11-15%]</v>
      </c>
      <c r="AC1182" s="1">
        <v>3</v>
      </c>
      <c r="AD1182" s="1">
        <v>3</v>
      </c>
      <c r="AE1182" s="1">
        <v>80</v>
      </c>
      <c r="AF1182" s="1">
        <v>0</v>
      </c>
      <c r="AG1182" s="1">
        <v>15</v>
      </c>
      <c r="AH1182" s="9" t="str" cm="1">
        <f t="array" ref="AH1182">_xlfn.IFS(AG1182 &lt;= 5, "New[1-5]", AG1182 &lt;= 10, "Early Career[6-10]", AG1182 &lt;= 20, "Established[11-20]", AG1182 &lt;= 30, "Veteran[21-30]", AG1182 &lt;= 40, "Late Career[31-40]")</f>
        <v>Established[11-20]</v>
      </c>
      <c r="AI1182" s="1">
        <v>4</v>
      </c>
      <c r="AJ1182" s="1">
        <v>3</v>
      </c>
      <c r="AK1182" s="1">
        <v>4</v>
      </c>
      <c r="AL1182" s="9" t="str" cm="1">
        <f t="array" ref="AL1182">_xlfn.IFS(AK1182 &lt;= 5, "New[1-5]", AK1182 &lt;= 10, "Early Career[6-10]", AK1182 &lt;= 20, "Established[11-20]", AK1182 &lt;= 30, "Veteran[21-30]", AK1182 &lt;= 40, "Late Career[31-40]")</f>
        <v>New[1-5]</v>
      </c>
      <c r="AM1182" s="1">
        <v>3</v>
      </c>
      <c r="AN1182" s="9" t="str" cm="1">
        <f t="array" ref="AN1182">_xlfn.IFS(AM1182 &lt;= 3, "New to Role[1-3]", AM1182 &lt;= 7, "Settled[4-7]", AM1182 &lt;= 12, "Experienced[[8-12]", AM1182 &lt;= 18, "Long Tenured[13-18]")</f>
        <v>New to Role[1-3]</v>
      </c>
      <c r="AO1182" s="1">
        <v>1</v>
      </c>
      <c r="AP1182" s="9" t="str" cm="1">
        <f t="array" ref="AP1182">_xlfn.IFS(AO1182 &lt;= 3, "Recently[1-3]", AO1182 &lt;= 6, "Due Soon[4-6]", AO1182 &lt;= 10, "Overdue[7-10]", AO1182 &lt;= 15, "Long Overdue[11-15]")</f>
        <v>Recently[1-3]</v>
      </c>
      <c r="AQ1182" s="9" t="str" cm="1">
        <f t="array" ref="AQ1182">_xlfn.IFS(AR1182 &lt;= 3, "New Relationship[1-3]", AR1182 &lt;= 7, "Established Relationship[4-7]", AR1182 &lt;= 12, "Long Term Relationship[8-12]", AR1182 &lt;= 17, "Very Long Term Relationship[13-17]")</f>
        <v>New Relationship[1-3]</v>
      </c>
      <c r="AR1182" s="1">
        <v>3</v>
      </c>
    </row>
    <row r="1183" spans="1:44" x14ac:dyDescent="0.25">
      <c r="A1183" s="1">
        <v>49</v>
      </c>
      <c r="B1183" s="8" t="str" cm="1">
        <f t="array" ref="B1183">_xlfn.IFS(A1183 &lt;= 25, "[18-25]", A1183 &lt;= 35, "[26-35]", A1183 &lt;=45, "[36-45]", A1183 &lt;= 60, "[46- 60]")</f>
        <v>[46- 60]</v>
      </c>
      <c r="C1183" s="3" t="s">
        <v>43</v>
      </c>
      <c r="D1183">
        <f t="shared" si="18"/>
        <v>0</v>
      </c>
      <c r="E1183" t="s">
        <v>36</v>
      </c>
      <c r="F1183" s="1">
        <v>465</v>
      </c>
      <c r="G1183" s="3" t="s">
        <v>45</v>
      </c>
      <c r="H1183" s="1">
        <v>6</v>
      </c>
      <c r="I1183" s="9" t="str" cm="1">
        <f t="array" ref="I1183">_xlfn.IFS(H1183 &lt;= 2, "[1-2] very close", H1183 &lt;= 10, "[3-10] close", H1183 &lt;= 20, "[11-20] moderate", H1183 &lt;= 30, "[21-30] far")</f>
        <v>[3-10] close</v>
      </c>
      <c r="J1183" s="1">
        <v>1</v>
      </c>
      <c r="K1183" s="3" t="s">
        <v>38</v>
      </c>
      <c r="L1183" s="1">
        <v>1</v>
      </c>
      <c r="M1183" s="1">
        <v>1661</v>
      </c>
      <c r="N1183" s="1">
        <v>3</v>
      </c>
      <c r="O1183" s="3" t="s">
        <v>39</v>
      </c>
      <c r="P1183" s="1">
        <v>41</v>
      </c>
      <c r="Q1183" s="1">
        <v>2</v>
      </c>
      <c r="R1183" s="1">
        <v>4</v>
      </c>
      <c r="S1183" s="3" t="s">
        <v>54</v>
      </c>
      <c r="T1183" s="1">
        <v>3</v>
      </c>
      <c r="U1183" s="3" t="s">
        <v>48</v>
      </c>
      <c r="V1183" s="4">
        <v>13966</v>
      </c>
      <c r="W1183" s="1">
        <v>11652</v>
      </c>
      <c r="X1183" s="1">
        <v>2</v>
      </c>
      <c r="Y1183" s="3" t="s">
        <v>42</v>
      </c>
      <c r="Z1183" s="3" t="s">
        <v>35</v>
      </c>
      <c r="AA1183" s="5">
        <v>0.19</v>
      </c>
      <c r="AB1183" s="10" t="str" cm="1">
        <f t="array" ref="AB1183">_xlfn.IFS(AA1183 &lt;= 15%, "Low Hike[11-15%]", AA1183 &lt;= 20%, "Moderate Hike[16-20%]", AA1183 &lt;= 25%,"High Hike[21-25%]")</f>
        <v>Moderate Hike[16-20%]</v>
      </c>
      <c r="AC1183" s="1">
        <v>3</v>
      </c>
      <c r="AD1183" s="1">
        <v>2</v>
      </c>
      <c r="AE1183" s="1">
        <v>80</v>
      </c>
      <c r="AF1183" s="1">
        <v>1</v>
      </c>
      <c r="AG1183" s="1">
        <v>30</v>
      </c>
      <c r="AH1183" s="9" t="str" cm="1">
        <f t="array" ref="AH1183">_xlfn.IFS(AG1183 &lt;= 5, "New[1-5]", AG1183 &lt;= 10, "Early Career[6-10]", AG1183 &lt;= 20, "Established[11-20]", AG1183 &lt;= 30, "Veteran[21-30]", AG1183 &lt;= 40, "Late Career[31-40]")</f>
        <v>Veteran[21-30]</v>
      </c>
      <c r="AI1183" s="1">
        <v>3</v>
      </c>
      <c r="AJ1183" s="1">
        <v>3</v>
      </c>
      <c r="AK1183" s="1">
        <v>15</v>
      </c>
      <c r="AL1183" s="9" t="str" cm="1">
        <f t="array" ref="AL1183">_xlfn.IFS(AK1183 &lt;= 5, "New[1-5]", AK1183 &lt;= 10, "Early Career[6-10]", AK1183 &lt;= 20, "Established[11-20]", AK1183 &lt;= 30, "Veteran[21-30]", AK1183 &lt;= 40, "Late Career[31-40]")</f>
        <v>Established[11-20]</v>
      </c>
      <c r="AM1183" s="1">
        <v>11</v>
      </c>
      <c r="AN1183" s="9" t="str" cm="1">
        <f t="array" ref="AN1183">_xlfn.IFS(AM1183 &lt;= 3, "New to Role[1-3]", AM1183 &lt;= 7, "Settled[4-7]", AM1183 &lt;= 12, "Experienced[[8-12]", AM1183 &lt;= 18, "Long Tenured[13-18]")</f>
        <v>Experienced[[8-12]</v>
      </c>
      <c r="AO1183" s="1">
        <v>2</v>
      </c>
      <c r="AP1183" s="9" t="str" cm="1">
        <f t="array" ref="AP1183">_xlfn.IFS(AO1183 &lt;= 3, "Recently[1-3]", AO1183 &lt;= 6, "Due Soon[4-6]", AO1183 &lt;= 10, "Overdue[7-10]", AO1183 &lt;= 15, "Long Overdue[11-15]")</f>
        <v>Recently[1-3]</v>
      </c>
      <c r="AQ1183" s="9" t="str" cm="1">
        <f t="array" ref="AQ1183">_xlfn.IFS(AR1183 &lt;= 3, "New Relationship[1-3]", AR1183 &lt;= 7, "Established Relationship[4-7]", AR1183 &lt;= 12, "Long Term Relationship[8-12]", AR1183 &lt;= 17, "Very Long Term Relationship[13-17]")</f>
        <v>Long Term Relationship[8-12]</v>
      </c>
      <c r="AR1183" s="1">
        <v>12</v>
      </c>
    </row>
    <row r="1184" spans="1:44" x14ac:dyDescent="0.25">
      <c r="A1184" s="1">
        <v>36</v>
      </c>
      <c r="B1184" s="8" t="str" cm="1">
        <f t="array" ref="B1184">_xlfn.IFS(A1184 &lt;= 25, "[18-25]", A1184 &lt;= 35, "[26-35]", A1184 &lt;=45, "[36-45]", A1184 &lt;= 60, "[46- 60]")</f>
        <v>[36-45]</v>
      </c>
      <c r="C1184" s="3" t="s">
        <v>43</v>
      </c>
      <c r="D1184">
        <f t="shared" si="18"/>
        <v>0</v>
      </c>
      <c r="E1184" t="s">
        <v>62</v>
      </c>
      <c r="F1184" s="1">
        <v>894</v>
      </c>
      <c r="G1184" s="3" t="s">
        <v>45</v>
      </c>
      <c r="H1184" s="1">
        <v>1</v>
      </c>
      <c r="I1184" s="9" t="str" cm="1">
        <f t="array" ref="I1184">_xlfn.IFS(H1184 &lt;= 2, "[1-2] very close", H1184 &lt;= 10, "[3-10] close", H1184 &lt;= 20, "[11-20] moderate", H1184 &lt;= 30, "[21-30] far")</f>
        <v>[1-2] very close</v>
      </c>
      <c r="J1184" s="1">
        <v>4</v>
      </c>
      <c r="K1184" s="3" t="s">
        <v>51</v>
      </c>
      <c r="L1184" s="1">
        <v>1</v>
      </c>
      <c r="M1184" s="1">
        <v>1662</v>
      </c>
      <c r="N1184" s="1">
        <v>4</v>
      </c>
      <c r="O1184" s="3" t="s">
        <v>39</v>
      </c>
      <c r="P1184" s="1">
        <v>33</v>
      </c>
      <c r="Q1184" s="1">
        <v>2</v>
      </c>
      <c r="R1184" s="1">
        <v>2</v>
      </c>
      <c r="S1184" s="3" t="s">
        <v>53</v>
      </c>
      <c r="T1184" s="1">
        <v>3</v>
      </c>
      <c r="U1184" s="3" t="s">
        <v>48</v>
      </c>
      <c r="V1184" s="4">
        <v>4374</v>
      </c>
      <c r="W1184" s="1">
        <v>15411</v>
      </c>
      <c r="X1184" s="1">
        <v>0</v>
      </c>
      <c r="Y1184" s="3" t="s">
        <v>42</v>
      </c>
      <c r="Z1184" s="3" t="s">
        <v>43</v>
      </c>
      <c r="AA1184" s="5">
        <v>0.15</v>
      </c>
      <c r="AB1184" s="10" t="str" cm="1">
        <f t="array" ref="AB1184">_xlfn.IFS(AA1184 &lt;= 15%, "Low Hike[11-15%]", AA1184 &lt;= 20%, "Moderate Hike[16-20%]", AA1184 &lt;= 25%,"High Hike[21-25%]")</f>
        <v>Low Hike[11-15%]</v>
      </c>
      <c r="AC1184" s="1">
        <v>3</v>
      </c>
      <c r="AD1184" s="1">
        <v>3</v>
      </c>
      <c r="AE1184" s="1">
        <v>80</v>
      </c>
      <c r="AF1184" s="1">
        <v>0</v>
      </c>
      <c r="AG1184" s="1">
        <v>4</v>
      </c>
      <c r="AH1184" s="9" t="str" cm="1">
        <f t="array" ref="AH1184">_xlfn.IFS(AG1184 &lt;= 5, "New[1-5]", AG1184 &lt;= 10, "Early Career[6-10]", AG1184 &lt;= 20, "Established[11-20]", AG1184 &lt;= 30, "Veteran[21-30]", AG1184 &lt;= 40, "Late Career[31-40]")</f>
        <v>New[1-5]</v>
      </c>
      <c r="AI1184" s="1">
        <v>6</v>
      </c>
      <c r="AJ1184" s="1">
        <v>3</v>
      </c>
      <c r="AK1184" s="1">
        <v>3</v>
      </c>
      <c r="AL1184" s="9" t="str" cm="1">
        <f t="array" ref="AL1184">_xlfn.IFS(AK1184 &lt;= 5, "New[1-5]", AK1184 &lt;= 10, "Early Career[6-10]", AK1184 &lt;= 20, "Established[11-20]", AK1184 &lt;= 30, "Veteran[21-30]", AK1184 &lt;= 40, "Late Career[31-40]")</f>
        <v>New[1-5]</v>
      </c>
      <c r="AM1184" s="1">
        <v>2</v>
      </c>
      <c r="AN1184" s="9" t="str" cm="1">
        <f t="array" ref="AN1184">_xlfn.IFS(AM1184 &lt;= 3, "New to Role[1-3]", AM1184 &lt;= 7, "Settled[4-7]", AM1184 &lt;= 12, "Experienced[[8-12]", AM1184 &lt;= 18, "Long Tenured[13-18]")</f>
        <v>New to Role[1-3]</v>
      </c>
      <c r="AO1184" s="1">
        <v>1</v>
      </c>
      <c r="AP1184" s="9" t="str" cm="1">
        <f t="array" ref="AP1184">_xlfn.IFS(AO1184 &lt;= 3, "Recently[1-3]", AO1184 &lt;= 6, "Due Soon[4-6]", AO1184 &lt;= 10, "Overdue[7-10]", AO1184 &lt;= 15, "Long Overdue[11-15]")</f>
        <v>Recently[1-3]</v>
      </c>
      <c r="AQ1184" s="9" t="str" cm="1">
        <f t="array" ref="AQ1184">_xlfn.IFS(AR1184 &lt;= 3, "New Relationship[1-3]", AR1184 &lt;= 7, "Established Relationship[4-7]", AR1184 &lt;= 12, "Long Term Relationship[8-12]", AR1184 &lt;= 17, "Very Long Term Relationship[13-17]")</f>
        <v>New Relationship[1-3]</v>
      </c>
      <c r="AR1184" s="1">
        <v>2</v>
      </c>
    </row>
    <row r="1185" spans="1:44" x14ac:dyDescent="0.25">
      <c r="A1185" s="1">
        <v>36</v>
      </c>
      <c r="B1185" s="8" t="str" cm="1">
        <f t="array" ref="B1185">_xlfn.IFS(A1185 &lt;= 25, "[18-25]", A1185 &lt;= 35, "[26-35]", A1185 &lt;=45, "[36-45]", A1185 &lt;= 60, "[46- 60]")</f>
        <v>[36-45]</v>
      </c>
      <c r="C1185" s="3" t="s">
        <v>43</v>
      </c>
      <c r="D1185">
        <f t="shared" si="18"/>
        <v>0</v>
      </c>
      <c r="E1185" t="s">
        <v>36</v>
      </c>
      <c r="F1185" s="1">
        <v>1040</v>
      </c>
      <c r="G1185" s="3" t="s">
        <v>45</v>
      </c>
      <c r="H1185" s="1">
        <v>3</v>
      </c>
      <c r="I1185" s="9" t="str" cm="1">
        <f t="array" ref="I1185">_xlfn.IFS(H1185 &lt;= 2, "[1-2] very close", H1185 &lt;= 10, "[3-10] close", H1185 &lt;= 20, "[11-20] moderate", H1185 &lt;= 30, "[21-30] far")</f>
        <v>[3-10] close</v>
      </c>
      <c r="J1185" s="1">
        <v>2</v>
      </c>
      <c r="K1185" s="3" t="s">
        <v>38</v>
      </c>
      <c r="L1185" s="1">
        <v>1</v>
      </c>
      <c r="M1185" s="1">
        <v>1664</v>
      </c>
      <c r="N1185" s="1">
        <v>4</v>
      </c>
      <c r="O1185" s="3" t="s">
        <v>46</v>
      </c>
      <c r="P1185" s="1">
        <v>79</v>
      </c>
      <c r="Q1185" s="1">
        <v>4</v>
      </c>
      <c r="R1185" s="1">
        <v>2</v>
      </c>
      <c r="S1185" s="3" t="s">
        <v>54</v>
      </c>
      <c r="T1185" s="1">
        <v>1</v>
      </c>
      <c r="U1185" s="3" t="s">
        <v>52</v>
      </c>
      <c r="V1185" s="4">
        <v>6842</v>
      </c>
      <c r="W1185" s="1">
        <v>26308</v>
      </c>
      <c r="X1185" s="1">
        <v>6</v>
      </c>
      <c r="Y1185" s="3" t="s">
        <v>42</v>
      </c>
      <c r="Z1185" s="3" t="s">
        <v>43</v>
      </c>
      <c r="AA1185" s="5">
        <v>0.2</v>
      </c>
      <c r="AB1185" s="10" t="str" cm="1">
        <f t="array" ref="AB1185">_xlfn.IFS(AA1185 &lt;= 15%, "Low Hike[11-15%]", AA1185 &lt;= 20%, "Moderate Hike[16-20%]", AA1185 &lt;= 25%,"High Hike[21-25%]")</f>
        <v>Moderate Hike[16-20%]</v>
      </c>
      <c r="AC1185" s="1">
        <v>4</v>
      </c>
      <c r="AD1185" s="1">
        <v>1</v>
      </c>
      <c r="AE1185" s="1">
        <v>80</v>
      </c>
      <c r="AF1185" s="1">
        <v>1</v>
      </c>
      <c r="AG1185" s="1">
        <v>13</v>
      </c>
      <c r="AH1185" s="9" t="str" cm="1">
        <f t="array" ref="AH1185">_xlfn.IFS(AG1185 &lt;= 5, "New[1-5]", AG1185 &lt;= 10, "Early Career[6-10]", AG1185 &lt;= 20, "Established[11-20]", AG1185 &lt;= 30, "Veteran[21-30]", AG1185 &lt;= 40, "Late Career[31-40]")</f>
        <v>Established[11-20]</v>
      </c>
      <c r="AI1185" s="1">
        <v>3</v>
      </c>
      <c r="AJ1185" s="1">
        <v>3</v>
      </c>
      <c r="AK1185" s="1">
        <v>5</v>
      </c>
      <c r="AL1185" s="9" t="str" cm="1">
        <f t="array" ref="AL1185">_xlfn.IFS(AK1185 &lt;= 5, "New[1-5]", AK1185 &lt;= 10, "Early Career[6-10]", AK1185 &lt;= 20, "Established[11-20]", AK1185 &lt;= 30, "Veteran[21-30]", AK1185 &lt;= 40, "Late Career[31-40]")</f>
        <v>New[1-5]</v>
      </c>
      <c r="AM1185" s="1">
        <v>4</v>
      </c>
      <c r="AN1185" s="9" t="str" cm="1">
        <f t="array" ref="AN1185">_xlfn.IFS(AM1185 &lt;= 3, "New to Role[1-3]", AM1185 &lt;= 7, "Settled[4-7]", AM1185 &lt;= 12, "Experienced[[8-12]", AM1185 &lt;= 18, "Long Tenured[13-18]")</f>
        <v>Settled[4-7]</v>
      </c>
      <c r="AO1185" s="1">
        <v>0</v>
      </c>
      <c r="AP1185" s="9" t="str" cm="1">
        <f t="array" ref="AP1185">_xlfn.IFS(AO1185 &lt;= 3, "Recently[1-3]", AO1185 &lt;= 6, "Due Soon[4-6]", AO1185 &lt;= 10, "Overdue[7-10]", AO1185 &lt;= 15, "Long Overdue[11-15]")</f>
        <v>Recently[1-3]</v>
      </c>
      <c r="AQ1185" s="9" t="str" cm="1">
        <f t="array" ref="AQ1185">_xlfn.IFS(AR1185 &lt;= 3, "New Relationship[1-3]", AR1185 &lt;= 7, "Established Relationship[4-7]", AR1185 &lt;= 12, "Long Term Relationship[8-12]", AR1185 &lt;= 17, "Very Long Term Relationship[13-17]")</f>
        <v>Established Relationship[4-7]</v>
      </c>
      <c r="AR1185" s="1">
        <v>4</v>
      </c>
    </row>
    <row r="1186" spans="1:44" x14ac:dyDescent="0.25">
      <c r="A1186" s="1">
        <v>54</v>
      </c>
      <c r="B1186" s="8" t="str" cm="1">
        <f t="array" ref="B1186">_xlfn.IFS(A1186 &lt;= 25, "[18-25]", A1186 &lt;= 35, "[26-35]", A1186 &lt;=45, "[36-45]", A1186 &lt;= 60, "[46- 60]")</f>
        <v>[46- 60]</v>
      </c>
      <c r="C1186" s="3" t="s">
        <v>43</v>
      </c>
      <c r="D1186">
        <f t="shared" si="18"/>
        <v>0</v>
      </c>
      <c r="E1186" t="s">
        <v>36</v>
      </c>
      <c r="F1186" s="1">
        <v>584</v>
      </c>
      <c r="G1186" s="3" t="s">
        <v>45</v>
      </c>
      <c r="H1186" s="1">
        <v>22</v>
      </c>
      <c r="I1186" s="9" t="str" cm="1">
        <f t="array" ref="I1186">_xlfn.IFS(H1186 &lt;= 2, "[1-2] very close", H1186 &lt;= 10, "[3-10] close", H1186 &lt;= 20, "[11-20] moderate", H1186 &lt;= 30, "[21-30] far")</f>
        <v>[21-30] far</v>
      </c>
      <c r="J1186" s="1">
        <v>5</v>
      </c>
      <c r="K1186" s="3" t="s">
        <v>51</v>
      </c>
      <c r="L1186" s="1">
        <v>1</v>
      </c>
      <c r="M1186" s="1">
        <v>1665</v>
      </c>
      <c r="N1186" s="1">
        <v>2</v>
      </c>
      <c r="O1186" s="3" t="s">
        <v>39</v>
      </c>
      <c r="P1186" s="1">
        <v>91</v>
      </c>
      <c r="Q1186" s="1">
        <v>3</v>
      </c>
      <c r="R1186" s="1">
        <v>4</v>
      </c>
      <c r="S1186" s="3" t="s">
        <v>56</v>
      </c>
      <c r="T1186" s="1">
        <v>3</v>
      </c>
      <c r="U1186" s="3" t="s">
        <v>48</v>
      </c>
      <c r="V1186" s="4">
        <v>17426</v>
      </c>
      <c r="W1186" s="1">
        <v>18685</v>
      </c>
      <c r="X1186" s="1">
        <v>3</v>
      </c>
      <c r="Y1186" s="3" t="s">
        <v>42</v>
      </c>
      <c r="Z1186" s="3" t="s">
        <v>43</v>
      </c>
      <c r="AA1186" s="5">
        <v>0.25</v>
      </c>
      <c r="AB1186" s="10" t="str" cm="1">
        <f t="array" ref="AB1186">_xlfn.IFS(AA1186 &lt;= 15%, "Low Hike[11-15%]", AA1186 &lt;= 20%, "Moderate Hike[16-20%]", AA1186 &lt;= 25%,"High Hike[21-25%]")</f>
        <v>High Hike[21-25%]</v>
      </c>
      <c r="AC1186" s="1">
        <v>4</v>
      </c>
      <c r="AD1186" s="1">
        <v>3</v>
      </c>
      <c r="AE1186" s="1">
        <v>80</v>
      </c>
      <c r="AF1186" s="1">
        <v>1</v>
      </c>
      <c r="AG1186" s="1">
        <v>36</v>
      </c>
      <c r="AH1186" s="9" t="str" cm="1">
        <f t="array" ref="AH1186">_xlfn.IFS(AG1186 &lt;= 5, "New[1-5]", AG1186 &lt;= 10, "Early Career[6-10]", AG1186 &lt;= 20, "Established[11-20]", AG1186 &lt;= 30, "Veteran[21-30]", AG1186 &lt;= 40, "Late Career[31-40]")</f>
        <v>Late Career[31-40]</v>
      </c>
      <c r="AI1186" s="1">
        <v>6</v>
      </c>
      <c r="AJ1186" s="1">
        <v>3</v>
      </c>
      <c r="AK1186" s="1">
        <v>10</v>
      </c>
      <c r="AL1186" s="9" t="str" cm="1">
        <f t="array" ref="AL1186">_xlfn.IFS(AK1186 &lt;= 5, "New[1-5]", AK1186 &lt;= 10, "Early Career[6-10]", AK1186 &lt;= 20, "Established[11-20]", AK1186 &lt;= 30, "Veteran[21-30]", AK1186 &lt;= 40, "Late Career[31-40]")</f>
        <v>Early Career[6-10]</v>
      </c>
      <c r="AM1186" s="1">
        <v>8</v>
      </c>
      <c r="AN1186" s="9" t="str" cm="1">
        <f t="array" ref="AN1186">_xlfn.IFS(AM1186 &lt;= 3, "New to Role[1-3]", AM1186 &lt;= 7, "Settled[4-7]", AM1186 &lt;= 12, "Experienced[[8-12]", AM1186 &lt;= 18, "Long Tenured[13-18]")</f>
        <v>Experienced[[8-12]</v>
      </c>
      <c r="AO1186" s="1">
        <v>4</v>
      </c>
      <c r="AP1186" s="9" t="str" cm="1">
        <f t="array" ref="AP1186">_xlfn.IFS(AO1186 &lt;= 3, "Recently[1-3]", AO1186 &lt;= 6, "Due Soon[4-6]", AO1186 &lt;= 10, "Overdue[7-10]", AO1186 &lt;= 15, "Long Overdue[11-15]")</f>
        <v>Due Soon[4-6]</v>
      </c>
      <c r="AQ1186" s="9" t="str" cm="1">
        <f t="array" ref="AQ1186">_xlfn.IFS(AR1186 &lt;= 3, "New Relationship[1-3]", AR1186 &lt;= 7, "Established Relationship[4-7]", AR1186 &lt;= 12, "Long Term Relationship[8-12]", AR1186 &lt;= 17, "Very Long Term Relationship[13-17]")</f>
        <v>Established Relationship[4-7]</v>
      </c>
      <c r="AR1186" s="1">
        <v>7</v>
      </c>
    </row>
    <row r="1187" spans="1:44" x14ac:dyDescent="0.25">
      <c r="A1187" s="1">
        <v>43</v>
      </c>
      <c r="B1187" s="8" t="str" cm="1">
        <f t="array" ref="B1187">_xlfn.IFS(A1187 &lt;= 25, "[18-25]", A1187 &lt;= 35, "[26-35]", A1187 &lt;=45, "[36-45]", A1187 &lt;= 60, "[46- 60]")</f>
        <v>[36-45]</v>
      </c>
      <c r="C1187" s="3" t="s">
        <v>43</v>
      </c>
      <c r="D1187">
        <f t="shared" si="18"/>
        <v>0</v>
      </c>
      <c r="E1187" t="s">
        <v>36</v>
      </c>
      <c r="F1187" s="1">
        <v>1291</v>
      </c>
      <c r="G1187" s="3" t="s">
        <v>45</v>
      </c>
      <c r="H1187" s="1">
        <v>15</v>
      </c>
      <c r="I1187" s="9" t="str" cm="1">
        <f t="array" ref="I1187">_xlfn.IFS(H1187 &lt;= 2, "[1-2] very close", H1187 &lt;= 10, "[3-10] close", H1187 &lt;= 20, "[11-20] moderate", H1187 &lt;= 30, "[21-30] far")</f>
        <v>[11-20] moderate</v>
      </c>
      <c r="J1187" s="1">
        <v>2</v>
      </c>
      <c r="K1187" s="3" t="s">
        <v>38</v>
      </c>
      <c r="L1187" s="1">
        <v>1</v>
      </c>
      <c r="M1187" s="1">
        <v>1666</v>
      </c>
      <c r="N1187" s="1">
        <v>3</v>
      </c>
      <c r="O1187" s="3" t="s">
        <v>46</v>
      </c>
      <c r="P1187" s="1">
        <v>65</v>
      </c>
      <c r="Q1187" s="1">
        <v>2</v>
      </c>
      <c r="R1187" s="1">
        <v>4</v>
      </c>
      <c r="S1187" s="3" t="s">
        <v>58</v>
      </c>
      <c r="T1187" s="1">
        <v>3</v>
      </c>
      <c r="U1187" s="3" t="s">
        <v>48</v>
      </c>
      <c r="V1187" s="4">
        <v>17603</v>
      </c>
      <c r="W1187" s="1">
        <v>3525</v>
      </c>
      <c r="X1187" s="1">
        <v>1</v>
      </c>
      <c r="Y1187" s="3" t="s">
        <v>42</v>
      </c>
      <c r="Z1187" s="3" t="s">
        <v>43</v>
      </c>
      <c r="AA1187" s="5">
        <v>0.24</v>
      </c>
      <c r="AB1187" s="10" t="str" cm="1">
        <f t="array" ref="AB1187">_xlfn.IFS(AA1187 &lt;= 15%, "Low Hike[11-15%]", AA1187 &lt;= 20%, "Moderate Hike[16-20%]", AA1187 &lt;= 25%,"High Hike[21-25%]")</f>
        <v>High Hike[21-25%]</v>
      </c>
      <c r="AC1187" s="1">
        <v>4</v>
      </c>
      <c r="AD1187" s="1">
        <v>1</v>
      </c>
      <c r="AE1187" s="1">
        <v>80</v>
      </c>
      <c r="AF1187" s="1">
        <v>1</v>
      </c>
      <c r="AG1187" s="1">
        <v>14</v>
      </c>
      <c r="AH1187" s="9" t="str" cm="1">
        <f t="array" ref="AH1187">_xlfn.IFS(AG1187 &lt;= 5, "New[1-5]", AG1187 &lt;= 10, "Early Career[6-10]", AG1187 &lt;= 20, "Established[11-20]", AG1187 &lt;= 30, "Veteran[21-30]", AG1187 &lt;= 40, "Late Career[31-40]")</f>
        <v>Established[11-20]</v>
      </c>
      <c r="AI1187" s="1">
        <v>3</v>
      </c>
      <c r="AJ1187" s="1">
        <v>3</v>
      </c>
      <c r="AK1187" s="1">
        <v>14</v>
      </c>
      <c r="AL1187" s="9" t="str" cm="1">
        <f t="array" ref="AL1187">_xlfn.IFS(AK1187 &lt;= 5, "New[1-5]", AK1187 &lt;= 10, "Early Career[6-10]", AK1187 &lt;= 20, "Established[11-20]", AK1187 &lt;= 30, "Veteran[21-30]", AK1187 &lt;= 40, "Late Career[31-40]")</f>
        <v>Established[11-20]</v>
      </c>
      <c r="AM1187" s="1">
        <v>10</v>
      </c>
      <c r="AN1187" s="9" t="str" cm="1">
        <f t="array" ref="AN1187">_xlfn.IFS(AM1187 &lt;= 3, "New to Role[1-3]", AM1187 &lt;= 7, "Settled[4-7]", AM1187 &lt;= 12, "Experienced[[8-12]", AM1187 &lt;= 18, "Long Tenured[13-18]")</f>
        <v>Experienced[[8-12]</v>
      </c>
      <c r="AO1187" s="1">
        <v>6</v>
      </c>
      <c r="AP1187" s="9" t="str" cm="1">
        <f t="array" ref="AP1187">_xlfn.IFS(AO1187 &lt;= 3, "Recently[1-3]", AO1187 &lt;= 6, "Due Soon[4-6]", AO1187 &lt;= 10, "Overdue[7-10]", AO1187 &lt;= 15, "Long Overdue[11-15]")</f>
        <v>Due Soon[4-6]</v>
      </c>
      <c r="AQ1187" s="9" t="str" cm="1">
        <f t="array" ref="AQ1187">_xlfn.IFS(AR1187 &lt;= 3, "New Relationship[1-3]", AR1187 &lt;= 7, "Established Relationship[4-7]", AR1187 &lt;= 12, "Long Term Relationship[8-12]", AR1187 &lt;= 17, "Very Long Term Relationship[13-17]")</f>
        <v>Long Term Relationship[8-12]</v>
      </c>
      <c r="AR1187" s="1">
        <v>11</v>
      </c>
    </row>
    <row r="1188" spans="1:44" x14ac:dyDescent="0.25">
      <c r="A1188" s="1">
        <v>35</v>
      </c>
      <c r="B1188" s="8" t="str" cm="1">
        <f t="array" ref="B1188">_xlfn.IFS(A1188 &lt;= 25, "[18-25]", A1188 &lt;= 35, "[26-35]", A1188 &lt;=45, "[36-45]", A1188 &lt;= 60, "[46- 60]")</f>
        <v>[26-35]</v>
      </c>
      <c r="C1188" s="3" t="s">
        <v>35</v>
      </c>
      <c r="D1188">
        <f t="shared" si="18"/>
        <v>1</v>
      </c>
      <c r="E1188" t="s">
        <v>44</v>
      </c>
      <c r="F1188" s="1">
        <v>880</v>
      </c>
      <c r="G1188" s="3" t="s">
        <v>37</v>
      </c>
      <c r="H1188" s="1">
        <v>12</v>
      </c>
      <c r="I1188" s="9" t="str" cm="1">
        <f t="array" ref="I1188">_xlfn.IFS(H1188 &lt;= 2, "[1-2] very close", H1188 &lt;= 10, "[3-10] close", H1188 &lt;= 20, "[11-20] moderate", H1188 &lt;= 30, "[21-30] far")</f>
        <v>[11-20] moderate</v>
      </c>
      <c r="J1188" s="1">
        <v>4</v>
      </c>
      <c r="K1188" s="3" t="s">
        <v>49</v>
      </c>
      <c r="L1188" s="1">
        <v>1</v>
      </c>
      <c r="M1188" s="1">
        <v>1667</v>
      </c>
      <c r="N1188" s="1">
        <v>4</v>
      </c>
      <c r="O1188" s="3" t="s">
        <v>46</v>
      </c>
      <c r="P1188" s="1">
        <v>36</v>
      </c>
      <c r="Q1188" s="1">
        <v>3</v>
      </c>
      <c r="R1188" s="1">
        <v>2</v>
      </c>
      <c r="S1188" s="3" t="s">
        <v>40</v>
      </c>
      <c r="T1188" s="1">
        <v>4</v>
      </c>
      <c r="U1188" s="3" t="s">
        <v>41</v>
      </c>
      <c r="V1188" s="4">
        <v>4581</v>
      </c>
      <c r="W1188" s="1">
        <v>10414</v>
      </c>
      <c r="X1188" s="1">
        <v>3</v>
      </c>
      <c r="Y1188" s="3" t="s">
        <v>42</v>
      </c>
      <c r="Z1188" s="3" t="s">
        <v>35</v>
      </c>
      <c r="AA1188" s="5">
        <v>0.24</v>
      </c>
      <c r="AB1188" s="10" t="str" cm="1">
        <f t="array" ref="AB1188">_xlfn.IFS(AA1188 &lt;= 15%, "Low Hike[11-15%]", AA1188 &lt;= 20%, "Moderate Hike[16-20%]", AA1188 &lt;= 25%,"High Hike[21-25%]")</f>
        <v>High Hike[21-25%]</v>
      </c>
      <c r="AC1188" s="1">
        <v>4</v>
      </c>
      <c r="AD1188" s="1">
        <v>1</v>
      </c>
      <c r="AE1188" s="1">
        <v>80</v>
      </c>
      <c r="AF1188" s="1">
        <v>0</v>
      </c>
      <c r="AG1188" s="1">
        <v>13</v>
      </c>
      <c r="AH1188" s="9" t="str" cm="1">
        <f t="array" ref="AH1188">_xlfn.IFS(AG1188 &lt;= 5, "New[1-5]", AG1188 &lt;= 10, "Early Career[6-10]", AG1188 &lt;= 20, "Established[11-20]", AG1188 &lt;= 30, "Veteran[21-30]", AG1188 &lt;= 40, "Late Career[31-40]")</f>
        <v>Established[11-20]</v>
      </c>
      <c r="AI1188" s="1">
        <v>2</v>
      </c>
      <c r="AJ1188" s="1">
        <v>4</v>
      </c>
      <c r="AK1188" s="1">
        <v>11</v>
      </c>
      <c r="AL1188" s="9" t="str" cm="1">
        <f t="array" ref="AL1188">_xlfn.IFS(AK1188 &lt;= 5, "New[1-5]", AK1188 &lt;= 10, "Early Career[6-10]", AK1188 &lt;= 20, "Established[11-20]", AK1188 &lt;= 30, "Veteran[21-30]", AK1188 &lt;= 40, "Late Career[31-40]")</f>
        <v>Established[11-20]</v>
      </c>
      <c r="AM1188" s="1">
        <v>9</v>
      </c>
      <c r="AN1188" s="9" t="str" cm="1">
        <f t="array" ref="AN1188">_xlfn.IFS(AM1188 &lt;= 3, "New to Role[1-3]", AM1188 &lt;= 7, "Settled[4-7]", AM1188 &lt;= 12, "Experienced[[8-12]", AM1188 &lt;= 18, "Long Tenured[13-18]")</f>
        <v>Experienced[[8-12]</v>
      </c>
      <c r="AO1188" s="1">
        <v>6</v>
      </c>
      <c r="AP1188" s="9" t="str" cm="1">
        <f t="array" ref="AP1188">_xlfn.IFS(AO1188 &lt;= 3, "Recently[1-3]", AO1188 &lt;= 6, "Due Soon[4-6]", AO1188 &lt;= 10, "Overdue[7-10]", AO1188 &lt;= 15, "Long Overdue[11-15]")</f>
        <v>Due Soon[4-6]</v>
      </c>
      <c r="AQ1188" s="9" t="str" cm="1">
        <f t="array" ref="AQ1188">_xlfn.IFS(AR1188 &lt;= 3, "New Relationship[1-3]", AR1188 &lt;= 7, "Established Relationship[4-7]", AR1188 &lt;= 12, "Long Term Relationship[8-12]", AR1188 &lt;= 17, "Very Long Term Relationship[13-17]")</f>
        <v>Established Relationship[4-7]</v>
      </c>
      <c r="AR1188" s="1">
        <v>7</v>
      </c>
    </row>
    <row r="1189" spans="1:44" x14ac:dyDescent="0.25">
      <c r="A1189" s="1">
        <v>38</v>
      </c>
      <c r="B1189" s="8" t="str" cm="1">
        <f t="array" ref="B1189">_xlfn.IFS(A1189 &lt;= 25, "[18-25]", A1189 &lt;= 35, "[26-35]", A1189 &lt;=45, "[36-45]", A1189 &lt;= 60, "[46- 60]")</f>
        <v>[36-45]</v>
      </c>
      <c r="C1189" s="3" t="s">
        <v>43</v>
      </c>
      <c r="D1189">
        <f t="shared" si="18"/>
        <v>0</v>
      </c>
      <c r="E1189" t="s">
        <v>44</v>
      </c>
      <c r="F1189" s="1">
        <v>1189</v>
      </c>
      <c r="G1189" s="3" t="s">
        <v>45</v>
      </c>
      <c r="H1189" s="1">
        <v>1</v>
      </c>
      <c r="I1189" s="9" t="str" cm="1">
        <f t="array" ref="I1189">_xlfn.IFS(H1189 &lt;= 2, "[1-2] very close", H1189 &lt;= 10, "[3-10] close", H1189 &lt;= 20, "[11-20] moderate", H1189 &lt;= 30, "[21-30] far")</f>
        <v>[1-2] very close</v>
      </c>
      <c r="J1189" s="1">
        <v>3</v>
      </c>
      <c r="K1189" s="3" t="s">
        <v>38</v>
      </c>
      <c r="L1189" s="1">
        <v>1</v>
      </c>
      <c r="M1189" s="1">
        <v>1668</v>
      </c>
      <c r="N1189" s="1">
        <v>4</v>
      </c>
      <c r="O1189" s="3" t="s">
        <v>46</v>
      </c>
      <c r="P1189" s="1">
        <v>90</v>
      </c>
      <c r="Q1189" s="1">
        <v>3</v>
      </c>
      <c r="R1189" s="1">
        <v>2</v>
      </c>
      <c r="S1189" s="3" t="s">
        <v>47</v>
      </c>
      <c r="T1189" s="1">
        <v>4</v>
      </c>
      <c r="U1189" s="3" t="s">
        <v>48</v>
      </c>
      <c r="V1189" s="4">
        <v>4735</v>
      </c>
      <c r="W1189" s="1">
        <v>9867</v>
      </c>
      <c r="X1189" s="1">
        <v>7</v>
      </c>
      <c r="Y1189" s="3" t="s">
        <v>42</v>
      </c>
      <c r="Z1189" s="3" t="s">
        <v>43</v>
      </c>
      <c r="AA1189" s="5">
        <v>0.15</v>
      </c>
      <c r="AB1189" s="10" t="str" cm="1">
        <f t="array" ref="AB1189">_xlfn.IFS(AA1189 &lt;= 15%, "Low Hike[11-15%]", AA1189 &lt;= 20%, "Moderate Hike[16-20%]", AA1189 &lt;= 25%,"High Hike[21-25%]")</f>
        <v>Low Hike[11-15%]</v>
      </c>
      <c r="AC1189" s="1">
        <v>3</v>
      </c>
      <c r="AD1189" s="1">
        <v>4</v>
      </c>
      <c r="AE1189" s="1">
        <v>80</v>
      </c>
      <c r="AF1189" s="1">
        <v>2</v>
      </c>
      <c r="AG1189" s="1">
        <v>19</v>
      </c>
      <c r="AH1189" s="9" t="str" cm="1">
        <f t="array" ref="AH1189">_xlfn.IFS(AG1189 &lt;= 5, "New[1-5]", AG1189 &lt;= 10, "Early Career[6-10]", AG1189 &lt;= 20, "Established[11-20]", AG1189 &lt;= 30, "Veteran[21-30]", AG1189 &lt;= 40, "Late Career[31-40]")</f>
        <v>Established[11-20]</v>
      </c>
      <c r="AI1189" s="1">
        <v>4</v>
      </c>
      <c r="AJ1189" s="1">
        <v>4</v>
      </c>
      <c r="AK1189" s="1">
        <v>13</v>
      </c>
      <c r="AL1189" s="9" t="str" cm="1">
        <f t="array" ref="AL1189">_xlfn.IFS(AK1189 &lt;= 5, "New[1-5]", AK1189 &lt;= 10, "Early Career[6-10]", AK1189 &lt;= 20, "Established[11-20]", AK1189 &lt;= 30, "Veteran[21-30]", AK1189 &lt;= 40, "Late Career[31-40]")</f>
        <v>Established[11-20]</v>
      </c>
      <c r="AM1189" s="1">
        <v>11</v>
      </c>
      <c r="AN1189" s="9" t="str" cm="1">
        <f t="array" ref="AN1189">_xlfn.IFS(AM1189 &lt;= 3, "New to Role[1-3]", AM1189 &lt;= 7, "Settled[4-7]", AM1189 &lt;= 12, "Experienced[[8-12]", AM1189 &lt;= 18, "Long Tenured[13-18]")</f>
        <v>Experienced[[8-12]</v>
      </c>
      <c r="AO1189" s="1">
        <v>2</v>
      </c>
      <c r="AP1189" s="9" t="str" cm="1">
        <f t="array" ref="AP1189">_xlfn.IFS(AO1189 &lt;= 3, "Recently[1-3]", AO1189 &lt;= 6, "Due Soon[4-6]", AO1189 &lt;= 10, "Overdue[7-10]", AO1189 &lt;= 15, "Long Overdue[11-15]")</f>
        <v>Recently[1-3]</v>
      </c>
      <c r="AQ1189" s="9" t="str" cm="1">
        <f t="array" ref="AQ1189">_xlfn.IFS(AR1189 &lt;= 3, "New Relationship[1-3]", AR1189 &lt;= 7, "Established Relationship[4-7]", AR1189 &lt;= 12, "Long Term Relationship[8-12]", AR1189 &lt;= 17, "Very Long Term Relationship[13-17]")</f>
        <v>Long Term Relationship[8-12]</v>
      </c>
      <c r="AR1189" s="1">
        <v>9</v>
      </c>
    </row>
    <row r="1190" spans="1:44" x14ac:dyDescent="0.25">
      <c r="A1190" s="1">
        <v>29</v>
      </c>
      <c r="B1190" s="8" t="str" cm="1">
        <f t="array" ref="B1190">_xlfn.IFS(A1190 &lt;= 25, "[18-25]", A1190 &lt;= 35, "[26-35]", A1190 &lt;=45, "[36-45]", A1190 &lt;= 60, "[46- 60]")</f>
        <v>[26-35]</v>
      </c>
      <c r="C1190" s="3" t="s">
        <v>43</v>
      </c>
      <c r="D1190">
        <f t="shared" si="18"/>
        <v>0</v>
      </c>
      <c r="E1190" t="s">
        <v>36</v>
      </c>
      <c r="F1190" s="1">
        <v>991</v>
      </c>
      <c r="G1190" s="3" t="s">
        <v>37</v>
      </c>
      <c r="H1190" s="1">
        <v>5</v>
      </c>
      <c r="I1190" s="9" t="str" cm="1">
        <f t="array" ref="I1190">_xlfn.IFS(H1190 &lt;= 2, "[1-2] very close", H1190 &lt;= 10, "[3-10] close", H1190 &lt;= 20, "[11-20] moderate", H1190 &lt;= 30, "[21-30] far")</f>
        <v>[3-10] close</v>
      </c>
      <c r="J1190" s="1">
        <v>3</v>
      </c>
      <c r="K1190" s="3" t="s">
        <v>51</v>
      </c>
      <c r="L1190" s="1">
        <v>1</v>
      </c>
      <c r="M1190" s="1">
        <v>1669</v>
      </c>
      <c r="N1190" s="1">
        <v>1</v>
      </c>
      <c r="O1190" s="3" t="s">
        <v>46</v>
      </c>
      <c r="P1190" s="1">
        <v>43</v>
      </c>
      <c r="Q1190" s="1">
        <v>2</v>
      </c>
      <c r="R1190" s="1">
        <v>2</v>
      </c>
      <c r="S1190" s="3" t="s">
        <v>40</v>
      </c>
      <c r="T1190" s="1">
        <v>2</v>
      </c>
      <c r="U1190" s="3" t="s">
        <v>52</v>
      </c>
      <c r="V1190" s="4">
        <v>4187</v>
      </c>
      <c r="W1190" s="1">
        <v>3356</v>
      </c>
      <c r="X1190" s="1">
        <v>1</v>
      </c>
      <c r="Y1190" s="3" t="s">
        <v>42</v>
      </c>
      <c r="Z1190" s="3" t="s">
        <v>35</v>
      </c>
      <c r="AA1190" s="5">
        <v>0.13</v>
      </c>
      <c r="AB1190" s="10" t="str" cm="1">
        <f t="array" ref="AB1190">_xlfn.IFS(AA1190 &lt;= 15%, "Low Hike[11-15%]", AA1190 &lt;= 20%, "Moderate Hike[16-20%]", AA1190 &lt;= 25%,"High Hike[21-25%]")</f>
        <v>Low Hike[11-15%]</v>
      </c>
      <c r="AC1190" s="1">
        <v>3</v>
      </c>
      <c r="AD1190" s="1">
        <v>2</v>
      </c>
      <c r="AE1190" s="1">
        <v>80</v>
      </c>
      <c r="AF1190" s="1">
        <v>1</v>
      </c>
      <c r="AG1190" s="1">
        <v>10</v>
      </c>
      <c r="AH1190" s="9" t="str" cm="1">
        <f t="array" ref="AH1190">_xlfn.IFS(AG1190 &lt;= 5, "New[1-5]", AG1190 &lt;= 10, "Early Career[6-10]", AG1190 &lt;= 20, "Established[11-20]", AG1190 &lt;= 30, "Veteran[21-30]", AG1190 &lt;= 40, "Late Career[31-40]")</f>
        <v>Early Career[6-10]</v>
      </c>
      <c r="AI1190" s="1">
        <v>3</v>
      </c>
      <c r="AJ1190" s="1">
        <v>2</v>
      </c>
      <c r="AK1190" s="1">
        <v>10</v>
      </c>
      <c r="AL1190" s="9" t="str" cm="1">
        <f t="array" ref="AL1190">_xlfn.IFS(AK1190 &lt;= 5, "New[1-5]", AK1190 &lt;= 10, "Early Career[6-10]", AK1190 &lt;= 20, "Established[11-20]", AK1190 &lt;= 30, "Veteran[21-30]", AK1190 &lt;= 40, "Late Career[31-40]")</f>
        <v>Early Career[6-10]</v>
      </c>
      <c r="AM1190" s="1">
        <v>0</v>
      </c>
      <c r="AN1190" s="9" t="str" cm="1">
        <f t="array" ref="AN1190">_xlfn.IFS(AM1190 &lt;= 3, "New to Role[1-3]", AM1190 &lt;= 7, "Settled[4-7]", AM1190 &lt;= 12, "Experienced[[8-12]", AM1190 &lt;= 18, "Long Tenured[13-18]")</f>
        <v>New to Role[1-3]</v>
      </c>
      <c r="AO1190" s="1">
        <v>0</v>
      </c>
      <c r="AP1190" s="9" t="str" cm="1">
        <f t="array" ref="AP1190">_xlfn.IFS(AO1190 &lt;= 3, "Recently[1-3]", AO1190 &lt;= 6, "Due Soon[4-6]", AO1190 &lt;= 10, "Overdue[7-10]", AO1190 &lt;= 15, "Long Overdue[11-15]")</f>
        <v>Recently[1-3]</v>
      </c>
      <c r="AQ1190" s="9" t="str" cm="1">
        <f t="array" ref="AQ1190">_xlfn.IFS(AR1190 &lt;= 3, "New Relationship[1-3]", AR1190 &lt;= 7, "Established Relationship[4-7]", AR1190 &lt;= 12, "Long Term Relationship[8-12]", AR1190 &lt;= 17, "Very Long Term Relationship[13-17]")</f>
        <v>Long Term Relationship[8-12]</v>
      </c>
      <c r="AR1190" s="1">
        <v>9</v>
      </c>
    </row>
    <row r="1191" spans="1:44" x14ac:dyDescent="0.25">
      <c r="A1191" s="1">
        <v>33</v>
      </c>
      <c r="B1191" s="8" t="str" cm="1">
        <f t="array" ref="B1191">_xlfn.IFS(A1191 &lt;= 25, "[18-25]", A1191 &lt;= 35, "[26-35]", A1191 &lt;=45, "[36-45]", A1191 &lt;= 60, "[46- 60]")</f>
        <v>[26-35]</v>
      </c>
      <c r="C1191" s="3" t="s">
        <v>43</v>
      </c>
      <c r="D1191">
        <f t="shared" si="18"/>
        <v>0</v>
      </c>
      <c r="E1191" t="s">
        <v>36</v>
      </c>
      <c r="F1191" s="1">
        <v>392</v>
      </c>
      <c r="G1191" s="3" t="s">
        <v>37</v>
      </c>
      <c r="H1191" s="1">
        <v>2</v>
      </c>
      <c r="I1191" s="9" t="str" cm="1">
        <f t="array" ref="I1191">_xlfn.IFS(H1191 &lt;= 2, "[1-2] very close", H1191 &lt;= 10, "[3-10] close", H1191 &lt;= 20, "[11-20] moderate", H1191 &lt;= 30, "[21-30] far")</f>
        <v>[1-2] very close</v>
      </c>
      <c r="J1191" s="1">
        <v>4</v>
      </c>
      <c r="K1191" s="3" t="s">
        <v>51</v>
      </c>
      <c r="L1191" s="1">
        <v>1</v>
      </c>
      <c r="M1191" s="1">
        <v>1670</v>
      </c>
      <c r="N1191" s="1">
        <v>4</v>
      </c>
      <c r="O1191" s="3" t="s">
        <v>46</v>
      </c>
      <c r="P1191" s="1">
        <v>93</v>
      </c>
      <c r="Q1191" s="1">
        <v>3</v>
      </c>
      <c r="R1191" s="1">
        <v>2</v>
      </c>
      <c r="S1191" s="3" t="s">
        <v>40</v>
      </c>
      <c r="T1191" s="1">
        <v>4</v>
      </c>
      <c r="U1191" s="3" t="s">
        <v>52</v>
      </c>
      <c r="V1191" s="4">
        <v>5505</v>
      </c>
      <c r="W1191" s="1">
        <v>3921</v>
      </c>
      <c r="X1191" s="1">
        <v>1</v>
      </c>
      <c r="Y1191" s="3" t="s">
        <v>42</v>
      </c>
      <c r="Z1191" s="3" t="s">
        <v>43</v>
      </c>
      <c r="AA1191" s="5">
        <v>0.14000000000000001</v>
      </c>
      <c r="AB1191" s="10" t="str" cm="1">
        <f t="array" ref="AB1191">_xlfn.IFS(AA1191 &lt;= 15%, "Low Hike[11-15%]", AA1191 &lt;= 20%, "Moderate Hike[16-20%]", AA1191 &lt;= 25%,"High Hike[21-25%]")</f>
        <v>Low Hike[11-15%]</v>
      </c>
      <c r="AC1191" s="1">
        <v>3</v>
      </c>
      <c r="AD1191" s="1">
        <v>3</v>
      </c>
      <c r="AE1191" s="1">
        <v>80</v>
      </c>
      <c r="AF1191" s="1">
        <v>2</v>
      </c>
      <c r="AG1191" s="1">
        <v>6</v>
      </c>
      <c r="AH1191" s="9" t="str" cm="1">
        <f t="array" ref="AH1191">_xlfn.IFS(AG1191 &lt;= 5, "New[1-5]", AG1191 &lt;= 10, "Early Career[6-10]", AG1191 &lt;= 20, "Established[11-20]", AG1191 &lt;= 30, "Veteran[21-30]", AG1191 &lt;= 40, "Late Career[31-40]")</f>
        <v>Early Career[6-10]</v>
      </c>
      <c r="AI1191" s="1">
        <v>5</v>
      </c>
      <c r="AJ1191" s="1">
        <v>3</v>
      </c>
      <c r="AK1191" s="1">
        <v>6</v>
      </c>
      <c r="AL1191" s="9" t="str" cm="1">
        <f t="array" ref="AL1191">_xlfn.IFS(AK1191 &lt;= 5, "New[1-5]", AK1191 &lt;= 10, "Early Career[6-10]", AK1191 &lt;= 20, "Established[11-20]", AK1191 &lt;= 30, "Veteran[21-30]", AK1191 &lt;= 40, "Late Career[31-40]")</f>
        <v>Early Career[6-10]</v>
      </c>
      <c r="AM1191" s="1">
        <v>2</v>
      </c>
      <c r="AN1191" s="9" t="str" cm="1">
        <f t="array" ref="AN1191">_xlfn.IFS(AM1191 &lt;= 3, "New to Role[1-3]", AM1191 &lt;= 7, "Settled[4-7]", AM1191 &lt;= 12, "Experienced[[8-12]", AM1191 &lt;= 18, "Long Tenured[13-18]")</f>
        <v>New to Role[1-3]</v>
      </c>
      <c r="AO1191" s="1">
        <v>0</v>
      </c>
      <c r="AP1191" s="9" t="str" cm="1">
        <f t="array" ref="AP1191">_xlfn.IFS(AO1191 &lt;= 3, "Recently[1-3]", AO1191 &lt;= 6, "Due Soon[4-6]", AO1191 &lt;= 10, "Overdue[7-10]", AO1191 &lt;= 15, "Long Overdue[11-15]")</f>
        <v>Recently[1-3]</v>
      </c>
      <c r="AQ1191" s="9" t="str" cm="1">
        <f t="array" ref="AQ1191">_xlfn.IFS(AR1191 &lt;= 3, "New Relationship[1-3]", AR1191 &lt;= 7, "Established Relationship[4-7]", AR1191 &lt;= 12, "Long Term Relationship[8-12]", AR1191 &lt;= 17, "Very Long Term Relationship[13-17]")</f>
        <v>Established Relationship[4-7]</v>
      </c>
      <c r="AR1191" s="1">
        <v>4</v>
      </c>
    </row>
    <row r="1192" spans="1:44" x14ac:dyDescent="0.25">
      <c r="A1192" s="1">
        <v>32</v>
      </c>
      <c r="B1192" s="8" t="str" cm="1">
        <f t="array" ref="B1192">_xlfn.IFS(A1192 &lt;= 25, "[18-25]", A1192 &lt;= 35, "[26-35]", A1192 &lt;=45, "[36-45]", A1192 &lt;= 60, "[46- 60]")</f>
        <v>[26-35]</v>
      </c>
      <c r="C1192" s="3" t="s">
        <v>43</v>
      </c>
      <c r="D1192">
        <f t="shared" si="18"/>
        <v>0</v>
      </c>
      <c r="E1192" t="s">
        <v>36</v>
      </c>
      <c r="F1192" s="1">
        <v>977</v>
      </c>
      <c r="G1192" s="3" t="s">
        <v>45</v>
      </c>
      <c r="H1192" s="1">
        <v>2</v>
      </c>
      <c r="I1192" s="9" t="str" cm="1">
        <f t="array" ref="I1192">_xlfn.IFS(H1192 &lt;= 2, "[1-2] very close", H1192 &lt;= 10, "[3-10] close", H1192 &lt;= 20, "[11-20] moderate", H1192 &lt;= 30, "[21-30] far")</f>
        <v>[1-2] very close</v>
      </c>
      <c r="J1192" s="1">
        <v>3</v>
      </c>
      <c r="K1192" s="3" t="s">
        <v>51</v>
      </c>
      <c r="L1192" s="1">
        <v>1</v>
      </c>
      <c r="M1192" s="1">
        <v>1671</v>
      </c>
      <c r="N1192" s="1">
        <v>4</v>
      </c>
      <c r="O1192" s="3" t="s">
        <v>46</v>
      </c>
      <c r="P1192" s="1">
        <v>45</v>
      </c>
      <c r="Q1192" s="1">
        <v>3</v>
      </c>
      <c r="R1192" s="1">
        <v>2</v>
      </c>
      <c r="S1192" s="3" t="s">
        <v>47</v>
      </c>
      <c r="T1192" s="1">
        <v>2</v>
      </c>
      <c r="U1192" s="3" t="s">
        <v>52</v>
      </c>
      <c r="V1192" s="4">
        <v>5470</v>
      </c>
      <c r="W1192" s="1">
        <v>25518</v>
      </c>
      <c r="X1192" s="1">
        <v>0</v>
      </c>
      <c r="Y1192" s="3" t="s">
        <v>42</v>
      </c>
      <c r="Z1192" s="3" t="s">
        <v>43</v>
      </c>
      <c r="AA1192" s="5">
        <v>0.13</v>
      </c>
      <c r="AB1192" s="10" t="str" cm="1">
        <f t="array" ref="AB1192">_xlfn.IFS(AA1192 &lt;= 15%, "Low Hike[11-15%]", AA1192 &lt;= 20%, "Moderate Hike[16-20%]", AA1192 &lt;= 25%,"High Hike[21-25%]")</f>
        <v>Low Hike[11-15%]</v>
      </c>
      <c r="AC1192" s="1">
        <v>3</v>
      </c>
      <c r="AD1192" s="1">
        <v>3</v>
      </c>
      <c r="AE1192" s="1">
        <v>80</v>
      </c>
      <c r="AF1192" s="1">
        <v>2</v>
      </c>
      <c r="AG1192" s="1">
        <v>10</v>
      </c>
      <c r="AH1192" s="9" t="str" cm="1">
        <f t="array" ref="AH1192">_xlfn.IFS(AG1192 &lt;= 5, "New[1-5]", AG1192 &lt;= 10, "Early Career[6-10]", AG1192 &lt;= 20, "Established[11-20]", AG1192 &lt;= 30, "Veteran[21-30]", AG1192 &lt;= 40, "Late Career[31-40]")</f>
        <v>Early Career[6-10]</v>
      </c>
      <c r="AI1192" s="1">
        <v>4</v>
      </c>
      <c r="AJ1192" s="1">
        <v>2</v>
      </c>
      <c r="AK1192" s="1">
        <v>9</v>
      </c>
      <c r="AL1192" s="9" t="str" cm="1">
        <f t="array" ref="AL1192">_xlfn.IFS(AK1192 &lt;= 5, "New[1-5]", AK1192 &lt;= 10, "Early Career[6-10]", AK1192 &lt;= 20, "Established[11-20]", AK1192 &lt;= 30, "Veteran[21-30]", AK1192 &lt;= 40, "Late Career[31-40]")</f>
        <v>Early Career[6-10]</v>
      </c>
      <c r="AM1192" s="1">
        <v>5</v>
      </c>
      <c r="AN1192" s="9" t="str" cm="1">
        <f t="array" ref="AN1192">_xlfn.IFS(AM1192 &lt;= 3, "New to Role[1-3]", AM1192 &lt;= 7, "Settled[4-7]", AM1192 &lt;= 12, "Experienced[[8-12]", AM1192 &lt;= 18, "Long Tenured[13-18]")</f>
        <v>Settled[4-7]</v>
      </c>
      <c r="AO1192" s="1">
        <v>1</v>
      </c>
      <c r="AP1192" s="9" t="str" cm="1">
        <f t="array" ref="AP1192">_xlfn.IFS(AO1192 &lt;= 3, "Recently[1-3]", AO1192 &lt;= 6, "Due Soon[4-6]", AO1192 &lt;= 10, "Overdue[7-10]", AO1192 &lt;= 15, "Long Overdue[11-15]")</f>
        <v>Recently[1-3]</v>
      </c>
      <c r="AQ1192" s="9" t="str" cm="1">
        <f t="array" ref="AQ1192">_xlfn.IFS(AR1192 &lt;= 3, "New Relationship[1-3]", AR1192 &lt;= 7, "Established Relationship[4-7]", AR1192 &lt;= 12, "Long Term Relationship[8-12]", AR1192 &lt;= 17, "Very Long Term Relationship[13-17]")</f>
        <v>Established Relationship[4-7]</v>
      </c>
      <c r="AR1192" s="1">
        <v>6</v>
      </c>
    </row>
    <row r="1193" spans="1:44" x14ac:dyDescent="0.25">
      <c r="A1193" s="1">
        <v>31</v>
      </c>
      <c r="B1193" s="8" t="str" cm="1">
        <f t="array" ref="B1193">_xlfn.IFS(A1193 &lt;= 25, "[18-25]", A1193 &lt;= 35, "[26-35]", A1193 &lt;=45, "[36-45]", A1193 &lt;= 60, "[46- 60]")</f>
        <v>[26-35]</v>
      </c>
      <c r="C1193" s="3" t="s">
        <v>43</v>
      </c>
      <c r="D1193">
        <f t="shared" si="18"/>
        <v>0</v>
      </c>
      <c r="E1193" t="s">
        <v>36</v>
      </c>
      <c r="F1193" s="1">
        <v>1112</v>
      </c>
      <c r="G1193" s="3" t="s">
        <v>37</v>
      </c>
      <c r="H1193" s="1">
        <v>5</v>
      </c>
      <c r="I1193" s="9" t="str" cm="1">
        <f t="array" ref="I1193">_xlfn.IFS(H1193 &lt;= 2, "[1-2] very close", H1193 &lt;= 10, "[3-10] close", H1193 &lt;= 20, "[11-20] moderate", H1193 &lt;= 30, "[21-30] far")</f>
        <v>[3-10] close</v>
      </c>
      <c r="J1193" s="1">
        <v>4</v>
      </c>
      <c r="K1193" s="3" t="s">
        <v>38</v>
      </c>
      <c r="L1193" s="1">
        <v>1</v>
      </c>
      <c r="M1193" s="1">
        <v>1673</v>
      </c>
      <c r="N1193" s="1">
        <v>1</v>
      </c>
      <c r="O1193" s="3" t="s">
        <v>39</v>
      </c>
      <c r="P1193" s="1">
        <v>67</v>
      </c>
      <c r="Q1193" s="1">
        <v>3</v>
      </c>
      <c r="R1193" s="1">
        <v>2</v>
      </c>
      <c r="S1193" s="3" t="s">
        <v>40</v>
      </c>
      <c r="T1193" s="1">
        <v>4</v>
      </c>
      <c r="U1193" s="3" t="s">
        <v>48</v>
      </c>
      <c r="V1193" s="4">
        <v>5476</v>
      </c>
      <c r="W1193" s="1">
        <v>22589</v>
      </c>
      <c r="X1193" s="1">
        <v>1</v>
      </c>
      <c r="Y1193" s="3" t="s">
        <v>42</v>
      </c>
      <c r="Z1193" s="3" t="s">
        <v>43</v>
      </c>
      <c r="AA1193" s="5">
        <v>0.11</v>
      </c>
      <c r="AB1193" s="10" t="str" cm="1">
        <f t="array" ref="AB1193">_xlfn.IFS(AA1193 &lt;= 15%, "Low Hike[11-15%]", AA1193 &lt;= 20%, "Moderate Hike[16-20%]", AA1193 &lt;= 25%,"High Hike[21-25%]")</f>
        <v>Low Hike[11-15%]</v>
      </c>
      <c r="AC1193" s="1">
        <v>3</v>
      </c>
      <c r="AD1193" s="1">
        <v>1</v>
      </c>
      <c r="AE1193" s="1">
        <v>80</v>
      </c>
      <c r="AF1193" s="1">
        <v>2</v>
      </c>
      <c r="AG1193" s="1">
        <v>10</v>
      </c>
      <c r="AH1193" s="9" t="str" cm="1">
        <f t="array" ref="AH1193">_xlfn.IFS(AG1193 &lt;= 5, "New[1-5]", AG1193 &lt;= 10, "Early Career[6-10]", AG1193 &lt;= 20, "Established[11-20]", AG1193 &lt;= 30, "Veteran[21-30]", AG1193 &lt;= 40, "Late Career[31-40]")</f>
        <v>Early Career[6-10]</v>
      </c>
      <c r="AI1193" s="1">
        <v>2</v>
      </c>
      <c r="AJ1193" s="1">
        <v>3</v>
      </c>
      <c r="AK1193" s="1">
        <v>10</v>
      </c>
      <c r="AL1193" s="9" t="str" cm="1">
        <f t="array" ref="AL1193">_xlfn.IFS(AK1193 &lt;= 5, "New[1-5]", AK1193 &lt;= 10, "Early Career[6-10]", AK1193 &lt;= 20, "Established[11-20]", AK1193 &lt;= 30, "Veteran[21-30]", AK1193 &lt;= 40, "Late Career[31-40]")</f>
        <v>Early Career[6-10]</v>
      </c>
      <c r="AM1193" s="1">
        <v>0</v>
      </c>
      <c r="AN1193" s="9" t="str" cm="1">
        <f t="array" ref="AN1193">_xlfn.IFS(AM1193 &lt;= 3, "New to Role[1-3]", AM1193 &lt;= 7, "Settled[4-7]", AM1193 &lt;= 12, "Experienced[[8-12]", AM1193 &lt;= 18, "Long Tenured[13-18]")</f>
        <v>New to Role[1-3]</v>
      </c>
      <c r="AO1193" s="1">
        <v>0</v>
      </c>
      <c r="AP1193" s="9" t="str" cm="1">
        <f t="array" ref="AP1193">_xlfn.IFS(AO1193 &lt;= 3, "Recently[1-3]", AO1193 &lt;= 6, "Due Soon[4-6]", AO1193 &lt;= 10, "Overdue[7-10]", AO1193 &lt;= 15, "Long Overdue[11-15]")</f>
        <v>Recently[1-3]</v>
      </c>
      <c r="AQ1193" s="9" t="str" cm="1">
        <f t="array" ref="AQ1193">_xlfn.IFS(AR1193 &lt;= 3, "New Relationship[1-3]", AR1193 &lt;= 7, "Established Relationship[4-7]", AR1193 &lt;= 12, "Long Term Relationship[8-12]", AR1193 &lt;= 17, "Very Long Term Relationship[13-17]")</f>
        <v>New Relationship[1-3]</v>
      </c>
      <c r="AR1193" s="1">
        <v>2</v>
      </c>
    </row>
    <row r="1194" spans="1:44" x14ac:dyDescent="0.25">
      <c r="A1194" s="1">
        <v>49</v>
      </c>
      <c r="B1194" s="8" t="str" cm="1">
        <f t="array" ref="B1194">_xlfn.IFS(A1194 &lt;= 25, "[18-25]", A1194 &lt;= 35, "[26-35]", A1194 &lt;=45, "[36-45]", A1194 &lt;= 60, "[46- 60]")</f>
        <v>[46- 60]</v>
      </c>
      <c r="C1194" s="3" t="s">
        <v>43</v>
      </c>
      <c r="D1194">
        <f t="shared" si="18"/>
        <v>0</v>
      </c>
      <c r="E1194" t="s">
        <v>36</v>
      </c>
      <c r="F1194" s="1">
        <v>464</v>
      </c>
      <c r="G1194" s="3" t="s">
        <v>45</v>
      </c>
      <c r="H1194" s="1">
        <v>16</v>
      </c>
      <c r="I1194" s="9" t="str" cm="1">
        <f t="array" ref="I1194">_xlfn.IFS(H1194 &lt;= 2, "[1-2] very close", H1194 &lt;= 10, "[3-10] close", H1194 &lt;= 20, "[11-20] moderate", H1194 &lt;= 30, "[21-30] far")</f>
        <v>[11-20] moderate</v>
      </c>
      <c r="J1194" s="1">
        <v>3</v>
      </c>
      <c r="K1194" s="3" t="s">
        <v>51</v>
      </c>
      <c r="L1194" s="1">
        <v>1</v>
      </c>
      <c r="M1194" s="1">
        <v>1674</v>
      </c>
      <c r="N1194" s="1">
        <v>4</v>
      </c>
      <c r="O1194" s="3" t="s">
        <v>39</v>
      </c>
      <c r="P1194" s="1">
        <v>74</v>
      </c>
      <c r="Q1194" s="1">
        <v>3</v>
      </c>
      <c r="R1194" s="1">
        <v>1</v>
      </c>
      <c r="S1194" s="3" t="s">
        <v>50</v>
      </c>
      <c r="T1194" s="1">
        <v>1</v>
      </c>
      <c r="U1194" s="3" t="s">
        <v>52</v>
      </c>
      <c r="V1194" s="4">
        <v>2587</v>
      </c>
      <c r="W1194" s="1">
        <v>24941</v>
      </c>
      <c r="X1194" s="1">
        <v>4</v>
      </c>
      <c r="Y1194" s="3" t="s">
        <v>42</v>
      </c>
      <c r="Z1194" s="3" t="s">
        <v>35</v>
      </c>
      <c r="AA1194" s="5">
        <v>0.16</v>
      </c>
      <c r="AB1194" s="10" t="str" cm="1">
        <f t="array" ref="AB1194">_xlfn.IFS(AA1194 &lt;= 15%, "Low Hike[11-15%]", AA1194 &lt;= 20%, "Moderate Hike[16-20%]", AA1194 &lt;= 25%,"High Hike[21-25%]")</f>
        <v>Moderate Hike[16-20%]</v>
      </c>
      <c r="AC1194" s="1">
        <v>3</v>
      </c>
      <c r="AD1194" s="1">
        <v>2</v>
      </c>
      <c r="AE1194" s="1">
        <v>80</v>
      </c>
      <c r="AF1194" s="1">
        <v>1</v>
      </c>
      <c r="AG1194" s="1">
        <v>17</v>
      </c>
      <c r="AH1194" s="9" t="str" cm="1">
        <f t="array" ref="AH1194">_xlfn.IFS(AG1194 &lt;= 5, "New[1-5]", AG1194 &lt;= 10, "Early Career[6-10]", AG1194 &lt;= 20, "Established[11-20]", AG1194 &lt;= 30, "Veteran[21-30]", AG1194 &lt;= 40, "Late Career[31-40]")</f>
        <v>Established[11-20]</v>
      </c>
      <c r="AI1194" s="1">
        <v>2</v>
      </c>
      <c r="AJ1194" s="1">
        <v>2</v>
      </c>
      <c r="AK1194" s="1">
        <v>2</v>
      </c>
      <c r="AL1194" s="9" t="str" cm="1">
        <f t="array" ref="AL1194">_xlfn.IFS(AK1194 &lt;= 5, "New[1-5]", AK1194 &lt;= 10, "Early Career[6-10]", AK1194 &lt;= 20, "Established[11-20]", AK1194 &lt;= 30, "Veteran[21-30]", AK1194 &lt;= 40, "Late Career[31-40]")</f>
        <v>New[1-5]</v>
      </c>
      <c r="AM1194" s="1">
        <v>2</v>
      </c>
      <c r="AN1194" s="9" t="str" cm="1">
        <f t="array" ref="AN1194">_xlfn.IFS(AM1194 &lt;= 3, "New to Role[1-3]", AM1194 &lt;= 7, "Settled[4-7]", AM1194 &lt;= 12, "Experienced[[8-12]", AM1194 &lt;= 18, "Long Tenured[13-18]")</f>
        <v>New to Role[1-3]</v>
      </c>
      <c r="AO1194" s="1">
        <v>2</v>
      </c>
      <c r="AP1194" s="9" t="str" cm="1">
        <f t="array" ref="AP1194">_xlfn.IFS(AO1194 &lt;= 3, "Recently[1-3]", AO1194 &lt;= 6, "Due Soon[4-6]", AO1194 &lt;= 10, "Overdue[7-10]", AO1194 &lt;= 15, "Long Overdue[11-15]")</f>
        <v>Recently[1-3]</v>
      </c>
      <c r="AQ1194" s="9" t="str" cm="1">
        <f t="array" ref="AQ1194">_xlfn.IFS(AR1194 &lt;= 3, "New Relationship[1-3]", AR1194 &lt;= 7, "Established Relationship[4-7]", AR1194 &lt;= 12, "Long Term Relationship[8-12]", AR1194 &lt;= 17, "Very Long Term Relationship[13-17]")</f>
        <v>New Relationship[1-3]</v>
      </c>
      <c r="AR1194" s="1">
        <v>2</v>
      </c>
    </row>
    <row r="1195" spans="1:44" x14ac:dyDescent="0.25">
      <c r="A1195" s="1">
        <v>38</v>
      </c>
      <c r="B1195" s="8" t="str" cm="1">
        <f t="array" ref="B1195">_xlfn.IFS(A1195 &lt;= 25, "[18-25]", A1195 &lt;= 35, "[26-35]", A1195 &lt;=45, "[36-45]", A1195 &lt;= 60, "[46- 60]")</f>
        <v>[36-45]</v>
      </c>
      <c r="C1195" s="3" t="s">
        <v>43</v>
      </c>
      <c r="D1195">
        <f t="shared" si="18"/>
        <v>0</v>
      </c>
      <c r="E1195" t="s">
        <v>44</v>
      </c>
      <c r="F1195" s="1">
        <v>148</v>
      </c>
      <c r="G1195" s="3" t="s">
        <v>45</v>
      </c>
      <c r="H1195" s="1">
        <v>2</v>
      </c>
      <c r="I1195" s="9" t="str" cm="1">
        <f t="array" ref="I1195">_xlfn.IFS(H1195 &lt;= 2, "[1-2] very close", H1195 &lt;= 10, "[3-10] close", H1195 &lt;= 20, "[11-20] moderate", H1195 &lt;= 30, "[21-30] far")</f>
        <v>[1-2] very close</v>
      </c>
      <c r="J1195" s="1">
        <v>3</v>
      </c>
      <c r="K1195" s="3" t="s">
        <v>51</v>
      </c>
      <c r="L1195" s="1">
        <v>1</v>
      </c>
      <c r="M1195" s="1">
        <v>1675</v>
      </c>
      <c r="N1195" s="1">
        <v>4</v>
      </c>
      <c r="O1195" s="3" t="s">
        <v>39</v>
      </c>
      <c r="P1195" s="1">
        <v>42</v>
      </c>
      <c r="Q1195" s="1">
        <v>2</v>
      </c>
      <c r="R1195" s="1">
        <v>1</v>
      </c>
      <c r="S1195" s="3" t="s">
        <v>50</v>
      </c>
      <c r="T1195" s="1">
        <v>2</v>
      </c>
      <c r="U1195" s="3" t="s">
        <v>41</v>
      </c>
      <c r="V1195" s="4">
        <v>2440</v>
      </c>
      <c r="W1195" s="1">
        <v>23826</v>
      </c>
      <c r="X1195" s="1">
        <v>1</v>
      </c>
      <c r="Y1195" s="3" t="s">
        <v>42</v>
      </c>
      <c r="Z1195" s="3" t="s">
        <v>43</v>
      </c>
      <c r="AA1195" s="5">
        <v>0.22</v>
      </c>
      <c r="AB1195" s="10" t="str" cm="1">
        <f t="array" ref="AB1195">_xlfn.IFS(AA1195 &lt;= 15%, "Low Hike[11-15%]", AA1195 &lt;= 20%, "Moderate Hike[16-20%]", AA1195 &lt;= 25%,"High Hike[21-25%]")</f>
        <v>High Hike[21-25%]</v>
      </c>
      <c r="AC1195" s="1">
        <v>4</v>
      </c>
      <c r="AD1195" s="1">
        <v>2</v>
      </c>
      <c r="AE1195" s="1">
        <v>80</v>
      </c>
      <c r="AF1195" s="1">
        <v>0</v>
      </c>
      <c r="AG1195" s="1">
        <v>4</v>
      </c>
      <c r="AH1195" s="9" t="str" cm="1">
        <f t="array" ref="AH1195">_xlfn.IFS(AG1195 &lt;= 5, "New[1-5]", AG1195 &lt;= 10, "Early Career[6-10]", AG1195 &lt;= 20, "Established[11-20]", AG1195 &lt;= 30, "Veteran[21-30]", AG1195 &lt;= 40, "Late Career[31-40]")</f>
        <v>New[1-5]</v>
      </c>
      <c r="AI1195" s="1">
        <v>3</v>
      </c>
      <c r="AJ1195" s="1">
        <v>3</v>
      </c>
      <c r="AK1195" s="1">
        <v>4</v>
      </c>
      <c r="AL1195" s="9" t="str" cm="1">
        <f t="array" ref="AL1195">_xlfn.IFS(AK1195 &lt;= 5, "New[1-5]", AK1195 &lt;= 10, "Early Career[6-10]", AK1195 &lt;= 20, "Established[11-20]", AK1195 &lt;= 30, "Veteran[21-30]", AK1195 &lt;= 40, "Late Career[31-40]")</f>
        <v>New[1-5]</v>
      </c>
      <c r="AM1195" s="1">
        <v>3</v>
      </c>
      <c r="AN1195" s="9" t="str" cm="1">
        <f t="array" ref="AN1195">_xlfn.IFS(AM1195 &lt;= 3, "New to Role[1-3]", AM1195 &lt;= 7, "Settled[4-7]", AM1195 &lt;= 12, "Experienced[[8-12]", AM1195 &lt;= 18, "Long Tenured[13-18]")</f>
        <v>New to Role[1-3]</v>
      </c>
      <c r="AO1195" s="1">
        <v>3</v>
      </c>
      <c r="AP1195" s="9" t="str" cm="1">
        <f t="array" ref="AP1195">_xlfn.IFS(AO1195 &lt;= 3, "Recently[1-3]", AO1195 &lt;= 6, "Due Soon[4-6]", AO1195 &lt;= 10, "Overdue[7-10]", AO1195 &lt;= 15, "Long Overdue[11-15]")</f>
        <v>Recently[1-3]</v>
      </c>
      <c r="AQ1195" s="9" t="str" cm="1">
        <f t="array" ref="AQ1195">_xlfn.IFS(AR1195 &lt;= 3, "New Relationship[1-3]", AR1195 &lt;= 7, "Established Relationship[4-7]", AR1195 &lt;= 12, "Long Term Relationship[8-12]", AR1195 &lt;= 17, "Very Long Term Relationship[13-17]")</f>
        <v>New Relationship[1-3]</v>
      </c>
      <c r="AR1195" s="1">
        <v>3</v>
      </c>
    </row>
    <row r="1196" spans="1:44" x14ac:dyDescent="0.25">
      <c r="A1196" s="1">
        <v>47</v>
      </c>
      <c r="B1196" s="8" t="str" cm="1">
        <f t="array" ref="B1196">_xlfn.IFS(A1196 &lt;= 25, "[18-25]", A1196 &lt;= 35, "[26-35]", A1196 &lt;=45, "[36-45]", A1196 &lt;= 60, "[46- 60]")</f>
        <v>[46- 60]</v>
      </c>
      <c r="C1196" s="3" t="s">
        <v>43</v>
      </c>
      <c r="D1196">
        <f t="shared" si="18"/>
        <v>0</v>
      </c>
      <c r="E1196" t="s">
        <v>36</v>
      </c>
      <c r="F1196" s="1">
        <v>1225</v>
      </c>
      <c r="G1196" s="3" t="s">
        <v>37</v>
      </c>
      <c r="H1196" s="1">
        <v>2</v>
      </c>
      <c r="I1196" s="9" t="str" cm="1">
        <f t="array" ref="I1196">_xlfn.IFS(H1196 &lt;= 2, "[1-2] very close", H1196 &lt;= 10, "[3-10] close", H1196 &lt;= 20, "[11-20] moderate", H1196 &lt;= 30, "[21-30] far")</f>
        <v>[1-2] very close</v>
      </c>
      <c r="J1196" s="1">
        <v>4</v>
      </c>
      <c r="K1196" s="3" t="s">
        <v>38</v>
      </c>
      <c r="L1196" s="1">
        <v>1</v>
      </c>
      <c r="M1196" s="1">
        <v>1676</v>
      </c>
      <c r="N1196" s="1">
        <v>2</v>
      </c>
      <c r="O1196" s="3" t="s">
        <v>39</v>
      </c>
      <c r="P1196" s="1">
        <v>47</v>
      </c>
      <c r="Q1196" s="1">
        <v>4</v>
      </c>
      <c r="R1196" s="1">
        <v>4</v>
      </c>
      <c r="S1196" s="3" t="s">
        <v>56</v>
      </c>
      <c r="T1196" s="1">
        <v>2</v>
      </c>
      <c r="U1196" s="3" t="s">
        <v>52</v>
      </c>
      <c r="V1196" s="4">
        <v>15972</v>
      </c>
      <c r="W1196" s="1">
        <v>21086</v>
      </c>
      <c r="X1196" s="1">
        <v>6</v>
      </c>
      <c r="Y1196" s="3" t="s">
        <v>42</v>
      </c>
      <c r="Z1196" s="3" t="s">
        <v>43</v>
      </c>
      <c r="AA1196" s="5">
        <v>0.14000000000000001</v>
      </c>
      <c r="AB1196" s="10" t="str" cm="1">
        <f t="array" ref="AB1196">_xlfn.IFS(AA1196 &lt;= 15%, "Low Hike[11-15%]", AA1196 &lt;= 20%, "Moderate Hike[16-20%]", AA1196 &lt;= 25%,"High Hike[21-25%]")</f>
        <v>Low Hike[11-15%]</v>
      </c>
      <c r="AC1196" s="1">
        <v>3</v>
      </c>
      <c r="AD1196" s="1">
        <v>3</v>
      </c>
      <c r="AE1196" s="1">
        <v>80</v>
      </c>
      <c r="AF1196" s="1">
        <v>3</v>
      </c>
      <c r="AG1196" s="1">
        <v>29</v>
      </c>
      <c r="AH1196" s="9" t="str" cm="1">
        <f t="array" ref="AH1196">_xlfn.IFS(AG1196 &lt;= 5, "New[1-5]", AG1196 &lt;= 10, "Early Career[6-10]", AG1196 &lt;= 20, "Established[11-20]", AG1196 &lt;= 30, "Veteran[21-30]", AG1196 &lt;= 40, "Late Career[31-40]")</f>
        <v>Veteran[21-30]</v>
      </c>
      <c r="AI1196" s="1">
        <v>2</v>
      </c>
      <c r="AJ1196" s="1">
        <v>3</v>
      </c>
      <c r="AK1196" s="1">
        <v>3</v>
      </c>
      <c r="AL1196" s="9" t="str" cm="1">
        <f t="array" ref="AL1196">_xlfn.IFS(AK1196 &lt;= 5, "New[1-5]", AK1196 &lt;= 10, "Early Career[6-10]", AK1196 &lt;= 20, "Established[11-20]", AK1196 &lt;= 30, "Veteran[21-30]", AK1196 &lt;= 40, "Late Career[31-40]")</f>
        <v>New[1-5]</v>
      </c>
      <c r="AM1196" s="1">
        <v>2</v>
      </c>
      <c r="AN1196" s="9" t="str" cm="1">
        <f t="array" ref="AN1196">_xlfn.IFS(AM1196 &lt;= 3, "New to Role[1-3]", AM1196 &lt;= 7, "Settled[4-7]", AM1196 &lt;= 12, "Experienced[[8-12]", AM1196 &lt;= 18, "Long Tenured[13-18]")</f>
        <v>New to Role[1-3]</v>
      </c>
      <c r="AO1196" s="1">
        <v>1</v>
      </c>
      <c r="AP1196" s="9" t="str" cm="1">
        <f t="array" ref="AP1196">_xlfn.IFS(AO1196 &lt;= 3, "Recently[1-3]", AO1196 &lt;= 6, "Due Soon[4-6]", AO1196 &lt;= 10, "Overdue[7-10]", AO1196 &lt;= 15, "Long Overdue[11-15]")</f>
        <v>Recently[1-3]</v>
      </c>
      <c r="AQ1196" s="9" t="str" cm="1">
        <f t="array" ref="AQ1196">_xlfn.IFS(AR1196 &lt;= 3, "New Relationship[1-3]", AR1196 &lt;= 7, "Established Relationship[4-7]", AR1196 &lt;= 12, "Long Term Relationship[8-12]", AR1196 &lt;= 17, "Very Long Term Relationship[13-17]")</f>
        <v>New Relationship[1-3]</v>
      </c>
      <c r="AR1196" s="1">
        <v>2</v>
      </c>
    </row>
    <row r="1197" spans="1:44" x14ac:dyDescent="0.25">
      <c r="A1197" s="1">
        <v>49</v>
      </c>
      <c r="B1197" s="8" t="str" cm="1">
        <f t="array" ref="B1197">_xlfn.IFS(A1197 &lt;= 25, "[18-25]", A1197 &lt;= 35, "[26-35]", A1197 &lt;=45, "[36-45]", A1197 &lt;= 60, "[46- 60]")</f>
        <v>[46- 60]</v>
      </c>
      <c r="C1197" s="3" t="s">
        <v>43</v>
      </c>
      <c r="D1197">
        <f t="shared" si="18"/>
        <v>0</v>
      </c>
      <c r="E1197" t="s">
        <v>36</v>
      </c>
      <c r="F1197" s="1">
        <v>809</v>
      </c>
      <c r="G1197" s="3" t="s">
        <v>45</v>
      </c>
      <c r="H1197" s="1">
        <v>1</v>
      </c>
      <c r="I1197" s="9" t="str" cm="1">
        <f t="array" ref="I1197">_xlfn.IFS(H1197 &lt;= 2, "[1-2] very close", H1197 &lt;= 10, "[3-10] close", H1197 &lt;= 20, "[11-20] moderate", H1197 &lt;= 30, "[21-30] far")</f>
        <v>[1-2] very close</v>
      </c>
      <c r="J1197" s="1">
        <v>3</v>
      </c>
      <c r="K1197" s="3" t="s">
        <v>38</v>
      </c>
      <c r="L1197" s="1">
        <v>1</v>
      </c>
      <c r="M1197" s="1">
        <v>1677</v>
      </c>
      <c r="N1197" s="1">
        <v>3</v>
      </c>
      <c r="O1197" s="3" t="s">
        <v>46</v>
      </c>
      <c r="P1197" s="1">
        <v>36</v>
      </c>
      <c r="Q1197" s="1">
        <v>3</v>
      </c>
      <c r="R1197" s="1">
        <v>4</v>
      </c>
      <c r="S1197" s="3" t="s">
        <v>56</v>
      </c>
      <c r="T1197" s="1">
        <v>3</v>
      </c>
      <c r="U1197" s="3" t="s">
        <v>41</v>
      </c>
      <c r="V1197" s="4">
        <v>15379</v>
      </c>
      <c r="W1197" s="1">
        <v>22384</v>
      </c>
      <c r="X1197" s="1">
        <v>4</v>
      </c>
      <c r="Y1197" s="3" t="s">
        <v>42</v>
      </c>
      <c r="Z1197" s="3" t="s">
        <v>43</v>
      </c>
      <c r="AA1197" s="5">
        <v>0.14000000000000001</v>
      </c>
      <c r="AB1197" s="10" t="str" cm="1">
        <f t="array" ref="AB1197">_xlfn.IFS(AA1197 &lt;= 15%, "Low Hike[11-15%]", AA1197 &lt;= 20%, "Moderate Hike[16-20%]", AA1197 &lt;= 25%,"High Hike[21-25%]")</f>
        <v>Low Hike[11-15%]</v>
      </c>
      <c r="AC1197" s="1">
        <v>3</v>
      </c>
      <c r="AD1197" s="1">
        <v>1</v>
      </c>
      <c r="AE1197" s="1">
        <v>80</v>
      </c>
      <c r="AF1197" s="1">
        <v>0</v>
      </c>
      <c r="AG1197" s="1">
        <v>23</v>
      </c>
      <c r="AH1197" s="9" t="str" cm="1">
        <f t="array" ref="AH1197">_xlfn.IFS(AG1197 &lt;= 5, "New[1-5]", AG1197 &lt;= 10, "Early Career[6-10]", AG1197 &lt;= 20, "Established[11-20]", AG1197 &lt;= 30, "Veteran[21-30]", AG1197 &lt;= 40, "Late Career[31-40]")</f>
        <v>Veteran[21-30]</v>
      </c>
      <c r="AI1197" s="1">
        <v>2</v>
      </c>
      <c r="AJ1197" s="1">
        <v>3</v>
      </c>
      <c r="AK1197" s="1">
        <v>8</v>
      </c>
      <c r="AL1197" s="9" t="str" cm="1">
        <f t="array" ref="AL1197">_xlfn.IFS(AK1197 &lt;= 5, "New[1-5]", AK1197 &lt;= 10, "Early Career[6-10]", AK1197 &lt;= 20, "Established[11-20]", AK1197 &lt;= 30, "Veteran[21-30]", AK1197 &lt;= 40, "Late Career[31-40]")</f>
        <v>Early Career[6-10]</v>
      </c>
      <c r="AM1197" s="1">
        <v>7</v>
      </c>
      <c r="AN1197" s="9" t="str" cm="1">
        <f t="array" ref="AN1197">_xlfn.IFS(AM1197 &lt;= 3, "New to Role[1-3]", AM1197 &lt;= 7, "Settled[4-7]", AM1197 &lt;= 12, "Experienced[[8-12]", AM1197 &lt;= 18, "Long Tenured[13-18]")</f>
        <v>Settled[4-7]</v>
      </c>
      <c r="AO1197" s="1">
        <v>0</v>
      </c>
      <c r="AP1197" s="9" t="str" cm="1">
        <f t="array" ref="AP1197">_xlfn.IFS(AO1197 &lt;= 3, "Recently[1-3]", AO1197 &lt;= 6, "Due Soon[4-6]", AO1197 &lt;= 10, "Overdue[7-10]", AO1197 &lt;= 15, "Long Overdue[11-15]")</f>
        <v>Recently[1-3]</v>
      </c>
      <c r="AQ1197" s="9" t="str" cm="1">
        <f t="array" ref="AQ1197">_xlfn.IFS(AR1197 &lt;= 3, "New Relationship[1-3]", AR1197 &lt;= 7, "Established Relationship[4-7]", AR1197 &lt;= 12, "Long Term Relationship[8-12]", AR1197 &lt;= 17, "Very Long Term Relationship[13-17]")</f>
        <v>New Relationship[1-3]</v>
      </c>
      <c r="AR1197" s="1">
        <v>0</v>
      </c>
    </row>
    <row r="1198" spans="1:44" x14ac:dyDescent="0.25">
      <c r="A1198" s="1">
        <v>41</v>
      </c>
      <c r="B1198" s="8" t="str" cm="1">
        <f t="array" ref="B1198">_xlfn.IFS(A1198 &lt;= 25, "[18-25]", A1198 &lt;= 35, "[26-35]", A1198 &lt;=45, "[36-45]", A1198 &lt;= 60, "[46- 60]")</f>
        <v>[36-45]</v>
      </c>
      <c r="C1198" s="3" t="s">
        <v>43</v>
      </c>
      <c r="D1198">
        <f t="shared" si="18"/>
        <v>0</v>
      </c>
      <c r="E1198" t="s">
        <v>36</v>
      </c>
      <c r="F1198" s="1">
        <v>1206</v>
      </c>
      <c r="G1198" s="3" t="s">
        <v>37</v>
      </c>
      <c r="H1198" s="1">
        <v>23</v>
      </c>
      <c r="I1198" s="9" t="str" cm="1">
        <f t="array" ref="I1198">_xlfn.IFS(H1198 &lt;= 2, "[1-2] very close", H1198 &lt;= 10, "[3-10] close", H1198 &lt;= 20, "[11-20] moderate", H1198 &lt;= 30, "[21-30] far")</f>
        <v>[21-30] far</v>
      </c>
      <c r="J1198" s="1">
        <v>2</v>
      </c>
      <c r="K1198" s="3" t="s">
        <v>38</v>
      </c>
      <c r="L1198" s="1">
        <v>1</v>
      </c>
      <c r="M1198" s="1">
        <v>1678</v>
      </c>
      <c r="N1198" s="1">
        <v>4</v>
      </c>
      <c r="O1198" s="3" t="s">
        <v>46</v>
      </c>
      <c r="P1198" s="1">
        <v>80</v>
      </c>
      <c r="Q1198" s="1">
        <v>3</v>
      </c>
      <c r="R1198" s="1">
        <v>3</v>
      </c>
      <c r="S1198" s="3" t="s">
        <v>40</v>
      </c>
      <c r="T1198" s="1">
        <v>3</v>
      </c>
      <c r="U1198" s="3" t="s">
        <v>41</v>
      </c>
      <c r="V1198" s="4">
        <v>7082</v>
      </c>
      <c r="W1198" s="1">
        <v>11591</v>
      </c>
      <c r="X1198" s="1">
        <v>3</v>
      </c>
      <c r="Y1198" s="3" t="s">
        <v>42</v>
      </c>
      <c r="Z1198" s="3" t="s">
        <v>35</v>
      </c>
      <c r="AA1198" s="5">
        <v>0.16</v>
      </c>
      <c r="AB1198" s="10" t="str" cm="1">
        <f t="array" ref="AB1198">_xlfn.IFS(AA1198 &lt;= 15%, "Low Hike[11-15%]", AA1198 &lt;= 20%, "Moderate Hike[16-20%]", AA1198 &lt;= 25%,"High Hike[21-25%]")</f>
        <v>Moderate Hike[16-20%]</v>
      </c>
      <c r="AC1198" s="1">
        <v>3</v>
      </c>
      <c r="AD1198" s="1">
        <v>4</v>
      </c>
      <c r="AE1198" s="1">
        <v>80</v>
      </c>
      <c r="AF1198" s="1">
        <v>0</v>
      </c>
      <c r="AG1198" s="1">
        <v>21</v>
      </c>
      <c r="AH1198" s="9" t="str" cm="1">
        <f t="array" ref="AH1198">_xlfn.IFS(AG1198 &lt;= 5, "New[1-5]", AG1198 &lt;= 10, "Early Career[6-10]", AG1198 &lt;= 20, "Established[11-20]", AG1198 &lt;= 30, "Veteran[21-30]", AG1198 &lt;= 40, "Late Career[31-40]")</f>
        <v>Veteran[21-30]</v>
      </c>
      <c r="AI1198" s="1">
        <v>2</v>
      </c>
      <c r="AJ1198" s="1">
        <v>3</v>
      </c>
      <c r="AK1198" s="1">
        <v>2</v>
      </c>
      <c r="AL1198" s="9" t="str" cm="1">
        <f t="array" ref="AL1198">_xlfn.IFS(AK1198 &lt;= 5, "New[1-5]", AK1198 &lt;= 10, "Early Career[6-10]", AK1198 &lt;= 20, "Established[11-20]", AK1198 &lt;= 30, "Veteran[21-30]", AK1198 &lt;= 40, "Late Career[31-40]")</f>
        <v>New[1-5]</v>
      </c>
      <c r="AM1198" s="1">
        <v>0</v>
      </c>
      <c r="AN1198" s="9" t="str" cm="1">
        <f t="array" ref="AN1198">_xlfn.IFS(AM1198 &lt;= 3, "New to Role[1-3]", AM1198 &lt;= 7, "Settled[4-7]", AM1198 &lt;= 12, "Experienced[[8-12]", AM1198 &lt;= 18, "Long Tenured[13-18]")</f>
        <v>New to Role[1-3]</v>
      </c>
      <c r="AO1198" s="1">
        <v>0</v>
      </c>
      <c r="AP1198" s="9" t="str" cm="1">
        <f t="array" ref="AP1198">_xlfn.IFS(AO1198 &lt;= 3, "Recently[1-3]", AO1198 &lt;= 6, "Due Soon[4-6]", AO1198 &lt;= 10, "Overdue[7-10]", AO1198 &lt;= 15, "Long Overdue[11-15]")</f>
        <v>Recently[1-3]</v>
      </c>
      <c r="AQ1198" s="9" t="str" cm="1">
        <f t="array" ref="AQ1198">_xlfn.IFS(AR1198 &lt;= 3, "New Relationship[1-3]", AR1198 &lt;= 7, "Established Relationship[4-7]", AR1198 &lt;= 12, "Long Term Relationship[8-12]", AR1198 &lt;= 17, "Very Long Term Relationship[13-17]")</f>
        <v>New Relationship[1-3]</v>
      </c>
      <c r="AR1198" s="1">
        <v>2</v>
      </c>
    </row>
    <row r="1199" spans="1:44" x14ac:dyDescent="0.25">
      <c r="A1199" s="1">
        <v>20</v>
      </c>
      <c r="B1199" s="8" t="str" cm="1">
        <f t="array" ref="B1199">_xlfn.IFS(A1199 &lt;= 25, "[18-25]", A1199 &lt;= 35, "[26-35]", A1199 &lt;=45, "[36-45]", A1199 &lt;= 60, "[46- 60]")</f>
        <v>[18-25]</v>
      </c>
      <c r="C1199" s="3" t="s">
        <v>43</v>
      </c>
      <c r="D1199">
        <f t="shared" si="18"/>
        <v>0</v>
      </c>
      <c r="E1199" t="s">
        <v>36</v>
      </c>
      <c r="F1199" s="1">
        <v>727</v>
      </c>
      <c r="G1199" s="3" t="s">
        <v>37</v>
      </c>
      <c r="H1199" s="1">
        <v>9</v>
      </c>
      <c r="I1199" s="9" t="str" cm="1">
        <f t="array" ref="I1199">_xlfn.IFS(H1199 &lt;= 2, "[1-2] very close", H1199 &lt;= 10, "[3-10] close", H1199 &lt;= 20, "[11-20] moderate", H1199 &lt;= 30, "[21-30] far")</f>
        <v>[3-10] close</v>
      </c>
      <c r="J1199" s="1">
        <v>1</v>
      </c>
      <c r="K1199" s="3" t="s">
        <v>38</v>
      </c>
      <c r="L1199" s="1">
        <v>1</v>
      </c>
      <c r="M1199" s="1">
        <v>1680</v>
      </c>
      <c r="N1199" s="1">
        <v>4</v>
      </c>
      <c r="O1199" s="3" t="s">
        <v>46</v>
      </c>
      <c r="P1199" s="1">
        <v>54</v>
      </c>
      <c r="Q1199" s="1">
        <v>3</v>
      </c>
      <c r="R1199" s="1">
        <v>1</v>
      </c>
      <c r="S1199" s="3" t="s">
        <v>57</v>
      </c>
      <c r="T1199" s="1">
        <v>1</v>
      </c>
      <c r="U1199" s="3" t="s">
        <v>41</v>
      </c>
      <c r="V1199" s="4">
        <v>2728</v>
      </c>
      <c r="W1199" s="1">
        <v>21082</v>
      </c>
      <c r="X1199" s="1">
        <v>1</v>
      </c>
      <c r="Y1199" s="3" t="s">
        <v>42</v>
      </c>
      <c r="Z1199" s="3" t="s">
        <v>43</v>
      </c>
      <c r="AA1199" s="5">
        <v>0.11</v>
      </c>
      <c r="AB1199" s="10" t="str" cm="1">
        <f t="array" ref="AB1199">_xlfn.IFS(AA1199 &lt;= 15%, "Low Hike[11-15%]", AA1199 &lt;= 20%, "Moderate Hike[16-20%]", AA1199 &lt;= 25%,"High Hike[21-25%]")</f>
        <v>Low Hike[11-15%]</v>
      </c>
      <c r="AC1199" s="1">
        <v>3</v>
      </c>
      <c r="AD1199" s="1">
        <v>1</v>
      </c>
      <c r="AE1199" s="1">
        <v>80</v>
      </c>
      <c r="AF1199" s="1">
        <v>0</v>
      </c>
      <c r="AG1199" s="1">
        <v>2</v>
      </c>
      <c r="AH1199" s="9" t="str" cm="1">
        <f t="array" ref="AH1199">_xlfn.IFS(AG1199 &lt;= 5, "New[1-5]", AG1199 &lt;= 10, "Early Career[6-10]", AG1199 &lt;= 20, "Established[11-20]", AG1199 &lt;= 30, "Veteran[21-30]", AG1199 &lt;= 40, "Late Career[31-40]")</f>
        <v>New[1-5]</v>
      </c>
      <c r="AI1199" s="1">
        <v>3</v>
      </c>
      <c r="AJ1199" s="1">
        <v>3</v>
      </c>
      <c r="AK1199" s="1">
        <v>2</v>
      </c>
      <c r="AL1199" s="9" t="str" cm="1">
        <f t="array" ref="AL1199">_xlfn.IFS(AK1199 &lt;= 5, "New[1-5]", AK1199 &lt;= 10, "Early Career[6-10]", AK1199 &lt;= 20, "Established[11-20]", AK1199 &lt;= 30, "Veteran[21-30]", AK1199 &lt;= 40, "Late Career[31-40]")</f>
        <v>New[1-5]</v>
      </c>
      <c r="AM1199" s="1">
        <v>2</v>
      </c>
      <c r="AN1199" s="9" t="str" cm="1">
        <f t="array" ref="AN1199">_xlfn.IFS(AM1199 &lt;= 3, "New to Role[1-3]", AM1199 &lt;= 7, "Settled[4-7]", AM1199 &lt;= 12, "Experienced[[8-12]", AM1199 &lt;= 18, "Long Tenured[13-18]")</f>
        <v>New to Role[1-3]</v>
      </c>
      <c r="AO1199" s="1">
        <v>0</v>
      </c>
      <c r="AP1199" s="9" t="str" cm="1">
        <f t="array" ref="AP1199">_xlfn.IFS(AO1199 &lt;= 3, "Recently[1-3]", AO1199 &lt;= 6, "Due Soon[4-6]", AO1199 &lt;= 10, "Overdue[7-10]", AO1199 &lt;= 15, "Long Overdue[11-15]")</f>
        <v>Recently[1-3]</v>
      </c>
      <c r="AQ1199" s="9" t="str" cm="1">
        <f t="array" ref="AQ1199">_xlfn.IFS(AR1199 &lt;= 3, "New Relationship[1-3]", AR1199 &lt;= 7, "Established Relationship[4-7]", AR1199 &lt;= 12, "Long Term Relationship[8-12]", AR1199 &lt;= 17, "Very Long Term Relationship[13-17]")</f>
        <v>New Relationship[1-3]</v>
      </c>
      <c r="AR1199" s="1">
        <v>2</v>
      </c>
    </row>
    <row r="1200" spans="1:44" x14ac:dyDescent="0.25">
      <c r="A1200" s="1">
        <v>33</v>
      </c>
      <c r="B1200" s="8" t="str" cm="1">
        <f t="array" ref="B1200">_xlfn.IFS(A1200 &lt;= 25, "[18-25]", A1200 &lt;= 35, "[26-35]", A1200 &lt;=45, "[36-45]", A1200 &lt;= 60, "[46- 60]")</f>
        <v>[26-35]</v>
      </c>
      <c r="C1200" s="3" t="s">
        <v>43</v>
      </c>
      <c r="D1200">
        <f t="shared" si="18"/>
        <v>0</v>
      </c>
      <c r="E1200" t="s">
        <v>62</v>
      </c>
      <c r="F1200" s="1">
        <v>530</v>
      </c>
      <c r="G1200" s="3" t="s">
        <v>37</v>
      </c>
      <c r="H1200" s="1">
        <v>16</v>
      </c>
      <c r="I1200" s="9" t="str" cm="1">
        <f t="array" ref="I1200">_xlfn.IFS(H1200 &lt;= 2, "[1-2] very close", H1200 &lt;= 10, "[3-10] close", H1200 &lt;= 20, "[11-20] moderate", H1200 &lt;= 30, "[21-30] far")</f>
        <v>[11-20] moderate</v>
      </c>
      <c r="J1200" s="1">
        <v>3</v>
      </c>
      <c r="K1200" s="3" t="s">
        <v>38</v>
      </c>
      <c r="L1200" s="1">
        <v>1</v>
      </c>
      <c r="M1200" s="1">
        <v>1681</v>
      </c>
      <c r="N1200" s="1">
        <v>3</v>
      </c>
      <c r="O1200" s="3" t="s">
        <v>39</v>
      </c>
      <c r="P1200" s="1">
        <v>36</v>
      </c>
      <c r="Q1200" s="1">
        <v>3</v>
      </c>
      <c r="R1200" s="1">
        <v>2</v>
      </c>
      <c r="S1200" s="3" t="s">
        <v>40</v>
      </c>
      <c r="T1200" s="1">
        <v>4</v>
      </c>
      <c r="U1200" s="3" t="s">
        <v>52</v>
      </c>
      <c r="V1200" s="4">
        <v>5368</v>
      </c>
      <c r="W1200" s="1">
        <v>16130</v>
      </c>
      <c r="X1200" s="1">
        <v>1</v>
      </c>
      <c r="Y1200" s="3" t="s">
        <v>42</v>
      </c>
      <c r="Z1200" s="3" t="s">
        <v>35</v>
      </c>
      <c r="AA1200" s="5">
        <v>0.25</v>
      </c>
      <c r="AB1200" s="10" t="str" cm="1">
        <f t="array" ref="AB1200">_xlfn.IFS(AA1200 &lt;= 15%, "Low Hike[11-15%]", AA1200 &lt;= 20%, "Moderate Hike[16-20%]", AA1200 &lt;= 25%,"High Hike[21-25%]")</f>
        <v>High Hike[21-25%]</v>
      </c>
      <c r="AC1200" s="1">
        <v>4</v>
      </c>
      <c r="AD1200" s="1">
        <v>3</v>
      </c>
      <c r="AE1200" s="1">
        <v>80</v>
      </c>
      <c r="AF1200" s="1">
        <v>1</v>
      </c>
      <c r="AG1200" s="1">
        <v>7</v>
      </c>
      <c r="AH1200" s="9" t="str" cm="1">
        <f t="array" ref="AH1200">_xlfn.IFS(AG1200 &lt;= 5, "New[1-5]", AG1200 &lt;= 10, "Early Career[6-10]", AG1200 &lt;= 20, "Established[11-20]", AG1200 &lt;= 30, "Veteran[21-30]", AG1200 &lt;= 40, "Late Career[31-40]")</f>
        <v>Early Career[6-10]</v>
      </c>
      <c r="AI1200" s="1">
        <v>2</v>
      </c>
      <c r="AJ1200" s="1">
        <v>3</v>
      </c>
      <c r="AK1200" s="1">
        <v>6</v>
      </c>
      <c r="AL1200" s="9" t="str" cm="1">
        <f t="array" ref="AL1200">_xlfn.IFS(AK1200 &lt;= 5, "New[1-5]", AK1200 &lt;= 10, "Early Career[6-10]", AK1200 &lt;= 20, "Established[11-20]", AK1200 &lt;= 30, "Veteran[21-30]", AK1200 &lt;= 40, "Late Career[31-40]")</f>
        <v>Early Career[6-10]</v>
      </c>
      <c r="AM1200" s="1">
        <v>5</v>
      </c>
      <c r="AN1200" s="9" t="str" cm="1">
        <f t="array" ref="AN1200">_xlfn.IFS(AM1200 &lt;= 3, "New to Role[1-3]", AM1200 &lt;= 7, "Settled[4-7]", AM1200 &lt;= 12, "Experienced[[8-12]", AM1200 &lt;= 18, "Long Tenured[13-18]")</f>
        <v>Settled[4-7]</v>
      </c>
      <c r="AO1200" s="1">
        <v>1</v>
      </c>
      <c r="AP1200" s="9" t="str" cm="1">
        <f t="array" ref="AP1200">_xlfn.IFS(AO1200 &lt;= 3, "Recently[1-3]", AO1200 &lt;= 6, "Due Soon[4-6]", AO1200 &lt;= 10, "Overdue[7-10]", AO1200 &lt;= 15, "Long Overdue[11-15]")</f>
        <v>Recently[1-3]</v>
      </c>
      <c r="AQ1200" s="9" t="str" cm="1">
        <f t="array" ref="AQ1200">_xlfn.IFS(AR1200 &lt;= 3, "New Relationship[1-3]", AR1200 &lt;= 7, "Established Relationship[4-7]", AR1200 &lt;= 12, "Long Term Relationship[8-12]", AR1200 &lt;= 17, "Very Long Term Relationship[13-17]")</f>
        <v>New Relationship[1-3]</v>
      </c>
      <c r="AR1200" s="1">
        <v>2</v>
      </c>
    </row>
    <row r="1201" spans="1:44" x14ac:dyDescent="0.25">
      <c r="A1201" s="1">
        <v>36</v>
      </c>
      <c r="B1201" s="8" t="str" cm="1">
        <f t="array" ref="B1201">_xlfn.IFS(A1201 &lt;= 25, "[18-25]", A1201 &lt;= 35, "[26-35]", A1201 &lt;=45, "[36-45]", A1201 &lt;= 60, "[46- 60]")</f>
        <v>[36-45]</v>
      </c>
      <c r="C1201" s="3" t="s">
        <v>43</v>
      </c>
      <c r="D1201">
        <f t="shared" si="18"/>
        <v>0</v>
      </c>
      <c r="E1201" t="s">
        <v>36</v>
      </c>
      <c r="F1201" s="1">
        <v>1351</v>
      </c>
      <c r="G1201" s="3" t="s">
        <v>45</v>
      </c>
      <c r="H1201" s="1">
        <v>26</v>
      </c>
      <c r="I1201" s="9" t="str" cm="1">
        <f t="array" ref="I1201">_xlfn.IFS(H1201 &lt;= 2, "[1-2] very close", H1201 &lt;= 10, "[3-10] close", H1201 &lt;= 20, "[11-20] moderate", H1201 &lt;= 30, "[21-30] far")</f>
        <v>[21-30] far</v>
      </c>
      <c r="J1201" s="1">
        <v>4</v>
      </c>
      <c r="K1201" s="3" t="s">
        <v>38</v>
      </c>
      <c r="L1201" s="1">
        <v>1</v>
      </c>
      <c r="M1201" s="1">
        <v>1682</v>
      </c>
      <c r="N1201" s="1">
        <v>1</v>
      </c>
      <c r="O1201" s="3" t="s">
        <v>46</v>
      </c>
      <c r="P1201" s="1">
        <v>80</v>
      </c>
      <c r="Q1201" s="1">
        <v>3</v>
      </c>
      <c r="R1201" s="1">
        <v>2</v>
      </c>
      <c r="S1201" s="3" t="s">
        <v>54</v>
      </c>
      <c r="T1201" s="1">
        <v>3</v>
      </c>
      <c r="U1201" s="3" t="s">
        <v>48</v>
      </c>
      <c r="V1201" s="4">
        <v>5347</v>
      </c>
      <c r="W1201" s="1">
        <v>7419</v>
      </c>
      <c r="X1201" s="1">
        <v>6</v>
      </c>
      <c r="Y1201" s="3" t="s">
        <v>42</v>
      </c>
      <c r="Z1201" s="3" t="s">
        <v>43</v>
      </c>
      <c r="AA1201" s="5">
        <v>0.14000000000000001</v>
      </c>
      <c r="AB1201" s="10" t="str" cm="1">
        <f t="array" ref="AB1201">_xlfn.IFS(AA1201 &lt;= 15%, "Low Hike[11-15%]", AA1201 &lt;= 20%, "Moderate Hike[16-20%]", AA1201 &lt;= 25%,"High Hike[21-25%]")</f>
        <v>Low Hike[11-15%]</v>
      </c>
      <c r="AC1201" s="1">
        <v>3</v>
      </c>
      <c r="AD1201" s="1">
        <v>2</v>
      </c>
      <c r="AE1201" s="1">
        <v>80</v>
      </c>
      <c r="AF1201" s="1">
        <v>2</v>
      </c>
      <c r="AG1201" s="1">
        <v>10</v>
      </c>
      <c r="AH1201" s="9" t="str" cm="1">
        <f t="array" ref="AH1201">_xlfn.IFS(AG1201 &lt;= 5, "New[1-5]", AG1201 &lt;= 10, "Early Career[6-10]", AG1201 &lt;= 20, "Established[11-20]", AG1201 &lt;= 30, "Veteran[21-30]", AG1201 &lt;= 40, "Late Career[31-40]")</f>
        <v>Early Career[6-10]</v>
      </c>
      <c r="AI1201" s="1">
        <v>2</v>
      </c>
      <c r="AJ1201" s="1">
        <v>2</v>
      </c>
      <c r="AK1201" s="1">
        <v>3</v>
      </c>
      <c r="AL1201" s="9" t="str" cm="1">
        <f t="array" ref="AL1201">_xlfn.IFS(AK1201 &lt;= 5, "New[1-5]", AK1201 &lt;= 10, "Early Career[6-10]", AK1201 &lt;= 20, "Established[11-20]", AK1201 &lt;= 30, "Veteran[21-30]", AK1201 &lt;= 40, "Late Career[31-40]")</f>
        <v>New[1-5]</v>
      </c>
      <c r="AM1201" s="1">
        <v>2</v>
      </c>
      <c r="AN1201" s="9" t="str" cm="1">
        <f t="array" ref="AN1201">_xlfn.IFS(AM1201 &lt;= 3, "New to Role[1-3]", AM1201 &lt;= 7, "Settled[4-7]", AM1201 &lt;= 12, "Experienced[[8-12]", AM1201 &lt;= 18, "Long Tenured[13-18]")</f>
        <v>New to Role[1-3]</v>
      </c>
      <c r="AO1201" s="1">
        <v>0</v>
      </c>
      <c r="AP1201" s="9" t="str" cm="1">
        <f t="array" ref="AP1201">_xlfn.IFS(AO1201 &lt;= 3, "Recently[1-3]", AO1201 &lt;= 6, "Due Soon[4-6]", AO1201 &lt;= 10, "Overdue[7-10]", AO1201 &lt;= 15, "Long Overdue[11-15]")</f>
        <v>Recently[1-3]</v>
      </c>
      <c r="AQ1201" s="9" t="str" cm="1">
        <f t="array" ref="AQ1201">_xlfn.IFS(AR1201 &lt;= 3, "New Relationship[1-3]", AR1201 &lt;= 7, "Established Relationship[4-7]", AR1201 &lt;= 12, "Long Term Relationship[8-12]", AR1201 &lt;= 17, "Very Long Term Relationship[13-17]")</f>
        <v>New Relationship[1-3]</v>
      </c>
      <c r="AR1201" s="1">
        <v>2</v>
      </c>
    </row>
    <row r="1202" spans="1:44" x14ac:dyDescent="0.25">
      <c r="A1202" s="1">
        <v>44</v>
      </c>
      <c r="B1202" s="8" t="str" cm="1">
        <f t="array" ref="B1202">_xlfn.IFS(A1202 &lt;= 25, "[18-25]", A1202 &lt;= 35, "[26-35]", A1202 &lt;=45, "[36-45]", A1202 &lt;= 60, "[46- 60]")</f>
        <v>[36-45]</v>
      </c>
      <c r="C1202" s="3" t="s">
        <v>43</v>
      </c>
      <c r="D1202">
        <f t="shared" si="18"/>
        <v>0</v>
      </c>
      <c r="E1202" t="s">
        <v>36</v>
      </c>
      <c r="F1202" s="1">
        <v>528</v>
      </c>
      <c r="G1202" s="3" t="s">
        <v>61</v>
      </c>
      <c r="H1202" s="1">
        <v>1</v>
      </c>
      <c r="I1202" s="9" t="str" cm="1">
        <f t="array" ref="I1202">_xlfn.IFS(H1202 &lt;= 2, "[1-2] very close", H1202 &lt;= 10, "[3-10] close", H1202 &lt;= 20, "[11-20] moderate", H1202 &lt;= 30, "[21-30] far")</f>
        <v>[1-2] very close</v>
      </c>
      <c r="J1202" s="1">
        <v>3</v>
      </c>
      <c r="K1202" s="3" t="s">
        <v>38</v>
      </c>
      <c r="L1202" s="1">
        <v>1</v>
      </c>
      <c r="M1202" s="1">
        <v>1683</v>
      </c>
      <c r="N1202" s="1">
        <v>3</v>
      </c>
      <c r="O1202" s="3" t="s">
        <v>39</v>
      </c>
      <c r="P1202" s="1">
        <v>44</v>
      </c>
      <c r="Q1202" s="1">
        <v>3</v>
      </c>
      <c r="R1202" s="1">
        <v>1</v>
      </c>
      <c r="S1202" s="3" t="s">
        <v>61</v>
      </c>
      <c r="T1202" s="1">
        <v>4</v>
      </c>
      <c r="U1202" s="3" t="s">
        <v>52</v>
      </c>
      <c r="V1202" s="4">
        <v>3195</v>
      </c>
      <c r="W1202" s="1">
        <v>4167</v>
      </c>
      <c r="X1202" s="1">
        <v>4</v>
      </c>
      <c r="Y1202" s="3" t="s">
        <v>42</v>
      </c>
      <c r="Z1202" s="3" t="s">
        <v>35</v>
      </c>
      <c r="AA1202" s="5">
        <v>0.18</v>
      </c>
      <c r="AB1202" s="10" t="str" cm="1">
        <f t="array" ref="AB1202">_xlfn.IFS(AA1202 &lt;= 15%, "Low Hike[11-15%]", AA1202 &lt;= 20%, "Moderate Hike[16-20%]", AA1202 &lt;= 25%,"High Hike[21-25%]")</f>
        <v>Moderate Hike[16-20%]</v>
      </c>
      <c r="AC1202" s="1">
        <v>3</v>
      </c>
      <c r="AD1202" s="1">
        <v>1</v>
      </c>
      <c r="AE1202" s="1">
        <v>80</v>
      </c>
      <c r="AF1202" s="1">
        <v>3</v>
      </c>
      <c r="AG1202" s="1">
        <v>8</v>
      </c>
      <c r="AH1202" s="9" t="str" cm="1">
        <f t="array" ref="AH1202">_xlfn.IFS(AG1202 &lt;= 5, "New[1-5]", AG1202 &lt;= 10, "Early Career[6-10]", AG1202 &lt;= 20, "Established[11-20]", AG1202 &lt;= 30, "Veteran[21-30]", AG1202 &lt;= 40, "Late Career[31-40]")</f>
        <v>Early Career[6-10]</v>
      </c>
      <c r="AI1202" s="1">
        <v>2</v>
      </c>
      <c r="AJ1202" s="1">
        <v>3</v>
      </c>
      <c r="AK1202" s="1">
        <v>2</v>
      </c>
      <c r="AL1202" s="9" t="str" cm="1">
        <f t="array" ref="AL1202">_xlfn.IFS(AK1202 &lt;= 5, "New[1-5]", AK1202 &lt;= 10, "Early Career[6-10]", AK1202 &lt;= 20, "Established[11-20]", AK1202 &lt;= 30, "Veteran[21-30]", AK1202 &lt;= 40, "Late Career[31-40]")</f>
        <v>New[1-5]</v>
      </c>
      <c r="AM1202" s="1">
        <v>2</v>
      </c>
      <c r="AN1202" s="9" t="str" cm="1">
        <f t="array" ref="AN1202">_xlfn.IFS(AM1202 &lt;= 3, "New to Role[1-3]", AM1202 &lt;= 7, "Settled[4-7]", AM1202 &lt;= 12, "Experienced[[8-12]", AM1202 &lt;= 18, "Long Tenured[13-18]")</f>
        <v>New to Role[1-3]</v>
      </c>
      <c r="AO1202" s="1">
        <v>2</v>
      </c>
      <c r="AP1202" s="9" t="str" cm="1">
        <f t="array" ref="AP1202">_xlfn.IFS(AO1202 &lt;= 3, "Recently[1-3]", AO1202 &lt;= 6, "Due Soon[4-6]", AO1202 &lt;= 10, "Overdue[7-10]", AO1202 &lt;= 15, "Long Overdue[11-15]")</f>
        <v>Recently[1-3]</v>
      </c>
      <c r="AQ1202" s="9" t="str" cm="1">
        <f t="array" ref="AQ1202">_xlfn.IFS(AR1202 &lt;= 3, "New Relationship[1-3]", AR1202 &lt;= 7, "Established Relationship[4-7]", AR1202 &lt;= 12, "Long Term Relationship[8-12]", AR1202 &lt;= 17, "Very Long Term Relationship[13-17]")</f>
        <v>New Relationship[1-3]</v>
      </c>
      <c r="AR1202" s="1">
        <v>2</v>
      </c>
    </row>
    <row r="1203" spans="1:44" x14ac:dyDescent="0.25">
      <c r="A1203" s="1">
        <v>23</v>
      </c>
      <c r="B1203" s="8" t="str" cm="1">
        <f t="array" ref="B1203">_xlfn.IFS(A1203 &lt;= 25, "[18-25]", A1203 &lt;= 35, "[26-35]", A1203 &lt;=45, "[36-45]", A1203 &lt;= 60, "[46- 60]")</f>
        <v>[18-25]</v>
      </c>
      <c r="C1203" s="3" t="s">
        <v>35</v>
      </c>
      <c r="D1203">
        <f t="shared" si="18"/>
        <v>1</v>
      </c>
      <c r="E1203" t="s">
        <v>36</v>
      </c>
      <c r="F1203" s="1">
        <v>1320</v>
      </c>
      <c r="G1203" s="3" t="s">
        <v>45</v>
      </c>
      <c r="H1203" s="1">
        <v>8</v>
      </c>
      <c r="I1203" s="9" t="str" cm="1">
        <f t="array" ref="I1203">_xlfn.IFS(H1203 &lt;= 2, "[1-2] very close", H1203 &lt;= 10, "[3-10] close", H1203 &lt;= 20, "[11-20] moderate", H1203 &lt;= 30, "[21-30] far")</f>
        <v>[3-10] close</v>
      </c>
      <c r="J1203" s="1">
        <v>1</v>
      </c>
      <c r="K1203" s="3" t="s">
        <v>51</v>
      </c>
      <c r="L1203" s="1">
        <v>1</v>
      </c>
      <c r="M1203" s="1">
        <v>1684</v>
      </c>
      <c r="N1203" s="1">
        <v>4</v>
      </c>
      <c r="O1203" s="3" t="s">
        <v>46</v>
      </c>
      <c r="P1203" s="1">
        <v>93</v>
      </c>
      <c r="Q1203" s="1">
        <v>2</v>
      </c>
      <c r="R1203" s="1">
        <v>1</v>
      </c>
      <c r="S1203" s="3" t="s">
        <v>50</v>
      </c>
      <c r="T1203" s="1">
        <v>3</v>
      </c>
      <c r="U1203" s="3" t="s">
        <v>41</v>
      </c>
      <c r="V1203" s="4">
        <v>3989</v>
      </c>
      <c r="W1203" s="1">
        <v>20586</v>
      </c>
      <c r="X1203" s="1">
        <v>1</v>
      </c>
      <c r="Y1203" s="3" t="s">
        <v>42</v>
      </c>
      <c r="Z1203" s="3" t="s">
        <v>35</v>
      </c>
      <c r="AA1203" s="5">
        <v>0.11</v>
      </c>
      <c r="AB1203" s="10" t="str" cm="1">
        <f t="array" ref="AB1203">_xlfn.IFS(AA1203 &lt;= 15%, "Low Hike[11-15%]", AA1203 &lt;= 20%, "Moderate Hike[16-20%]", AA1203 &lt;= 25%,"High Hike[21-25%]")</f>
        <v>Low Hike[11-15%]</v>
      </c>
      <c r="AC1203" s="1">
        <v>3</v>
      </c>
      <c r="AD1203" s="1">
        <v>1</v>
      </c>
      <c r="AE1203" s="1">
        <v>80</v>
      </c>
      <c r="AF1203" s="1">
        <v>0</v>
      </c>
      <c r="AG1203" s="1">
        <v>5</v>
      </c>
      <c r="AH1203" s="9" t="str" cm="1">
        <f t="array" ref="AH1203">_xlfn.IFS(AG1203 &lt;= 5, "New[1-5]", AG1203 &lt;= 10, "Early Career[6-10]", AG1203 &lt;= 20, "Established[11-20]", AG1203 &lt;= 30, "Veteran[21-30]", AG1203 &lt;= 40, "Late Career[31-40]")</f>
        <v>New[1-5]</v>
      </c>
      <c r="AI1203" s="1">
        <v>2</v>
      </c>
      <c r="AJ1203" s="1">
        <v>3</v>
      </c>
      <c r="AK1203" s="1">
        <v>5</v>
      </c>
      <c r="AL1203" s="9" t="str" cm="1">
        <f t="array" ref="AL1203">_xlfn.IFS(AK1203 &lt;= 5, "New[1-5]", AK1203 &lt;= 10, "Early Career[6-10]", AK1203 &lt;= 20, "Established[11-20]", AK1203 &lt;= 30, "Veteran[21-30]", AK1203 &lt;= 40, "Late Career[31-40]")</f>
        <v>New[1-5]</v>
      </c>
      <c r="AM1203" s="1">
        <v>4</v>
      </c>
      <c r="AN1203" s="9" t="str" cm="1">
        <f t="array" ref="AN1203">_xlfn.IFS(AM1203 &lt;= 3, "New to Role[1-3]", AM1203 &lt;= 7, "Settled[4-7]", AM1203 &lt;= 12, "Experienced[[8-12]", AM1203 &lt;= 18, "Long Tenured[13-18]")</f>
        <v>Settled[4-7]</v>
      </c>
      <c r="AO1203" s="1">
        <v>1</v>
      </c>
      <c r="AP1203" s="9" t="str" cm="1">
        <f t="array" ref="AP1203">_xlfn.IFS(AO1203 &lt;= 3, "Recently[1-3]", AO1203 &lt;= 6, "Due Soon[4-6]", AO1203 &lt;= 10, "Overdue[7-10]", AO1203 &lt;= 15, "Long Overdue[11-15]")</f>
        <v>Recently[1-3]</v>
      </c>
      <c r="AQ1203" s="9" t="str" cm="1">
        <f t="array" ref="AQ1203">_xlfn.IFS(AR1203 &lt;= 3, "New Relationship[1-3]", AR1203 &lt;= 7, "Established Relationship[4-7]", AR1203 &lt;= 12, "Long Term Relationship[8-12]", AR1203 &lt;= 17, "Very Long Term Relationship[13-17]")</f>
        <v>New Relationship[1-3]</v>
      </c>
      <c r="AR1203" s="1">
        <v>2</v>
      </c>
    </row>
    <row r="1204" spans="1:44" x14ac:dyDescent="0.25">
      <c r="A1204" s="1">
        <v>38</v>
      </c>
      <c r="B1204" s="8" t="str" cm="1">
        <f t="array" ref="B1204">_xlfn.IFS(A1204 &lt;= 25, "[18-25]", A1204 &lt;= 35, "[26-35]", A1204 &lt;=45, "[36-45]", A1204 &lt;= 60, "[46- 60]")</f>
        <v>[36-45]</v>
      </c>
      <c r="C1204" s="3" t="s">
        <v>43</v>
      </c>
      <c r="D1204">
        <f t="shared" si="18"/>
        <v>0</v>
      </c>
      <c r="E1204" t="s">
        <v>36</v>
      </c>
      <c r="F1204" s="1">
        <v>1495</v>
      </c>
      <c r="G1204" s="3" t="s">
        <v>45</v>
      </c>
      <c r="H1204" s="1">
        <v>4</v>
      </c>
      <c r="I1204" s="9" t="str" cm="1">
        <f t="array" ref="I1204">_xlfn.IFS(H1204 &lt;= 2, "[1-2] very close", H1204 &lt;= 10, "[3-10] close", H1204 &lt;= 20, "[11-20] moderate", H1204 &lt;= 30, "[21-30] far")</f>
        <v>[3-10] close</v>
      </c>
      <c r="J1204" s="1">
        <v>2</v>
      </c>
      <c r="K1204" s="3" t="s">
        <v>51</v>
      </c>
      <c r="L1204" s="1">
        <v>1</v>
      </c>
      <c r="M1204" s="1">
        <v>1687</v>
      </c>
      <c r="N1204" s="1">
        <v>4</v>
      </c>
      <c r="O1204" s="3" t="s">
        <v>39</v>
      </c>
      <c r="P1204" s="1">
        <v>87</v>
      </c>
      <c r="Q1204" s="1">
        <v>3</v>
      </c>
      <c r="R1204" s="1">
        <v>1</v>
      </c>
      <c r="S1204" s="3" t="s">
        <v>50</v>
      </c>
      <c r="T1204" s="1">
        <v>3</v>
      </c>
      <c r="U1204" s="3" t="s">
        <v>48</v>
      </c>
      <c r="V1204" s="4">
        <v>3306</v>
      </c>
      <c r="W1204" s="1">
        <v>26176</v>
      </c>
      <c r="X1204" s="1">
        <v>7</v>
      </c>
      <c r="Y1204" s="3" t="s">
        <v>42</v>
      </c>
      <c r="Z1204" s="3" t="s">
        <v>43</v>
      </c>
      <c r="AA1204" s="5">
        <v>0.19</v>
      </c>
      <c r="AB1204" s="10" t="str" cm="1">
        <f t="array" ref="AB1204">_xlfn.IFS(AA1204 &lt;= 15%, "Low Hike[11-15%]", AA1204 &lt;= 20%, "Moderate Hike[16-20%]", AA1204 &lt;= 25%,"High Hike[21-25%]")</f>
        <v>Moderate Hike[16-20%]</v>
      </c>
      <c r="AC1204" s="1">
        <v>3</v>
      </c>
      <c r="AD1204" s="1">
        <v>4</v>
      </c>
      <c r="AE1204" s="1">
        <v>80</v>
      </c>
      <c r="AF1204" s="1">
        <v>1</v>
      </c>
      <c r="AG1204" s="1">
        <v>7</v>
      </c>
      <c r="AH1204" s="9" t="str" cm="1">
        <f t="array" ref="AH1204">_xlfn.IFS(AG1204 &lt;= 5, "New[1-5]", AG1204 &lt;= 10, "Early Career[6-10]", AG1204 &lt;= 20, "Established[11-20]", AG1204 &lt;= 30, "Veteran[21-30]", AG1204 &lt;= 40, "Late Career[31-40]")</f>
        <v>Early Career[6-10]</v>
      </c>
      <c r="AI1204" s="1">
        <v>5</v>
      </c>
      <c r="AJ1204" s="1">
        <v>2</v>
      </c>
      <c r="AK1204" s="1">
        <v>0</v>
      </c>
      <c r="AL1204" s="9" t="str" cm="1">
        <f t="array" ref="AL1204">_xlfn.IFS(AK1204 &lt;= 5, "New[1-5]", AK1204 &lt;= 10, "Early Career[6-10]", AK1204 &lt;= 20, "Established[11-20]", AK1204 &lt;= 30, "Veteran[21-30]", AK1204 &lt;= 40, "Late Career[31-40]")</f>
        <v>New[1-5]</v>
      </c>
      <c r="AM1204" s="1">
        <v>0</v>
      </c>
      <c r="AN1204" s="9" t="str" cm="1">
        <f t="array" ref="AN1204">_xlfn.IFS(AM1204 &lt;= 3, "New to Role[1-3]", AM1204 &lt;= 7, "Settled[4-7]", AM1204 &lt;= 12, "Experienced[[8-12]", AM1204 &lt;= 18, "Long Tenured[13-18]")</f>
        <v>New to Role[1-3]</v>
      </c>
      <c r="AO1204" s="1">
        <v>0</v>
      </c>
      <c r="AP1204" s="9" t="str" cm="1">
        <f t="array" ref="AP1204">_xlfn.IFS(AO1204 &lt;= 3, "Recently[1-3]", AO1204 &lt;= 6, "Due Soon[4-6]", AO1204 &lt;= 10, "Overdue[7-10]", AO1204 &lt;= 15, "Long Overdue[11-15]")</f>
        <v>Recently[1-3]</v>
      </c>
      <c r="AQ1204" s="9" t="str" cm="1">
        <f t="array" ref="AQ1204">_xlfn.IFS(AR1204 &lt;= 3, "New Relationship[1-3]", AR1204 &lt;= 7, "Established Relationship[4-7]", AR1204 &lt;= 12, "Long Term Relationship[8-12]", AR1204 &lt;= 17, "Very Long Term Relationship[13-17]")</f>
        <v>New Relationship[1-3]</v>
      </c>
      <c r="AR1204" s="1">
        <v>0</v>
      </c>
    </row>
    <row r="1205" spans="1:44" x14ac:dyDescent="0.25">
      <c r="A1205" s="1">
        <v>53</v>
      </c>
      <c r="B1205" s="8" t="str" cm="1">
        <f t="array" ref="B1205">_xlfn.IFS(A1205 &lt;= 25, "[18-25]", A1205 &lt;= 35, "[26-35]", A1205 &lt;=45, "[36-45]", A1205 &lt;= 60, "[46- 60]")</f>
        <v>[46- 60]</v>
      </c>
      <c r="C1205" s="3" t="s">
        <v>43</v>
      </c>
      <c r="D1205">
        <f t="shared" si="18"/>
        <v>0</v>
      </c>
      <c r="E1205" t="s">
        <v>36</v>
      </c>
      <c r="F1205" s="1">
        <v>1395</v>
      </c>
      <c r="G1205" s="3" t="s">
        <v>45</v>
      </c>
      <c r="H1205" s="1">
        <v>24</v>
      </c>
      <c r="I1205" s="9" t="str" cm="1">
        <f t="array" ref="I1205">_xlfn.IFS(H1205 &lt;= 2, "[1-2] very close", H1205 &lt;= 10, "[3-10] close", H1205 &lt;= 20, "[11-20] moderate", H1205 &lt;= 30, "[21-30] far")</f>
        <v>[21-30] far</v>
      </c>
      <c r="J1205" s="1">
        <v>4</v>
      </c>
      <c r="K1205" s="3" t="s">
        <v>51</v>
      </c>
      <c r="L1205" s="1">
        <v>1</v>
      </c>
      <c r="M1205" s="1">
        <v>1689</v>
      </c>
      <c r="N1205" s="1">
        <v>2</v>
      </c>
      <c r="O1205" s="3" t="s">
        <v>46</v>
      </c>
      <c r="P1205" s="1">
        <v>48</v>
      </c>
      <c r="Q1205" s="1">
        <v>4</v>
      </c>
      <c r="R1205" s="1">
        <v>3</v>
      </c>
      <c r="S1205" s="3" t="s">
        <v>54</v>
      </c>
      <c r="T1205" s="1">
        <v>4</v>
      </c>
      <c r="U1205" s="3" t="s">
        <v>48</v>
      </c>
      <c r="V1205" s="4">
        <v>7005</v>
      </c>
      <c r="W1205" s="1">
        <v>3458</v>
      </c>
      <c r="X1205" s="1">
        <v>3</v>
      </c>
      <c r="Y1205" s="3" t="s">
        <v>42</v>
      </c>
      <c r="Z1205" s="3" t="s">
        <v>43</v>
      </c>
      <c r="AA1205" s="5">
        <v>0.15</v>
      </c>
      <c r="AB1205" s="10" t="str" cm="1">
        <f t="array" ref="AB1205">_xlfn.IFS(AA1205 &lt;= 15%, "Low Hike[11-15%]", AA1205 &lt;= 20%, "Moderate Hike[16-20%]", AA1205 &lt;= 25%,"High Hike[21-25%]")</f>
        <v>Low Hike[11-15%]</v>
      </c>
      <c r="AC1205" s="1">
        <v>3</v>
      </c>
      <c r="AD1205" s="1">
        <v>3</v>
      </c>
      <c r="AE1205" s="1">
        <v>80</v>
      </c>
      <c r="AF1205" s="1">
        <v>0</v>
      </c>
      <c r="AG1205" s="1">
        <v>11</v>
      </c>
      <c r="AH1205" s="9" t="str" cm="1">
        <f t="array" ref="AH1205">_xlfn.IFS(AG1205 &lt;= 5, "New[1-5]", AG1205 &lt;= 10, "Early Career[6-10]", AG1205 &lt;= 20, "Established[11-20]", AG1205 &lt;= 30, "Veteran[21-30]", AG1205 &lt;= 40, "Late Career[31-40]")</f>
        <v>Established[11-20]</v>
      </c>
      <c r="AI1205" s="1">
        <v>2</v>
      </c>
      <c r="AJ1205" s="1">
        <v>3</v>
      </c>
      <c r="AK1205" s="1">
        <v>4</v>
      </c>
      <c r="AL1205" s="9" t="str" cm="1">
        <f t="array" ref="AL1205">_xlfn.IFS(AK1205 &lt;= 5, "New[1-5]", AK1205 &lt;= 10, "Early Career[6-10]", AK1205 &lt;= 20, "Established[11-20]", AK1205 &lt;= 30, "Veteran[21-30]", AK1205 &lt;= 40, "Late Career[31-40]")</f>
        <v>New[1-5]</v>
      </c>
      <c r="AM1205" s="1">
        <v>3</v>
      </c>
      <c r="AN1205" s="9" t="str" cm="1">
        <f t="array" ref="AN1205">_xlfn.IFS(AM1205 &lt;= 3, "New to Role[1-3]", AM1205 &lt;= 7, "Settled[4-7]", AM1205 &lt;= 12, "Experienced[[8-12]", AM1205 &lt;= 18, "Long Tenured[13-18]")</f>
        <v>New to Role[1-3]</v>
      </c>
      <c r="AO1205" s="1">
        <v>1</v>
      </c>
      <c r="AP1205" s="9" t="str" cm="1">
        <f t="array" ref="AP1205">_xlfn.IFS(AO1205 &lt;= 3, "Recently[1-3]", AO1205 &lt;= 6, "Due Soon[4-6]", AO1205 &lt;= 10, "Overdue[7-10]", AO1205 &lt;= 15, "Long Overdue[11-15]")</f>
        <v>Recently[1-3]</v>
      </c>
      <c r="AQ1205" s="9" t="str" cm="1">
        <f t="array" ref="AQ1205">_xlfn.IFS(AR1205 &lt;= 3, "New Relationship[1-3]", AR1205 &lt;= 7, "Established Relationship[4-7]", AR1205 &lt;= 12, "Long Term Relationship[8-12]", AR1205 &lt;= 17, "Very Long Term Relationship[13-17]")</f>
        <v>New Relationship[1-3]</v>
      </c>
      <c r="AR1205" s="1">
        <v>2</v>
      </c>
    </row>
    <row r="1206" spans="1:44" x14ac:dyDescent="0.25">
      <c r="A1206" s="1">
        <v>48</v>
      </c>
      <c r="B1206" s="8" t="str" cm="1">
        <f t="array" ref="B1206">_xlfn.IFS(A1206 &lt;= 25, "[18-25]", A1206 &lt;= 35, "[26-35]", A1206 &lt;=45, "[36-45]", A1206 &lt;= 60, "[46- 60]")</f>
        <v>[46- 60]</v>
      </c>
      <c r="C1206" s="3" t="s">
        <v>35</v>
      </c>
      <c r="D1206">
        <f t="shared" si="18"/>
        <v>1</v>
      </c>
      <c r="E1206" t="s">
        <v>44</v>
      </c>
      <c r="F1206" s="1">
        <v>708</v>
      </c>
      <c r="G1206" s="3" t="s">
        <v>37</v>
      </c>
      <c r="H1206" s="1">
        <v>7</v>
      </c>
      <c r="I1206" s="9" t="str" cm="1">
        <f t="array" ref="I1206">_xlfn.IFS(H1206 &lt;= 2, "[1-2] very close", H1206 &lt;= 10, "[3-10] close", H1206 &lt;= 20, "[11-20] moderate", H1206 &lt;= 30, "[21-30] far")</f>
        <v>[3-10] close</v>
      </c>
      <c r="J1206" s="1">
        <v>2</v>
      </c>
      <c r="K1206" s="3" t="s">
        <v>51</v>
      </c>
      <c r="L1206" s="1">
        <v>1</v>
      </c>
      <c r="M1206" s="1">
        <v>1691</v>
      </c>
      <c r="N1206" s="1">
        <v>4</v>
      </c>
      <c r="O1206" s="3" t="s">
        <v>39</v>
      </c>
      <c r="P1206" s="1">
        <v>95</v>
      </c>
      <c r="Q1206" s="1">
        <v>3</v>
      </c>
      <c r="R1206" s="1">
        <v>1</v>
      </c>
      <c r="S1206" s="3" t="s">
        <v>57</v>
      </c>
      <c r="T1206" s="1">
        <v>3</v>
      </c>
      <c r="U1206" s="3" t="s">
        <v>48</v>
      </c>
      <c r="V1206" s="4">
        <v>2655</v>
      </c>
      <c r="W1206" s="1">
        <v>11740</v>
      </c>
      <c r="X1206" s="1">
        <v>2</v>
      </c>
      <c r="Y1206" s="3" t="s">
        <v>42</v>
      </c>
      <c r="Z1206" s="3" t="s">
        <v>35</v>
      </c>
      <c r="AA1206" s="5">
        <v>0.11</v>
      </c>
      <c r="AB1206" s="10" t="str" cm="1">
        <f t="array" ref="AB1206">_xlfn.IFS(AA1206 &lt;= 15%, "Low Hike[11-15%]", AA1206 &lt;= 20%, "Moderate Hike[16-20%]", AA1206 &lt;= 25%,"High Hike[21-25%]")</f>
        <v>Low Hike[11-15%]</v>
      </c>
      <c r="AC1206" s="1">
        <v>3</v>
      </c>
      <c r="AD1206" s="1">
        <v>3</v>
      </c>
      <c r="AE1206" s="1">
        <v>80</v>
      </c>
      <c r="AF1206" s="1">
        <v>2</v>
      </c>
      <c r="AG1206" s="1">
        <v>19</v>
      </c>
      <c r="AH1206" s="9" t="str" cm="1">
        <f t="array" ref="AH1206">_xlfn.IFS(AG1206 &lt;= 5, "New[1-5]", AG1206 &lt;= 10, "Early Career[6-10]", AG1206 &lt;= 20, "Established[11-20]", AG1206 &lt;= 30, "Veteran[21-30]", AG1206 &lt;= 40, "Late Career[31-40]")</f>
        <v>Established[11-20]</v>
      </c>
      <c r="AI1206" s="1">
        <v>3</v>
      </c>
      <c r="AJ1206" s="1">
        <v>3</v>
      </c>
      <c r="AK1206" s="1">
        <v>9</v>
      </c>
      <c r="AL1206" s="9" t="str" cm="1">
        <f t="array" ref="AL1206">_xlfn.IFS(AK1206 &lt;= 5, "New[1-5]", AK1206 &lt;= 10, "Early Career[6-10]", AK1206 &lt;= 20, "Established[11-20]", AK1206 &lt;= 30, "Veteran[21-30]", AK1206 &lt;= 40, "Late Career[31-40]")</f>
        <v>Early Career[6-10]</v>
      </c>
      <c r="AM1206" s="1">
        <v>7</v>
      </c>
      <c r="AN1206" s="9" t="str" cm="1">
        <f t="array" ref="AN1206">_xlfn.IFS(AM1206 &lt;= 3, "New to Role[1-3]", AM1206 &lt;= 7, "Settled[4-7]", AM1206 &lt;= 12, "Experienced[[8-12]", AM1206 &lt;= 18, "Long Tenured[13-18]")</f>
        <v>Settled[4-7]</v>
      </c>
      <c r="AO1206" s="1">
        <v>7</v>
      </c>
      <c r="AP1206" s="9" t="str" cm="1">
        <f t="array" ref="AP1206">_xlfn.IFS(AO1206 &lt;= 3, "Recently[1-3]", AO1206 &lt;= 6, "Due Soon[4-6]", AO1206 &lt;= 10, "Overdue[7-10]", AO1206 &lt;= 15, "Long Overdue[11-15]")</f>
        <v>Overdue[7-10]</v>
      </c>
      <c r="AQ1206" s="9" t="str" cm="1">
        <f t="array" ref="AQ1206">_xlfn.IFS(AR1206 &lt;= 3, "New Relationship[1-3]", AR1206 &lt;= 7, "Established Relationship[4-7]", AR1206 &lt;= 12, "Long Term Relationship[8-12]", AR1206 &lt;= 17, "Very Long Term Relationship[13-17]")</f>
        <v>Established Relationship[4-7]</v>
      </c>
      <c r="AR1206" s="1">
        <v>7</v>
      </c>
    </row>
    <row r="1207" spans="1:44" x14ac:dyDescent="0.25">
      <c r="A1207" s="1">
        <v>32</v>
      </c>
      <c r="B1207" s="8" t="str" cm="1">
        <f t="array" ref="B1207">_xlfn.IFS(A1207 &lt;= 25, "[18-25]", A1207 &lt;= 35, "[26-35]", A1207 &lt;=45, "[36-45]", A1207 &lt;= 60, "[46- 60]")</f>
        <v>[26-35]</v>
      </c>
      <c r="C1207" s="3" t="s">
        <v>35</v>
      </c>
      <c r="D1207">
        <f t="shared" si="18"/>
        <v>1</v>
      </c>
      <c r="E1207" t="s">
        <v>36</v>
      </c>
      <c r="F1207" s="1">
        <v>1259</v>
      </c>
      <c r="G1207" s="3" t="s">
        <v>45</v>
      </c>
      <c r="H1207" s="1">
        <v>2</v>
      </c>
      <c r="I1207" s="9" t="str" cm="1">
        <f t="array" ref="I1207">_xlfn.IFS(H1207 &lt;= 2, "[1-2] very close", H1207 &lt;= 10, "[3-10] close", H1207 &lt;= 20, "[11-20] moderate", H1207 &lt;= 30, "[21-30] far")</f>
        <v>[1-2] very close</v>
      </c>
      <c r="J1207" s="1">
        <v>4</v>
      </c>
      <c r="K1207" s="3" t="s">
        <v>38</v>
      </c>
      <c r="L1207" s="1">
        <v>1</v>
      </c>
      <c r="M1207" s="1">
        <v>1692</v>
      </c>
      <c r="N1207" s="1">
        <v>4</v>
      </c>
      <c r="O1207" s="3" t="s">
        <v>46</v>
      </c>
      <c r="P1207" s="1">
        <v>95</v>
      </c>
      <c r="Q1207" s="1">
        <v>3</v>
      </c>
      <c r="R1207" s="1">
        <v>1</v>
      </c>
      <c r="S1207" s="3" t="s">
        <v>50</v>
      </c>
      <c r="T1207" s="1">
        <v>2</v>
      </c>
      <c r="U1207" s="3" t="s">
        <v>41</v>
      </c>
      <c r="V1207" s="4">
        <v>1393</v>
      </c>
      <c r="W1207" s="1">
        <v>24852</v>
      </c>
      <c r="X1207" s="1">
        <v>1</v>
      </c>
      <c r="Y1207" s="3" t="s">
        <v>42</v>
      </c>
      <c r="Z1207" s="3" t="s">
        <v>43</v>
      </c>
      <c r="AA1207" s="5">
        <v>0.12</v>
      </c>
      <c r="AB1207" s="10" t="str" cm="1">
        <f t="array" ref="AB1207">_xlfn.IFS(AA1207 &lt;= 15%, "Low Hike[11-15%]", AA1207 &lt;= 20%, "Moderate Hike[16-20%]", AA1207 &lt;= 25%,"High Hike[21-25%]")</f>
        <v>Low Hike[11-15%]</v>
      </c>
      <c r="AC1207" s="1">
        <v>3</v>
      </c>
      <c r="AD1207" s="1">
        <v>1</v>
      </c>
      <c r="AE1207" s="1">
        <v>80</v>
      </c>
      <c r="AF1207" s="1">
        <v>0</v>
      </c>
      <c r="AG1207" s="1">
        <v>1</v>
      </c>
      <c r="AH1207" s="9" t="str" cm="1">
        <f t="array" ref="AH1207">_xlfn.IFS(AG1207 &lt;= 5, "New[1-5]", AG1207 &lt;= 10, "Early Career[6-10]", AG1207 &lt;= 20, "Established[11-20]", AG1207 &lt;= 30, "Veteran[21-30]", AG1207 &lt;= 40, "Late Career[31-40]")</f>
        <v>New[1-5]</v>
      </c>
      <c r="AI1207" s="1">
        <v>2</v>
      </c>
      <c r="AJ1207" s="1">
        <v>3</v>
      </c>
      <c r="AK1207" s="1">
        <v>1</v>
      </c>
      <c r="AL1207" s="9" t="str" cm="1">
        <f t="array" ref="AL1207">_xlfn.IFS(AK1207 &lt;= 5, "New[1-5]", AK1207 &lt;= 10, "Early Career[6-10]", AK1207 &lt;= 20, "Established[11-20]", AK1207 &lt;= 30, "Veteran[21-30]", AK1207 &lt;= 40, "Late Career[31-40]")</f>
        <v>New[1-5]</v>
      </c>
      <c r="AM1207" s="1">
        <v>0</v>
      </c>
      <c r="AN1207" s="9" t="str" cm="1">
        <f t="array" ref="AN1207">_xlfn.IFS(AM1207 &lt;= 3, "New to Role[1-3]", AM1207 &lt;= 7, "Settled[4-7]", AM1207 &lt;= 12, "Experienced[[8-12]", AM1207 &lt;= 18, "Long Tenured[13-18]")</f>
        <v>New to Role[1-3]</v>
      </c>
      <c r="AO1207" s="1">
        <v>0</v>
      </c>
      <c r="AP1207" s="9" t="str" cm="1">
        <f t="array" ref="AP1207">_xlfn.IFS(AO1207 &lt;= 3, "Recently[1-3]", AO1207 &lt;= 6, "Due Soon[4-6]", AO1207 &lt;= 10, "Overdue[7-10]", AO1207 &lt;= 15, "Long Overdue[11-15]")</f>
        <v>Recently[1-3]</v>
      </c>
      <c r="AQ1207" s="9" t="str" cm="1">
        <f t="array" ref="AQ1207">_xlfn.IFS(AR1207 &lt;= 3, "New Relationship[1-3]", AR1207 &lt;= 7, "Established Relationship[4-7]", AR1207 &lt;= 12, "Long Term Relationship[8-12]", AR1207 &lt;= 17, "Very Long Term Relationship[13-17]")</f>
        <v>New Relationship[1-3]</v>
      </c>
      <c r="AR1207" s="1">
        <v>0</v>
      </c>
    </row>
    <row r="1208" spans="1:44" x14ac:dyDescent="0.25">
      <c r="A1208" s="1">
        <v>26</v>
      </c>
      <c r="B1208" s="8" t="str" cm="1">
        <f t="array" ref="B1208">_xlfn.IFS(A1208 &lt;= 25, "[18-25]", A1208 &lt;= 35, "[26-35]", A1208 &lt;=45, "[36-45]", A1208 &lt;= 60, "[46- 60]")</f>
        <v>[26-35]</v>
      </c>
      <c r="C1208" s="3" t="s">
        <v>43</v>
      </c>
      <c r="D1208">
        <f t="shared" si="18"/>
        <v>0</v>
      </c>
      <c r="E1208" t="s">
        <v>62</v>
      </c>
      <c r="F1208" s="1">
        <v>786</v>
      </c>
      <c r="G1208" s="3" t="s">
        <v>45</v>
      </c>
      <c r="H1208" s="1">
        <v>7</v>
      </c>
      <c r="I1208" s="9" t="str" cm="1">
        <f t="array" ref="I1208">_xlfn.IFS(H1208 &lt;= 2, "[1-2] very close", H1208 &lt;= 10, "[3-10] close", H1208 &lt;= 20, "[11-20] moderate", H1208 &lt;= 30, "[21-30] far")</f>
        <v>[3-10] close</v>
      </c>
      <c r="J1208" s="1">
        <v>3</v>
      </c>
      <c r="K1208" s="3" t="s">
        <v>51</v>
      </c>
      <c r="L1208" s="1">
        <v>1</v>
      </c>
      <c r="M1208" s="1">
        <v>1693</v>
      </c>
      <c r="N1208" s="1">
        <v>4</v>
      </c>
      <c r="O1208" s="3" t="s">
        <v>46</v>
      </c>
      <c r="P1208" s="1">
        <v>76</v>
      </c>
      <c r="Q1208" s="1">
        <v>3</v>
      </c>
      <c r="R1208" s="1">
        <v>1</v>
      </c>
      <c r="S1208" s="3" t="s">
        <v>50</v>
      </c>
      <c r="T1208" s="1">
        <v>4</v>
      </c>
      <c r="U1208" s="3" t="s">
        <v>41</v>
      </c>
      <c r="V1208" s="4">
        <v>2570</v>
      </c>
      <c r="W1208" s="1">
        <v>11925</v>
      </c>
      <c r="X1208" s="1">
        <v>1</v>
      </c>
      <c r="Y1208" s="3" t="s">
        <v>42</v>
      </c>
      <c r="Z1208" s="3" t="s">
        <v>43</v>
      </c>
      <c r="AA1208" s="5">
        <v>0.2</v>
      </c>
      <c r="AB1208" s="10" t="str" cm="1">
        <f t="array" ref="AB1208">_xlfn.IFS(AA1208 &lt;= 15%, "Low Hike[11-15%]", AA1208 &lt;= 20%, "Moderate Hike[16-20%]", AA1208 &lt;= 25%,"High Hike[21-25%]")</f>
        <v>Moderate Hike[16-20%]</v>
      </c>
      <c r="AC1208" s="1">
        <v>4</v>
      </c>
      <c r="AD1208" s="1">
        <v>3</v>
      </c>
      <c r="AE1208" s="1">
        <v>80</v>
      </c>
      <c r="AF1208" s="1">
        <v>0</v>
      </c>
      <c r="AG1208" s="1">
        <v>7</v>
      </c>
      <c r="AH1208" s="9" t="str" cm="1">
        <f t="array" ref="AH1208">_xlfn.IFS(AG1208 &lt;= 5, "New[1-5]", AG1208 &lt;= 10, "Early Career[6-10]", AG1208 &lt;= 20, "Established[11-20]", AG1208 &lt;= 30, "Veteran[21-30]", AG1208 &lt;= 40, "Late Career[31-40]")</f>
        <v>Early Career[6-10]</v>
      </c>
      <c r="AI1208" s="1">
        <v>5</v>
      </c>
      <c r="AJ1208" s="1">
        <v>3</v>
      </c>
      <c r="AK1208" s="1">
        <v>7</v>
      </c>
      <c r="AL1208" s="9" t="str" cm="1">
        <f t="array" ref="AL1208">_xlfn.IFS(AK1208 &lt;= 5, "New[1-5]", AK1208 &lt;= 10, "Early Career[6-10]", AK1208 &lt;= 20, "Established[11-20]", AK1208 &lt;= 30, "Veteran[21-30]", AK1208 &lt;= 40, "Late Career[31-40]")</f>
        <v>Early Career[6-10]</v>
      </c>
      <c r="AM1208" s="1">
        <v>7</v>
      </c>
      <c r="AN1208" s="9" t="str" cm="1">
        <f t="array" ref="AN1208">_xlfn.IFS(AM1208 &lt;= 3, "New to Role[1-3]", AM1208 &lt;= 7, "Settled[4-7]", AM1208 &lt;= 12, "Experienced[[8-12]", AM1208 &lt;= 18, "Long Tenured[13-18]")</f>
        <v>Settled[4-7]</v>
      </c>
      <c r="AO1208" s="1">
        <v>5</v>
      </c>
      <c r="AP1208" s="9" t="str" cm="1">
        <f t="array" ref="AP1208">_xlfn.IFS(AO1208 &lt;= 3, "Recently[1-3]", AO1208 &lt;= 6, "Due Soon[4-6]", AO1208 &lt;= 10, "Overdue[7-10]", AO1208 &lt;= 15, "Long Overdue[11-15]")</f>
        <v>Due Soon[4-6]</v>
      </c>
      <c r="AQ1208" s="9" t="str" cm="1">
        <f t="array" ref="AQ1208">_xlfn.IFS(AR1208 &lt;= 3, "New Relationship[1-3]", AR1208 &lt;= 7, "Established Relationship[4-7]", AR1208 &lt;= 12, "Long Term Relationship[8-12]", AR1208 &lt;= 17, "Very Long Term Relationship[13-17]")</f>
        <v>Established Relationship[4-7]</v>
      </c>
      <c r="AR1208" s="1">
        <v>7</v>
      </c>
    </row>
    <row r="1209" spans="1:44" x14ac:dyDescent="0.25">
      <c r="A1209" s="1">
        <v>55</v>
      </c>
      <c r="B1209" s="8" t="str" cm="1">
        <f t="array" ref="B1209">_xlfn.IFS(A1209 &lt;= 25, "[18-25]", A1209 &lt;= 35, "[26-35]", A1209 &lt;=45, "[36-45]", A1209 &lt;= 60, "[46- 60]")</f>
        <v>[46- 60]</v>
      </c>
      <c r="C1209" s="3" t="s">
        <v>43</v>
      </c>
      <c r="D1209">
        <f t="shared" si="18"/>
        <v>0</v>
      </c>
      <c r="E1209" t="s">
        <v>36</v>
      </c>
      <c r="F1209" s="1">
        <v>1441</v>
      </c>
      <c r="G1209" s="3" t="s">
        <v>45</v>
      </c>
      <c r="H1209" s="1">
        <v>22</v>
      </c>
      <c r="I1209" s="9" t="str" cm="1">
        <f t="array" ref="I1209">_xlfn.IFS(H1209 &lt;= 2, "[1-2] very close", H1209 &lt;= 10, "[3-10] close", H1209 &lt;= 20, "[11-20] moderate", H1209 &lt;= 30, "[21-30] far")</f>
        <v>[21-30] far</v>
      </c>
      <c r="J1209" s="1">
        <v>3</v>
      </c>
      <c r="K1209" s="3" t="s">
        <v>60</v>
      </c>
      <c r="L1209" s="1">
        <v>1</v>
      </c>
      <c r="M1209" s="1">
        <v>1694</v>
      </c>
      <c r="N1209" s="1">
        <v>1</v>
      </c>
      <c r="O1209" s="3" t="s">
        <v>46</v>
      </c>
      <c r="P1209" s="1">
        <v>94</v>
      </c>
      <c r="Q1209" s="1">
        <v>2</v>
      </c>
      <c r="R1209" s="1">
        <v>1</v>
      </c>
      <c r="S1209" s="3" t="s">
        <v>47</v>
      </c>
      <c r="T1209" s="1">
        <v>2</v>
      </c>
      <c r="U1209" s="3" t="s">
        <v>52</v>
      </c>
      <c r="V1209" s="4">
        <v>3537</v>
      </c>
      <c r="W1209" s="1">
        <v>23737</v>
      </c>
      <c r="X1209" s="1">
        <v>5</v>
      </c>
      <c r="Y1209" s="3" t="s">
        <v>42</v>
      </c>
      <c r="Z1209" s="3" t="s">
        <v>43</v>
      </c>
      <c r="AA1209" s="5">
        <v>0.12</v>
      </c>
      <c r="AB1209" s="10" t="str" cm="1">
        <f t="array" ref="AB1209">_xlfn.IFS(AA1209 &lt;= 15%, "Low Hike[11-15%]", AA1209 &lt;= 20%, "Moderate Hike[16-20%]", AA1209 &lt;= 25%,"High Hike[21-25%]")</f>
        <v>Low Hike[11-15%]</v>
      </c>
      <c r="AC1209" s="1">
        <v>3</v>
      </c>
      <c r="AD1209" s="1">
        <v>4</v>
      </c>
      <c r="AE1209" s="1">
        <v>80</v>
      </c>
      <c r="AF1209" s="1">
        <v>1</v>
      </c>
      <c r="AG1209" s="1">
        <v>8</v>
      </c>
      <c r="AH1209" s="9" t="str" cm="1">
        <f t="array" ref="AH1209">_xlfn.IFS(AG1209 &lt;= 5, "New[1-5]", AG1209 &lt;= 10, "Early Career[6-10]", AG1209 &lt;= 20, "Established[11-20]", AG1209 &lt;= 30, "Veteran[21-30]", AG1209 &lt;= 40, "Late Career[31-40]")</f>
        <v>Early Career[6-10]</v>
      </c>
      <c r="AI1209" s="1">
        <v>1</v>
      </c>
      <c r="AJ1209" s="1">
        <v>3</v>
      </c>
      <c r="AK1209" s="1">
        <v>4</v>
      </c>
      <c r="AL1209" s="9" t="str" cm="1">
        <f t="array" ref="AL1209">_xlfn.IFS(AK1209 &lt;= 5, "New[1-5]", AK1209 &lt;= 10, "Early Career[6-10]", AK1209 &lt;= 20, "Established[11-20]", AK1209 &lt;= 30, "Veteran[21-30]", AK1209 &lt;= 40, "Late Career[31-40]")</f>
        <v>New[1-5]</v>
      </c>
      <c r="AM1209" s="1">
        <v>2</v>
      </c>
      <c r="AN1209" s="9" t="str" cm="1">
        <f t="array" ref="AN1209">_xlfn.IFS(AM1209 &lt;= 3, "New to Role[1-3]", AM1209 &lt;= 7, "Settled[4-7]", AM1209 &lt;= 12, "Experienced[[8-12]", AM1209 &lt;= 18, "Long Tenured[13-18]")</f>
        <v>New to Role[1-3]</v>
      </c>
      <c r="AO1209" s="1">
        <v>1</v>
      </c>
      <c r="AP1209" s="9" t="str" cm="1">
        <f t="array" ref="AP1209">_xlfn.IFS(AO1209 &lt;= 3, "Recently[1-3]", AO1209 &lt;= 6, "Due Soon[4-6]", AO1209 &lt;= 10, "Overdue[7-10]", AO1209 &lt;= 15, "Long Overdue[11-15]")</f>
        <v>Recently[1-3]</v>
      </c>
      <c r="AQ1209" s="9" t="str" cm="1">
        <f t="array" ref="AQ1209">_xlfn.IFS(AR1209 &lt;= 3, "New Relationship[1-3]", AR1209 &lt;= 7, "Established Relationship[4-7]", AR1209 &lt;= 12, "Long Term Relationship[8-12]", AR1209 &lt;= 17, "Very Long Term Relationship[13-17]")</f>
        <v>New Relationship[1-3]</v>
      </c>
      <c r="AR1209" s="1">
        <v>2</v>
      </c>
    </row>
    <row r="1210" spans="1:44" x14ac:dyDescent="0.25">
      <c r="A1210" s="1">
        <v>34</v>
      </c>
      <c r="B1210" s="8" t="str" cm="1">
        <f t="array" ref="B1210">_xlfn.IFS(A1210 &lt;= 25, "[18-25]", A1210 &lt;= 35, "[26-35]", A1210 &lt;=45, "[36-45]", A1210 &lt;= 60, "[46- 60]")</f>
        <v>[26-35]</v>
      </c>
      <c r="C1210" s="3" t="s">
        <v>43</v>
      </c>
      <c r="D1210">
        <f t="shared" si="18"/>
        <v>0</v>
      </c>
      <c r="E1210" t="s">
        <v>36</v>
      </c>
      <c r="F1210" s="1">
        <v>1157</v>
      </c>
      <c r="G1210" s="3" t="s">
        <v>45</v>
      </c>
      <c r="H1210" s="1">
        <v>5</v>
      </c>
      <c r="I1210" s="9" t="str" cm="1">
        <f t="array" ref="I1210">_xlfn.IFS(H1210 &lt;= 2, "[1-2] very close", H1210 &lt;= 10, "[3-10] close", H1210 &lt;= 20, "[11-20] moderate", H1210 &lt;= 30, "[21-30] far")</f>
        <v>[3-10] close</v>
      </c>
      <c r="J1210" s="1">
        <v>2</v>
      </c>
      <c r="K1210" s="3" t="s">
        <v>51</v>
      </c>
      <c r="L1210" s="1">
        <v>1</v>
      </c>
      <c r="M1210" s="1">
        <v>1696</v>
      </c>
      <c r="N1210" s="1">
        <v>2</v>
      </c>
      <c r="O1210" s="3" t="s">
        <v>46</v>
      </c>
      <c r="P1210" s="1">
        <v>57</v>
      </c>
      <c r="Q1210" s="1">
        <v>2</v>
      </c>
      <c r="R1210" s="1">
        <v>2</v>
      </c>
      <c r="S1210" s="3" t="s">
        <v>50</v>
      </c>
      <c r="T1210" s="1">
        <v>4</v>
      </c>
      <c r="U1210" s="3" t="s">
        <v>48</v>
      </c>
      <c r="V1210" s="4">
        <v>3986</v>
      </c>
      <c r="W1210" s="1">
        <v>11912</v>
      </c>
      <c r="X1210" s="1">
        <v>1</v>
      </c>
      <c r="Y1210" s="3" t="s">
        <v>42</v>
      </c>
      <c r="Z1210" s="3" t="s">
        <v>43</v>
      </c>
      <c r="AA1210" s="5">
        <v>0.14000000000000001</v>
      </c>
      <c r="AB1210" s="10" t="str" cm="1">
        <f t="array" ref="AB1210">_xlfn.IFS(AA1210 &lt;= 15%, "Low Hike[11-15%]", AA1210 &lt;= 20%, "Moderate Hike[16-20%]", AA1210 &lt;= 25%,"High Hike[21-25%]")</f>
        <v>Low Hike[11-15%]</v>
      </c>
      <c r="AC1210" s="1">
        <v>3</v>
      </c>
      <c r="AD1210" s="1">
        <v>3</v>
      </c>
      <c r="AE1210" s="1">
        <v>80</v>
      </c>
      <c r="AF1210" s="1">
        <v>1</v>
      </c>
      <c r="AG1210" s="1">
        <v>15</v>
      </c>
      <c r="AH1210" s="9" t="str" cm="1">
        <f t="array" ref="AH1210">_xlfn.IFS(AG1210 &lt;= 5, "New[1-5]", AG1210 &lt;= 10, "Early Career[6-10]", AG1210 &lt;= 20, "Established[11-20]", AG1210 &lt;= 30, "Veteran[21-30]", AG1210 &lt;= 40, "Late Career[31-40]")</f>
        <v>Established[11-20]</v>
      </c>
      <c r="AI1210" s="1">
        <v>3</v>
      </c>
      <c r="AJ1210" s="1">
        <v>4</v>
      </c>
      <c r="AK1210" s="1">
        <v>15</v>
      </c>
      <c r="AL1210" s="9" t="str" cm="1">
        <f t="array" ref="AL1210">_xlfn.IFS(AK1210 &lt;= 5, "New[1-5]", AK1210 &lt;= 10, "Early Career[6-10]", AK1210 &lt;= 20, "Established[11-20]", AK1210 &lt;= 30, "Veteran[21-30]", AK1210 &lt;= 40, "Late Career[31-40]")</f>
        <v>Established[11-20]</v>
      </c>
      <c r="AM1210" s="1">
        <v>10</v>
      </c>
      <c r="AN1210" s="9" t="str" cm="1">
        <f t="array" ref="AN1210">_xlfn.IFS(AM1210 &lt;= 3, "New to Role[1-3]", AM1210 &lt;= 7, "Settled[4-7]", AM1210 &lt;= 12, "Experienced[[8-12]", AM1210 &lt;= 18, "Long Tenured[13-18]")</f>
        <v>Experienced[[8-12]</v>
      </c>
      <c r="AO1210" s="1">
        <v>4</v>
      </c>
      <c r="AP1210" s="9" t="str" cm="1">
        <f t="array" ref="AP1210">_xlfn.IFS(AO1210 &lt;= 3, "Recently[1-3]", AO1210 &lt;= 6, "Due Soon[4-6]", AO1210 &lt;= 10, "Overdue[7-10]", AO1210 &lt;= 15, "Long Overdue[11-15]")</f>
        <v>Due Soon[4-6]</v>
      </c>
      <c r="AQ1210" s="9" t="str" cm="1">
        <f t="array" ref="AQ1210">_xlfn.IFS(AR1210 &lt;= 3, "New Relationship[1-3]", AR1210 &lt;= 7, "Established Relationship[4-7]", AR1210 &lt;= 12, "Long Term Relationship[8-12]", AR1210 &lt;= 17, "Very Long Term Relationship[13-17]")</f>
        <v>Very Long Term Relationship[13-17]</v>
      </c>
      <c r="AR1210" s="1">
        <v>13</v>
      </c>
    </row>
    <row r="1211" spans="1:44" x14ac:dyDescent="0.25">
      <c r="A1211" s="1">
        <v>60</v>
      </c>
      <c r="B1211" s="8" t="str" cm="1">
        <f t="array" ref="B1211">_xlfn.IFS(A1211 &lt;= 25, "[18-25]", A1211 &lt;= 35, "[26-35]", A1211 &lt;=45, "[36-45]", A1211 &lt;= 60, "[46- 60]")</f>
        <v>[46- 60]</v>
      </c>
      <c r="C1211" s="3" t="s">
        <v>43</v>
      </c>
      <c r="D1211">
        <f t="shared" si="18"/>
        <v>0</v>
      </c>
      <c r="E1211" t="s">
        <v>36</v>
      </c>
      <c r="F1211" s="1">
        <v>370</v>
      </c>
      <c r="G1211" s="3" t="s">
        <v>45</v>
      </c>
      <c r="H1211" s="1">
        <v>1</v>
      </c>
      <c r="I1211" s="9" t="str" cm="1">
        <f t="array" ref="I1211">_xlfn.IFS(H1211 &lt;= 2, "[1-2] very close", H1211 &lt;= 10, "[3-10] close", H1211 &lt;= 20, "[11-20] moderate", H1211 &lt;= 30, "[21-30] far")</f>
        <v>[1-2] very close</v>
      </c>
      <c r="J1211" s="1">
        <v>4</v>
      </c>
      <c r="K1211" s="3" t="s">
        <v>51</v>
      </c>
      <c r="L1211" s="1">
        <v>1</v>
      </c>
      <c r="M1211" s="1">
        <v>1697</v>
      </c>
      <c r="N1211" s="1">
        <v>3</v>
      </c>
      <c r="O1211" s="3" t="s">
        <v>46</v>
      </c>
      <c r="P1211" s="1">
        <v>92</v>
      </c>
      <c r="Q1211" s="1">
        <v>1</v>
      </c>
      <c r="R1211" s="1">
        <v>3</v>
      </c>
      <c r="S1211" s="3" t="s">
        <v>54</v>
      </c>
      <c r="T1211" s="1">
        <v>4</v>
      </c>
      <c r="U1211" s="3" t="s">
        <v>52</v>
      </c>
      <c r="V1211" s="4">
        <v>10883</v>
      </c>
      <c r="W1211" s="1">
        <v>20467</v>
      </c>
      <c r="X1211" s="1">
        <v>3</v>
      </c>
      <c r="Y1211" s="3" t="s">
        <v>42</v>
      </c>
      <c r="Z1211" s="3" t="s">
        <v>43</v>
      </c>
      <c r="AA1211" s="5">
        <v>0.2</v>
      </c>
      <c r="AB1211" s="10" t="str" cm="1">
        <f t="array" ref="AB1211">_xlfn.IFS(AA1211 &lt;= 15%, "Low Hike[11-15%]", AA1211 &lt;= 20%, "Moderate Hike[16-20%]", AA1211 &lt;= 25%,"High Hike[21-25%]")</f>
        <v>Moderate Hike[16-20%]</v>
      </c>
      <c r="AC1211" s="1">
        <v>4</v>
      </c>
      <c r="AD1211" s="1">
        <v>3</v>
      </c>
      <c r="AE1211" s="1">
        <v>80</v>
      </c>
      <c r="AF1211" s="1">
        <v>1</v>
      </c>
      <c r="AG1211" s="1">
        <v>19</v>
      </c>
      <c r="AH1211" s="9" t="str" cm="1">
        <f t="array" ref="AH1211">_xlfn.IFS(AG1211 &lt;= 5, "New[1-5]", AG1211 &lt;= 10, "Early Career[6-10]", AG1211 &lt;= 20, "Established[11-20]", AG1211 &lt;= 30, "Veteran[21-30]", AG1211 &lt;= 40, "Late Career[31-40]")</f>
        <v>Established[11-20]</v>
      </c>
      <c r="AI1211" s="1">
        <v>2</v>
      </c>
      <c r="AJ1211" s="1">
        <v>4</v>
      </c>
      <c r="AK1211" s="1">
        <v>1</v>
      </c>
      <c r="AL1211" s="9" t="str" cm="1">
        <f t="array" ref="AL1211">_xlfn.IFS(AK1211 &lt;= 5, "New[1-5]", AK1211 &lt;= 10, "Early Career[6-10]", AK1211 &lt;= 20, "Established[11-20]", AK1211 &lt;= 30, "Veteran[21-30]", AK1211 &lt;= 40, "Late Career[31-40]")</f>
        <v>New[1-5]</v>
      </c>
      <c r="AM1211" s="1">
        <v>0</v>
      </c>
      <c r="AN1211" s="9" t="str" cm="1">
        <f t="array" ref="AN1211">_xlfn.IFS(AM1211 &lt;= 3, "New to Role[1-3]", AM1211 &lt;= 7, "Settled[4-7]", AM1211 &lt;= 12, "Experienced[[8-12]", AM1211 &lt;= 18, "Long Tenured[13-18]")</f>
        <v>New to Role[1-3]</v>
      </c>
      <c r="AO1211" s="1">
        <v>0</v>
      </c>
      <c r="AP1211" s="9" t="str" cm="1">
        <f t="array" ref="AP1211">_xlfn.IFS(AO1211 &lt;= 3, "Recently[1-3]", AO1211 &lt;= 6, "Due Soon[4-6]", AO1211 &lt;= 10, "Overdue[7-10]", AO1211 &lt;= 15, "Long Overdue[11-15]")</f>
        <v>Recently[1-3]</v>
      </c>
      <c r="AQ1211" s="9" t="str" cm="1">
        <f t="array" ref="AQ1211">_xlfn.IFS(AR1211 &lt;= 3, "New Relationship[1-3]", AR1211 &lt;= 7, "Established Relationship[4-7]", AR1211 &lt;= 12, "Long Term Relationship[8-12]", AR1211 &lt;= 17, "Very Long Term Relationship[13-17]")</f>
        <v>New Relationship[1-3]</v>
      </c>
      <c r="AR1211" s="1">
        <v>0</v>
      </c>
    </row>
    <row r="1212" spans="1:44" x14ac:dyDescent="0.25">
      <c r="A1212" s="1">
        <v>33</v>
      </c>
      <c r="B1212" s="8" t="str" cm="1">
        <f t="array" ref="B1212">_xlfn.IFS(A1212 &lt;= 25, "[18-25]", A1212 &lt;= 35, "[26-35]", A1212 &lt;=45, "[36-45]", A1212 &lt;= 60, "[46- 60]")</f>
        <v>[26-35]</v>
      </c>
      <c r="C1212" s="3" t="s">
        <v>43</v>
      </c>
      <c r="D1212">
        <f t="shared" si="18"/>
        <v>0</v>
      </c>
      <c r="E1212" t="s">
        <v>36</v>
      </c>
      <c r="F1212" s="1">
        <v>267</v>
      </c>
      <c r="G1212" s="3" t="s">
        <v>45</v>
      </c>
      <c r="H1212" s="1">
        <v>21</v>
      </c>
      <c r="I1212" s="9" t="str" cm="1">
        <f t="array" ref="I1212">_xlfn.IFS(H1212 &lt;= 2, "[1-2] very close", H1212 &lt;= 10, "[3-10] close", H1212 &lt;= 20, "[11-20] moderate", H1212 &lt;= 30, "[21-30] far")</f>
        <v>[21-30] far</v>
      </c>
      <c r="J1212" s="1">
        <v>3</v>
      </c>
      <c r="K1212" s="3" t="s">
        <v>51</v>
      </c>
      <c r="L1212" s="1">
        <v>1</v>
      </c>
      <c r="M1212" s="1">
        <v>1698</v>
      </c>
      <c r="N1212" s="1">
        <v>2</v>
      </c>
      <c r="O1212" s="3" t="s">
        <v>46</v>
      </c>
      <c r="P1212" s="1">
        <v>79</v>
      </c>
      <c r="Q1212" s="1">
        <v>4</v>
      </c>
      <c r="R1212" s="1">
        <v>1</v>
      </c>
      <c r="S1212" s="3" t="s">
        <v>50</v>
      </c>
      <c r="T1212" s="1">
        <v>2</v>
      </c>
      <c r="U1212" s="3" t="s">
        <v>48</v>
      </c>
      <c r="V1212" s="4">
        <v>2028</v>
      </c>
      <c r="W1212" s="1">
        <v>13637</v>
      </c>
      <c r="X1212" s="1">
        <v>1</v>
      </c>
      <c r="Y1212" s="3" t="s">
        <v>42</v>
      </c>
      <c r="Z1212" s="3" t="s">
        <v>43</v>
      </c>
      <c r="AA1212" s="5">
        <v>0.18</v>
      </c>
      <c r="AB1212" s="10" t="str" cm="1">
        <f t="array" ref="AB1212">_xlfn.IFS(AA1212 &lt;= 15%, "Low Hike[11-15%]", AA1212 &lt;= 20%, "Moderate Hike[16-20%]", AA1212 &lt;= 25%,"High Hike[21-25%]")</f>
        <v>Moderate Hike[16-20%]</v>
      </c>
      <c r="AC1212" s="1">
        <v>3</v>
      </c>
      <c r="AD1212" s="1">
        <v>4</v>
      </c>
      <c r="AE1212" s="1">
        <v>80</v>
      </c>
      <c r="AF1212" s="1">
        <v>3</v>
      </c>
      <c r="AG1212" s="1">
        <v>14</v>
      </c>
      <c r="AH1212" s="9" t="str" cm="1">
        <f t="array" ref="AH1212">_xlfn.IFS(AG1212 &lt;= 5, "New[1-5]", AG1212 &lt;= 10, "Early Career[6-10]", AG1212 &lt;= 20, "Established[11-20]", AG1212 &lt;= 30, "Veteran[21-30]", AG1212 &lt;= 40, "Late Career[31-40]")</f>
        <v>Established[11-20]</v>
      </c>
      <c r="AI1212" s="1">
        <v>6</v>
      </c>
      <c r="AJ1212" s="1">
        <v>3</v>
      </c>
      <c r="AK1212" s="1">
        <v>14</v>
      </c>
      <c r="AL1212" s="9" t="str" cm="1">
        <f t="array" ref="AL1212">_xlfn.IFS(AK1212 &lt;= 5, "New[1-5]", AK1212 &lt;= 10, "Early Career[6-10]", AK1212 &lt;= 20, "Established[11-20]", AK1212 &lt;= 30, "Veteran[21-30]", AK1212 &lt;= 40, "Late Career[31-40]")</f>
        <v>Established[11-20]</v>
      </c>
      <c r="AM1212" s="1">
        <v>11</v>
      </c>
      <c r="AN1212" s="9" t="str" cm="1">
        <f t="array" ref="AN1212">_xlfn.IFS(AM1212 &lt;= 3, "New to Role[1-3]", AM1212 &lt;= 7, "Settled[4-7]", AM1212 &lt;= 12, "Experienced[[8-12]", AM1212 &lt;= 18, "Long Tenured[13-18]")</f>
        <v>Experienced[[8-12]</v>
      </c>
      <c r="AO1212" s="1">
        <v>2</v>
      </c>
      <c r="AP1212" s="9" t="str" cm="1">
        <f t="array" ref="AP1212">_xlfn.IFS(AO1212 &lt;= 3, "Recently[1-3]", AO1212 &lt;= 6, "Due Soon[4-6]", AO1212 &lt;= 10, "Overdue[7-10]", AO1212 &lt;= 15, "Long Overdue[11-15]")</f>
        <v>Recently[1-3]</v>
      </c>
      <c r="AQ1212" s="9" t="str" cm="1">
        <f t="array" ref="AQ1212">_xlfn.IFS(AR1212 &lt;= 3, "New Relationship[1-3]", AR1212 &lt;= 7, "Established Relationship[4-7]", AR1212 &lt;= 12, "Long Term Relationship[8-12]", AR1212 &lt;= 17, "Very Long Term Relationship[13-17]")</f>
        <v>Very Long Term Relationship[13-17]</v>
      </c>
      <c r="AR1212" s="1">
        <v>13</v>
      </c>
    </row>
    <row r="1213" spans="1:44" x14ac:dyDescent="0.25">
      <c r="A1213" s="1">
        <v>37</v>
      </c>
      <c r="B1213" s="8" t="str" cm="1">
        <f t="array" ref="B1213">_xlfn.IFS(A1213 &lt;= 25, "[18-25]", A1213 &lt;= 35, "[26-35]", A1213 &lt;=45, "[36-45]", A1213 &lt;= 60, "[46- 60]")</f>
        <v>[36-45]</v>
      </c>
      <c r="C1213" s="3" t="s">
        <v>43</v>
      </c>
      <c r="D1213">
        <f t="shared" si="18"/>
        <v>0</v>
      </c>
      <c r="E1213" t="s">
        <v>44</v>
      </c>
      <c r="F1213" s="1">
        <v>1278</v>
      </c>
      <c r="G1213" s="3" t="s">
        <v>37</v>
      </c>
      <c r="H1213" s="1">
        <v>1</v>
      </c>
      <c r="I1213" s="9" t="str" cm="1">
        <f t="array" ref="I1213">_xlfn.IFS(H1213 &lt;= 2, "[1-2] very close", H1213 &lt;= 10, "[3-10] close", H1213 &lt;= 20, "[11-20] moderate", H1213 &lt;= 30, "[21-30] far")</f>
        <v>[1-2] very close</v>
      </c>
      <c r="J1213" s="1">
        <v>4</v>
      </c>
      <c r="K1213" s="3" t="s">
        <v>51</v>
      </c>
      <c r="L1213" s="1">
        <v>1</v>
      </c>
      <c r="M1213" s="1">
        <v>1700</v>
      </c>
      <c r="N1213" s="1">
        <v>3</v>
      </c>
      <c r="O1213" s="3" t="s">
        <v>46</v>
      </c>
      <c r="P1213" s="1">
        <v>31</v>
      </c>
      <c r="Q1213" s="1">
        <v>1</v>
      </c>
      <c r="R1213" s="1">
        <v>2</v>
      </c>
      <c r="S1213" s="3" t="s">
        <v>40</v>
      </c>
      <c r="T1213" s="1">
        <v>4</v>
      </c>
      <c r="U1213" s="3" t="s">
        <v>52</v>
      </c>
      <c r="V1213" s="4">
        <v>9525</v>
      </c>
      <c r="W1213" s="1">
        <v>7677</v>
      </c>
      <c r="X1213" s="1">
        <v>1</v>
      </c>
      <c r="Y1213" s="3" t="s">
        <v>42</v>
      </c>
      <c r="Z1213" s="3" t="s">
        <v>43</v>
      </c>
      <c r="AA1213" s="5">
        <v>0.14000000000000001</v>
      </c>
      <c r="AB1213" s="10" t="str" cm="1">
        <f t="array" ref="AB1213">_xlfn.IFS(AA1213 &lt;= 15%, "Low Hike[11-15%]", AA1213 &lt;= 20%, "Moderate Hike[16-20%]", AA1213 &lt;= 25%,"High Hike[21-25%]")</f>
        <v>Low Hike[11-15%]</v>
      </c>
      <c r="AC1213" s="1">
        <v>3</v>
      </c>
      <c r="AD1213" s="1">
        <v>3</v>
      </c>
      <c r="AE1213" s="1">
        <v>80</v>
      </c>
      <c r="AF1213" s="1">
        <v>2</v>
      </c>
      <c r="AG1213" s="1">
        <v>6</v>
      </c>
      <c r="AH1213" s="9" t="str" cm="1">
        <f t="array" ref="AH1213">_xlfn.IFS(AG1213 &lt;= 5, "New[1-5]", AG1213 &lt;= 10, "Early Career[6-10]", AG1213 &lt;= 20, "Established[11-20]", AG1213 &lt;= 30, "Veteran[21-30]", AG1213 &lt;= 40, "Late Career[31-40]")</f>
        <v>Early Career[6-10]</v>
      </c>
      <c r="AI1213" s="1">
        <v>2</v>
      </c>
      <c r="AJ1213" s="1">
        <v>2</v>
      </c>
      <c r="AK1213" s="1">
        <v>6</v>
      </c>
      <c r="AL1213" s="9" t="str" cm="1">
        <f t="array" ref="AL1213">_xlfn.IFS(AK1213 &lt;= 5, "New[1-5]", AK1213 &lt;= 10, "Early Career[6-10]", AK1213 &lt;= 20, "Established[11-20]", AK1213 &lt;= 30, "Veteran[21-30]", AK1213 &lt;= 40, "Late Career[31-40]")</f>
        <v>Early Career[6-10]</v>
      </c>
      <c r="AM1213" s="1">
        <v>3</v>
      </c>
      <c r="AN1213" s="9" t="str" cm="1">
        <f t="array" ref="AN1213">_xlfn.IFS(AM1213 &lt;= 3, "New to Role[1-3]", AM1213 &lt;= 7, "Settled[4-7]", AM1213 &lt;= 12, "Experienced[[8-12]", AM1213 &lt;= 18, "Long Tenured[13-18]")</f>
        <v>New to Role[1-3]</v>
      </c>
      <c r="AO1213" s="1">
        <v>1</v>
      </c>
      <c r="AP1213" s="9" t="str" cm="1">
        <f t="array" ref="AP1213">_xlfn.IFS(AO1213 &lt;= 3, "Recently[1-3]", AO1213 &lt;= 6, "Due Soon[4-6]", AO1213 &lt;= 10, "Overdue[7-10]", AO1213 &lt;= 15, "Long Overdue[11-15]")</f>
        <v>Recently[1-3]</v>
      </c>
      <c r="AQ1213" s="9" t="str" cm="1">
        <f t="array" ref="AQ1213">_xlfn.IFS(AR1213 &lt;= 3, "New Relationship[1-3]", AR1213 &lt;= 7, "Established Relationship[4-7]", AR1213 &lt;= 12, "Long Term Relationship[8-12]", AR1213 &lt;= 17, "Very Long Term Relationship[13-17]")</f>
        <v>New Relationship[1-3]</v>
      </c>
      <c r="AR1213" s="1">
        <v>3</v>
      </c>
    </row>
    <row r="1214" spans="1:44" x14ac:dyDescent="0.25">
      <c r="A1214" s="1">
        <v>34</v>
      </c>
      <c r="B1214" s="8" t="str" cm="1">
        <f t="array" ref="B1214">_xlfn.IFS(A1214 &lt;= 25, "[18-25]", A1214 &lt;= 35, "[26-35]", A1214 &lt;=45, "[36-45]", A1214 &lt;= 60, "[46- 60]")</f>
        <v>[26-35]</v>
      </c>
      <c r="C1214" s="3" t="s">
        <v>43</v>
      </c>
      <c r="D1214">
        <f t="shared" si="18"/>
        <v>0</v>
      </c>
      <c r="E1214" t="s">
        <v>36</v>
      </c>
      <c r="F1214" s="1">
        <v>678</v>
      </c>
      <c r="G1214" s="3" t="s">
        <v>45</v>
      </c>
      <c r="H1214" s="1">
        <v>19</v>
      </c>
      <c r="I1214" s="9" t="str" cm="1">
        <f t="array" ref="I1214">_xlfn.IFS(H1214 &lt;= 2, "[1-2] very close", H1214 &lt;= 10, "[3-10] close", H1214 &lt;= 20, "[11-20] moderate", H1214 &lt;= 30, "[21-30] far")</f>
        <v>[11-20] moderate</v>
      </c>
      <c r="J1214" s="1">
        <v>3</v>
      </c>
      <c r="K1214" s="3" t="s">
        <v>38</v>
      </c>
      <c r="L1214" s="1">
        <v>1</v>
      </c>
      <c r="M1214" s="1">
        <v>1701</v>
      </c>
      <c r="N1214" s="1">
        <v>2</v>
      </c>
      <c r="O1214" s="3" t="s">
        <v>39</v>
      </c>
      <c r="P1214" s="1">
        <v>35</v>
      </c>
      <c r="Q1214" s="1">
        <v>2</v>
      </c>
      <c r="R1214" s="1">
        <v>1</v>
      </c>
      <c r="S1214" s="3" t="s">
        <v>47</v>
      </c>
      <c r="T1214" s="1">
        <v>4</v>
      </c>
      <c r="U1214" s="3" t="s">
        <v>48</v>
      </c>
      <c r="V1214" s="4">
        <v>2929</v>
      </c>
      <c r="W1214" s="1">
        <v>20338</v>
      </c>
      <c r="X1214" s="1">
        <v>1</v>
      </c>
      <c r="Y1214" s="3" t="s">
        <v>42</v>
      </c>
      <c r="Z1214" s="3" t="s">
        <v>43</v>
      </c>
      <c r="AA1214" s="5">
        <v>0.12</v>
      </c>
      <c r="AB1214" s="10" t="str" cm="1">
        <f t="array" ref="AB1214">_xlfn.IFS(AA1214 &lt;= 15%, "Low Hike[11-15%]", AA1214 &lt;= 20%, "Moderate Hike[16-20%]", AA1214 &lt;= 25%,"High Hike[21-25%]")</f>
        <v>Low Hike[11-15%]</v>
      </c>
      <c r="AC1214" s="1">
        <v>3</v>
      </c>
      <c r="AD1214" s="1">
        <v>2</v>
      </c>
      <c r="AE1214" s="1">
        <v>80</v>
      </c>
      <c r="AF1214" s="1">
        <v>0</v>
      </c>
      <c r="AG1214" s="1">
        <v>10</v>
      </c>
      <c r="AH1214" s="9" t="str" cm="1">
        <f t="array" ref="AH1214">_xlfn.IFS(AG1214 &lt;= 5, "New[1-5]", AG1214 &lt;= 10, "Early Career[6-10]", AG1214 &lt;= 20, "Established[11-20]", AG1214 &lt;= 30, "Veteran[21-30]", AG1214 &lt;= 40, "Late Career[31-40]")</f>
        <v>Early Career[6-10]</v>
      </c>
      <c r="AI1214" s="1">
        <v>3</v>
      </c>
      <c r="AJ1214" s="1">
        <v>3</v>
      </c>
      <c r="AK1214" s="1">
        <v>10</v>
      </c>
      <c r="AL1214" s="9" t="str" cm="1">
        <f t="array" ref="AL1214">_xlfn.IFS(AK1214 &lt;= 5, "New[1-5]", AK1214 &lt;= 10, "Early Career[6-10]", AK1214 &lt;= 20, "Established[11-20]", AK1214 &lt;= 30, "Veteran[21-30]", AK1214 &lt;= 40, "Late Career[31-40]")</f>
        <v>Early Career[6-10]</v>
      </c>
      <c r="AM1214" s="1">
        <v>9</v>
      </c>
      <c r="AN1214" s="9" t="str" cm="1">
        <f t="array" ref="AN1214">_xlfn.IFS(AM1214 &lt;= 3, "New to Role[1-3]", AM1214 &lt;= 7, "Settled[4-7]", AM1214 &lt;= 12, "Experienced[[8-12]", AM1214 &lt;= 18, "Long Tenured[13-18]")</f>
        <v>Experienced[[8-12]</v>
      </c>
      <c r="AO1214" s="1">
        <v>8</v>
      </c>
      <c r="AP1214" s="9" t="str" cm="1">
        <f t="array" ref="AP1214">_xlfn.IFS(AO1214 &lt;= 3, "Recently[1-3]", AO1214 &lt;= 6, "Due Soon[4-6]", AO1214 &lt;= 10, "Overdue[7-10]", AO1214 &lt;= 15, "Long Overdue[11-15]")</f>
        <v>Overdue[7-10]</v>
      </c>
      <c r="AQ1214" s="9" t="str" cm="1">
        <f t="array" ref="AQ1214">_xlfn.IFS(AR1214 &lt;= 3, "New Relationship[1-3]", AR1214 &lt;= 7, "Established Relationship[4-7]", AR1214 &lt;= 12, "Long Term Relationship[8-12]", AR1214 &lt;= 17, "Very Long Term Relationship[13-17]")</f>
        <v>Established Relationship[4-7]</v>
      </c>
      <c r="AR1214" s="1">
        <v>7</v>
      </c>
    </row>
    <row r="1215" spans="1:44" x14ac:dyDescent="0.25">
      <c r="A1215" s="1">
        <v>23</v>
      </c>
      <c r="B1215" s="8" t="str" cm="1">
        <f t="array" ref="B1215">_xlfn.IFS(A1215 &lt;= 25, "[18-25]", A1215 &lt;= 35, "[26-35]", A1215 &lt;=45, "[36-45]", A1215 &lt;= 60, "[46- 60]")</f>
        <v>[18-25]</v>
      </c>
      <c r="C1215" s="3" t="s">
        <v>35</v>
      </c>
      <c r="D1215">
        <f t="shared" si="18"/>
        <v>1</v>
      </c>
      <c r="E1215" t="s">
        <v>36</v>
      </c>
      <c r="F1215" s="1">
        <v>427</v>
      </c>
      <c r="G1215" s="3" t="s">
        <v>37</v>
      </c>
      <c r="H1215" s="1">
        <v>7</v>
      </c>
      <c r="I1215" s="9" t="str" cm="1">
        <f t="array" ref="I1215">_xlfn.IFS(H1215 &lt;= 2, "[1-2] very close", H1215 &lt;= 10, "[3-10] close", H1215 &lt;= 20, "[11-20] moderate", H1215 &lt;= 30, "[21-30] far")</f>
        <v>[3-10] close</v>
      </c>
      <c r="J1215" s="1">
        <v>3</v>
      </c>
      <c r="K1215" s="3" t="s">
        <v>38</v>
      </c>
      <c r="L1215" s="1">
        <v>1</v>
      </c>
      <c r="M1215" s="1">
        <v>1702</v>
      </c>
      <c r="N1215" s="1">
        <v>3</v>
      </c>
      <c r="O1215" s="3" t="s">
        <v>46</v>
      </c>
      <c r="P1215" s="1">
        <v>99</v>
      </c>
      <c r="Q1215" s="1">
        <v>3</v>
      </c>
      <c r="R1215" s="1">
        <v>1</v>
      </c>
      <c r="S1215" s="3" t="s">
        <v>57</v>
      </c>
      <c r="T1215" s="1">
        <v>4</v>
      </c>
      <c r="U1215" s="3" t="s">
        <v>52</v>
      </c>
      <c r="V1215" s="4">
        <v>2275</v>
      </c>
      <c r="W1215" s="1">
        <v>25103</v>
      </c>
      <c r="X1215" s="1">
        <v>1</v>
      </c>
      <c r="Y1215" s="3" t="s">
        <v>42</v>
      </c>
      <c r="Z1215" s="3" t="s">
        <v>35</v>
      </c>
      <c r="AA1215" s="5">
        <v>0.21</v>
      </c>
      <c r="AB1215" s="10" t="str" cm="1">
        <f t="array" ref="AB1215">_xlfn.IFS(AA1215 &lt;= 15%, "Low Hike[11-15%]", AA1215 &lt;= 20%, "Moderate Hike[16-20%]", AA1215 &lt;= 25%,"High Hike[21-25%]")</f>
        <v>High Hike[21-25%]</v>
      </c>
      <c r="AC1215" s="1">
        <v>4</v>
      </c>
      <c r="AD1215" s="1">
        <v>2</v>
      </c>
      <c r="AE1215" s="1">
        <v>80</v>
      </c>
      <c r="AF1215" s="1">
        <v>1</v>
      </c>
      <c r="AG1215" s="1">
        <v>3</v>
      </c>
      <c r="AH1215" s="9" t="str" cm="1">
        <f t="array" ref="AH1215">_xlfn.IFS(AG1215 &lt;= 5, "New[1-5]", AG1215 &lt;= 10, "Early Career[6-10]", AG1215 &lt;= 20, "Established[11-20]", AG1215 &lt;= 30, "Veteran[21-30]", AG1215 &lt;= 40, "Late Career[31-40]")</f>
        <v>New[1-5]</v>
      </c>
      <c r="AI1215" s="1">
        <v>2</v>
      </c>
      <c r="AJ1215" s="1">
        <v>3</v>
      </c>
      <c r="AK1215" s="1">
        <v>3</v>
      </c>
      <c r="AL1215" s="9" t="str" cm="1">
        <f t="array" ref="AL1215">_xlfn.IFS(AK1215 &lt;= 5, "New[1-5]", AK1215 &lt;= 10, "Early Career[6-10]", AK1215 &lt;= 20, "Established[11-20]", AK1215 &lt;= 30, "Veteran[21-30]", AK1215 &lt;= 40, "Late Career[31-40]")</f>
        <v>New[1-5]</v>
      </c>
      <c r="AM1215" s="1">
        <v>2</v>
      </c>
      <c r="AN1215" s="9" t="str" cm="1">
        <f t="array" ref="AN1215">_xlfn.IFS(AM1215 &lt;= 3, "New to Role[1-3]", AM1215 &lt;= 7, "Settled[4-7]", AM1215 &lt;= 12, "Experienced[[8-12]", AM1215 &lt;= 18, "Long Tenured[13-18]")</f>
        <v>New to Role[1-3]</v>
      </c>
      <c r="AO1215" s="1">
        <v>0</v>
      </c>
      <c r="AP1215" s="9" t="str" cm="1">
        <f t="array" ref="AP1215">_xlfn.IFS(AO1215 &lt;= 3, "Recently[1-3]", AO1215 &lt;= 6, "Due Soon[4-6]", AO1215 &lt;= 10, "Overdue[7-10]", AO1215 &lt;= 15, "Long Overdue[11-15]")</f>
        <v>Recently[1-3]</v>
      </c>
      <c r="AQ1215" s="9" t="str" cm="1">
        <f t="array" ref="AQ1215">_xlfn.IFS(AR1215 &lt;= 3, "New Relationship[1-3]", AR1215 &lt;= 7, "Established Relationship[4-7]", AR1215 &lt;= 12, "Long Term Relationship[8-12]", AR1215 &lt;= 17, "Very Long Term Relationship[13-17]")</f>
        <v>New Relationship[1-3]</v>
      </c>
      <c r="AR1215" s="1">
        <v>2</v>
      </c>
    </row>
    <row r="1216" spans="1:44" x14ac:dyDescent="0.25">
      <c r="A1216" s="1">
        <v>44</v>
      </c>
      <c r="B1216" s="8" t="str" cm="1">
        <f t="array" ref="B1216">_xlfn.IFS(A1216 &lt;= 25, "[18-25]", A1216 &lt;= 35, "[26-35]", A1216 &lt;=45, "[36-45]", A1216 &lt;= 60, "[46- 60]")</f>
        <v>[36-45]</v>
      </c>
      <c r="C1216" s="3" t="s">
        <v>43</v>
      </c>
      <c r="D1216">
        <f t="shared" si="18"/>
        <v>0</v>
      </c>
      <c r="E1216" t="s">
        <v>36</v>
      </c>
      <c r="F1216" s="1">
        <v>921</v>
      </c>
      <c r="G1216" s="3" t="s">
        <v>45</v>
      </c>
      <c r="H1216" s="1">
        <v>2</v>
      </c>
      <c r="I1216" s="9" t="str" cm="1">
        <f t="array" ref="I1216">_xlfn.IFS(H1216 &lt;= 2, "[1-2] very close", H1216 &lt;= 10, "[3-10] close", H1216 &lt;= 20, "[11-20] moderate", H1216 &lt;= 30, "[21-30] far")</f>
        <v>[1-2] very close</v>
      </c>
      <c r="J1216" s="1">
        <v>3</v>
      </c>
      <c r="K1216" s="3" t="s">
        <v>38</v>
      </c>
      <c r="L1216" s="1">
        <v>1</v>
      </c>
      <c r="M1216" s="1">
        <v>1703</v>
      </c>
      <c r="N1216" s="1">
        <v>3</v>
      </c>
      <c r="O1216" s="3" t="s">
        <v>39</v>
      </c>
      <c r="P1216" s="1">
        <v>96</v>
      </c>
      <c r="Q1216" s="1">
        <v>4</v>
      </c>
      <c r="R1216" s="1">
        <v>3</v>
      </c>
      <c r="S1216" s="3" t="s">
        <v>54</v>
      </c>
      <c r="T1216" s="1">
        <v>4</v>
      </c>
      <c r="U1216" s="3" t="s">
        <v>48</v>
      </c>
      <c r="V1216" s="4">
        <v>7879</v>
      </c>
      <c r="W1216" s="1">
        <v>14810</v>
      </c>
      <c r="X1216" s="1">
        <v>1</v>
      </c>
      <c r="Y1216" s="3" t="s">
        <v>42</v>
      </c>
      <c r="Z1216" s="3" t="s">
        <v>35</v>
      </c>
      <c r="AA1216" s="5">
        <v>0.19</v>
      </c>
      <c r="AB1216" s="10" t="str" cm="1">
        <f t="array" ref="AB1216">_xlfn.IFS(AA1216 &lt;= 15%, "Low Hike[11-15%]", AA1216 &lt;= 20%, "Moderate Hike[16-20%]", AA1216 &lt;= 25%,"High Hike[21-25%]")</f>
        <v>Moderate Hike[16-20%]</v>
      </c>
      <c r="AC1216" s="1">
        <v>3</v>
      </c>
      <c r="AD1216" s="1">
        <v>2</v>
      </c>
      <c r="AE1216" s="1">
        <v>80</v>
      </c>
      <c r="AF1216" s="1">
        <v>1</v>
      </c>
      <c r="AG1216" s="1">
        <v>9</v>
      </c>
      <c r="AH1216" s="9" t="str" cm="1">
        <f t="array" ref="AH1216">_xlfn.IFS(AG1216 &lt;= 5, "New[1-5]", AG1216 &lt;= 10, "Early Career[6-10]", AG1216 &lt;= 20, "Established[11-20]", AG1216 &lt;= 30, "Veteran[21-30]", AG1216 &lt;= 40, "Late Career[31-40]")</f>
        <v>Early Career[6-10]</v>
      </c>
      <c r="AI1216" s="1">
        <v>2</v>
      </c>
      <c r="AJ1216" s="1">
        <v>3</v>
      </c>
      <c r="AK1216" s="1">
        <v>8</v>
      </c>
      <c r="AL1216" s="9" t="str" cm="1">
        <f t="array" ref="AL1216">_xlfn.IFS(AK1216 &lt;= 5, "New[1-5]", AK1216 &lt;= 10, "Early Career[6-10]", AK1216 &lt;= 20, "Established[11-20]", AK1216 &lt;= 30, "Veteran[21-30]", AK1216 &lt;= 40, "Late Career[31-40]")</f>
        <v>Early Career[6-10]</v>
      </c>
      <c r="AM1216" s="1">
        <v>7</v>
      </c>
      <c r="AN1216" s="9" t="str" cm="1">
        <f t="array" ref="AN1216">_xlfn.IFS(AM1216 &lt;= 3, "New to Role[1-3]", AM1216 &lt;= 7, "Settled[4-7]", AM1216 &lt;= 12, "Experienced[[8-12]", AM1216 &lt;= 18, "Long Tenured[13-18]")</f>
        <v>Settled[4-7]</v>
      </c>
      <c r="AO1216" s="1">
        <v>6</v>
      </c>
      <c r="AP1216" s="9" t="str" cm="1">
        <f t="array" ref="AP1216">_xlfn.IFS(AO1216 &lt;= 3, "Recently[1-3]", AO1216 &lt;= 6, "Due Soon[4-6]", AO1216 &lt;= 10, "Overdue[7-10]", AO1216 &lt;= 15, "Long Overdue[11-15]")</f>
        <v>Due Soon[4-6]</v>
      </c>
      <c r="AQ1216" s="9" t="str" cm="1">
        <f t="array" ref="AQ1216">_xlfn.IFS(AR1216 &lt;= 3, "New Relationship[1-3]", AR1216 &lt;= 7, "Established Relationship[4-7]", AR1216 &lt;= 12, "Long Term Relationship[8-12]", AR1216 &lt;= 17, "Very Long Term Relationship[13-17]")</f>
        <v>Established Relationship[4-7]</v>
      </c>
      <c r="AR1216" s="1">
        <v>7</v>
      </c>
    </row>
    <row r="1217" spans="1:44" x14ac:dyDescent="0.25">
      <c r="A1217" s="1">
        <v>35</v>
      </c>
      <c r="B1217" s="8" t="str" cm="1">
        <f t="array" ref="B1217">_xlfn.IFS(A1217 &lt;= 25, "[18-25]", A1217 &lt;= 35, "[26-35]", A1217 &lt;=45, "[36-45]", A1217 &lt;= 60, "[46- 60]")</f>
        <v>[26-35]</v>
      </c>
      <c r="C1217" s="3" t="s">
        <v>43</v>
      </c>
      <c r="D1217">
        <f t="shared" si="18"/>
        <v>0</v>
      </c>
      <c r="E1217" t="s">
        <v>44</v>
      </c>
      <c r="F1217" s="1">
        <v>146</v>
      </c>
      <c r="G1217" s="3" t="s">
        <v>45</v>
      </c>
      <c r="H1217" s="1">
        <v>2</v>
      </c>
      <c r="I1217" s="9" t="str" cm="1">
        <f t="array" ref="I1217">_xlfn.IFS(H1217 &lt;= 2, "[1-2] very close", H1217 &lt;= 10, "[3-10] close", H1217 &lt;= 20, "[11-20] moderate", H1217 &lt;= 30, "[21-30] far")</f>
        <v>[1-2] very close</v>
      </c>
      <c r="J1217" s="1">
        <v>4</v>
      </c>
      <c r="K1217" s="3" t="s">
        <v>51</v>
      </c>
      <c r="L1217" s="1">
        <v>1</v>
      </c>
      <c r="M1217" s="1">
        <v>1704</v>
      </c>
      <c r="N1217" s="1">
        <v>1</v>
      </c>
      <c r="O1217" s="3" t="s">
        <v>46</v>
      </c>
      <c r="P1217" s="1">
        <v>79</v>
      </c>
      <c r="Q1217" s="1">
        <v>2</v>
      </c>
      <c r="R1217" s="1">
        <v>1</v>
      </c>
      <c r="S1217" s="3" t="s">
        <v>47</v>
      </c>
      <c r="T1217" s="1">
        <v>4</v>
      </c>
      <c r="U1217" s="3" t="s">
        <v>41</v>
      </c>
      <c r="V1217" s="4">
        <v>4930</v>
      </c>
      <c r="W1217" s="1">
        <v>13970</v>
      </c>
      <c r="X1217" s="1">
        <v>0</v>
      </c>
      <c r="Y1217" s="3" t="s">
        <v>42</v>
      </c>
      <c r="Z1217" s="3" t="s">
        <v>35</v>
      </c>
      <c r="AA1217" s="5">
        <v>0.14000000000000001</v>
      </c>
      <c r="AB1217" s="10" t="str" cm="1">
        <f t="array" ref="AB1217">_xlfn.IFS(AA1217 &lt;= 15%, "Low Hike[11-15%]", AA1217 &lt;= 20%, "Moderate Hike[16-20%]", AA1217 &lt;= 25%,"High Hike[21-25%]")</f>
        <v>Low Hike[11-15%]</v>
      </c>
      <c r="AC1217" s="1">
        <v>3</v>
      </c>
      <c r="AD1217" s="1">
        <v>3</v>
      </c>
      <c r="AE1217" s="1">
        <v>80</v>
      </c>
      <c r="AF1217" s="1">
        <v>0</v>
      </c>
      <c r="AG1217" s="1">
        <v>6</v>
      </c>
      <c r="AH1217" s="9" t="str" cm="1">
        <f t="array" ref="AH1217">_xlfn.IFS(AG1217 &lt;= 5, "New[1-5]", AG1217 &lt;= 10, "Early Career[6-10]", AG1217 &lt;= 20, "Established[11-20]", AG1217 &lt;= 30, "Veteran[21-30]", AG1217 &lt;= 40, "Late Career[31-40]")</f>
        <v>Early Career[6-10]</v>
      </c>
      <c r="AI1217" s="1">
        <v>2</v>
      </c>
      <c r="AJ1217" s="1">
        <v>4</v>
      </c>
      <c r="AK1217" s="1">
        <v>5</v>
      </c>
      <c r="AL1217" s="9" t="str" cm="1">
        <f t="array" ref="AL1217">_xlfn.IFS(AK1217 &lt;= 5, "New[1-5]", AK1217 &lt;= 10, "Early Career[6-10]", AK1217 &lt;= 20, "Established[11-20]", AK1217 &lt;= 30, "Veteran[21-30]", AK1217 &lt;= 40, "Late Career[31-40]")</f>
        <v>New[1-5]</v>
      </c>
      <c r="AM1217" s="1">
        <v>4</v>
      </c>
      <c r="AN1217" s="9" t="str" cm="1">
        <f t="array" ref="AN1217">_xlfn.IFS(AM1217 &lt;= 3, "New to Role[1-3]", AM1217 &lt;= 7, "Settled[4-7]", AM1217 &lt;= 12, "Experienced[[8-12]", AM1217 &lt;= 18, "Long Tenured[13-18]")</f>
        <v>Settled[4-7]</v>
      </c>
      <c r="AO1217" s="1">
        <v>1</v>
      </c>
      <c r="AP1217" s="9" t="str" cm="1">
        <f t="array" ref="AP1217">_xlfn.IFS(AO1217 &lt;= 3, "Recently[1-3]", AO1217 &lt;= 6, "Due Soon[4-6]", AO1217 &lt;= 10, "Overdue[7-10]", AO1217 &lt;= 15, "Long Overdue[11-15]")</f>
        <v>Recently[1-3]</v>
      </c>
      <c r="AQ1217" s="9" t="str" cm="1">
        <f t="array" ref="AQ1217">_xlfn.IFS(AR1217 &lt;= 3, "New Relationship[1-3]", AR1217 &lt;= 7, "Established Relationship[4-7]", AR1217 &lt;= 12, "Long Term Relationship[8-12]", AR1217 &lt;= 17, "Very Long Term Relationship[13-17]")</f>
        <v>Established Relationship[4-7]</v>
      </c>
      <c r="AR1217" s="1">
        <v>4</v>
      </c>
    </row>
    <row r="1218" spans="1:44" x14ac:dyDescent="0.25">
      <c r="A1218" s="1">
        <v>43</v>
      </c>
      <c r="B1218" s="8" t="str" cm="1">
        <f t="array" ref="B1218">_xlfn.IFS(A1218 &lt;= 25, "[18-25]", A1218 &lt;= 35, "[26-35]", A1218 &lt;=45, "[36-45]", A1218 &lt;= 60, "[46- 60]")</f>
        <v>[36-45]</v>
      </c>
      <c r="C1218" s="3" t="s">
        <v>43</v>
      </c>
      <c r="D1218">
        <f t="shared" ref="D1218:D1281" si="19">IF(C1218 = "Yes",1, 0)</f>
        <v>0</v>
      </c>
      <c r="E1218" t="s">
        <v>36</v>
      </c>
      <c r="F1218" s="1">
        <v>1179</v>
      </c>
      <c r="G1218" s="3" t="s">
        <v>37</v>
      </c>
      <c r="H1218" s="1">
        <v>2</v>
      </c>
      <c r="I1218" s="9" t="str" cm="1">
        <f t="array" ref="I1218">_xlfn.IFS(H1218 &lt;= 2, "[1-2] very close", H1218 &lt;= 10, "[3-10] close", H1218 &lt;= 20, "[11-20] moderate", H1218 &lt;= 30, "[21-30] far")</f>
        <v>[1-2] very close</v>
      </c>
      <c r="J1218" s="1">
        <v>3</v>
      </c>
      <c r="K1218" s="3" t="s">
        <v>51</v>
      </c>
      <c r="L1218" s="1">
        <v>1</v>
      </c>
      <c r="M1218" s="1">
        <v>1706</v>
      </c>
      <c r="N1218" s="1">
        <v>4</v>
      </c>
      <c r="O1218" s="3" t="s">
        <v>46</v>
      </c>
      <c r="P1218" s="1">
        <v>73</v>
      </c>
      <c r="Q1218" s="1">
        <v>3</v>
      </c>
      <c r="R1218" s="1">
        <v>2</v>
      </c>
      <c r="S1218" s="3" t="s">
        <v>40</v>
      </c>
      <c r="T1218" s="1">
        <v>4</v>
      </c>
      <c r="U1218" s="3" t="s">
        <v>48</v>
      </c>
      <c r="V1218" s="4">
        <v>7847</v>
      </c>
      <c r="W1218" s="1">
        <v>6069</v>
      </c>
      <c r="X1218" s="1">
        <v>1</v>
      </c>
      <c r="Y1218" s="3" t="s">
        <v>42</v>
      </c>
      <c r="Z1218" s="3" t="s">
        <v>35</v>
      </c>
      <c r="AA1218" s="5">
        <v>0.17</v>
      </c>
      <c r="AB1218" s="10" t="str" cm="1">
        <f t="array" ref="AB1218">_xlfn.IFS(AA1218 &lt;= 15%, "Low Hike[11-15%]", AA1218 &lt;= 20%, "Moderate Hike[16-20%]", AA1218 &lt;= 25%,"High Hike[21-25%]")</f>
        <v>Moderate Hike[16-20%]</v>
      </c>
      <c r="AC1218" s="1">
        <v>3</v>
      </c>
      <c r="AD1218" s="1">
        <v>1</v>
      </c>
      <c r="AE1218" s="1">
        <v>80</v>
      </c>
      <c r="AF1218" s="1">
        <v>1</v>
      </c>
      <c r="AG1218" s="1">
        <v>10</v>
      </c>
      <c r="AH1218" s="9" t="str" cm="1">
        <f t="array" ref="AH1218">_xlfn.IFS(AG1218 &lt;= 5, "New[1-5]", AG1218 &lt;= 10, "Early Career[6-10]", AG1218 &lt;= 20, "Established[11-20]", AG1218 &lt;= 30, "Veteran[21-30]", AG1218 &lt;= 40, "Late Career[31-40]")</f>
        <v>Early Career[6-10]</v>
      </c>
      <c r="AI1218" s="1">
        <v>3</v>
      </c>
      <c r="AJ1218" s="1">
        <v>3</v>
      </c>
      <c r="AK1218" s="1">
        <v>10</v>
      </c>
      <c r="AL1218" s="9" t="str" cm="1">
        <f t="array" ref="AL1218">_xlfn.IFS(AK1218 &lt;= 5, "New[1-5]", AK1218 &lt;= 10, "Early Career[6-10]", AK1218 &lt;= 20, "Established[11-20]", AK1218 &lt;= 30, "Veteran[21-30]", AK1218 &lt;= 40, "Late Career[31-40]")</f>
        <v>Early Career[6-10]</v>
      </c>
      <c r="AM1218" s="1">
        <v>9</v>
      </c>
      <c r="AN1218" s="9" t="str" cm="1">
        <f t="array" ref="AN1218">_xlfn.IFS(AM1218 &lt;= 3, "New to Role[1-3]", AM1218 &lt;= 7, "Settled[4-7]", AM1218 &lt;= 12, "Experienced[[8-12]", AM1218 &lt;= 18, "Long Tenured[13-18]")</f>
        <v>Experienced[[8-12]</v>
      </c>
      <c r="AO1218" s="1">
        <v>8</v>
      </c>
      <c r="AP1218" s="9" t="str" cm="1">
        <f t="array" ref="AP1218">_xlfn.IFS(AO1218 &lt;= 3, "Recently[1-3]", AO1218 &lt;= 6, "Due Soon[4-6]", AO1218 &lt;= 10, "Overdue[7-10]", AO1218 &lt;= 15, "Long Overdue[11-15]")</f>
        <v>Overdue[7-10]</v>
      </c>
      <c r="AQ1218" s="9" t="str" cm="1">
        <f t="array" ref="AQ1218">_xlfn.IFS(AR1218 &lt;= 3, "New Relationship[1-3]", AR1218 &lt;= 7, "Established Relationship[4-7]", AR1218 &lt;= 12, "Long Term Relationship[8-12]", AR1218 &lt;= 17, "Very Long Term Relationship[13-17]")</f>
        <v>Long Term Relationship[8-12]</v>
      </c>
      <c r="AR1218" s="1">
        <v>8</v>
      </c>
    </row>
    <row r="1219" spans="1:44" x14ac:dyDescent="0.25">
      <c r="A1219" s="1">
        <v>24</v>
      </c>
      <c r="B1219" s="8" t="str" cm="1">
        <f t="array" ref="B1219">_xlfn.IFS(A1219 &lt;= 25, "[18-25]", A1219 &lt;= 35, "[26-35]", A1219 &lt;=45, "[36-45]", A1219 &lt;= 60, "[46- 60]")</f>
        <v>[18-25]</v>
      </c>
      <c r="C1219" s="3" t="s">
        <v>43</v>
      </c>
      <c r="D1219">
        <f t="shared" si="19"/>
        <v>0</v>
      </c>
      <c r="E1219" t="s">
        <v>36</v>
      </c>
      <c r="F1219" s="1">
        <v>581</v>
      </c>
      <c r="G1219" s="3" t="s">
        <v>45</v>
      </c>
      <c r="H1219" s="1">
        <v>9</v>
      </c>
      <c r="I1219" s="9" t="str" cm="1">
        <f t="array" ref="I1219">_xlfn.IFS(H1219 &lt;= 2, "[1-2] very close", H1219 &lt;= 10, "[3-10] close", H1219 &lt;= 20, "[11-20] moderate", H1219 &lt;= 30, "[21-30] far")</f>
        <v>[3-10] close</v>
      </c>
      <c r="J1219" s="1">
        <v>3</v>
      </c>
      <c r="K1219" s="3" t="s">
        <v>51</v>
      </c>
      <c r="L1219" s="1">
        <v>1</v>
      </c>
      <c r="M1219" s="1">
        <v>1707</v>
      </c>
      <c r="N1219" s="1">
        <v>3</v>
      </c>
      <c r="O1219" s="3" t="s">
        <v>46</v>
      </c>
      <c r="P1219" s="1">
        <v>62</v>
      </c>
      <c r="Q1219" s="1">
        <v>4</v>
      </c>
      <c r="R1219" s="1">
        <v>1</v>
      </c>
      <c r="S1219" s="3" t="s">
        <v>47</v>
      </c>
      <c r="T1219" s="1">
        <v>3</v>
      </c>
      <c r="U1219" s="3" t="s">
        <v>48</v>
      </c>
      <c r="V1219" s="4">
        <v>4401</v>
      </c>
      <c r="W1219" s="1">
        <v>17616</v>
      </c>
      <c r="X1219" s="1">
        <v>1</v>
      </c>
      <c r="Y1219" s="3" t="s">
        <v>42</v>
      </c>
      <c r="Z1219" s="3" t="s">
        <v>43</v>
      </c>
      <c r="AA1219" s="5">
        <v>0.16</v>
      </c>
      <c r="AB1219" s="10" t="str" cm="1">
        <f t="array" ref="AB1219">_xlfn.IFS(AA1219 &lt;= 15%, "Low Hike[11-15%]", AA1219 &lt;= 20%, "Moderate Hike[16-20%]", AA1219 &lt;= 25%,"High Hike[21-25%]")</f>
        <v>Moderate Hike[16-20%]</v>
      </c>
      <c r="AC1219" s="1">
        <v>3</v>
      </c>
      <c r="AD1219" s="1">
        <v>4</v>
      </c>
      <c r="AE1219" s="1">
        <v>80</v>
      </c>
      <c r="AF1219" s="1">
        <v>1</v>
      </c>
      <c r="AG1219" s="1">
        <v>5</v>
      </c>
      <c r="AH1219" s="9" t="str" cm="1">
        <f t="array" ref="AH1219">_xlfn.IFS(AG1219 &lt;= 5, "New[1-5]", AG1219 &lt;= 10, "Early Career[6-10]", AG1219 &lt;= 20, "Established[11-20]", AG1219 &lt;= 30, "Veteran[21-30]", AG1219 &lt;= 40, "Late Career[31-40]")</f>
        <v>New[1-5]</v>
      </c>
      <c r="AI1219" s="1">
        <v>1</v>
      </c>
      <c r="AJ1219" s="1">
        <v>3</v>
      </c>
      <c r="AK1219" s="1">
        <v>5</v>
      </c>
      <c r="AL1219" s="9" t="str" cm="1">
        <f t="array" ref="AL1219">_xlfn.IFS(AK1219 &lt;= 5, "New[1-5]", AK1219 &lt;= 10, "Early Career[6-10]", AK1219 &lt;= 20, "Established[11-20]", AK1219 &lt;= 30, "Veteran[21-30]", AK1219 &lt;= 40, "Late Career[31-40]")</f>
        <v>New[1-5]</v>
      </c>
      <c r="AM1219" s="1">
        <v>3</v>
      </c>
      <c r="AN1219" s="9" t="str" cm="1">
        <f t="array" ref="AN1219">_xlfn.IFS(AM1219 &lt;= 3, "New to Role[1-3]", AM1219 &lt;= 7, "Settled[4-7]", AM1219 &lt;= 12, "Experienced[[8-12]", AM1219 &lt;= 18, "Long Tenured[13-18]")</f>
        <v>New to Role[1-3]</v>
      </c>
      <c r="AO1219" s="1">
        <v>0</v>
      </c>
      <c r="AP1219" s="9" t="str" cm="1">
        <f t="array" ref="AP1219">_xlfn.IFS(AO1219 &lt;= 3, "Recently[1-3]", AO1219 &lt;= 6, "Due Soon[4-6]", AO1219 &lt;= 10, "Overdue[7-10]", AO1219 &lt;= 15, "Long Overdue[11-15]")</f>
        <v>Recently[1-3]</v>
      </c>
      <c r="AQ1219" s="9" t="str" cm="1">
        <f t="array" ref="AQ1219">_xlfn.IFS(AR1219 &lt;= 3, "New Relationship[1-3]", AR1219 &lt;= 7, "Established Relationship[4-7]", AR1219 &lt;= 12, "Long Term Relationship[8-12]", AR1219 &lt;= 17, "Very Long Term Relationship[13-17]")</f>
        <v>Established Relationship[4-7]</v>
      </c>
      <c r="AR1219" s="1">
        <v>4</v>
      </c>
    </row>
    <row r="1220" spans="1:44" x14ac:dyDescent="0.25">
      <c r="A1220" s="1">
        <v>41</v>
      </c>
      <c r="B1220" s="8" t="str" cm="1">
        <f t="array" ref="B1220">_xlfn.IFS(A1220 &lt;= 25, "[18-25]", A1220 &lt;= 35, "[26-35]", A1220 &lt;=45, "[36-45]", A1220 &lt;= 60, "[46- 60]")</f>
        <v>[36-45]</v>
      </c>
      <c r="C1220" s="3" t="s">
        <v>43</v>
      </c>
      <c r="D1220">
        <f t="shared" si="19"/>
        <v>0</v>
      </c>
      <c r="E1220" t="s">
        <v>36</v>
      </c>
      <c r="F1220" s="1">
        <v>918</v>
      </c>
      <c r="G1220" s="3" t="s">
        <v>37</v>
      </c>
      <c r="H1220" s="1">
        <v>6</v>
      </c>
      <c r="I1220" s="9" t="str" cm="1">
        <f t="array" ref="I1220">_xlfn.IFS(H1220 &lt;= 2, "[1-2] very close", H1220 &lt;= 10, "[3-10] close", H1220 &lt;= 20, "[11-20] moderate", H1220 &lt;= 30, "[21-30] far")</f>
        <v>[3-10] close</v>
      </c>
      <c r="J1220" s="1">
        <v>3</v>
      </c>
      <c r="K1220" s="3" t="s">
        <v>59</v>
      </c>
      <c r="L1220" s="1">
        <v>1</v>
      </c>
      <c r="M1220" s="1">
        <v>1708</v>
      </c>
      <c r="N1220" s="1">
        <v>4</v>
      </c>
      <c r="O1220" s="3" t="s">
        <v>46</v>
      </c>
      <c r="P1220" s="1">
        <v>35</v>
      </c>
      <c r="Q1220" s="1">
        <v>3</v>
      </c>
      <c r="R1220" s="1">
        <v>3</v>
      </c>
      <c r="S1220" s="3" t="s">
        <v>40</v>
      </c>
      <c r="T1220" s="1">
        <v>3</v>
      </c>
      <c r="U1220" s="3" t="s">
        <v>41</v>
      </c>
      <c r="V1220" s="4">
        <v>9241</v>
      </c>
      <c r="W1220" s="1">
        <v>15869</v>
      </c>
      <c r="X1220" s="1">
        <v>1</v>
      </c>
      <c r="Y1220" s="3" t="s">
        <v>42</v>
      </c>
      <c r="Z1220" s="3" t="s">
        <v>43</v>
      </c>
      <c r="AA1220" s="5">
        <v>0.12</v>
      </c>
      <c r="AB1220" s="10" t="str" cm="1">
        <f t="array" ref="AB1220">_xlfn.IFS(AA1220 &lt;= 15%, "Low Hike[11-15%]", AA1220 &lt;= 20%, "Moderate Hike[16-20%]", AA1220 &lt;= 25%,"High Hike[21-25%]")</f>
        <v>Low Hike[11-15%]</v>
      </c>
      <c r="AC1220" s="1">
        <v>3</v>
      </c>
      <c r="AD1220" s="1">
        <v>2</v>
      </c>
      <c r="AE1220" s="1">
        <v>80</v>
      </c>
      <c r="AF1220" s="1">
        <v>0</v>
      </c>
      <c r="AG1220" s="1">
        <v>10</v>
      </c>
      <c r="AH1220" s="9" t="str" cm="1">
        <f t="array" ref="AH1220">_xlfn.IFS(AG1220 &lt;= 5, "New[1-5]", AG1220 &lt;= 10, "Early Career[6-10]", AG1220 &lt;= 20, "Established[11-20]", AG1220 &lt;= 30, "Veteran[21-30]", AG1220 &lt;= 40, "Late Career[31-40]")</f>
        <v>Early Career[6-10]</v>
      </c>
      <c r="AI1220" s="1">
        <v>3</v>
      </c>
      <c r="AJ1220" s="1">
        <v>3</v>
      </c>
      <c r="AK1220" s="1">
        <v>10</v>
      </c>
      <c r="AL1220" s="9" t="str" cm="1">
        <f t="array" ref="AL1220">_xlfn.IFS(AK1220 &lt;= 5, "New[1-5]", AK1220 &lt;= 10, "Early Career[6-10]", AK1220 &lt;= 20, "Established[11-20]", AK1220 &lt;= 30, "Veteran[21-30]", AK1220 &lt;= 40, "Late Career[31-40]")</f>
        <v>Early Career[6-10]</v>
      </c>
      <c r="AM1220" s="1">
        <v>8</v>
      </c>
      <c r="AN1220" s="9" t="str" cm="1">
        <f t="array" ref="AN1220">_xlfn.IFS(AM1220 &lt;= 3, "New to Role[1-3]", AM1220 &lt;= 7, "Settled[4-7]", AM1220 &lt;= 12, "Experienced[[8-12]", AM1220 &lt;= 18, "Long Tenured[13-18]")</f>
        <v>Experienced[[8-12]</v>
      </c>
      <c r="AO1220" s="1">
        <v>8</v>
      </c>
      <c r="AP1220" s="9" t="str" cm="1">
        <f t="array" ref="AP1220">_xlfn.IFS(AO1220 &lt;= 3, "Recently[1-3]", AO1220 &lt;= 6, "Due Soon[4-6]", AO1220 &lt;= 10, "Overdue[7-10]", AO1220 &lt;= 15, "Long Overdue[11-15]")</f>
        <v>Overdue[7-10]</v>
      </c>
      <c r="AQ1220" s="9" t="str" cm="1">
        <f t="array" ref="AQ1220">_xlfn.IFS(AR1220 &lt;= 3, "New Relationship[1-3]", AR1220 &lt;= 7, "Established Relationship[4-7]", AR1220 &lt;= 12, "Long Term Relationship[8-12]", AR1220 &lt;= 17, "Very Long Term Relationship[13-17]")</f>
        <v>Established Relationship[4-7]</v>
      </c>
      <c r="AR1220" s="1">
        <v>7</v>
      </c>
    </row>
    <row r="1221" spans="1:44" x14ac:dyDescent="0.25">
      <c r="A1221" s="1">
        <v>29</v>
      </c>
      <c r="B1221" s="8" t="str" cm="1">
        <f t="array" ref="B1221">_xlfn.IFS(A1221 &lt;= 25, "[18-25]", A1221 &lt;= 35, "[26-35]", A1221 &lt;=45, "[36-45]", A1221 &lt;= 60, "[46- 60]")</f>
        <v>[26-35]</v>
      </c>
      <c r="C1221" s="3" t="s">
        <v>43</v>
      </c>
      <c r="D1221">
        <f t="shared" si="19"/>
        <v>0</v>
      </c>
      <c r="E1221" t="s">
        <v>36</v>
      </c>
      <c r="F1221" s="1">
        <v>1082</v>
      </c>
      <c r="G1221" s="3" t="s">
        <v>45</v>
      </c>
      <c r="H1221" s="1">
        <v>9</v>
      </c>
      <c r="I1221" s="9" t="str" cm="1">
        <f t="array" ref="I1221">_xlfn.IFS(H1221 &lt;= 2, "[1-2] very close", H1221 &lt;= 10, "[3-10] close", H1221 &lt;= 20, "[11-20] moderate", H1221 &lt;= 30, "[21-30] far")</f>
        <v>[3-10] close</v>
      </c>
      <c r="J1221" s="1">
        <v>4</v>
      </c>
      <c r="K1221" s="3" t="s">
        <v>51</v>
      </c>
      <c r="L1221" s="1">
        <v>1</v>
      </c>
      <c r="M1221" s="1">
        <v>1709</v>
      </c>
      <c r="N1221" s="1">
        <v>4</v>
      </c>
      <c r="O1221" s="3" t="s">
        <v>39</v>
      </c>
      <c r="P1221" s="1">
        <v>43</v>
      </c>
      <c r="Q1221" s="1">
        <v>3</v>
      </c>
      <c r="R1221" s="1">
        <v>1</v>
      </c>
      <c r="S1221" s="3" t="s">
        <v>50</v>
      </c>
      <c r="T1221" s="1">
        <v>3</v>
      </c>
      <c r="U1221" s="3" t="s">
        <v>48</v>
      </c>
      <c r="V1221" s="4">
        <v>2974</v>
      </c>
      <c r="W1221" s="1">
        <v>25412</v>
      </c>
      <c r="X1221" s="1">
        <v>9</v>
      </c>
      <c r="Y1221" s="3" t="s">
        <v>42</v>
      </c>
      <c r="Z1221" s="3" t="s">
        <v>43</v>
      </c>
      <c r="AA1221" s="5">
        <v>0.17</v>
      </c>
      <c r="AB1221" s="10" t="str" cm="1">
        <f t="array" ref="AB1221">_xlfn.IFS(AA1221 &lt;= 15%, "Low Hike[11-15%]", AA1221 &lt;= 20%, "Moderate Hike[16-20%]", AA1221 &lt;= 25%,"High Hike[21-25%]")</f>
        <v>Moderate Hike[16-20%]</v>
      </c>
      <c r="AC1221" s="1">
        <v>3</v>
      </c>
      <c r="AD1221" s="1">
        <v>3</v>
      </c>
      <c r="AE1221" s="1">
        <v>80</v>
      </c>
      <c r="AF1221" s="1">
        <v>1</v>
      </c>
      <c r="AG1221" s="1">
        <v>9</v>
      </c>
      <c r="AH1221" s="9" t="str" cm="1">
        <f t="array" ref="AH1221">_xlfn.IFS(AG1221 &lt;= 5, "New[1-5]", AG1221 &lt;= 10, "Early Career[6-10]", AG1221 &lt;= 20, "Established[11-20]", AG1221 &lt;= 30, "Veteran[21-30]", AG1221 &lt;= 40, "Late Career[31-40]")</f>
        <v>Early Career[6-10]</v>
      </c>
      <c r="AI1221" s="1">
        <v>2</v>
      </c>
      <c r="AJ1221" s="1">
        <v>3</v>
      </c>
      <c r="AK1221" s="1">
        <v>5</v>
      </c>
      <c r="AL1221" s="9" t="str" cm="1">
        <f t="array" ref="AL1221">_xlfn.IFS(AK1221 &lt;= 5, "New[1-5]", AK1221 &lt;= 10, "Early Career[6-10]", AK1221 &lt;= 20, "Established[11-20]", AK1221 &lt;= 30, "Veteran[21-30]", AK1221 &lt;= 40, "Late Career[31-40]")</f>
        <v>New[1-5]</v>
      </c>
      <c r="AM1221" s="1">
        <v>3</v>
      </c>
      <c r="AN1221" s="9" t="str" cm="1">
        <f t="array" ref="AN1221">_xlfn.IFS(AM1221 &lt;= 3, "New to Role[1-3]", AM1221 &lt;= 7, "Settled[4-7]", AM1221 &lt;= 12, "Experienced[[8-12]", AM1221 &lt;= 18, "Long Tenured[13-18]")</f>
        <v>New to Role[1-3]</v>
      </c>
      <c r="AO1221" s="1">
        <v>1</v>
      </c>
      <c r="AP1221" s="9" t="str" cm="1">
        <f t="array" ref="AP1221">_xlfn.IFS(AO1221 &lt;= 3, "Recently[1-3]", AO1221 &lt;= 6, "Due Soon[4-6]", AO1221 &lt;= 10, "Overdue[7-10]", AO1221 &lt;= 15, "Long Overdue[11-15]")</f>
        <v>Recently[1-3]</v>
      </c>
      <c r="AQ1221" s="9" t="str" cm="1">
        <f t="array" ref="AQ1221">_xlfn.IFS(AR1221 &lt;= 3, "New Relationship[1-3]", AR1221 &lt;= 7, "Established Relationship[4-7]", AR1221 &lt;= 12, "Long Term Relationship[8-12]", AR1221 &lt;= 17, "Very Long Term Relationship[13-17]")</f>
        <v>New Relationship[1-3]</v>
      </c>
      <c r="AR1221" s="1">
        <v>2</v>
      </c>
    </row>
    <row r="1222" spans="1:44" x14ac:dyDescent="0.25">
      <c r="A1222" s="1">
        <v>36</v>
      </c>
      <c r="B1222" s="8" t="str" cm="1">
        <f t="array" ref="B1222">_xlfn.IFS(A1222 &lt;= 25, "[18-25]", A1222 &lt;= 35, "[26-35]", A1222 &lt;=45, "[36-45]", A1222 &lt;= 60, "[46- 60]")</f>
        <v>[36-45]</v>
      </c>
      <c r="C1222" s="3" t="s">
        <v>43</v>
      </c>
      <c r="D1222">
        <f t="shared" si="19"/>
        <v>0</v>
      </c>
      <c r="E1222" t="s">
        <v>36</v>
      </c>
      <c r="F1222" s="1">
        <v>530</v>
      </c>
      <c r="G1222" s="3" t="s">
        <v>37</v>
      </c>
      <c r="H1222" s="1">
        <v>2</v>
      </c>
      <c r="I1222" s="9" t="str" cm="1">
        <f t="array" ref="I1222">_xlfn.IFS(H1222 &lt;= 2, "[1-2] very close", H1222 &lt;= 10, "[3-10] close", H1222 &lt;= 20, "[11-20] moderate", H1222 &lt;= 30, "[21-30] far")</f>
        <v>[1-2] very close</v>
      </c>
      <c r="J1222" s="1">
        <v>4</v>
      </c>
      <c r="K1222" s="3" t="s">
        <v>38</v>
      </c>
      <c r="L1222" s="1">
        <v>1</v>
      </c>
      <c r="M1222" s="1">
        <v>1710</v>
      </c>
      <c r="N1222" s="1">
        <v>3</v>
      </c>
      <c r="O1222" s="3" t="s">
        <v>39</v>
      </c>
      <c r="P1222" s="1">
        <v>51</v>
      </c>
      <c r="Q1222" s="1">
        <v>3</v>
      </c>
      <c r="R1222" s="1">
        <v>2</v>
      </c>
      <c r="S1222" s="3" t="s">
        <v>57</v>
      </c>
      <c r="T1222" s="1">
        <v>4</v>
      </c>
      <c r="U1222" s="3" t="s">
        <v>41</v>
      </c>
      <c r="V1222" s="4">
        <v>4502</v>
      </c>
      <c r="W1222" s="1">
        <v>7439</v>
      </c>
      <c r="X1222" s="1">
        <v>3</v>
      </c>
      <c r="Y1222" s="3" t="s">
        <v>42</v>
      </c>
      <c r="Z1222" s="3" t="s">
        <v>43</v>
      </c>
      <c r="AA1222" s="5">
        <v>0.15</v>
      </c>
      <c r="AB1222" s="10" t="str" cm="1">
        <f t="array" ref="AB1222">_xlfn.IFS(AA1222 &lt;= 15%, "Low Hike[11-15%]", AA1222 &lt;= 20%, "Moderate Hike[16-20%]", AA1222 &lt;= 25%,"High Hike[21-25%]")</f>
        <v>Low Hike[11-15%]</v>
      </c>
      <c r="AC1222" s="1">
        <v>3</v>
      </c>
      <c r="AD1222" s="1">
        <v>3</v>
      </c>
      <c r="AE1222" s="1">
        <v>80</v>
      </c>
      <c r="AF1222" s="1">
        <v>0</v>
      </c>
      <c r="AG1222" s="1">
        <v>17</v>
      </c>
      <c r="AH1222" s="9" t="str" cm="1">
        <f t="array" ref="AH1222">_xlfn.IFS(AG1222 &lt;= 5, "New[1-5]", AG1222 &lt;= 10, "Early Career[6-10]", AG1222 &lt;= 20, "Established[11-20]", AG1222 &lt;= 30, "Veteran[21-30]", AG1222 &lt;= 40, "Late Career[31-40]")</f>
        <v>Established[11-20]</v>
      </c>
      <c r="AI1222" s="1">
        <v>2</v>
      </c>
      <c r="AJ1222" s="1">
        <v>2</v>
      </c>
      <c r="AK1222" s="1">
        <v>13</v>
      </c>
      <c r="AL1222" s="9" t="str" cm="1">
        <f t="array" ref="AL1222">_xlfn.IFS(AK1222 &lt;= 5, "New[1-5]", AK1222 &lt;= 10, "Early Career[6-10]", AK1222 &lt;= 20, "Established[11-20]", AK1222 &lt;= 30, "Veteran[21-30]", AK1222 &lt;= 40, "Late Career[31-40]")</f>
        <v>Established[11-20]</v>
      </c>
      <c r="AM1222" s="1">
        <v>7</v>
      </c>
      <c r="AN1222" s="9" t="str" cm="1">
        <f t="array" ref="AN1222">_xlfn.IFS(AM1222 &lt;= 3, "New to Role[1-3]", AM1222 &lt;= 7, "Settled[4-7]", AM1222 &lt;= 12, "Experienced[[8-12]", AM1222 &lt;= 18, "Long Tenured[13-18]")</f>
        <v>Settled[4-7]</v>
      </c>
      <c r="AO1222" s="1">
        <v>6</v>
      </c>
      <c r="AP1222" s="9" t="str" cm="1">
        <f t="array" ref="AP1222">_xlfn.IFS(AO1222 &lt;= 3, "Recently[1-3]", AO1222 &lt;= 6, "Due Soon[4-6]", AO1222 &lt;= 10, "Overdue[7-10]", AO1222 &lt;= 15, "Long Overdue[11-15]")</f>
        <v>Due Soon[4-6]</v>
      </c>
      <c r="AQ1222" s="9" t="str" cm="1">
        <f t="array" ref="AQ1222">_xlfn.IFS(AR1222 &lt;= 3, "New Relationship[1-3]", AR1222 &lt;= 7, "Established Relationship[4-7]", AR1222 &lt;= 12, "Long Term Relationship[8-12]", AR1222 &lt;= 17, "Very Long Term Relationship[13-17]")</f>
        <v>Established Relationship[4-7]</v>
      </c>
      <c r="AR1222" s="1">
        <v>7</v>
      </c>
    </row>
    <row r="1223" spans="1:44" x14ac:dyDescent="0.25">
      <c r="A1223" s="1">
        <v>45</v>
      </c>
      <c r="B1223" s="8" t="str" cm="1">
        <f t="array" ref="B1223">_xlfn.IFS(A1223 &lt;= 25, "[18-25]", A1223 &lt;= 35, "[26-35]", A1223 &lt;=45, "[36-45]", A1223 &lt;= 60, "[46- 60]")</f>
        <v>[36-45]</v>
      </c>
      <c r="C1223" s="3" t="s">
        <v>43</v>
      </c>
      <c r="D1223">
        <f t="shared" si="19"/>
        <v>0</v>
      </c>
      <c r="E1223" t="s">
        <v>62</v>
      </c>
      <c r="F1223" s="1">
        <v>1238</v>
      </c>
      <c r="G1223" s="3" t="s">
        <v>45</v>
      </c>
      <c r="H1223" s="1">
        <v>1</v>
      </c>
      <c r="I1223" s="9" t="str" cm="1">
        <f t="array" ref="I1223">_xlfn.IFS(H1223 &lt;= 2, "[1-2] very close", H1223 &lt;= 10, "[3-10] close", H1223 &lt;= 20, "[11-20] moderate", H1223 &lt;= 30, "[21-30] far")</f>
        <v>[1-2] very close</v>
      </c>
      <c r="J1223" s="1">
        <v>1</v>
      </c>
      <c r="K1223" s="3" t="s">
        <v>38</v>
      </c>
      <c r="L1223" s="1">
        <v>1</v>
      </c>
      <c r="M1223" s="1">
        <v>1712</v>
      </c>
      <c r="N1223" s="1">
        <v>3</v>
      </c>
      <c r="O1223" s="3" t="s">
        <v>46</v>
      </c>
      <c r="P1223" s="1">
        <v>74</v>
      </c>
      <c r="Q1223" s="1">
        <v>2</v>
      </c>
      <c r="R1223" s="1">
        <v>3</v>
      </c>
      <c r="S1223" s="3" t="s">
        <v>54</v>
      </c>
      <c r="T1223" s="1">
        <v>3</v>
      </c>
      <c r="U1223" s="3" t="s">
        <v>48</v>
      </c>
      <c r="V1223" s="4">
        <v>10748</v>
      </c>
      <c r="W1223" s="1">
        <v>3395</v>
      </c>
      <c r="X1223" s="1">
        <v>3</v>
      </c>
      <c r="Y1223" s="3" t="s">
        <v>42</v>
      </c>
      <c r="Z1223" s="3" t="s">
        <v>43</v>
      </c>
      <c r="AA1223" s="5">
        <v>0.23</v>
      </c>
      <c r="AB1223" s="10" t="str" cm="1">
        <f t="array" ref="AB1223">_xlfn.IFS(AA1223 &lt;= 15%, "Low Hike[11-15%]", AA1223 &lt;= 20%, "Moderate Hike[16-20%]", AA1223 &lt;= 25%,"High Hike[21-25%]")</f>
        <v>High Hike[21-25%]</v>
      </c>
      <c r="AC1223" s="1">
        <v>4</v>
      </c>
      <c r="AD1223" s="1">
        <v>4</v>
      </c>
      <c r="AE1223" s="1">
        <v>80</v>
      </c>
      <c r="AF1223" s="1">
        <v>1</v>
      </c>
      <c r="AG1223" s="1">
        <v>25</v>
      </c>
      <c r="AH1223" s="9" t="str" cm="1">
        <f t="array" ref="AH1223">_xlfn.IFS(AG1223 &lt;= 5, "New[1-5]", AG1223 &lt;= 10, "Early Career[6-10]", AG1223 &lt;= 20, "Established[11-20]", AG1223 &lt;= 30, "Veteran[21-30]", AG1223 &lt;= 40, "Late Career[31-40]")</f>
        <v>Veteran[21-30]</v>
      </c>
      <c r="AI1223" s="1">
        <v>3</v>
      </c>
      <c r="AJ1223" s="1">
        <v>2</v>
      </c>
      <c r="AK1223" s="1">
        <v>23</v>
      </c>
      <c r="AL1223" s="9" t="str" cm="1">
        <f t="array" ref="AL1223">_xlfn.IFS(AK1223 &lt;= 5, "New[1-5]", AK1223 &lt;= 10, "Early Career[6-10]", AK1223 &lt;= 20, "Established[11-20]", AK1223 &lt;= 30, "Veteran[21-30]", AK1223 &lt;= 40, "Late Career[31-40]")</f>
        <v>Veteran[21-30]</v>
      </c>
      <c r="AM1223" s="1">
        <v>15</v>
      </c>
      <c r="AN1223" s="9" t="str" cm="1">
        <f t="array" ref="AN1223">_xlfn.IFS(AM1223 &lt;= 3, "New to Role[1-3]", AM1223 &lt;= 7, "Settled[4-7]", AM1223 &lt;= 12, "Experienced[[8-12]", AM1223 &lt;= 18, "Long Tenured[13-18]")</f>
        <v>Long Tenured[13-18]</v>
      </c>
      <c r="AO1223" s="1">
        <v>14</v>
      </c>
      <c r="AP1223" s="9" t="str" cm="1">
        <f t="array" ref="AP1223">_xlfn.IFS(AO1223 &lt;= 3, "Recently[1-3]", AO1223 &lt;= 6, "Due Soon[4-6]", AO1223 &lt;= 10, "Overdue[7-10]", AO1223 &lt;= 15, "Long Overdue[11-15]")</f>
        <v>Long Overdue[11-15]</v>
      </c>
      <c r="AQ1223" s="9" t="str" cm="1">
        <f t="array" ref="AQ1223">_xlfn.IFS(AR1223 &lt;= 3, "New Relationship[1-3]", AR1223 &lt;= 7, "Established Relationship[4-7]", AR1223 &lt;= 12, "Long Term Relationship[8-12]", AR1223 &lt;= 17, "Very Long Term Relationship[13-17]")</f>
        <v>Established Relationship[4-7]</v>
      </c>
      <c r="AR1223" s="1">
        <v>4</v>
      </c>
    </row>
    <row r="1224" spans="1:44" x14ac:dyDescent="0.25">
      <c r="A1224" s="1">
        <v>24</v>
      </c>
      <c r="B1224" s="8" t="str" cm="1">
        <f t="array" ref="B1224">_xlfn.IFS(A1224 &lt;= 25, "[18-25]", A1224 &lt;= 35, "[26-35]", A1224 &lt;=45, "[36-45]", A1224 &lt;= 60, "[46- 60]")</f>
        <v>[18-25]</v>
      </c>
      <c r="C1224" s="3" t="s">
        <v>35</v>
      </c>
      <c r="D1224">
        <f t="shared" si="19"/>
        <v>1</v>
      </c>
      <c r="E1224" t="s">
        <v>36</v>
      </c>
      <c r="F1224" s="1">
        <v>240</v>
      </c>
      <c r="G1224" s="3" t="s">
        <v>61</v>
      </c>
      <c r="H1224" s="1">
        <v>22</v>
      </c>
      <c r="I1224" s="9" t="str" cm="1">
        <f t="array" ref="I1224">_xlfn.IFS(H1224 &lt;= 2, "[1-2] very close", H1224 &lt;= 10, "[3-10] close", H1224 &lt;= 20, "[11-20] moderate", H1224 &lt;= 30, "[21-30] far")</f>
        <v>[21-30] far</v>
      </c>
      <c r="J1224" s="1">
        <v>1</v>
      </c>
      <c r="K1224" s="3" t="s">
        <v>61</v>
      </c>
      <c r="L1224" s="1">
        <v>1</v>
      </c>
      <c r="M1224" s="1">
        <v>1714</v>
      </c>
      <c r="N1224" s="1">
        <v>4</v>
      </c>
      <c r="O1224" s="3" t="s">
        <v>46</v>
      </c>
      <c r="P1224" s="1">
        <v>58</v>
      </c>
      <c r="Q1224" s="1">
        <v>1</v>
      </c>
      <c r="R1224" s="1">
        <v>1</v>
      </c>
      <c r="S1224" s="3" t="s">
        <v>61</v>
      </c>
      <c r="T1224" s="1">
        <v>3</v>
      </c>
      <c r="U1224" s="3" t="s">
        <v>48</v>
      </c>
      <c r="V1224" s="4">
        <v>1555</v>
      </c>
      <c r="W1224" s="1">
        <v>11585</v>
      </c>
      <c r="X1224" s="1">
        <v>1</v>
      </c>
      <c r="Y1224" s="3" t="s">
        <v>42</v>
      </c>
      <c r="Z1224" s="3" t="s">
        <v>43</v>
      </c>
      <c r="AA1224" s="5">
        <v>0.11</v>
      </c>
      <c r="AB1224" s="10" t="str" cm="1">
        <f t="array" ref="AB1224">_xlfn.IFS(AA1224 &lt;= 15%, "Low Hike[11-15%]", AA1224 &lt;= 20%, "Moderate Hike[16-20%]", AA1224 &lt;= 25%,"High Hike[21-25%]")</f>
        <v>Low Hike[11-15%]</v>
      </c>
      <c r="AC1224" s="1">
        <v>3</v>
      </c>
      <c r="AD1224" s="1">
        <v>3</v>
      </c>
      <c r="AE1224" s="1">
        <v>80</v>
      </c>
      <c r="AF1224" s="1">
        <v>1</v>
      </c>
      <c r="AG1224" s="1">
        <v>1</v>
      </c>
      <c r="AH1224" s="9" t="str" cm="1">
        <f t="array" ref="AH1224">_xlfn.IFS(AG1224 &lt;= 5, "New[1-5]", AG1224 &lt;= 10, "Early Career[6-10]", AG1224 &lt;= 20, "Established[11-20]", AG1224 &lt;= 30, "Veteran[21-30]", AG1224 &lt;= 40, "Late Career[31-40]")</f>
        <v>New[1-5]</v>
      </c>
      <c r="AI1224" s="1">
        <v>2</v>
      </c>
      <c r="AJ1224" s="1">
        <v>3</v>
      </c>
      <c r="AK1224" s="1">
        <v>1</v>
      </c>
      <c r="AL1224" s="9" t="str" cm="1">
        <f t="array" ref="AL1224">_xlfn.IFS(AK1224 &lt;= 5, "New[1-5]", AK1224 &lt;= 10, "Early Career[6-10]", AK1224 &lt;= 20, "Established[11-20]", AK1224 &lt;= 30, "Veteran[21-30]", AK1224 &lt;= 40, "Late Career[31-40]")</f>
        <v>New[1-5]</v>
      </c>
      <c r="AM1224" s="1">
        <v>0</v>
      </c>
      <c r="AN1224" s="9" t="str" cm="1">
        <f t="array" ref="AN1224">_xlfn.IFS(AM1224 &lt;= 3, "New to Role[1-3]", AM1224 &lt;= 7, "Settled[4-7]", AM1224 &lt;= 12, "Experienced[[8-12]", AM1224 &lt;= 18, "Long Tenured[13-18]")</f>
        <v>New to Role[1-3]</v>
      </c>
      <c r="AO1224" s="1">
        <v>0</v>
      </c>
      <c r="AP1224" s="9" t="str" cm="1">
        <f t="array" ref="AP1224">_xlfn.IFS(AO1224 &lt;= 3, "Recently[1-3]", AO1224 &lt;= 6, "Due Soon[4-6]", AO1224 &lt;= 10, "Overdue[7-10]", AO1224 &lt;= 15, "Long Overdue[11-15]")</f>
        <v>Recently[1-3]</v>
      </c>
      <c r="AQ1224" s="9" t="str" cm="1">
        <f t="array" ref="AQ1224">_xlfn.IFS(AR1224 &lt;= 3, "New Relationship[1-3]", AR1224 &lt;= 7, "Established Relationship[4-7]", AR1224 &lt;= 12, "Long Term Relationship[8-12]", AR1224 &lt;= 17, "Very Long Term Relationship[13-17]")</f>
        <v>New Relationship[1-3]</v>
      </c>
      <c r="AR1224" s="1">
        <v>0</v>
      </c>
    </row>
    <row r="1225" spans="1:44" x14ac:dyDescent="0.25">
      <c r="A1225" s="1">
        <v>47</v>
      </c>
      <c r="B1225" s="8" t="str" cm="1">
        <f t="array" ref="B1225">_xlfn.IFS(A1225 &lt;= 25, "[18-25]", A1225 &lt;= 35, "[26-35]", A1225 &lt;=45, "[36-45]", A1225 &lt;= 60, "[46- 60]")</f>
        <v>[46- 60]</v>
      </c>
      <c r="C1225" s="3" t="s">
        <v>35</v>
      </c>
      <c r="D1225">
        <f t="shared" si="19"/>
        <v>1</v>
      </c>
      <c r="E1225" t="s">
        <v>44</v>
      </c>
      <c r="F1225" s="1">
        <v>1093</v>
      </c>
      <c r="G1225" s="3" t="s">
        <v>37</v>
      </c>
      <c r="H1225" s="1">
        <v>9</v>
      </c>
      <c r="I1225" s="9" t="str" cm="1">
        <f t="array" ref="I1225">_xlfn.IFS(H1225 &lt;= 2, "[1-2] very close", H1225 &lt;= 10, "[3-10] close", H1225 &lt;= 20, "[11-20] moderate", H1225 &lt;= 30, "[21-30] far")</f>
        <v>[3-10] close</v>
      </c>
      <c r="J1225" s="1">
        <v>3</v>
      </c>
      <c r="K1225" s="3" t="s">
        <v>38</v>
      </c>
      <c r="L1225" s="1">
        <v>1</v>
      </c>
      <c r="M1225" s="1">
        <v>1716</v>
      </c>
      <c r="N1225" s="1">
        <v>3</v>
      </c>
      <c r="O1225" s="3" t="s">
        <v>46</v>
      </c>
      <c r="P1225" s="1">
        <v>82</v>
      </c>
      <c r="Q1225" s="1">
        <v>1</v>
      </c>
      <c r="R1225" s="1">
        <v>4</v>
      </c>
      <c r="S1225" s="3" t="s">
        <v>40</v>
      </c>
      <c r="T1225" s="1">
        <v>3</v>
      </c>
      <c r="U1225" s="3" t="s">
        <v>48</v>
      </c>
      <c r="V1225" s="4">
        <v>12936</v>
      </c>
      <c r="W1225" s="1">
        <v>24164</v>
      </c>
      <c r="X1225" s="1">
        <v>7</v>
      </c>
      <c r="Y1225" s="3" t="s">
        <v>42</v>
      </c>
      <c r="Z1225" s="3" t="s">
        <v>43</v>
      </c>
      <c r="AA1225" s="5">
        <v>0.11</v>
      </c>
      <c r="AB1225" s="10" t="str" cm="1">
        <f t="array" ref="AB1225">_xlfn.IFS(AA1225 &lt;= 15%, "Low Hike[11-15%]", AA1225 &lt;= 20%, "Moderate Hike[16-20%]", AA1225 &lt;= 25%,"High Hike[21-25%]")</f>
        <v>Low Hike[11-15%]</v>
      </c>
      <c r="AC1225" s="1">
        <v>3</v>
      </c>
      <c r="AD1225" s="1">
        <v>3</v>
      </c>
      <c r="AE1225" s="1">
        <v>80</v>
      </c>
      <c r="AF1225" s="1">
        <v>0</v>
      </c>
      <c r="AG1225" s="1">
        <v>25</v>
      </c>
      <c r="AH1225" s="9" t="str" cm="1">
        <f t="array" ref="AH1225">_xlfn.IFS(AG1225 &lt;= 5, "New[1-5]", AG1225 &lt;= 10, "Early Career[6-10]", AG1225 &lt;= 20, "Established[11-20]", AG1225 &lt;= 30, "Veteran[21-30]", AG1225 &lt;= 40, "Late Career[31-40]")</f>
        <v>Veteran[21-30]</v>
      </c>
      <c r="AI1225" s="1">
        <v>3</v>
      </c>
      <c r="AJ1225" s="1">
        <v>1</v>
      </c>
      <c r="AK1225" s="1">
        <v>23</v>
      </c>
      <c r="AL1225" s="9" t="str" cm="1">
        <f t="array" ref="AL1225">_xlfn.IFS(AK1225 &lt;= 5, "New[1-5]", AK1225 &lt;= 10, "Early Career[6-10]", AK1225 &lt;= 20, "Established[11-20]", AK1225 &lt;= 30, "Veteran[21-30]", AK1225 &lt;= 40, "Late Career[31-40]")</f>
        <v>Veteran[21-30]</v>
      </c>
      <c r="AM1225" s="1">
        <v>5</v>
      </c>
      <c r="AN1225" s="9" t="str" cm="1">
        <f t="array" ref="AN1225">_xlfn.IFS(AM1225 &lt;= 3, "New to Role[1-3]", AM1225 &lt;= 7, "Settled[4-7]", AM1225 &lt;= 12, "Experienced[[8-12]", AM1225 &lt;= 18, "Long Tenured[13-18]")</f>
        <v>Settled[4-7]</v>
      </c>
      <c r="AO1225" s="1">
        <v>14</v>
      </c>
      <c r="AP1225" s="9" t="str" cm="1">
        <f t="array" ref="AP1225">_xlfn.IFS(AO1225 &lt;= 3, "Recently[1-3]", AO1225 &lt;= 6, "Due Soon[4-6]", AO1225 &lt;= 10, "Overdue[7-10]", AO1225 &lt;= 15, "Long Overdue[11-15]")</f>
        <v>Long Overdue[11-15]</v>
      </c>
      <c r="AQ1225" s="9" t="str" cm="1">
        <f t="array" ref="AQ1225">_xlfn.IFS(AR1225 &lt;= 3, "New Relationship[1-3]", AR1225 &lt;= 7, "Established Relationship[4-7]", AR1225 &lt;= 12, "Long Term Relationship[8-12]", AR1225 &lt;= 17, "Very Long Term Relationship[13-17]")</f>
        <v>Long Term Relationship[8-12]</v>
      </c>
      <c r="AR1225" s="1">
        <v>10</v>
      </c>
    </row>
    <row r="1226" spans="1:44" x14ac:dyDescent="0.25">
      <c r="A1226" s="1">
        <v>26</v>
      </c>
      <c r="B1226" s="8" t="str" cm="1">
        <f t="array" ref="B1226">_xlfn.IFS(A1226 &lt;= 25, "[18-25]", A1226 &lt;= 35, "[26-35]", A1226 &lt;=45, "[36-45]", A1226 &lt;= 60, "[46- 60]")</f>
        <v>[26-35]</v>
      </c>
      <c r="C1226" s="3" t="s">
        <v>43</v>
      </c>
      <c r="D1226">
        <f t="shared" si="19"/>
        <v>0</v>
      </c>
      <c r="E1226" t="s">
        <v>36</v>
      </c>
      <c r="F1226" s="1">
        <v>390</v>
      </c>
      <c r="G1226" s="3" t="s">
        <v>45</v>
      </c>
      <c r="H1226" s="1">
        <v>17</v>
      </c>
      <c r="I1226" s="9" t="str" cm="1">
        <f t="array" ref="I1226">_xlfn.IFS(H1226 &lt;= 2, "[1-2] very close", H1226 &lt;= 10, "[3-10] close", H1226 &lt;= 20, "[11-20] moderate", H1226 &lt;= 30, "[21-30] far")</f>
        <v>[11-20] moderate</v>
      </c>
      <c r="J1226" s="1">
        <v>4</v>
      </c>
      <c r="K1226" s="3" t="s">
        <v>51</v>
      </c>
      <c r="L1226" s="1">
        <v>1</v>
      </c>
      <c r="M1226" s="1">
        <v>1718</v>
      </c>
      <c r="N1226" s="1">
        <v>4</v>
      </c>
      <c r="O1226" s="3" t="s">
        <v>46</v>
      </c>
      <c r="P1226" s="1">
        <v>62</v>
      </c>
      <c r="Q1226" s="1">
        <v>1</v>
      </c>
      <c r="R1226" s="1">
        <v>1</v>
      </c>
      <c r="S1226" s="3" t="s">
        <v>50</v>
      </c>
      <c r="T1226" s="1">
        <v>3</v>
      </c>
      <c r="U1226" s="3" t="s">
        <v>48</v>
      </c>
      <c r="V1226" s="4">
        <v>2305</v>
      </c>
      <c r="W1226" s="1">
        <v>6217</v>
      </c>
      <c r="X1226" s="1">
        <v>1</v>
      </c>
      <c r="Y1226" s="3" t="s">
        <v>42</v>
      </c>
      <c r="Z1226" s="3" t="s">
        <v>43</v>
      </c>
      <c r="AA1226" s="5">
        <v>0.15</v>
      </c>
      <c r="AB1226" s="10" t="str" cm="1">
        <f t="array" ref="AB1226">_xlfn.IFS(AA1226 &lt;= 15%, "Low Hike[11-15%]", AA1226 &lt;= 20%, "Moderate Hike[16-20%]", AA1226 &lt;= 25%,"High Hike[21-25%]")</f>
        <v>Low Hike[11-15%]</v>
      </c>
      <c r="AC1226" s="1">
        <v>3</v>
      </c>
      <c r="AD1226" s="1">
        <v>3</v>
      </c>
      <c r="AE1226" s="1">
        <v>80</v>
      </c>
      <c r="AF1226" s="1">
        <v>3</v>
      </c>
      <c r="AG1226" s="1">
        <v>3</v>
      </c>
      <c r="AH1226" s="9" t="str" cm="1">
        <f t="array" ref="AH1226">_xlfn.IFS(AG1226 &lt;= 5, "New[1-5]", AG1226 &lt;= 10, "Early Career[6-10]", AG1226 &lt;= 20, "Established[11-20]", AG1226 &lt;= 30, "Veteran[21-30]", AG1226 &lt;= 40, "Late Career[31-40]")</f>
        <v>New[1-5]</v>
      </c>
      <c r="AI1226" s="1">
        <v>3</v>
      </c>
      <c r="AJ1226" s="1">
        <v>4</v>
      </c>
      <c r="AK1226" s="1">
        <v>3</v>
      </c>
      <c r="AL1226" s="9" t="str" cm="1">
        <f t="array" ref="AL1226">_xlfn.IFS(AK1226 &lt;= 5, "New[1-5]", AK1226 &lt;= 10, "Early Career[6-10]", AK1226 &lt;= 20, "Established[11-20]", AK1226 &lt;= 30, "Veteran[21-30]", AK1226 &lt;= 40, "Late Career[31-40]")</f>
        <v>New[1-5]</v>
      </c>
      <c r="AM1226" s="1">
        <v>2</v>
      </c>
      <c r="AN1226" s="9" t="str" cm="1">
        <f t="array" ref="AN1226">_xlfn.IFS(AM1226 &lt;= 3, "New to Role[1-3]", AM1226 &lt;= 7, "Settled[4-7]", AM1226 &lt;= 12, "Experienced[[8-12]", AM1226 &lt;= 18, "Long Tenured[13-18]")</f>
        <v>New to Role[1-3]</v>
      </c>
      <c r="AO1226" s="1">
        <v>0</v>
      </c>
      <c r="AP1226" s="9" t="str" cm="1">
        <f t="array" ref="AP1226">_xlfn.IFS(AO1226 &lt;= 3, "Recently[1-3]", AO1226 &lt;= 6, "Due Soon[4-6]", AO1226 &lt;= 10, "Overdue[7-10]", AO1226 &lt;= 15, "Long Overdue[11-15]")</f>
        <v>Recently[1-3]</v>
      </c>
      <c r="AQ1226" s="9" t="str" cm="1">
        <f t="array" ref="AQ1226">_xlfn.IFS(AR1226 &lt;= 3, "New Relationship[1-3]", AR1226 &lt;= 7, "Established Relationship[4-7]", AR1226 &lt;= 12, "Long Term Relationship[8-12]", AR1226 &lt;= 17, "Very Long Term Relationship[13-17]")</f>
        <v>New Relationship[1-3]</v>
      </c>
      <c r="AR1226" s="1">
        <v>2</v>
      </c>
    </row>
    <row r="1227" spans="1:44" x14ac:dyDescent="0.25">
      <c r="A1227" s="1">
        <v>45</v>
      </c>
      <c r="B1227" s="8" t="str" cm="1">
        <f t="array" ref="B1227">_xlfn.IFS(A1227 &lt;= 25, "[18-25]", A1227 &lt;= 35, "[26-35]", A1227 &lt;=45, "[36-45]", A1227 &lt;= 60, "[46- 60]")</f>
        <v>[36-45]</v>
      </c>
      <c r="C1227" s="3" t="s">
        <v>43</v>
      </c>
      <c r="D1227">
        <f t="shared" si="19"/>
        <v>0</v>
      </c>
      <c r="E1227" t="s">
        <v>36</v>
      </c>
      <c r="F1227" s="1">
        <v>1005</v>
      </c>
      <c r="G1227" s="3" t="s">
        <v>45</v>
      </c>
      <c r="H1227" s="1">
        <v>28</v>
      </c>
      <c r="I1227" s="9" t="str" cm="1">
        <f t="array" ref="I1227">_xlfn.IFS(H1227 &lt;= 2, "[1-2] very close", H1227 &lt;= 10, "[3-10] close", H1227 &lt;= 20, "[11-20] moderate", H1227 &lt;= 30, "[21-30] far")</f>
        <v>[21-30] far</v>
      </c>
      <c r="J1227" s="1">
        <v>2</v>
      </c>
      <c r="K1227" s="3" t="s">
        <v>60</v>
      </c>
      <c r="L1227" s="1">
        <v>1</v>
      </c>
      <c r="M1227" s="1">
        <v>1719</v>
      </c>
      <c r="N1227" s="1">
        <v>4</v>
      </c>
      <c r="O1227" s="3" t="s">
        <v>39</v>
      </c>
      <c r="P1227" s="1">
        <v>48</v>
      </c>
      <c r="Q1227" s="1">
        <v>2</v>
      </c>
      <c r="R1227" s="1">
        <v>4</v>
      </c>
      <c r="S1227" s="3" t="s">
        <v>58</v>
      </c>
      <c r="T1227" s="1">
        <v>2</v>
      </c>
      <c r="U1227" s="3" t="s">
        <v>41</v>
      </c>
      <c r="V1227" s="4">
        <v>16704</v>
      </c>
      <c r="W1227" s="1">
        <v>17119</v>
      </c>
      <c r="X1227" s="1">
        <v>1</v>
      </c>
      <c r="Y1227" s="3" t="s">
        <v>42</v>
      </c>
      <c r="Z1227" s="3" t="s">
        <v>43</v>
      </c>
      <c r="AA1227" s="5">
        <v>0.11</v>
      </c>
      <c r="AB1227" s="10" t="str" cm="1">
        <f t="array" ref="AB1227">_xlfn.IFS(AA1227 &lt;= 15%, "Low Hike[11-15%]", AA1227 &lt;= 20%, "Moderate Hike[16-20%]", AA1227 &lt;= 25%,"High Hike[21-25%]")</f>
        <v>Low Hike[11-15%]</v>
      </c>
      <c r="AC1227" s="1">
        <v>3</v>
      </c>
      <c r="AD1227" s="1">
        <v>3</v>
      </c>
      <c r="AE1227" s="1">
        <v>80</v>
      </c>
      <c r="AF1227" s="1">
        <v>0</v>
      </c>
      <c r="AG1227" s="1">
        <v>21</v>
      </c>
      <c r="AH1227" s="9" t="str" cm="1">
        <f t="array" ref="AH1227">_xlfn.IFS(AG1227 &lt;= 5, "New[1-5]", AG1227 &lt;= 10, "Early Career[6-10]", AG1227 &lt;= 20, "Established[11-20]", AG1227 &lt;= 30, "Veteran[21-30]", AG1227 &lt;= 40, "Late Career[31-40]")</f>
        <v>Veteran[21-30]</v>
      </c>
      <c r="AI1227" s="1">
        <v>2</v>
      </c>
      <c r="AJ1227" s="1">
        <v>3</v>
      </c>
      <c r="AK1227" s="1">
        <v>21</v>
      </c>
      <c r="AL1227" s="9" t="str" cm="1">
        <f t="array" ref="AL1227">_xlfn.IFS(AK1227 &lt;= 5, "New[1-5]", AK1227 &lt;= 10, "Early Career[6-10]", AK1227 &lt;= 20, "Established[11-20]", AK1227 &lt;= 30, "Veteran[21-30]", AK1227 &lt;= 40, "Late Career[31-40]")</f>
        <v>Veteran[21-30]</v>
      </c>
      <c r="AM1227" s="1">
        <v>6</v>
      </c>
      <c r="AN1227" s="9" t="str" cm="1">
        <f t="array" ref="AN1227">_xlfn.IFS(AM1227 &lt;= 3, "New to Role[1-3]", AM1227 &lt;= 7, "Settled[4-7]", AM1227 &lt;= 12, "Experienced[[8-12]", AM1227 &lt;= 18, "Long Tenured[13-18]")</f>
        <v>Settled[4-7]</v>
      </c>
      <c r="AO1227" s="1">
        <v>8</v>
      </c>
      <c r="AP1227" s="9" t="str" cm="1">
        <f t="array" ref="AP1227">_xlfn.IFS(AO1227 &lt;= 3, "Recently[1-3]", AO1227 &lt;= 6, "Due Soon[4-6]", AO1227 &lt;= 10, "Overdue[7-10]", AO1227 &lt;= 15, "Long Overdue[11-15]")</f>
        <v>Overdue[7-10]</v>
      </c>
      <c r="AQ1227" s="9" t="str" cm="1">
        <f t="array" ref="AQ1227">_xlfn.IFS(AR1227 &lt;= 3, "New Relationship[1-3]", AR1227 &lt;= 7, "Established Relationship[4-7]", AR1227 &lt;= 12, "Long Term Relationship[8-12]", AR1227 &lt;= 17, "Very Long Term Relationship[13-17]")</f>
        <v>Established Relationship[4-7]</v>
      </c>
      <c r="AR1227" s="1">
        <v>6</v>
      </c>
    </row>
    <row r="1228" spans="1:44" x14ac:dyDescent="0.25">
      <c r="A1228" s="1">
        <v>32</v>
      </c>
      <c r="B1228" s="8" t="str" cm="1">
        <f t="array" ref="B1228">_xlfn.IFS(A1228 &lt;= 25, "[18-25]", A1228 &lt;= 35, "[26-35]", A1228 &lt;=45, "[36-45]", A1228 &lt;= 60, "[46- 60]")</f>
        <v>[26-35]</v>
      </c>
      <c r="C1228" s="3" t="s">
        <v>43</v>
      </c>
      <c r="D1228">
        <f t="shared" si="19"/>
        <v>0</v>
      </c>
      <c r="E1228" t="s">
        <v>44</v>
      </c>
      <c r="F1228" s="1">
        <v>585</v>
      </c>
      <c r="G1228" s="3" t="s">
        <v>45</v>
      </c>
      <c r="H1228" s="1">
        <v>10</v>
      </c>
      <c r="I1228" s="9" t="str" cm="1">
        <f t="array" ref="I1228">_xlfn.IFS(H1228 &lt;= 2, "[1-2] very close", H1228 &lt;= 10, "[3-10] close", H1228 &lt;= 20, "[11-20] moderate", H1228 &lt;= 30, "[21-30] far")</f>
        <v>[3-10] close</v>
      </c>
      <c r="J1228" s="1">
        <v>3</v>
      </c>
      <c r="K1228" s="3" t="s">
        <v>38</v>
      </c>
      <c r="L1228" s="1">
        <v>1</v>
      </c>
      <c r="M1228" s="1">
        <v>1720</v>
      </c>
      <c r="N1228" s="1">
        <v>1</v>
      </c>
      <c r="O1228" s="3" t="s">
        <v>46</v>
      </c>
      <c r="P1228" s="1">
        <v>56</v>
      </c>
      <c r="Q1228" s="1">
        <v>3</v>
      </c>
      <c r="R1228" s="1">
        <v>1</v>
      </c>
      <c r="S1228" s="3" t="s">
        <v>47</v>
      </c>
      <c r="T1228" s="1">
        <v>3</v>
      </c>
      <c r="U1228" s="3" t="s">
        <v>48</v>
      </c>
      <c r="V1228" s="4">
        <v>3433</v>
      </c>
      <c r="W1228" s="1">
        <v>17360</v>
      </c>
      <c r="X1228" s="1">
        <v>6</v>
      </c>
      <c r="Y1228" s="3" t="s">
        <v>42</v>
      </c>
      <c r="Z1228" s="3" t="s">
        <v>43</v>
      </c>
      <c r="AA1228" s="5">
        <v>0.13</v>
      </c>
      <c r="AB1228" s="10" t="str" cm="1">
        <f t="array" ref="AB1228">_xlfn.IFS(AA1228 &lt;= 15%, "Low Hike[11-15%]", AA1228 &lt;= 20%, "Moderate Hike[16-20%]", AA1228 &lt;= 25%,"High Hike[21-25%]")</f>
        <v>Low Hike[11-15%]</v>
      </c>
      <c r="AC1228" s="1">
        <v>3</v>
      </c>
      <c r="AD1228" s="1">
        <v>1</v>
      </c>
      <c r="AE1228" s="1">
        <v>80</v>
      </c>
      <c r="AF1228" s="1">
        <v>1</v>
      </c>
      <c r="AG1228" s="1">
        <v>10</v>
      </c>
      <c r="AH1228" s="9" t="str" cm="1">
        <f t="array" ref="AH1228">_xlfn.IFS(AG1228 &lt;= 5, "New[1-5]", AG1228 &lt;= 10, "Early Career[6-10]", AG1228 &lt;= 20, "Established[11-20]", AG1228 &lt;= 30, "Veteran[21-30]", AG1228 &lt;= 40, "Late Career[31-40]")</f>
        <v>Early Career[6-10]</v>
      </c>
      <c r="AI1228" s="1">
        <v>3</v>
      </c>
      <c r="AJ1228" s="1">
        <v>2</v>
      </c>
      <c r="AK1228" s="1">
        <v>5</v>
      </c>
      <c r="AL1228" s="9" t="str" cm="1">
        <f t="array" ref="AL1228">_xlfn.IFS(AK1228 &lt;= 5, "New[1-5]", AK1228 &lt;= 10, "Early Career[6-10]", AK1228 &lt;= 20, "Established[11-20]", AK1228 &lt;= 30, "Veteran[21-30]", AK1228 &lt;= 40, "Late Career[31-40]")</f>
        <v>New[1-5]</v>
      </c>
      <c r="AM1228" s="1">
        <v>2</v>
      </c>
      <c r="AN1228" s="9" t="str" cm="1">
        <f t="array" ref="AN1228">_xlfn.IFS(AM1228 &lt;= 3, "New to Role[1-3]", AM1228 &lt;= 7, "Settled[4-7]", AM1228 &lt;= 12, "Experienced[[8-12]", AM1228 &lt;= 18, "Long Tenured[13-18]")</f>
        <v>New to Role[1-3]</v>
      </c>
      <c r="AO1228" s="1">
        <v>1</v>
      </c>
      <c r="AP1228" s="9" t="str" cm="1">
        <f t="array" ref="AP1228">_xlfn.IFS(AO1228 &lt;= 3, "Recently[1-3]", AO1228 &lt;= 6, "Due Soon[4-6]", AO1228 &lt;= 10, "Overdue[7-10]", AO1228 &lt;= 15, "Long Overdue[11-15]")</f>
        <v>Recently[1-3]</v>
      </c>
      <c r="AQ1228" s="9" t="str" cm="1">
        <f t="array" ref="AQ1228">_xlfn.IFS(AR1228 &lt;= 3, "New Relationship[1-3]", AR1228 &lt;= 7, "Established Relationship[4-7]", AR1228 &lt;= 12, "Long Term Relationship[8-12]", AR1228 &lt;= 17, "Very Long Term Relationship[13-17]")</f>
        <v>New Relationship[1-3]</v>
      </c>
      <c r="AR1228" s="1">
        <v>3</v>
      </c>
    </row>
    <row r="1229" spans="1:44" x14ac:dyDescent="0.25">
      <c r="A1229" s="1">
        <v>31</v>
      </c>
      <c r="B1229" s="8" t="str" cm="1">
        <f t="array" ref="B1229">_xlfn.IFS(A1229 &lt;= 25, "[18-25]", A1229 &lt;= 35, "[26-35]", A1229 &lt;=45, "[36-45]", A1229 &lt;= 60, "[46- 60]")</f>
        <v>[26-35]</v>
      </c>
      <c r="C1229" s="3" t="s">
        <v>43</v>
      </c>
      <c r="D1229">
        <f t="shared" si="19"/>
        <v>0</v>
      </c>
      <c r="E1229" t="s">
        <v>36</v>
      </c>
      <c r="F1229" s="1">
        <v>741</v>
      </c>
      <c r="G1229" s="3" t="s">
        <v>45</v>
      </c>
      <c r="H1229" s="1">
        <v>2</v>
      </c>
      <c r="I1229" s="9" t="str" cm="1">
        <f t="array" ref="I1229">_xlfn.IFS(H1229 &lt;= 2, "[1-2] very close", H1229 &lt;= 10, "[3-10] close", H1229 &lt;= 20, "[11-20] moderate", H1229 &lt;= 30, "[21-30] far")</f>
        <v>[1-2] very close</v>
      </c>
      <c r="J1229" s="1">
        <v>4</v>
      </c>
      <c r="K1229" s="3" t="s">
        <v>38</v>
      </c>
      <c r="L1229" s="1">
        <v>1</v>
      </c>
      <c r="M1229" s="1">
        <v>1721</v>
      </c>
      <c r="N1229" s="1">
        <v>2</v>
      </c>
      <c r="O1229" s="3" t="s">
        <v>46</v>
      </c>
      <c r="P1229" s="1">
        <v>69</v>
      </c>
      <c r="Q1229" s="1">
        <v>3</v>
      </c>
      <c r="R1229" s="1">
        <v>1</v>
      </c>
      <c r="S1229" s="3" t="s">
        <v>50</v>
      </c>
      <c r="T1229" s="1">
        <v>3</v>
      </c>
      <c r="U1229" s="3" t="s">
        <v>48</v>
      </c>
      <c r="V1229" s="4">
        <v>3477</v>
      </c>
      <c r="W1229" s="1">
        <v>18103</v>
      </c>
      <c r="X1229" s="1">
        <v>1</v>
      </c>
      <c r="Y1229" s="3" t="s">
        <v>42</v>
      </c>
      <c r="Z1229" s="3" t="s">
        <v>43</v>
      </c>
      <c r="AA1229" s="5">
        <v>0.14000000000000001</v>
      </c>
      <c r="AB1229" s="10" t="str" cm="1">
        <f t="array" ref="AB1229">_xlfn.IFS(AA1229 &lt;= 15%, "Low Hike[11-15%]", AA1229 &lt;= 20%, "Moderate Hike[16-20%]", AA1229 &lt;= 25%,"High Hike[21-25%]")</f>
        <v>Low Hike[11-15%]</v>
      </c>
      <c r="AC1229" s="1">
        <v>3</v>
      </c>
      <c r="AD1229" s="1">
        <v>4</v>
      </c>
      <c r="AE1229" s="1">
        <v>80</v>
      </c>
      <c r="AF1229" s="1">
        <v>1</v>
      </c>
      <c r="AG1229" s="1">
        <v>6</v>
      </c>
      <c r="AH1229" s="9" t="str" cm="1">
        <f t="array" ref="AH1229">_xlfn.IFS(AG1229 &lt;= 5, "New[1-5]", AG1229 &lt;= 10, "Early Career[6-10]", AG1229 &lt;= 20, "Established[11-20]", AG1229 &lt;= 30, "Veteran[21-30]", AG1229 &lt;= 40, "Late Career[31-40]")</f>
        <v>Early Career[6-10]</v>
      </c>
      <c r="AI1229" s="1">
        <v>2</v>
      </c>
      <c r="AJ1229" s="1">
        <v>4</v>
      </c>
      <c r="AK1229" s="1">
        <v>5</v>
      </c>
      <c r="AL1229" s="9" t="str" cm="1">
        <f t="array" ref="AL1229">_xlfn.IFS(AK1229 &lt;= 5, "New[1-5]", AK1229 &lt;= 10, "Early Career[6-10]", AK1229 &lt;= 20, "Established[11-20]", AK1229 &lt;= 30, "Veteran[21-30]", AK1229 &lt;= 40, "Late Career[31-40]")</f>
        <v>New[1-5]</v>
      </c>
      <c r="AM1229" s="1">
        <v>2</v>
      </c>
      <c r="AN1229" s="9" t="str" cm="1">
        <f t="array" ref="AN1229">_xlfn.IFS(AM1229 &lt;= 3, "New to Role[1-3]", AM1229 &lt;= 7, "Settled[4-7]", AM1229 &lt;= 12, "Experienced[[8-12]", AM1229 &lt;= 18, "Long Tenured[13-18]")</f>
        <v>New to Role[1-3]</v>
      </c>
      <c r="AO1229" s="1">
        <v>0</v>
      </c>
      <c r="AP1229" s="9" t="str" cm="1">
        <f t="array" ref="AP1229">_xlfn.IFS(AO1229 &lt;= 3, "Recently[1-3]", AO1229 &lt;= 6, "Due Soon[4-6]", AO1229 &lt;= 10, "Overdue[7-10]", AO1229 &lt;= 15, "Long Overdue[11-15]")</f>
        <v>Recently[1-3]</v>
      </c>
      <c r="AQ1229" s="9" t="str" cm="1">
        <f t="array" ref="AQ1229">_xlfn.IFS(AR1229 &lt;= 3, "New Relationship[1-3]", AR1229 &lt;= 7, "Established Relationship[4-7]", AR1229 &lt;= 12, "Long Term Relationship[8-12]", AR1229 &lt;= 17, "Very Long Term Relationship[13-17]")</f>
        <v>New Relationship[1-3]</v>
      </c>
      <c r="AR1229" s="1">
        <v>3</v>
      </c>
    </row>
    <row r="1230" spans="1:44" x14ac:dyDescent="0.25">
      <c r="A1230" s="1">
        <v>41</v>
      </c>
      <c r="B1230" s="8" t="str" cm="1">
        <f t="array" ref="B1230">_xlfn.IFS(A1230 &lt;= 25, "[18-25]", A1230 &lt;= 35, "[26-35]", A1230 &lt;=45, "[36-45]", A1230 &lt;= 60, "[46- 60]")</f>
        <v>[36-45]</v>
      </c>
      <c r="C1230" s="3" t="s">
        <v>43</v>
      </c>
      <c r="D1230">
        <f t="shared" si="19"/>
        <v>0</v>
      </c>
      <c r="E1230" t="s">
        <v>62</v>
      </c>
      <c r="F1230" s="1">
        <v>552</v>
      </c>
      <c r="G1230" s="3" t="s">
        <v>61</v>
      </c>
      <c r="H1230" s="1">
        <v>4</v>
      </c>
      <c r="I1230" s="9" t="str" cm="1">
        <f t="array" ref="I1230">_xlfn.IFS(H1230 &lt;= 2, "[1-2] very close", H1230 &lt;= 10, "[3-10] close", H1230 &lt;= 20, "[11-20] moderate", H1230 &lt;= 30, "[21-30] far")</f>
        <v>[3-10] close</v>
      </c>
      <c r="J1230" s="1">
        <v>3</v>
      </c>
      <c r="K1230" s="3" t="s">
        <v>61</v>
      </c>
      <c r="L1230" s="1">
        <v>1</v>
      </c>
      <c r="M1230" s="1">
        <v>1722</v>
      </c>
      <c r="N1230" s="1">
        <v>3</v>
      </c>
      <c r="O1230" s="3" t="s">
        <v>46</v>
      </c>
      <c r="P1230" s="1">
        <v>60</v>
      </c>
      <c r="Q1230" s="1">
        <v>1</v>
      </c>
      <c r="R1230" s="1">
        <v>2</v>
      </c>
      <c r="S1230" s="3" t="s">
        <v>61</v>
      </c>
      <c r="T1230" s="1">
        <v>2</v>
      </c>
      <c r="U1230" s="3" t="s">
        <v>48</v>
      </c>
      <c r="V1230" s="4">
        <v>6430</v>
      </c>
      <c r="W1230" s="1">
        <v>20794</v>
      </c>
      <c r="X1230" s="1">
        <v>6</v>
      </c>
      <c r="Y1230" s="3" t="s">
        <v>42</v>
      </c>
      <c r="Z1230" s="3" t="s">
        <v>43</v>
      </c>
      <c r="AA1230" s="5">
        <v>0.19</v>
      </c>
      <c r="AB1230" s="10" t="str" cm="1">
        <f t="array" ref="AB1230">_xlfn.IFS(AA1230 &lt;= 15%, "Low Hike[11-15%]", AA1230 &lt;= 20%, "Moderate Hike[16-20%]", AA1230 &lt;= 25%,"High Hike[21-25%]")</f>
        <v>Moderate Hike[16-20%]</v>
      </c>
      <c r="AC1230" s="1">
        <v>3</v>
      </c>
      <c r="AD1230" s="1">
        <v>2</v>
      </c>
      <c r="AE1230" s="1">
        <v>80</v>
      </c>
      <c r="AF1230" s="1">
        <v>1</v>
      </c>
      <c r="AG1230" s="1">
        <v>10</v>
      </c>
      <c r="AH1230" s="9" t="str" cm="1">
        <f t="array" ref="AH1230">_xlfn.IFS(AG1230 &lt;= 5, "New[1-5]", AG1230 &lt;= 10, "Early Career[6-10]", AG1230 &lt;= 20, "Established[11-20]", AG1230 &lt;= 30, "Veteran[21-30]", AG1230 &lt;= 40, "Late Career[31-40]")</f>
        <v>Early Career[6-10]</v>
      </c>
      <c r="AI1230" s="1">
        <v>4</v>
      </c>
      <c r="AJ1230" s="1">
        <v>3</v>
      </c>
      <c r="AK1230" s="1">
        <v>3</v>
      </c>
      <c r="AL1230" s="9" t="str" cm="1">
        <f t="array" ref="AL1230">_xlfn.IFS(AK1230 &lt;= 5, "New[1-5]", AK1230 &lt;= 10, "Early Career[6-10]", AK1230 &lt;= 20, "Established[11-20]", AK1230 &lt;= 30, "Veteran[21-30]", AK1230 &lt;= 40, "Late Career[31-40]")</f>
        <v>New[1-5]</v>
      </c>
      <c r="AM1230" s="1">
        <v>2</v>
      </c>
      <c r="AN1230" s="9" t="str" cm="1">
        <f t="array" ref="AN1230">_xlfn.IFS(AM1230 &lt;= 3, "New to Role[1-3]", AM1230 &lt;= 7, "Settled[4-7]", AM1230 &lt;= 12, "Experienced[[8-12]", AM1230 &lt;= 18, "Long Tenured[13-18]")</f>
        <v>New to Role[1-3]</v>
      </c>
      <c r="AO1230" s="1">
        <v>1</v>
      </c>
      <c r="AP1230" s="9" t="str" cm="1">
        <f t="array" ref="AP1230">_xlfn.IFS(AO1230 &lt;= 3, "Recently[1-3]", AO1230 &lt;= 6, "Due Soon[4-6]", AO1230 &lt;= 10, "Overdue[7-10]", AO1230 &lt;= 15, "Long Overdue[11-15]")</f>
        <v>Recently[1-3]</v>
      </c>
      <c r="AQ1230" s="9" t="str" cm="1">
        <f t="array" ref="AQ1230">_xlfn.IFS(AR1230 &lt;= 3, "New Relationship[1-3]", AR1230 &lt;= 7, "Established Relationship[4-7]", AR1230 &lt;= 12, "Long Term Relationship[8-12]", AR1230 &lt;= 17, "Very Long Term Relationship[13-17]")</f>
        <v>New Relationship[1-3]</v>
      </c>
      <c r="AR1230" s="1">
        <v>2</v>
      </c>
    </row>
    <row r="1231" spans="1:44" x14ac:dyDescent="0.25">
      <c r="A1231" s="1">
        <v>40</v>
      </c>
      <c r="B1231" s="8" t="str" cm="1">
        <f t="array" ref="B1231">_xlfn.IFS(A1231 &lt;= 25, "[18-25]", A1231 &lt;= 35, "[26-35]", A1231 &lt;=45, "[36-45]", A1231 &lt;= 60, "[46- 60]")</f>
        <v>[36-45]</v>
      </c>
      <c r="C1231" s="3" t="s">
        <v>43</v>
      </c>
      <c r="D1231">
        <f t="shared" si="19"/>
        <v>0</v>
      </c>
      <c r="E1231" t="s">
        <v>36</v>
      </c>
      <c r="F1231" s="1">
        <v>369</v>
      </c>
      <c r="G1231" s="3" t="s">
        <v>45</v>
      </c>
      <c r="H1231" s="1">
        <v>8</v>
      </c>
      <c r="I1231" s="9" t="str" cm="1">
        <f t="array" ref="I1231">_xlfn.IFS(H1231 &lt;= 2, "[1-2] very close", H1231 &lt;= 10, "[3-10] close", H1231 &lt;= 20, "[11-20] moderate", H1231 &lt;= 30, "[21-30] far")</f>
        <v>[3-10] close</v>
      </c>
      <c r="J1231" s="1">
        <v>2</v>
      </c>
      <c r="K1231" s="3" t="s">
        <v>38</v>
      </c>
      <c r="L1231" s="1">
        <v>1</v>
      </c>
      <c r="M1231" s="1">
        <v>1724</v>
      </c>
      <c r="N1231" s="1">
        <v>2</v>
      </c>
      <c r="O1231" s="3" t="s">
        <v>39</v>
      </c>
      <c r="P1231" s="1">
        <v>92</v>
      </c>
      <c r="Q1231" s="1">
        <v>3</v>
      </c>
      <c r="R1231" s="1">
        <v>2</v>
      </c>
      <c r="S1231" s="3" t="s">
        <v>53</v>
      </c>
      <c r="T1231" s="1">
        <v>1</v>
      </c>
      <c r="U1231" s="3" t="s">
        <v>48</v>
      </c>
      <c r="V1231" s="4">
        <v>6516</v>
      </c>
      <c r="W1231" s="1">
        <v>5041</v>
      </c>
      <c r="X1231" s="1">
        <v>2</v>
      </c>
      <c r="Y1231" s="3" t="s">
        <v>42</v>
      </c>
      <c r="Z1231" s="3" t="s">
        <v>35</v>
      </c>
      <c r="AA1231" s="5">
        <v>0.16</v>
      </c>
      <c r="AB1231" s="10" t="str" cm="1">
        <f t="array" ref="AB1231">_xlfn.IFS(AA1231 &lt;= 15%, "Low Hike[11-15%]", AA1231 &lt;= 20%, "Moderate Hike[16-20%]", AA1231 &lt;= 25%,"High Hike[21-25%]")</f>
        <v>Moderate Hike[16-20%]</v>
      </c>
      <c r="AC1231" s="1">
        <v>3</v>
      </c>
      <c r="AD1231" s="1">
        <v>2</v>
      </c>
      <c r="AE1231" s="1">
        <v>80</v>
      </c>
      <c r="AF1231" s="1">
        <v>1</v>
      </c>
      <c r="AG1231" s="1">
        <v>18</v>
      </c>
      <c r="AH1231" s="9" t="str" cm="1">
        <f t="array" ref="AH1231">_xlfn.IFS(AG1231 &lt;= 5, "New[1-5]", AG1231 &lt;= 10, "Early Career[6-10]", AG1231 &lt;= 20, "Established[11-20]", AG1231 &lt;= 30, "Veteran[21-30]", AG1231 &lt;= 40, "Late Career[31-40]")</f>
        <v>Established[11-20]</v>
      </c>
      <c r="AI1231" s="1">
        <v>3</v>
      </c>
      <c r="AJ1231" s="1">
        <v>3</v>
      </c>
      <c r="AK1231" s="1">
        <v>1</v>
      </c>
      <c r="AL1231" s="9" t="str" cm="1">
        <f t="array" ref="AL1231">_xlfn.IFS(AK1231 &lt;= 5, "New[1-5]", AK1231 &lt;= 10, "Early Career[6-10]", AK1231 &lt;= 20, "Established[11-20]", AK1231 &lt;= 30, "Veteran[21-30]", AK1231 &lt;= 40, "Late Career[31-40]")</f>
        <v>New[1-5]</v>
      </c>
      <c r="AM1231" s="1">
        <v>0</v>
      </c>
      <c r="AN1231" s="9" t="str" cm="1">
        <f t="array" ref="AN1231">_xlfn.IFS(AM1231 &lt;= 3, "New to Role[1-3]", AM1231 &lt;= 7, "Settled[4-7]", AM1231 &lt;= 12, "Experienced[[8-12]", AM1231 &lt;= 18, "Long Tenured[13-18]")</f>
        <v>New to Role[1-3]</v>
      </c>
      <c r="AO1231" s="1">
        <v>0</v>
      </c>
      <c r="AP1231" s="9" t="str" cm="1">
        <f t="array" ref="AP1231">_xlfn.IFS(AO1231 &lt;= 3, "Recently[1-3]", AO1231 &lt;= 6, "Due Soon[4-6]", AO1231 &lt;= 10, "Overdue[7-10]", AO1231 &lt;= 15, "Long Overdue[11-15]")</f>
        <v>Recently[1-3]</v>
      </c>
      <c r="AQ1231" s="9" t="str" cm="1">
        <f t="array" ref="AQ1231">_xlfn.IFS(AR1231 &lt;= 3, "New Relationship[1-3]", AR1231 &lt;= 7, "Established Relationship[4-7]", AR1231 &lt;= 12, "Long Term Relationship[8-12]", AR1231 &lt;= 17, "Very Long Term Relationship[13-17]")</f>
        <v>New Relationship[1-3]</v>
      </c>
      <c r="AR1231" s="1">
        <v>0</v>
      </c>
    </row>
    <row r="1232" spans="1:44" x14ac:dyDescent="0.25">
      <c r="A1232" s="1">
        <v>24</v>
      </c>
      <c r="B1232" s="8" t="str" cm="1">
        <f t="array" ref="B1232">_xlfn.IFS(A1232 &lt;= 25, "[18-25]", A1232 &lt;= 35, "[26-35]", A1232 &lt;=45, "[36-45]", A1232 &lt;= 60, "[46- 60]")</f>
        <v>[18-25]</v>
      </c>
      <c r="C1232" s="3" t="s">
        <v>43</v>
      </c>
      <c r="D1232">
        <f t="shared" si="19"/>
        <v>0</v>
      </c>
      <c r="E1232" t="s">
        <v>36</v>
      </c>
      <c r="F1232" s="1">
        <v>506</v>
      </c>
      <c r="G1232" s="3" t="s">
        <v>45</v>
      </c>
      <c r="H1232" s="1">
        <v>29</v>
      </c>
      <c r="I1232" s="9" t="str" cm="1">
        <f t="array" ref="I1232">_xlfn.IFS(H1232 &lt;= 2, "[1-2] very close", H1232 &lt;= 10, "[3-10] close", H1232 &lt;= 20, "[11-20] moderate", H1232 &lt;= 30, "[21-30] far")</f>
        <v>[21-30] far</v>
      </c>
      <c r="J1232" s="1">
        <v>1</v>
      </c>
      <c r="K1232" s="3" t="s">
        <v>51</v>
      </c>
      <c r="L1232" s="1">
        <v>1</v>
      </c>
      <c r="M1232" s="1">
        <v>1725</v>
      </c>
      <c r="N1232" s="1">
        <v>2</v>
      </c>
      <c r="O1232" s="3" t="s">
        <v>46</v>
      </c>
      <c r="P1232" s="1">
        <v>91</v>
      </c>
      <c r="Q1232" s="1">
        <v>3</v>
      </c>
      <c r="R1232" s="1">
        <v>1</v>
      </c>
      <c r="S1232" s="3" t="s">
        <v>50</v>
      </c>
      <c r="T1232" s="1">
        <v>1</v>
      </c>
      <c r="U1232" s="3" t="s">
        <v>52</v>
      </c>
      <c r="V1232" s="4">
        <v>3907</v>
      </c>
      <c r="W1232" s="1">
        <v>3622</v>
      </c>
      <c r="X1232" s="1">
        <v>1</v>
      </c>
      <c r="Y1232" s="3" t="s">
        <v>42</v>
      </c>
      <c r="Z1232" s="3" t="s">
        <v>43</v>
      </c>
      <c r="AA1232" s="5">
        <v>0.13</v>
      </c>
      <c r="AB1232" s="10" t="str" cm="1">
        <f t="array" ref="AB1232">_xlfn.IFS(AA1232 &lt;= 15%, "Low Hike[11-15%]", AA1232 &lt;= 20%, "Moderate Hike[16-20%]", AA1232 &lt;= 25%,"High Hike[21-25%]")</f>
        <v>Low Hike[11-15%]</v>
      </c>
      <c r="AC1232" s="1">
        <v>3</v>
      </c>
      <c r="AD1232" s="1">
        <v>2</v>
      </c>
      <c r="AE1232" s="1">
        <v>80</v>
      </c>
      <c r="AF1232" s="1">
        <v>3</v>
      </c>
      <c r="AG1232" s="1">
        <v>6</v>
      </c>
      <c r="AH1232" s="9" t="str" cm="1">
        <f t="array" ref="AH1232">_xlfn.IFS(AG1232 &lt;= 5, "New[1-5]", AG1232 &lt;= 10, "Early Career[6-10]", AG1232 &lt;= 20, "Established[11-20]", AG1232 &lt;= 30, "Veteran[21-30]", AG1232 &lt;= 40, "Late Career[31-40]")</f>
        <v>Early Career[6-10]</v>
      </c>
      <c r="AI1232" s="1">
        <v>2</v>
      </c>
      <c r="AJ1232" s="1">
        <v>4</v>
      </c>
      <c r="AK1232" s="1">
        <v>6</v>
      </c>
      <c r="AL1232" s="9" t="str" cm="1">
        <f t="array" ref="AL1232">_xlfn.IFS(AK1232 &lt;= 5, "New[1-5]", AK1232 &lt;= 10, "Early Career[6-10]", AK1232 &lt;= 20, "Established[11-20]", AK1232 &lt;= 30, "Veteran[21-30]", AK1232 &lt;= 40, "Late Career[31-40]")</f>
        <v>Early Career[6-10]</v>
      </c>
      <c r="AM1232" s="1">
        <v>2</v>
      </c>
      <c r="AN1232" s="9" t="str" cm="1">
        <f t="array" ref="AN1232">_xlfn.IFS(AM1232 &lt;= 3, "New to Role[1-3]", AM1232 &lt;= 7, "Settled[4-7]", AM1232 &lt;= 12, "Experienced[[8-12]", AM1232 &lt;= 18, "Long Tenured[13-18]")</f>
        <v>New to Role[1-3]</v>
      </c>
      <c r="AO1232" s="1">
        <v>1</v>
      </c>
      <c r="AP1232" s="9" t="str" cm="1">
        <f t="array" ref="AP1232">_xlfn.IFS(AO1232 &lt;= 3, "Recently[1-3]", AO1232 &lt;= 6, "Due Soon[4-6]", AO1232 &lt;= 10, "Overdue[7-10]", AO1232 &lt;= 15, "Long Overdue[11-15]")</f>
        <v>Recently[1-3]</v>
      </c>
      <c r="AQ1232" s="9" t="str" cm="1">
        <f t="array" ref="AQ1232">_xlfn.IFS(AR1232 &lt;= 3, "New Relationship[1-3]", AR1232 &lt;= 7, "Established Relationship[4-7]", AR1232 &lt;= 12, "Long Term Relationship[8-12]", AR1232 &lt;= 17, "Very Long Term Relationship[13-17]")</f>
        <v>New Relationship[1-3]</v>
      </c>
      <c r="AR1232" s="1">
        <v>2</v>
      </c>
    </row>
    <row r="1233" spans="1:44" x14ac:dyDescent="0.25">
      <c r="A1233" s="1">
        <v>46</v>
      </c>
      <c r="B1233" s="8" t="str" cm="1">
        <f t="array" ref="B1233">_xlfn.IFS(A1233 &lt;= 25, "[18-25]", A1233 &lt;= 35, "[26-35]", A1233 &lt;=45, "[36-45]", A1233 &lt;= 60, "[46- 60]")</f>
        <v>[46- 60]</v>
      </c>
      <c r="C1233" s="3" t="s">
        <v>43</v>
      </c>
      <c r="D1233">
        <f t="shared" si="19"/>
        <v>0</v>
      </c>
      <c r="E1233" t="s">
        <v>36</v>
      </c>
      <c r="F1233" s="1">
        <v>717</v>
      </c>
      <c r="G1233" s="3" t="s">
        <v>45</v>
      </c>
      <c r="H1233" s="1">
        <v>13</v>
      </c>
      <c r="I1233" s="9" t="str" cm="1">
        <f t="array" ref="I1233">_xlfn.IFS(H1233 &lt;= 2, "[1-2] very close", H1233 &lt;= 10, "[3-10] close", H1233 &lt;= 20, "[11-20] moderate", H1233 &lt;= 30, "[21-30] far")</f>
        <v>[11-20] moderate</v>
      </c>
      <c r="J1233" s="1">
        <v>4</v>
      </c>
      <c r="K1233" s="3" t="s">
        <v>38</v>
      </c>
      <c r="L1233" s="1">
        <v>1</v>
      </c>
      <c r="M1233" s="1">
        <v>1727</v>
      </c>
      <c r="N1233" s="1">
        <v>3</v>
      </c>
      <c r="O1233" s="3" t="s">
        <v>46</v>
      </c>
      <c r="P1233" s="1">
        <v>34</v>
      </c>
      <c r="Q1233" s="1">
        <v>3</v>
      </c>
      <c r="R1233" s="1">
        <v>2</v>
      </c>
      <c r="S1233" s="3" t="s">
        <v>54</v>
      </c>
      <c r="T1233" s="1">
        <v>2</v>
      </c>
      <c r="U1233" s="3" t="s">
        <v>41</v>
      </c>
      <c r="V1233" s="4">
        <v>5562</v>
      </c>
      <c r="W1233" s="1">
        <v>9697</v>
      </c>
      <c r="X1233" s="1">
        <v>6</v>
      </c>
      <c r="Y1233" s="3" t="s">
        <v>42</v>
      </c>
      <c r="Z1233" s="3" t="s">
        <v>43</v>
      </c>
      <c r="AA1233" s="5">
        <v>0.14000000000000001</v>
      </c>
      <c r="AB1233" s="10" t="str" cm="1">
        <f t="array" ref="AB1233">_xlfn.IFS(AA1233 &lt;= 15%, "Low Hike[11-15%]", AA1233 &lt;= 20%, "Moderate Hike[16-20%]", AA1233 &lt;= 25%,"High Hike[21-25%]")</f>
        <v>Low Hike[11-15%]</v>
      </c>
      <c r="AC1233" s="1">
        <v>3</v>
      </c>
      <c r="AD1233" s="1">
        <v>4</v>
      </c>
      <c r="AE1233" s="1">
        <v>80</v>
      </c>
      <c r="AF1233" s="1">
        <v>0</v>
      </c>
      <c r="AG1233" s="1">
        <v>19</v>
      </c>
      <c r="AH1233" s="9" t="str" cm="1">
        <f t="array" ref="AH1233">_xlfn.IFS(AG1233 &lt;= 5, "New[1-5]", AG1233 &lt;= 10, "Early Career[6-10]", AG1233 &lt;= 20, "Established[11-20]", AG1233 &lt;= 30, "Veteran[21-30]", AG1233 &lt;= 40, "Late Career[31-40]")</f>
        <v>Established[11-20]</v>
      </c>
      <c r="AI1233" s="1">
        <v>3</v>
      </c>
      <c r="AJ1233" s="1">
        <v>3</v>
      </c>
      <c r="AK1233" s="1">
        <v>10</v>
      </c>
      <c r="AL1233" s="9" t="str" cm="1">
        <f t="array" ref="AL1233">_xlfn.IFS(AK1233 &lt;= 5, "New[1-5]", AK1233 &lt;= 10, "Early Career[6-10]", AK1233 &lt;= 20, "Established[11-20]", AK1233 &lt;= 30, "Veteran[21-30]", AK1233 &lt;= 40, "Late Career[31-40]")</f>
        <v>Early Career[6-10]</v>
      </c>
      <c r="AM1233" s="1">
        <v>7</v>
      </c>
      <c r="AN1233" s="9" t="str" cm="1">
        <f t="array" ref="AN1233">_xlfn.IFS(AM1233 &lt;= 3, "New to Role[1-3]", AM1233 &lt;= 7, "Settled[4-7]", AM1233 &lt;= 12, "Experienced[[8-12]", AM1233 &lt;= 18, "Long Tenured[13-18]")</f>
        <v>Settled[4-7]</v>
      </c>
      <c r="AO1233" s="1">
        <v>0</v>
      </c>
      <c r="AP1233" s="9" t="str" cm="1">
        <f t="array" ref="AP1233">_xlfn.IFS(AO1233 &lt;= 3, "Recently[1-3]", AO1233 &lt;= 6, "Due Soon[4-6]", AO1233 &lt;= 10, "Overdue[7-10]", AO1233 &lt;= 15, "Long Overdue[11-15]")</f>
        <v>Recently[1-3]</v>
      </c>
      <c r="AQ1233" s="9" t="str" cm="1">
        <f t="array" ref="AQ1233">_xlfn.IFS(AR1233 &lt;= 3, "New Relationship[1-3]", AR1233 &lt;= 7, "Established Relationship[4-7]", AR1233 &lt;= 12, "Long Term Relationship[8-12]", AR1233 &lt;= 17, "Very Long Term Relationship[13-17]")</f>
        <v>Long Term Relationship[8-12]</v>
      </c>
      <c r="AR1233" s="1">
        <v>9</v>
      </c>
    </row>
    <row r="1234" spans="1:44" x14ac:dyDescent="0.25">
      <c r="A1234" s="1">
        <v>35</v>
      </c>
      <c r="B1234" s="8" t="str" cm="1">
        <f t="array" ref="B1234">_xlfn.IFS(A1234 &lt;= 25, "[18-25]", A1234 &lt;= 35, "[26-35]", A1234 &lt;=45, "[36-45]", A1234 &lt;= 60, "[46- 60]")</f>
        <v>[26-35]</v>
      </c>
      <c r="C1234" s="3" t="s">
        <v>43</v>
      </c>
      <c r="D1234">
        <f t="shared" si="19"/>
        <v>0</v>
      </c>
      <c r="E1234" t="s">
        <v>36</v>
      </c>
      <c r="F1234" s="1">
        <v>1370</v>
      </c>
      <c r="G1234" s="3" t="s">
        <v>45</v>
      </c>
      <c r="H1234" s="1">
        <v>27</v>
      </c>
      <c r="I1234" s="9" t="str" cm="1">
        <f t="array" ref="I1234">_xlfn.IFS(H1234 &lt;= 2, "[1-2] very close", H1234 &lt;= 10, "[3-10] close", H1234 &lt;= 20, "[11-20] moderate", H1234 &lt;= 30, "[21-30] far")</f>
        <v>[21-30] far</v>
      </c>
      <c r="J1234" s="1">
        <v>4</v>
      </c>
      <c r="K1234" s="3" t="s">
        <v>38</v>
      </c>
      <c r="L1234" s="1">
        <v>1</v>
      </c>
      <c r="M1234" s="1">
        <v>1728</v>
      </c>
      <c r="N1234" s="1">
        <v>4</v>
      </c>
      <c r="O1234" s="3" t="s">
        <v>46</v>
      </c>
      <c r="P1234" s="1">
        <v>49</v>
      </c>
      <c r="Q1234" s="1">
        <v>3</v>
      </c>
      <c r="R1234" s="1">
        <v>2</v>
      </c>
      <c r="S1234" s="3" t="s">
        <v>53</v>
      </c>
      <c r="T1234" s="1">
        <v>3</v>
      </c>
      <c r="U1234" s="3" t="s">
        <v>48</v>
      </c>
      <c r="V1234" s="4">
        <v>6883</v>
      </c>
      <c r="W1234" s="1">
        <v>5151</v>
      </c>
      <c r="X1234" s="1">
        <v>2</v>
      </c>
      <c r="Y1234" s="3" t="s">
        <v>42</v>
      </c>
      <c r="Z1234" s="3" t="s">
        <v>43</v>
      </c>
      <c r="AA1234" s="5">
        <v>0.16</v>
      </c>
      <c r="AB1234" s="10" t="str" cm="1">
        <f t="array" ref="AB1234">_xlfn.IFS(AA1234 &lt;= 15%, "Low Hike[11-15%]", AA1234 &lt;= 20%, "Moderate Hike[16-20%]", AA1234 &lt;= 25%,"High Hike[21-25%]")</f>
        <v>Moderate Hike[16-20%]</v>
      </c>
      <c r="AC1234" s="1">
        <v>3</v>
      </c>
      <c r="AD1234" s="1">
        <v>2</v>
      </c>
      <c r="AE1234" s="1">
        <v>80</v>
      </c>
      <c r="AF1234" s="1">
        <v>1</v>
      </c>
      <c r="AG1234" s="1">
        <v>17</v>
      </c>
      <c r="AH1234" s="9" t="str" cm="1">
        <f t="array" ref="AH1234">_xlfn.IFS(AG1234 &lt;= 5, "New[1-5]", AG1234 &lt;= 10, "Early Career[6-10]", AG1234 &lt;= 20, "Established[11-20]", AG1234 &lt;= 30, "Veteran[21-30]", AG1234 &lt;= 40, "Late Career[31-40]")</f>
        <v>Established[11-20]</v>
      </c>
      <c r="AI1234" s="1">
        <v>3</v>
      </c>
      <c r="AJ1234" s="1">
        <v>3</v>
      </c>
      <c r="AK1234" s="1">
        <v>7</v>
      </c>
      <c r="AL1234" s="9" t="str" cm="1">
        <f t="array" ref="AL1234">_xlfn.IFS(AK1234 &lt;= 5, "New[1-5]", AK1234 &lt;= 10, "Early Career[6-10]", AK1234 &lt;= 20, "Established[11-20]", AK1234 &lt;= 30, "Veteran[21-30]", AK1234 &lt;= 40, "Late Career[31-40]")</f>
        <v>Early Career[6-10]</v>
      </c>
      <c r="AM1234" s="1">
        <v>7</v>
      </c>
      <c r="AN1234" s="9" t="str" cm="1">
        <f t="array" ref="AN1234">_xlfn.IFS(AM1234 &lt;= 3, "New to Role[1-3]", AM1234 &lt;= 7, "Settled[4-7]", AM1234 &lt;= 12, "Experienced[[8-12]", AM1234 &lt;= 18, "Long Tenured[13-18]")</f>
        <v>Settled[4-7]</v>
      </c>
      <c r="AO1234" s="1">
        <v>0</v>
      </c>
      <c r="AP1234" s="9" t="str" cm="1">
        <f t="array" ref="AP1234">_xlfn.IFS(AO1234 &lt;= 3, "Recently[1-3]", AO1234 &lt;= 6, "Due Soon[4-6]", AO1234 &lt;= 10, "Overdue[7-10]", AO1234 &lt;= 15, "Long Overdue[11-15]")</f>
        <v>Recently[1-3]</v>
      </c>
      <c r="AQ1234" s="9" t="str" cm="1">
        <f t="array" ref="AQ1234">_xlfn.IFS(AR1234 &lt;= 3, "New Relationship[1-3]", AR1234 &lt;= 7, "Established Relationship[4-7]", AR1234 &lt;= 12, "Long Term Relationship[8-12]", AR1234 &lt;= 17, "Very Long Term Relationship[13-17]")</f>
        <v>Established Relationship[4-7]</v>
      </c>
      <c r="AR1234" s="1">
        <v>7</v>
      </c>
    </row>
    <row r="1235" spans="1:44" x14ac:dyDescent="0.25">
      <c r="A1235" s="1">
        <v>30</v>
      </c>
      <c r="B1235" s="8" t="str" cm="1">
        <f t="array" ref="B1235">_xlfn.IFS(A1235 &lt;= 25, "[18-25]", A1235 &lt;= 35, "[26-35]", A1235 &lt;=45, "[36-45]", A1235 &lt;= 60, "[46- 60]")</f>
        <v>[26-35]</v>
      </c>
      <c r="C1235" s="3" t="s">
        <v>43</v>
      </c>
      <c r="D1235">
        <f t="shared" si="19"/>
        <v>0</v>
      </c>
      <c r="E1235" t="s">
        <v>36</v>
      </c>
      <c r="F1235" s="1">
        <v>793</v>
      </c>
      <c r="G1235" s="3" t="s">
        <v>45</v>
      </c>
      <c r="H1235" s="1">
        <v>16</v>
      </c>
      <c r="I1235" s="9" t="str" cm="1">
        <f t="array" ref="I1235">_xlfn.IFS(H1235 &lt;= 2, "[1-2] very close", H1235 &lt;= 10, "[3-10] close", H1235 &lt;= 20, "[11-20] moderate", H1235 &lt;= 30, "[21-30] far")</f>
        <v>[11-20] moderate</v>
      </c>
      <c r="J1235" s="1">
        <v>1</v>
      </c>
      <c r="K1235" s="3" t="s">
        <v>38</v>
      </c>
      <c r="L1235" s="1">
        <v>1</v>
      </c>
      <c r="M1235" s="1">
        <v>1729</v>
      </c>
      <c r="N1235" s="1">
        <v>2</v>
      </c>
      <c r="O1235" s="3" t="s">
        <v>46</v>
      </c>
      <c r="P1235" s="1">
        <v>33</v>
      </c>
      <c r="Q1235" s="1">
        <v>3</v>
      </c>
      <c r="R1235" s="1">
        <v>1</v>
      </c>
      <c r="S1235" s="3" t="s">
        <v>47</v>
      </c>
      <c r="T1235" s="1">
        <v>4</v>
      </c>
      <c r="U1235" s="3" t="s">
        <v>48</v>
      </c>
      <c r="V1235" s="4">
        <v>2862</v>
      </c>
      <c r="W1235" s="1">
        <v>3811</v>
      </c>
      <c r="X1235" s="1">
        <v>1</v>
      </c>
      <c r="Y1235" s="3" t="s">
        <v>42</v>
      </c>
      <c r="Z1235" s="3" t="s">
        <v>43</v>
      </c>
      <c r="AA1235" s="5">
        <v>0.12</v>
      </c>
      <c r="AB1235" s="10" t="str" cm="1">
        <f t="array" ref="AB1235">_xlfn.IFS(AA1235 &lt;= 15%, "Low Hike[11-15%]", AA1235 &lt;= 20%, "Moderate Hike[16-20%]", AA1235 &lt;= 25%,"High Hike[21-25%]")</f>
        <v>Low Hike[11-15%]</v>
      </c>
      <c r="AC1235" s="1">
        <v>3</v>
      </c>
      <c r="AD1235" s="1">
        <v>2</v>
      </c>
      <c r="AE1235" s="1">
        <v>80</v>
      </c>
      <c r="AF1235" s="1">
        <v>1</v>
      </c>
      <c r="AG1235" s="1">
        <v>10</v>
      </c>
      <c r="AH1235" s="9" t="str" cm="1">
        <f t="array" ref="AH1235">_xlfn.IFS(AG1235 &lt;= 5, "New[1-5]", AG1235 &lt;= 10, "Early Career[6-10]", AG1235 &lt;= 20, "Established[11-20]", AG1235 &lt;= 30, "Veteran[21-30]", AG1235 &lt;= 40, "Late Career[31-40]")</f>
        <v>Early Career[6-10]</v>
      </c>
      <c r="AI1235" s="1">
        <v>2</v>
      </c>
      <c r="AJ1235" s="1">
        <v>2</v>
      </c>
      <c r="AK1235" s="1">
        <v>10</v>
      </c>
      <c r="AL1235" s="9" t="str" cm="1">
        <f t="array" ref="AL1235">_xlfn.IFS(AK1235 &lt;= 5, "New[1-5]", AK1235 &lt;= 10, "Early Career[6-10]", AK1235 &lt;= 20, "Established[11-20]", AK1235 &lt;= 30, "Veteran[21-30]", AK1235 &lt;= 40, "Late Career[31-40]")</f>
        <v>Early Career[6-10]</v>
      </c>
      <c r="AM1235" s="1">
        <v>0</v>
      </c>
      <c r="AN1235" s="9" t="str" cm="1">
        <f t="array" ref="AN1235">_xlfn.IFS(AM1235 &lt;= 3, "New to Role[1-3]", AM1235 &lt;= 7, "Settled[4-7]", AM1235 &lt;= 12, "Experienced[[8-12]", AM1235 &lt;= 18, "Long Tenured[13-18]")</f>
        <v>New to Role[1-3]</v>
      </c>
      <c r="AO1235" s="1">
        <v>0</v>
      </c>
      <c r="AP1235" s="9" t="str" cm="1">
        <f t="array" ref="AP1235">_xlfn.IFS(AO1235 &lt;= 3, "Recently[1-3]", AO1235 &lt;= 6, "Due Soon[4-6]", AO1235 &lt;= 10, "Overdue[7-10]", AO1235 &lt;= 15, "Long Overdue[11-15]")</f>
        <v>Recently[1-3]</v>
      </c>
      <c r="AQ1235" s="9" t="str" cm="1">
        <f t="array" ref="AQ1235">_xlfn.IFS(AR1235 &lt;= 3, "New Relationship[1-3]", AR1235 &lt;= 7, "Established Relationship[4-7]", AR1235 &lt;= 12, "Long Term Relationship[8-12]", AR1235 &lt;= 17, "Very Long Term Relationship[13-17]")</f>
        <v>Long Term Relationship[8-12]</v>
      </c>
      <c r="AR1235" s="1">
        <v>8</v>
      </c>
    </row>
    <row r="1236" spans="1:44" x14ac:dyDescent="0.25">
      <c r="A1236" s="1">
        <v>47</v>
      </c>
      <c r="B1236" s="8" t="str" cm="1">
        <f t="array" ref="B1236">_xlfn.IFS(A1236 &lt;= 25, "[18-25]", A1236 &lt;= 35, "[26-35]", A1236 &lt;=45, "[36-45]", A1236 &lt;= 60, "[46- 60]")</f>
        <v>[46- 60]</v>
      </c>
      <c r="C1236" s="3" t="s">
        <v>43</v>
      </c>
      <c r="D1236">
        <f t="shared" si="19"/>
        <v>0</v>
      </c>
      <c r="E1236" t="s">
        <v>62</v>
      </c>
      <c r="F1236" s="1">
        <v>543</v>
      </c>
      <c r="G1236" s="3" t="s">
        <v>37</v>
      </c>
      <c r="H1236" s="1">
        <v>2</v>
      </c>
      <c r="I1236" s="9" t="str" cm="1">
        <f t="array" ref="I1236">_xlfn.IFS(H1236 &lt;= 2, "[1-2] very close", H1236 &lt;= 10, "[3-10] close", H1236 &lt;= 20, "[11-20] moderate", H1236 &lt;= 30, "[21-30] far")</f>
        <v>[1-2] very close</v>
      </c>
      <c r="J1236" s="1">
        <v>4</v>
      </c>
      <c r="K1236" s="3" t="s">
        <v>59</v>
      </c>
      <c r="L1236" s="1">
        <v>1</v>
      </c>
      <c r="M1236" s="1">
        <v>1731</v>
      </c>
      <c r="N1236" s="1">
        <v>3</v>
      </c>
      <c r="O1236" s="3" t="s">
        <v>46</v>
      </c>
      <c r="P1236" s="1">
        <v>87</v>
      </c>
      <c r="Q1236" s="1">
        <v>3</v>
      </c>
      <c r="R1236" s="1">
        <v>2</v>
      </c>
      <c r="S1236" s="3" t="s">
        <v>40</v>
      </c>
      <c r="T1236" s="1">
        <v>2</v>
      </c>
      <c r="U1236" s="3" t="s">
        <v>48</v>
      </c>
      <c r="V1236" s="4">
        <v>4978</v>
      </c>
      <c r="W1236" s="1">
        <v>3536</v>
      </c>
      <c r="X1236" s="1">
        <v>7</v>
      </c>
      <c r="Y1236" s="3" t="s">
        <v>42</v>
      </c>
      <c r="Z1236" s="3" t="s">
        <v>43</v>
      </c>
      <c r="AA1236" s="5">
        <v>0.11</v>
      </c>
      <c r="AB1236" s="10" t="str" cm="1">
        <f t="array" ref="AB1236">_xlfn.IFS(AA1236 &lt;= 15%, "Low Hike[11-15%]", AA1236 &lt;= 20%, "Moderate Hike[16-20%]", AA1236 &lt;= 25%,"High Hike[21-25%]")</f>
        <v>Low Hike[11-15%]</v>
      </c>
      <c r="AC1236" s="1">
        <v>3</v>
      </c>
      <c r="AD1236" s="1">
        <v>4</v>
      </c>
      <c r="AE1236" s="1">
        <v>80</v>
      </c>
      <c r="AF1236" s="1">
        <v>1</v>
      </c>
      <c r="AG1236" s="1">
        <v>4</v>
      </c>
      <c r="AH1236" s="9" t="str" cm="1">
        <f t="array" ref="AH1236">_xlfn.IFS(AG1236 &lt;= 5, "New[1-5]", AG1236 &lt;= 10, "Early Career[6-10]", AG1236 &lt;= 20, "Established[11-20]", AG1236 &lt;= 30, "Veteran[21-30]", AG1236 &lt;= 40, "Late Career[31-40]")</f>
        <v>New[1-5]</v>
      </c>
      <c r="AI1236" s="1">
        <v>3</v>
      </c>
      <c r="AJ1236" s="1">
        <v>1</v>
      </c>
      <c r="AK1236" s="1">
        <v>1</v>
      </c>
      <c r="AL1236" s="9" t="str" cm="1">
        <f t="array" ref="AL1236">_xlfn.IFS(AK1236 &lt;= 5, "New[1-5]", AK1236 &lt;= 10, "Early Career[6-10]", AK1236 &lt;= 20, "Established[11-20]", AK1236 &lt;= 30, "Veteran[21-30]", AK1236 &lt;= 40, "Late Career[31-40]")</f>
        <v>New[1-5]</v>
      </c>
      <c r="AM1236" s="1">
        <v>0</v>
      </c>
      <c r="AN1236" s="9" t="str" cm="1">
        <f t="array" ref="AN1236">_xlfn.IFS(AM1236 &lt;= 3, "New to Role[1-3]", AM1236 &lt;= 7, "Settled[4-7]", AM1236 &lt;= 12, "Experienced[[8-12]", AM1236 &lt;= 18, "Long Tenured[13-18]")</f>
        <v>New to Role[1-3]</v>
      </c>
      <c r="AO1236" s="1">
        <v>0</v>
      </c>
      <c r="AP1236" s="9" t="str" cm="1">
        <f t="array" ref="AP1236">_xlfn.IFS(AO1236 &lt;= 3, "Recently[1-3]", AO1236 &lt;= 6, "Due Soon[4-6]", AO1236 &lt;= 10, "Overdue[7-10]", AO1236 &lt;= 15, "Long Overdue[11-15]")</f>
        <v>Recently[1-3]</v>
      </c>
      <c r="AQ1236" s="9" t="str" cm="1">
        <f t="array" ref="AQ1236">_xlfn.IFS(AR1236 &lt;= 3, "New Relationship[1-3]", AR1236 &lt;= 7, "Established Relationship[4-7]", AR1236 &lt;= 12, "Long Term Relationship[8-12]", AR1236 &lt;= 17, "Very Long Term Relationship[13-17]")</f>
        <v>New Relationship[1-3]</v>
      </c>
      <c r="AR1236" s="1">
        <v>0</v>
      </c>
    </row>
    <row r="1237" spans="1:44" x14ac:dyDescent="0.25">
      <c r="A1237" s="1">
        <v>46</v>
      </c>
      <c r="B1237" s="8" t="str" cm="1">
        <f t="array" ref="B1237">_xlfn.IFS(A1237 &lt;= 25, "[18-25]", A1237 &lt;= 35, "[26-35]", A1237 &lt;=45, "[36-45]", A1237 &lt;= 60, "[46- 60]")</f>
        <v>[46- 60]</v>
      </c>
      <c r="C1237" s="3" t="s">
        <v>43</v>
      </c>
      <c r="D1237">
        <f t="shared" si="19"/>
        <v>0</v>
      </c>
      <c r="E1237" t="s">
        <v>36</v>
      </c>
      <c r="F1237" s="1">
        <v>1277</v>
      </c>
      <c r="G1237" s="3" t="s">
        <v>37</v>
      </c>
      <c r="H1237" s="1">
        <v>2</v>
      </c>
      <c r="I1237" s="9" t="str" cm="1">
        <f t="array" ref="I1237">_xlfn.IFS(H1237 &lt;= 2, "[1-2] very close", H1237 &lt;= 10, "[3-10] close", H1237 &lt;= 20, "[11-20] moderate", H1237 &lt;= 30, "[21-30] far")</f>
        <v>[1-2] very close</v>
      </c>
      <c r="J1237" s="1">
        <v>3</v>
      </c>
      <c r="K1237" s="3" t="s">
        <v>38</v>
      </c>
      <c r="L1237" s="1">
        <v>1</v>
      </c>
      <c r="M1237" s="1">
        <v>1732</v>
      </c>
      <c r="N1237" s="1">
        <v>3</v>
      </c>
      <c r="O1237" s="3" t="s">
        <v>46</v>
      </c>
      <c r="P1237" s="1">
        <v>74</v>
      </c>
      <c r="Q1237" s="1">
        <v>3</v>
      </c>
      <c r="R1237" s="1">
        <v>3</v>
      </c>
      <c r="S1237" s="3" t="s">
        <v>40</v>
      </c>
      <c r="T1237" s="1">
        <v>4</v>
      </c>
      <c r="U1237" s="3" t="s">
        <v>52</v>
      </c>
      <c r="V1237" s="4">
        <v>10368</v>
      </c>
      <c r="W1237" s="1">
        <v>5596</v>
      </c>
      <c r="X1237" s="1">
        <v>4</v>
      </c>
      <c r="Y1237" s="3" t="s">
        <v>42</v>
      </c>
      <c r="Z1237" s="3" t="s">
        <v>35</v>
      </c>
      <c r="AA1237" s="5">
        <v>0.12</v>
      </c>
      <c r="AB1237" s="10" t="str" cm="1">
        <f t="array" ref="AB1237">_xlfn.IFS(AA1237 &lt;= 15%, "Low Hike[11-15%]", AA1237 &lt;= 20%, "Moderate Hike[16-20%]", AA1237 &lt;= 25%,"High Hike[21-25%]")</f>
        <v>Low Hike[11-15%]</v>
      </c>
      <c r="AC1237" s="1">
        <v>3</v>
      </c>
      <c r="AD1237" s="1">
        <v>2</v>
      </c>
      <c r="AE1237" s="1">
        <v>80</v>
      </c>
      <c r="AF1237" s="1">
        <v>1</v>
      </c>
      <c r="AG1237" s="1">
        <v>13</v>
      </c>
      <c r="AH1237" s="9" t="str" cm="1">
        <f t="array" ref="AH1237">_xlfn.IFS(AG1237 &lt;= 5, "New[1-5]", AG1237 &lt;= 10, "Early Career[6-10]", AG1237 &lt;= 20, "Established[11-20]", AG1237 &lt;= 30, "Veteran[21-30]", AG1237 &lt;= 40, "Late Career[31-40]")</f>
        <v>Established[11-20]</v>
      </c>
      <c r="AI1237" s="1">
        <v>5</v>
      </c>
      <c r="AJ1237" s="1">
        <v>2</v>
      </c>
      <c r="AK1237" s="1">
        <v>10</v>
      </c>
      <c r="AL1237" s="9" t="str" cm="1">
        <f t="array" ref="AL1237">_xlfn.IFS(AK1237 &lt;= 5, "New[1-5]", AK1237 &lt;= 10, "Early Career[6-10]", AK1237 &lt;= 20, "Established[11-20]", AK1237 &lt;= 30, "Veteran[21-30]", AK1237 &lt;= 40, "Late Career[31-40]")</f>
        <v>Early Career[6-10]</v>
      </c>
      <c r="AM1237" s="1">
        <v>6</v>
      </c>
      <c r="AN1237" s="9" t="str" cm="1">
        <f t="array" ref="AN1237">_xlfn.IFS(AM1237 &lt;= 3, "New to Role[1-3]", AM1237 &lt;= 7, "Settled[4-7]", AM1237 &lt;= 12, "Experienced[[8-12]", AM1237 &lt;= 18, "Long Tenured[13-18]")</f>
        <v>Settled[4-7]</v>
      </c>
      <c r="AO1237" s="1">
        <v>0</v>
      </c>
      <c r="AP1237" s="9" t="str" cm="1">
        <f t="array" ref="AP1237">_xlfn.IFS(AO1237 &lt;= 3, "Recently[1-3]", AO1237 &lt;= 6, "Due Soon[4-6]", AO1237 &lt;= 10, "Overdue[7-10]", AO1237 &lt;= 15, "Long Overdue[11-15]")</f>
        <v>Recently[1-3]</v>
      </c>
      <c r="AQ1237" s="9" t="str" cm="1">
        <f t="array" ref="AQ1237">_xlfn.IFS(AR1237 &lt;= 3, "New Relationship[1-3]", AR1237 &lt;= 7, "Established Relationship[4-7]", AR1237 &lt;= 12, "Long Term Relationship[8-12]", AR1237 &lt;= 17, "Very Long Term Relationship[13-17]")</f>
        <v>New Relationship[1-3]</v>
      </c>
      <c r="AR1237" s="1">
        <v>3</v>
      </c>
    </row>
    <row r="1238" spans="1:44" x14ac:dyDescent="0.25">
      <c r="A1238" s="1">
        <v>36</v>
      </c>
      <c r="B1238" s="8" t="str" cm="1">
        <f t="array" ref="B1238">_xlfn.IFS(A1238 &lt;= 25, "[18-25]", A1238 &lt;= 35, "[26-35]", A1238 &lt;=45, "[36-45]", A1238 &lt;= 60, "[46- 60]")</f>
        <v>[36-45]</v>
      </c>
      <c r="C1238" s="3" t="s">
        <v>35</v>
      </c>
      <c r="D1238">
        <f t="shared" si="19"/>
        <v>1</v>
      </c>
      <c r="E1238" t="s">
        <v>36</v>
      </c>
      <c r="F1238" s="1">
        <v>1456</v>
      </c>
      <c r="G1238" s="3" t="s">
        <v>37</v>
      </c>
      <c r="H1238" s="1">
        <v>13</v>
      </c>
      <c r="I1238" s="9" t="str" cm="1">
        <f t="array" ref="I1238">_xlfn.IFS(H1238 &lt;= 2, "[1-2] very close", H1238 &lt;= 10, "[3-10] close", H1238 &lt;= 20, "[11-20] moderate", H1238 &lt;= 30, "[21-30] far")</f>
        <v>[11-20] moderate</v>
      </c>
      <c r="J1238" s="1">
        <v>5</v>
      </c>
      <c r="K1238" s="3" t="s">
        <v>59</v>
      </c>
      <c r="L1238" s="1">
        <v>1</v>
      </c>
      <c r="M1238" s="1">
        <v>1733</v>
      </c>
      <c r="N1238" s="1">
        <v>2</v>
      </c>
      <c r="O1238" s="3" t="s">
        <v>46</v>
      </c>
      <c r="P1238" s="1">
        <v>96</v>
      </c>
      <c r="Q1238" s="1">
        <v>2</v>
      </c>
      <c r="R1238" s="1">
        <v>2</v>
      </c>
      <c r="S1238" s="3" t="s">
        <v>40</v>
      </c>
      <c r="T1238" s="1">
        <v>1</v>
      </c>
      <c r="U1238" s="3" t="s">
        <v>52</v>
      </c>
      <c r="V1238" s="4">
        <v>6134</v>
      </c>
      <c r="W1238" s="1">
        <v>8658</v>
      </c>
      <c r="X1238" s="1">
        <v>5</v>
      </c>
      <c r="Y1238" s="3" t="s">
        <v>42</v>
      </c>
      <c r="Z1238" s="3" t="s">
        <v>35</v>
      </c>
      <c r="AA1238" s="5">
        <v>0.13</v>
      </c>
      <c r="AB1238" s="10" t="str" cm="1">
        <f t="array" ref="AB1238">_xlfn.IFS(AA1238 &lt;= 15%, "Low Hike[11-15%]", AA1238 &lt;= 20%, "Moderate Hike[16-20%]", AA1238 &lt;= 25%,"High Hike[21-25%]")</f>
        <v>Low Hike[11-15%]</v>
      </c>
      <c r="AC1238" s="1">
        <v>3</v>
      </c>
      <c r="AD1238" s="1">
        <v>2</v>
      </c>
      <c r="AE1238" s="1">
        <v>80</v>
      </c>
      <c r="AF1238" s="1">
        <v>3</v>
      </c>
      <c r="AG1238" s="1">
        <v>16</v>
      </c>
      <c r="AH1238" s="9" t="str" cm="1">
        <f t="array" ref="AH1238">_xlfn.IFS(AG1238 &lt;= 5, "New[1-5]", AG1238 &lt;= 10, "Early Career[6-10]", AG1238 &lt;= 20, "Established[11-20]", AG1238 &lt;= 30, "Veteran[21-30]", AG1238 &lt;= 40, "Late Career[31-40]")</f>
        <v>Established[11-20]</v>
      </c>
      <c r="AI1238" s="1">
        <v>3</v>
      </c>
      <c r="AJ1238" s="1">
        <v>3</v>
      </c>
      <c r="AK1238" s="1">
        <v>2</v>
      </c>
      <c r="AL1238" s="9" t="str" cm="1">
        <f t="array" ref="AL1238">_xlfn.IFS(AK1238 &lt;= 5, "New[1-5]", AK1238 &lt;= 10, "Early Career[6-10]", AK1238 &lt;= 20, "Established[11-20]", AK1238 &lt;= 30, "Veteran[21-30]", AK1238 &lt;= 40, "Late Career[31-40]")</f>
        <v>New[1-5]</v>
      </c>
      <c r="AM1238" s="1">
        <v>2</v>
      </c>
      <c r="AN1238" s="9" t="str" cm="1">
        <f t="array" ref="AN1238">_xlfn.IFS(AM1238 &lt;= 3, "New to Role[1-3]", AM1238 &lt;= 7, "Settled[4-7]", AM1238 &lt;= 12, "Experienced[[8-12]", AM1238 &lt;= 18, "Long Tenured[13-18]")</f>
        <v>New to Role[1-3]</v>
      </c>
      <c r="AO1238" s="1">
        <v>2</v>
      </c>
      <c r="AP1238" s="9" t="str" cm="1">
        <f t="array" ref="AP1238">_xlfn.IFS(AO1238 &lt;= 3, "Recently[1-3]", AO1238 &lt;= 6, "Due Soon[4-6]", AO1238 &lt;= 10, "Overdue[7-10]", AO1238 &lt;= 15, "Long Overdue[11-15]")</f>
        <v>Recently[1-3]</v>
      </c>
      <c r="AQ1238" s="9" t="str" cm="1">
        <f t="array" ref="AQ1238">_xlfn.IFS(AR1238 &lt;= 3, "New Relationship[1-3]", AR1238 &lt;= 7, "Established Relationship[4-7]", AR1238 &lt;= 12, "Long Term Relationship[8-12]", AR1238 &lt;= 17, "Very Long Term Relationship[13-17]")</f>
        <v>New Relationship[1-3]</v>
      </c>
      <c r="AR1238" s="1">
        <v>2</v>
      </c>
    </row>
    <row r="1239" spans="1:44" x14ac:dyDescent="0.25">
      <c r="A1239" s="1">
        <v>32</v>
      </c>
      <c r="B1239" s="8" t="str" cm="1">
        <f t="array" ref="B1239">_xlfn.IFS(A1239 &lt;= 25, "[18-25]", A1239 &lt;= 35, "[26-35]", A1239 &lt;=45, "[36-45]", A1239 &lt;= 60, "[46- 60]")</f>
        <v>[26-35]</v>
      </c>
      <c r="C1239" s="3" t="s">
        <v>35</v>
      </c>
      <c r="D1239">
        <f t="shared" si="19"/>
        <v>1</v>
      </c>
      <c r="E1239" t="s">
        <v>36</v>
      </c>
      <c r="F1239" s="1">
        <v>964</v>
      </c>
      <c r="G1239" s="3" t="s">
        <v>37</v>
      </c>
      <c r="H1239" s="1">
        <v>1</v>
      </c>
      <c r="I1239" s="9" t="str" cm="1">
        <f t="array" ref="I1239">_xlfn.IFS(H1239 &lt;= 2, "[1-2] very close", H1239 &lt;= 10, "[3-10] close", H1239 &lt;= 20, "[11-20] moderate", H1239 &lt;= 30, "[21-30] far")</f>
        <v>[1-2] very close</v>
      </c>
      <c r="J1239" s="1">
        <v>2</v>
      </c>
      <c r="K1239" s="3" t="s">
        <v>38</v>
      </c>
      <c r="L1239" s="1">
        <v>1</v>
      </c>
      <c r="M1239" s="1">
        <v>1734</v>
      </c>
      <c r="N1239" s="1">
        <v>1</v>
      </c>
      <c r="O1239" s="3" t="s">
        <v>46</v>
      </c>
      <c r="P1239" s="1">
        <v>34</v>
      </c>
      <c r="Q1239" s="1">
        <v>1</v>
      </c>
      <c r="R1239" s="1">
        <v>2</v>
      </c>
      <c r="S1239" s="3" t="s">
        <v>40</v>
      </c>
      <c r="T1239" s="1">
        <v>2</v>
      </c>
      <c r="U1239" s="3" t="s">
        <v>41</v>
      </c>
      <c r="V1239" s="4">
        <v>6735</v>
      </c>
      <c r="W1239" s="1">
        <v>12147</v>
      </c>
      <c r="X1239" s="1">
        <v>6</v>
      </c>
      <c r="Y1239" s="3" t="s">
        <v>42</v>
      </c>
      <c r="Z1239" s="3" t="s">
        <v>43</v>
      </c>
      <c r="AA1239" s="5">
        <v>0.15</v>
      </c>
      <c r="AB1239" s="10" t="str" cm="1">
        <f t="array" ref="AB1239">_xlfn.IFS(AA1239 &lt;= 15%, "Low Hike[11-15%]", AA1239 &lt;= 20%, "Moderate Hike[16-20%]", AA1239 &lt;= 25%,"High Hike[21-25%]")</f>
        <v>Low Hike[11-15%]</v>
      </c>
      <c r="AC1239" s="1">
        <v>3</v>
      </c>
      <c r="AD1239" s="1">
        <v>2</v>
      </c>
      <c r="AE1239" s="1">
        <v>80</v>
      </c>
      <c r="AF1239" s="1">
        <v>0</v>
      </c>
      <c r="AG1239" s="1">
        <v>10</v>
      </c>
      <c r="AH1239" s="9" t="str" cm="1">
        <f t="array" ref="AH1239">_xlfn.IFS(AG1239 &lt;= 5, "New[1-5]", AG1239 &lt;= 10, "Early Career[6-10]", AG1239 &lt;= 20, "Established[11-20]", AG1239 &lt;= 30, "Veteran[21-30]", AG1239 &lt;= 40, "Late Career[31-40]")</f>
        <v>Early Career[6-10]</v>
      </c>
      <c r="AI1239" s="1">
        <v>2</v>
      </c>
      <c r="AJ1239" s="1">
        <v>3</v>
      </c>
      <c r="AK1239" s="1">
        <v>0</v>
      </c>
      <c r="AL1239" s="9" t="str" cm="1">
        <f t="array" ref="AL1239">_xlfn.IFS(AK1239 &lt;= 5, "New[1-5]", AK1239 &lt;= 10, "Early Career[6-10]", AK1239 &lt;= 20, "Established[11-20]", AK1239 &lt;= 30, "Veteran[21-30]", AK1239 &lt;= 40, "Late Career[31-40]")</f>
        <v>New[1-5]</v>
      </c>
      <c r="AM1239" s="1">
        <v>0</v>
      </c>
      <c r="AN1239" s="9" t="str" cm="1">
        <f t="array" ref="AN1239">_xlfn.IFS(AM1239 &lt;= 3, "New to Role[1-3]", AM1239 &lt;= 7, "Settled[4-7]", AM1239 &lt;= 12, "Experienced[[8-12]", AM1239 &lt;= 18, "Long Tenured[13-18]")</f>
        <v>New to Role[1-3]</v>
      </c>
      <c r="AO1239" s="1">
        <v>0</v>
      </c>
      <c r="AP1239" s="9" t="str" cm="1">
        <f t="array" ref="AP1239">_xlfn.IFS(AO1239 &lt;= 3, "Recently[1-3]", AO1239 &lt;= 6, "Due Soon[4-6]", AO1239 &lt;= 10, "Overdue[7-10]", AO1239 &lt;= 15, "Long Overdue[11-15]")</f>
        <v>Recently[1-3]</v>
      </c>
      <c r="AQ1239" s="9" t="str" cm="1">
        <f t="array" ref="AQ1239">_xlfn.IFS(AR1239 &lt;= 3, "New Relationship[1-3]", AR1239 &lt;= 7, "Established Relationship[4-7]", AR1239 &lt;= 12, "Long Term Relationship[8-12]", AR1239 &lt;= 17, "Very Long Term Relationship[13-17]")</f>
        <v>New Relationship[1-3]</v>
      </c>
      <c r="AR1239" s="1">
        <v>0</v>
      </c>
    </row>
    <row r="1240" spans="1:44" x14ac:dyDescent="0.25">
      <c r="A1240" s="1">
        <v>23</v>
      </c>
      <c r="B1240" s="8" t="str" cm="1">
        <f t="array" ref="B1240">_xlfn.IFS(A1240 &lt;= 25, "[18-25]", A1240 &lt;= 35, "[26-35]", A1240 &lt;=45, "[36-45]", A1240 &lt;= 60, "[46- 60]")</f>
        <v>[18-25]</v>
      </c>
      <c r="C1240" s="3" t="s">
        <v>43</v>
      </c>
      <c r="D1240">
        <f t="shared" si="19"/>
        <v>0</v>
      </c>
      <c r="E1240" t="s">
        <v>36</v>
      </c>
      <c r="F1240" s="1">
        <v>160</v>
      </c>
      <c r="G1240" s="3" t="s">
        <v>45</v>
      </c>
      <c r="H1240" s="1">
        <v>4</v>
      </c>
      <c r="I1240" s="9" t="str" cm="1">
        <f t="array" ref="I1240">_xlfn.IFS(H1240 &lt;= 2, "[1-2] very close", H1240 &lt;= 10, "[3-10] close", H1240 &lt;= 20, "[11-20] moderate", H1240 &lt;= 30, "[21-30] far")</f>
        <v>[3-10] close</v>
      </c>
      <c r="J1240" s="1">
        <v>1</v>
      </c>
      <c r="K1240" s="3" t="s">
        <v>51</v>
      </c>
      <c r="L1240" s="1">
        <v>1</v>
      </c>
      <c r="M1240" s="1">
        <v>1735</v>
      </c>
      <c r="N1240" s="1">
        <v>3</v>
      </c>
      <c r="O1240" s="3" t="s">
        <v>39</v>
      </c>
      <c r="P1240" s="1">
        <v>51</v>
      </c>
      <c r="Q1240" s="1">
        <v>3</v>
      </c>
      <c r="R1240" s="1">
        <v>1</v>
      </c>
      <c r="S1240" s="3" t="s">
        <v>50</v>
      </c>
      <c r="T1240" s="1">
        <v>2</v>
      </c>
      <c r="U1240" s="3" t="s">
        <v>41</v>
      </c>
      <c r="V1240" s="4">
        <v>3295</v>
      </c>
      <c r="W1240" s="1">
        <v>12862</v>
      </c>
      <c r="X1240" s="1">
        <v>1</v>
      </c>
      <c r="Y1240" s="3" t="s">
        <v>42</v>
      </c>
      <c r="Z1240" s="3" t="s">
        <v>43</v>
      </c>
      <c r="AA1240" s="5">
        <v>0.13</v>
      </c>
      <c r="AB1240" s="10" t="str" cm="1">
        <f t="array" ref="AB1240">_xlfn.IFS(AA1240 &lt;= 15%, "Low Hike[11-15%]", AA1240 &lt;= 20%, "Moderate Hike[16-20%]", AA1240 &lt;= 25%,"High Hike[21-25%]")</f>
        <v>Low Hike[11-15%]</v>
      </c>
      <c r="AC1240" s="1">
        <v>3</v>
      </c>
      <c r="AD1240" s="1">
        <v>3</v>
      </c>
      <c r="AE1240" s="1">
        <v>80</v>
      </c>
      <c r="AF1240" s="1">
        <v>0</v>
      </c>
      <c r="AG1240" s="1">
        <v>3</v>
      </c>
      <c r="AH1240" s="9" t="str" cm="1">
        <f t="array" ref="AH1240">_xlfn.IFS(AG1240 &lt;= 5, "New[1-5]", AG1240 &lt;= 10, "Early Career[6-10]", AG1240 &lt;= 20, "Established[11-20]", AG1240 &lt;= 30, "Veteran[21-30]", AG1240 &lt;= 40, "Late Career[31-40]")</f>
        <v>New[1-5]</v>
      </c>
      <c r="AI1240" s="1">
        <v>3</v>
      </c>
      <c r="AJ1240" s="1">
        <v>1</v>
      </c>
      <c r="AK1240" s="1">
        <v>3</v>
      </c>
      <c r="AL1240" s="9" t="str" cm="1">
        <f t="array" ref="AL1240">_xlfn.IFS(AK1240 &lt;= 5, "New[1-5]", AK1240 &lt;= 10, "Early Career[6-10]", AK1240 &lt;= 20, "Established[11-20]", AK1240 &lt;= 30, "Veteran[21-30]", AK1240 &lt;= 40, "Late Career[31-40]")</f>
        <v>New[1-5]</v>
      </c>
      <c r="AM1240" s="1">
        <v>2</v>
      </c>
      <c r="AN1240" s="9" t="str" cm="1">
        <f t="array" ref="AN1240">_xlfn.IFS(AM1240 &lt;= 3, "New to Role[1-3]", AM1240 &lt;= 7, "Settled[4-7]", AM1240 &lt;= 12, "Experienced[[8-12]", AM1240 &lt;= 18, "Long Tenured[13-18]")</f>
        <v>New to Role[1-3]</v>
      </c>
      <c r="AO1240" s="1">
        <v>1</v>
      </c>
      <c r="AP1240" s="9" t="str" cm="1">
        <f t="array" ref="AP1240">_xlfn.IFS(AO1240 &lt;= 3, "Recently[1-3]", AO1240 &lt;= 6, "Due Soon[4-6]", AO1240 &lt;= 10, "Overdue[7-10]", AO1240 &lt;= 15, "Long Overdue[11-15]")</f>
        <v>Recently[1-3]</v>
      </c>
      <c r="AQ1240" s="9" t="str" cm="1">
        <f t="array" ref="AQ1240">_xlfn.IFS(AR1240 &lt;= 3, "New Relationship[1-3]", AR1240 &lt;= 7, "Established Relationship[4-7]", AR1240 &lt;= 12, "Long Term Relationship[8-12]", AR1240 &lt;= 17, "Very Long Term Relationship[13-17]")</f>
        <v>New Relationship[1-3]</v>
      </c>
      <c r="AR1240" s="1">
        <v>2</v>
      </c>
    </row>
    <row r="1241" spans="1:44" x14ac:dyDescent="0.25">
      <c r="A1241" s="1">
        <v>31</v>
      </c>
      <c r="B1241" s="8" t="str" cm="1">
        <f t="array" ref="B1241">_xlfn.IFS(A1241 &lt;= 25, "[18-25]", A1241 &lt;= 35, "[26-35]", A1241 &lt;=45, "[36-45]", A1241 &lt;= 60, "[46- 60]")</f>
        <v>[26-35]</v>
      </c>
      <c r="C1241" s="3" t="s">
        <v>43</v>
      </c>
      <c r="D1241">
        <f t="shared" si="19"/>
        <v>0</v>
      </c>
      <c r="E1241" t="s">
        <v>44</v>
      </c>
      <c r="F1241" s="1">
        <v>163</v>
      </c>
      <c r="G1241" s="3" t="s">
        <v>45</v>
      </c>
      <c r="H1241" s="1">
        <v>24</v>
      </c>
      <c r="I1241" s="9" t="str" cm="1">
        <f t="array" ref="I1241">_xlfn.IFS(H1241 &lt;= 2, "[1-2] very close", H1241 &lt;= 10, "[3-10] close", H1241 &lt;= 20, "[11-20] moderate", H1241 &lt;= 30, "[21-30] far")</f>
        <v>[21-30] far</v>
      </c>
      <c r="J1241" s="1">
        <v>1</v>
      </c>
      <c r="K1241" s="3" t="s">
        <v>60</v>
      </c>
      <c r="L1241" s="1">
        <v>1</v>
      </c>
      <c r="M1241" s="1">
        <v>1736</v>
      </c>
      <c r="N1241" s="1">
        <v>4</v>
      </c>
      <c r="O1241" s="3" t="s">
        <v>39</v>
      </c>
      <c r="P1241" s="1">
        <v>30</v>
      </c>
      <c r="Q1241" s="1">
        <v>3</v>
      </c>
      <c r="R1241" s="1">
        <v>2</v>
      </c>
      <c r="S1241" s="3" t="s">
        <v>53</v>
      </c>
      <c r="T1241" s="1">
        <v>4</v>
      </c>
      <c r="U1241" s="3" t="s">
        <v>41</v>
      </c>
      <c r="V1241" s="4">
        <v>5238</v>
      </c>
      <c r="W1241" s="1">
        <v>6670</v>
      </c>
      <c r="X1241" s="1">
        <v>2</v>
      </c>
      <c r="Y1241" s="3" t="s">
        <v>42</v>
      </c>
      <c r="Z1241" s="3" t="s">
        <v>43</v>
      </c>
      <c r="AA1241" s="5">
        <v>0.2</v>
      </c>
      <c r="AB1241" s="10" t="str" cm="1">
        <f t="array" ref="AB1241">_xlfn.IFS(AA1241 &lt;= 15%, "Low Hike[11-15%]", AA1241 &lt;= 20%, "Moderate Hike[16-20%]", AA1241 &lt;= 25%,"High Hike[21-25%]")</f>
        <v>Moderate Hike[16-20%]</v>
      </c>
      <c r="AC1241" s="1">
        <v>4</v>
      </c>
      <c r="AD1241" s="1">
        <v>4</v>
      </c>
      <c r="AE1241" s="1">
        <v>80</v>
      </c>
      <c r="AF1241" s="1">
        <v>0</v>
      </c>
      <c r="AG1241" s="1">
        <v>9</v>
      </c>
      <c r="AH1241" s="9" t="str" cm="1">
        <f t="array" ref="AH1241">_xlfn.IFS(AG1241 &lt;= 5, "New[1-5]", AG1241 &lt;= 10, "Early Career[6-10]", AG1241 &lt;= 20, "Established[11-20]", AG1241 &lt;= 30, "Veteran[21-30]", AG1241 &lt;= 40, "Late Career[31-40]")</f>
        <v>Early Career[6-10]</v>
      </c>
      <c r="AI1241" s="1">
        <v>3</v>
      </c>
      <c r="AJ1241" s="1">
        <v>2</v>
      </c>
      <c r="AK1241" s="1">
        <v>5</v>
      </c>
      <c r="AL1241" s="9" t="str" cm="1">
        <f t="array" ref="AL1241">_xlfn.IFS(AK1241 &lt;= 5, "New[1-5]", AK1241 &lt;= 10, "Early Career[6-10]", AK1241 &lt;= 20, "Established[11-20]", AK1241 &lt;= 30, "Veteran[21-30]", AK1241 &lt;= 40, "Late Career[31-40]")</f>
        <v>New[1-5]</v>
      </c>
      <c r="AM1241" s="1">
        <v>4</v>
      </c>
      <c r="AN1241" s="9" t="str" cm="1">
        <f t="array" ref="AN1241">_xlfn.IFS(AM1241 &lt;= 3, "New to Role[1-3]", AM1241 &lt;= 7, "Settled[4-7]", AM1241 &lt;= 12, "Experienced[[8-12]", AM1241 &lt;= 18, "Long Tenured[13-18]")</f>
        <v>Settled[4-7]</v>
      </c>
      <c r="AO1241" s="1">
        <v>1</v>
      </c>
      <c r="AP1241" s="9" t="str" cm="1">
        <f t="array" ref="AP1241">_xlfn.IFS(AO1241 &lt;= 3, "Recently[1-3]", AO1241 &lt;= 6, "Due Soon[4-6]", AO1241 &lt;= 10, "Overdue[7-10]", AO1241 &lt;= 15, "Long Overdue[11-15]")</f>
        <v>Recently[1-3]</v>
      </c>
      <c r="AQ1241" s="9" t="str" cm="1">
        <f t="array" ref="AQ1241">_xlfn.IFS(AR1241 &lt;= 3, "New Relationship[1-3]", AR1241 &lt;= 7, "Established Relationship[4-7]", AR1241 &lt;= 12, "Long Term Relationship[8-12]", AR1241 &lt;= 17, "Very Long Term Relationship[13-17]")</f>
        <v>Established Relationship[4-7]</v>
      </c>
      <c r="AR1241" s="1">
        <v>4</v>
      </c>
    </row>
    <row r="1242" spans="1:44" x14ac:dyDescent="0.25">
      <c r="A1242" s="1">
        <v>39</v>
      </c>
      <c r="B1242" s="8" t="str" cm="1">
        <f t="array" ref="B1242">_xlfn.IFS(A1242 &lt;= 25, "[18-25]", A1242 &lt;= 35, "[26-35]", A1242 &lt;=45, "[36-45]", A1242 &lt;= 60, "[46- 60]")</f>
        <v>[36-45]</v>
      </c>
      <c r="C1242" s="3" t="s">
        <v>43</v>
      </c>
      <c r="D1242">
        <f t="shared" si="19"/>
        <v>0</v>
      </c>
      <c r="E1242" t="s">
        <v>62</v>
      </c>
      <c r="F1242" s="1">
        <v>792</v>
      </c>
      <c r="G1242" s="3" t="s">
        <v>45</v>
      </c>
      <c r="H1242" s="1">
        <v>1</v>
      </c>
      <c r="I1242" s="9" t="str" cm="1">
        <f t="array" ref="I1242">_xlfn.IFS(H1242 &lt;= 2, "[1-2] very close", H1242 &lt;= 10, "[3-10] close", H1242 &lt;= 20, "[11-20] moderate", H1242 &lt;= 30, "[21-30] far")</f>
        <v>[1-2] very close</v>
      </c>
      <c r="J1242" s="1">
        <v>3</v>
      </c>
      <c r="K1242" s="3" t="s">
        <v>38</v>
      </c>
      <c r="L1242" s="1">
        <v>1</v>
      </c>
      <c r="M1242" s="1">
        <v>1737</v>
      </c>
      <c r="N1242" s="1">
        <v>4</v>
      </c>
      <c r="O1242" s="3" t="s">
        <v>46</v>
      </c>
      <c r="P1242" s="1">
        <v>77</v>
      </c>
      <c r="Q1242" s="1">
        <v>3</v>
      </c>
      <c r="R1242" s="1">
        <v>2</v>
      </c>
      <c r="S1242" s="3" t="s">
        <v>50</v>
      </c>
      <c r="T1242" s="1">
        <v>4</v>
      </c>
      <c r="U1242" s="3" t="s">
        <v>48</v>
      </c>
      <c r="V1242" s="4">
        <v>6472</v>
      </c>
      <c r="W1242" s="1">
        <v>8989</v>
      </c>
      <c r="X1242" s="1">
        <v>1</v>
      </c>
      <c r="Y1242" s="3" t="s">
        <v>42</v>
      </c>
      <c r="Z1242" s="3" t="s">
        <v>35</v>
      </c>
      <c r="AA1242" s="5">
        <v>0.15</v>
      </c>
      <c r="AB1242" s="10" t="str" cm="1">
        <f t="array" ref="AB1242">_xlfn.IFS(AA1242 &lt;= 15%, "Low Hike[11-15%]", AA1242 &lt;= 20%, "Moderate Hike[16-20%]", AA1242 &lt;= 25%,"High Hike[21-25%]")</f>
        <v>Low Hike[11-15%]</v>
      </c>
      <c r="AC1242" s="1">
        <v>3</v>
      </c>
      <c r="AD1242" s="1">
        <v>4</v>
      </c>
      <c r="AE1242" s="1">
        <v>80</v>
      </c>
      <c r="AF1242" s="1">
        <v>1</v>
      </c>
      <c r="AG1242" s="1">
        <v>9</v>
      </c>
      <c r="AH1242" s="9" t="str" cm="1">
        <f t="array" ref="AH1242">_xlfn.IFS(AG1242 &lt;= 5, "New[1-5]", AG1242 &lt;= 10, "Early Career[6-10]", AG1242 &lt;= 20, "Established[11-20]", AG1242 &lt;= 30, "Veteran[21-30]", AG1242 &lt;= 40, "Late Career[31-40]")</f>
        <v>Early Career[6-10]</v>
      </c>
      <c r="AI1242" s="1">
        <v>2</v>
      </c>
      <c r="AJ1242" s="1">
        <v>3</v>
      </c>
      <c r="AK1242" s="1">
        <v>9</v>
      </c>
      <c r="AL1242" s="9" t="str" cm="1">
        <f t="array" ref="AL1242">_xlfn.IFS(AK1242 &lt;= 5, "New[1-5]", AK1242 &lt;= 10, "Early Career[6-10]", AK1242 &lt;= 20, "Established[11-20]", AK1242 &lt;= 30, "Veteran[21-30]", AK1242 &lt;= 40, "Late Career[31-40]")</f>
        <v>Early Career[6-10]</v>
      </c>
      <c r="AM1242" s="1">
        <v>8</v>
      </c>
      <c r="AN1242" s="9" t="str" cm="1">
        <f t="array" ref="AN1242">_xlfn.IFS(AM1242 &lt;= 3, "New to Role[1-3]", AM1242 &lt;= 7, "Settled[4-7]", AM1242 &lt;= 12, "Experienced[[8-12]", AM1242 &lt;= 18, "Long Tenured[13-18]")</f>
        <v>Experienced[[8-12]</v>
      </c>
      <c r="AO1242" s="1">
        <v>5</v>
      </c>
      <c r="AP1242" s="9" t="str" cm="1">
        <f t="array" ref="AP1242">_xlfn.IFS(AO1242 &lt;= 3, "Recently[1-3]", AO1242 &lt;= 6, "Due Soon[4-6]", AO1242 &lt;= 10, "Overdue[7-10]", AO1242 &lt;= 15, "Long Overdue[11-15]")</f>
        <v>Due Soon[4-6]</v>
      </c>
      <c r="AQ1242" s="9" t="str" cm="1">
        <f t="array" ref="AQ1242">_xlfn.IFS(AR1242 &lt;= 3, "New Relationship[1-3]", AR1242 &lt;= 7, "Established Relationship[4-7]", AR1242 &lt;= 12, "Long Term Relationship[8-12]", AR1242 &lt;= 17, "Very Long Term Relationship[13-17]")</f>
        <v>Long Term Relationship[8-12]</v>
      </c>
      <c r="AR1242" s="1">
        <v>8</v>
      </c>
    </row>
    <row r="1243" spans="1:44" x14ac:dyDescent="0.25">
      <c r="A1243" s="1">
        <v>32</v>
      </c>
      <c r="B1243" s="8" t="str" cm="1">
        <f t="array" ref="B1243">_xlfn.IFS(A1243 &lt;= 25, "[18-25]", A1243 &lt;= 35, "[26-35]", A1243 &lt;=45, "[36-45]", A1243 &lt;= 60, "[46- 60]")</f>
        <v>[26-35]</v>
      </c>
      <c r="C1243" s="3" t="s">
        <v>43</v>
      </c>
      <c r="D1243">
        <f t="shared" si="19"/>
        <v>0</v>
      </c>
      <c r="E1243" t="s">
        <v>36</v>
      </c>
      <c r="F1243" s="1">
        <v>371</v>
      </c>
      <c r="G1243" s="3" t="s">
        <v>37</v>
      </c>
      <c r="H1243" s="1">
        <v>19</v>
      </c>
      <c r="I1243" s="9" t="str" cm="1">
        <f t="array" ref="I1243">_xlfn.IFS(H1243 &lt;= 2, "[1-2] very close", H1243 &lt;= 10, "[3-10] close", H1243 &lt;= 20, "[11-20] moderate", H1243 &lt;= 30, "[21-30] far")</f>
        <v>[11-20] moderate</v>
      </c>
      <c r="J1243" s="1">
        <v>3</v>
      </c>
      <c r="K1243" s="3" t="s">
        <v>38</v>
      </c>
      <c r="L1243" s="1">
        <v>1</v>
      </c>
      <c r="M1243" s="1">
        <v>1739</v>
      </c>
      <c r="N1243" s="1">
        <v>4</v>
      </c>
      <c r="O1243" s="3" t="s">
        <v>46</v>
      </c>
      <c r="P1243" s="1">
        <v>80</v>
      </c>
      <c r="Q1243" s="1">
        <v>1</v>
      </c>
      <c r="R1243" s="1">
        <v>3</v>
      </c>
      <c r="S1243" s="3" t="s">
        <v>40</v>
      </c>
      <c r="T1243" s="1">
        <v>3</v>
      </c>
      <c r="U1243" s="3" t="s">
        <v>48</v>
      </c>
      <c r="V1243" s="4">
        <v>9610</v>
      </c>
      <c r="W1243" s="1">
        <v>3840</v>
      </c>
      <c r="X1243" s="1">
        <v>3</v>
      </c>
      <c r="Y1243" s="3" t="s">
        <v>42</v>
      </c>
      <c r="Z1243" s="3" t="s">
        <v>43</v>
      </c>
      <c r="AA1243" s="5">
        <v>0.13</v>
      </c>
      <c r="AB1243" s="10" t="str" cm="1">
        <f t="array" ref="AB1243">_xlfn.IFS(AA1243 &lt;= 15%, "Low Hike[11-15%]", AA1243 &lt;= 20%, "Moderate Hike[16-20%]", AA1243 &lt;= 25%,"High Hike[21-25%]")</f>
        <v>Low Hike[11-15%]</v>
      </c>
      <c r="AC1243" s="1">
        <v>3</v>
      </c>
      <c r="AD1243" s="1">
        <v>3</v>
      </c>
      <c r="AE1243" s="1">
        <v>80</v>
      </c>
      <c r="AF1243" s="1">
        <v>1</v>
      </c>
      <c r="AG1243" s="1">
        <v>10</v>
      </c>
      <c r="AH1243" s="9" t="str" cm="1">
        <f t="array" ref="AH1243">_xlfn.IFS(AG1243 &lt;= 5, "New[1-5]", AG1243 &lt;= 10, "Early Career[6-10]", AG1243 &lt;= 20, "Established[11-20]", AG1243 &lt;= 30, "Veteran[21-30]", AG1243 &lt;= 40, "Late Career[31-40]")</f>
        <v>Early Career[6-10]</v>
      </c>
      <c r="AI1243" s="1">
        <v>2</v>
      </c>
      <c r="AJ1243" s="1">
        <v>1</v>
      </c>
      <c r="AK1243" s="1">
        <v>4</v>
      </c>
      <c r="AL1243" s="9" t="str" cm="1">
        <f t="array" ref="AL1243">_xlfn.IFS(AK1243 &lt;= 5, "New[1-5]", AK1243 &lt;= 10, "Early Career[6-10]", AK1243 &lt;= 20, "Established[11-20]", AK1243 &lt;= 30, "Veteran[21-30]", AK1243 &lt;= 40, "Late Career[31-40]")</f>
        <v>New[1-5]</v>
      </c>
      <c r="AM1243" s="1">
        <v>3</v>
      </c>
      <c r="AN1243" s="9" t="str" cm="1">
        <f t="array" ref="AN1243">_xlfn.IFS(AM1243 &lt;= 3, "New to Role[1-3]", AM1243 &lt;= 7, "Settled[4-7]", AM1243 &lt;= 12, "Experienced[[8-12]", AM1243 &lt;= 18, "Long Tenured[13-18]")</f>
        <v>New to Role[1-3]</v>
      </c>
      <c r="AO1243" s="1">
        <v>0</v>
      </c>
      <c r="AP1243" s="9" t="str" cm="1">
        <f t="array" ref="AP1243">_xlfn.IFS(AO1243 &lt;= 3, "Recently[1-3]", AO1243 &lt;= 6, "Due Soon[4-6]", AO1243 &lt;= 10, "Overdue[7-10]", AO1243 &lt;= 15, "Long Overdue[11-15]")</f>
        <v>Recently[1-3]</v>
      </c>
      <c r="AQ1243" s="9" t="str" cm="1">
        <f t="array" ref="AQ1243">_xlfn.IFS(AR1243 &lt;= 3, "New Relationship[1-3]", AR1243 &lt;= 7, "Established Relationship[4-7]", AR1243 &lt;= 12, "Long Term Relationship[8-12]", AR1243 &lt;= 17, "Very Long Term Relationship[13-17]")</f>
        <v>New Relationship[1-3]</v>
      </c>
      <c r="AR1243" s="1">
        <v>2</v>
      </c>
    </row>
    <row r="1244" spans="1:44" x14ac:dyDescent="0.25">
      <c r="A1244" s="1">
        <v>40</v>
      </c>
      <c r="B1244" s="8" t="str" cm="1">
        <f t="array" ref="B1244">_xlfn.IFS(A1244 &lt;= 25, "[18-25]", A1244 &lt;= 35, "[26-35]", A1244 &lt;=45, "[36-45]", A1244 &lt;= 60, "[46- 60]")</f>
        <v>[36-45]</v>
      </c>
      <c r="C1244" s="3" t="s">
        <v>43</v>
      </c>
      <c r="D1244">
        <f t="shared" si="19"/>
        <v>0</v>
      </c>
      <c r="E1244" t="s">
        <v>36</v>
      </c>
      <c r="F1244" s="1">
        <v>611</v>
      </c>
      <c r="G1244" s="3" t="s">
        <v>37</v>
      </c>
      <c r="H1244" s="1">
        <v>7</v>
      </c>
      <c r="I1244" s="9" t="str" cm="1">
        <f t="array" ref="I1244">_xlfn.IFS(H1244 &lt;= 2, "[1-2] very close", H1244 &lt;= 10, "[3-10] close", H1244 &lt;= 20, "[11-20] moderate", H1244 &lt;= 30, "[21-30] far")</f>
        <v>[3-10] close</v>
      </c>
      <c r="J1244" s="1">
        <v>4</v>
      </c>
      <c r="K1244" s="3" t="s">
        <v>51</v>
      </c>
      <c r="L1244" s="1">
        <v>1</v>
      </c>
      <c r="M1244" s="1">
        <v>1740</v>
      </c>
      <c r="N1244" s="1">
        <v>2</v>
      </c>
      <c r="O1244" s="3" t="s">
        <v>46</v>
      </c>
      <c r="P1244" s="1">
        <v>88</v>
      </c>
      <c r="Q1244" s="1">
        <v>3</v>
      </c>
      <c r="R1244" s="1">
        <v>5</v>
      </c>
      <c r="S1244" s="3" t="s">
        <v>56</v>
      </c>
      <c r="T1244" s="1">
        <v>2</v>
      </c>
      <c r="U1244" s="3" t="s">
        <v>41</v>
      </c>
      <c r="V1244" s="4">
        <v>19833</v>
      </c>
      <c r="W1244" s="1">
        <v>4349</v>
      </c>
      <c r="X1244" s="1">
        <v>1</v>
      </c>
      <c r="Y1244" s="3" t="s">
        <v>42</v>
      </c>
      <c r="Z1244" s="3" t="s">
        <v>43</v>
      </c>
      <c r="AA1244" s="5">
        <v>0.14000000000000001</v>
      </c>
      <c r="AB1244" s="10" t="str" cm="1">
        <f t="array" ref="AB1244">_xlfn.IFS(AA1244 &lt;= 15%, "Low Hike[11-15%]", AA1244 &lt;= 20%, "Moderate Hike[16-20%]", AA1244 &lt;= 25%,"High Hike[21-25%]")</f>
        <v>Low Hike[11-15%]</v>
      </c>
      <c r="AC1244" s="1">
        <v>3</v>
      </c>
      <c r="AD1244" s="1">
        <v>2</v>
      </c>
      <c r="AE1244" s="1">
        <v>80</v>
      </c>
      <c r="AF1244" s="1">
        <v>0</v>
      </c>
      <c r="AG1244" s="1">
        <v>21</v>
      </c>
      <c r="AH1244" s="9" t="str" cm="1">
        <f t="array" ref="AH1244">_xlfn.IFS(AG1244 &lt;= 5, "New[1-5]", AG1244 &lt;= 10, "Early Career[6-10]", AG1244 &lt;= 20, "Established[11-20]", AG1244 &lt;= 30, "Veteran[21-30]", AG1244 &lt;= 40, "Late Career[31-40]")</f>
        <v>Veteran[21-30]</v>
      </c>
      <c r="AI1244" s="1">
        <v>3</v>
      </c>
      <c r="AJ1244" s="1">
        <v>2</v>
      </c>
      <c r="AK1244" s="1">
        <v>21</v>
      </c>
      <c r="AL1244" s="9" t="str" cm="1">
        <f t="array" ref="AL1244">_xlfn.IFS(AK1244 &lt;= 5, "New[1-5]", AK1244 &lt;= 10, "Early Career[6-10]", AK1244 &lt;= 20, "Established[11-20]", AK1244 &lt;= 30, "Veteran[21-30]", AK1244 &lt;= 40, "Late Career[31-40]")</f>
        <v>Veteran[21-30]</v>
      </c>
      <c r="AM1244" s="1">
        <v>8</v>
      </c>
      <c r="AN1244" s="9" t="str" cm="1">
        <f t="array" ref="AN1244">_xlfn.IFS(AM1244 &lt;= 3, "New to Role[1-3]", AM1244 &lt;= 7, "Settled[4-7]", AM1244 &lt;= 12, "Experienced[[8-12]", AM1244 &lt;= 18, "Long Tenured[13-18]")</f>
        <v>Experienced[[8-12]</v>
      </c>
      <c r="AO1244" s="1">
        <v>12</v>
      </c>
      <c r="AP1244" s="9" t="str" cm="1">
        <f t="array" ref="AP1244">_xlfn.IFS(AO1244 &lt;= 3, "Recently[1-3]", AO1244 &lt;= 6, "Due Soon[4-6]", AO1244 &lt;= 10, "Overdue[7-10]", AO1244 &lt;= 15, "Long Overdue[11-15]")</f>
        <v>Long Overdue[11-15]</v>
      </c>
      <c r="AQ1244" s="9" t="str" cm="1">
        <f t="array" ref="AQ1244">_xlfn.IFS(AR1244 &lt;= 3, "New Relationship[1-3]", AR1244 &lt;= 7, "Established Relationship[4-7]", AR1244 &lt;= 12, "Long Term Relationship[8-12]", AR1244 &lt;= 17, "Very Long Term Relationship[13-17]")</f>
        <v>Long Term Relationship[8-12]</v>
      </c>
      <c r="AR1244" s="1">
        <v>8</v>
      </c>
    </row>
    <row r="1245" spans="1:44" x14ac:dyDescent="0.25">
      <c r="A1245" s="1">
        <v>45</v>
      </c>
      <c r="B1245" s="8" t="str" cm="1">
        <f t="array" ref="B1245">_xlfn.IFS(A1245 &lt;= 25, "[18-25]", A1245 &lt;= 35, "[26-35]", A1245 &lt;=45, "[36-45]", A1245 &lt;= 60, "[46- 60]")</f>
        <v>[36-45]</v>
      </c>
      <c r="C1245" s="3" t="s">
        <v>43</v>
      </c>
      <c r="D1245">
        <f t="shared" si="19"/>
        <v>0</v>
      </c>
      <c r="E1245" t="s">
        <v>36</v>
      </c>
      <c r="F1245" s="1">
        <v>176</v>
      </c>
      <c r="G1245" s="3" t="s">
        <v>61</v>
      </c>
      <c r="H1245" s="1">
        <v>4</v>
      </c>
      <c r="I1245" s="9" t="str" cm="1">
        <f t="array" ref="I1245">_xlfn.IFS(H1245 &lt;= 2, "[1-2] very close", H1245 &lt;= 10, "[3-10] close", H1245 &lt;= 20, "[11-20] moderate", H1245 &lt;= 30, "[21-30] far")</f>
        <v>[3-10] close</v>
      </c>
      <c r="J1245" s="1">
        <v>3</v>
      </c>
      <c r="K1245" s="3" t="s">
        <v>38</v>
      </c>
      <c r="L1245" s="1">
        <v>1</v>
      </c>
      <c r="M1245" s="1">
        <v>1744</v>
      </c>
      <c r="N1245" s="1">
        <v>3</v>
      </c>
      <c r="O1245" s="3" t="s">
        <v>39</v>
      </c>
      <c r="P1245" s="1">
        <v>56</v>
      </c>
      <c r="Q1245" s="1">
        <v>1</v>
      </c>
      <c r="R1245" s="1">
        <v>3</v>
      </c>
      <c r="S1245" s="3" t="s">
        <v>61</v>
      </c>
      <c r="T1245" s="1">
        <v>3</v>
      </c>
      <c r="U1245" s="3" t="s">
        <v>48</v>
      </c>
      <c r="V1245" s="4">
        <v>9756</v>
      </c>
      <c r="W1245" s="1">
        <v>6595</v>
      </c>
      <c r="X1245" s="1">
        <v>4</v>
      </c>
      <c r="Y1245" s="3" t="s">
        <v>42</v>
      </c>
      <c r="Z1245" s="3" t="s">
        <v>43</v>
      </c>
      <c r="AA1245" s="5">
        <v>0.21</v>
      </c>
      <c r="AB1245" s="10" t="str" cm="1">
        <f t="array" ref="AB1245">_xlfn.IFS(AA1245 &lt;= 15%, "Low Hike[11-15%]", AA1245 &lt;= 20%, "Moderate Hike[16-20%]", AA1245 &lt;= 25%,"High Hike[21-25%]")</f>
        <v>High Hike[21-25%]</v>
      </c>
      <c r="AC1245" s="1">
        <v>4</v>
      </c>
      <c r="AD1245" s="1">
        <v>3</v>
      </c>
      <c r="AE1245" s="1">
        <v>80</v>
      </c>
      <c r="AF1245" s="1">
        <v>2</v>
      </c>
      <c r="AG1245" s="1">
        <v>9</v>
      </c>
      <c r="AH1245" s="9" t="str" cm="1">
        <f t="array" ref="AH1245">_xlfn.IFS(AG1245 &lt;= 5, "New[1-5]", AG1245 &lt;= 10, "Early Career[6-10]", AG1245 &lt;= 20, "Established[11-20]", AG1245 &lt;= 30, "Veteran[21-30]", AG1245 &lt;= 40, "Late Career[31-40]")</f>
        <v>Early Career[6-10]</v>
      </c>
      <c r="AI1245" s="1">
        <v>2</v>
      </c>
      <c r="AJ1245" s="1">
        <v>4</v>
      </c>
      <c r="AK1245" s="1">
        <v>5</v>
      </c>
      <c r="AL1245" s="9" t="str" cm="1">
        <f t="array" ref="AL1245">_xlfn.IFS(AK1245 &lt;= 5, "New[1-5]", AK1245 &lt;= 10, "Early Career[6-10]", AK1245 &lt;= 20, "Established[11-20]", AK1245 &lt;= 30, "Veteran[21-30]", AK1245 &lt;= 40, "Late Career[31-40]")</f>
        <v>New[1-5]</v>
      </c>
      <c r="AM1245" s="1">
        <v>0</v>
      </c>
      <c r="AN1245" s="9" t="str" cm="1">
        <f t="array" ref="AN1245">_xlfn.IFS(AM1245 &lt;= 3, "New to Role[1-3]", AM1245 &lt;= 7, "Settled[4-7]", AM1245 &lt;= 12, "Experienced[[8-12]", AM1245 &lt;= 18, "Long Tenured[13-18]")</f>
        <v>New to Role[1-3]</v>
      </c>
      <c r="AO1245" s="1">
        <v>0</v>
      </c>
      <c r="AP1245" s="9" t="str" cm="1">
        <f t="array" ref="AP1245">_xlfn.IFS(AO1245 &lt;= 3, "Recently[1-3]", AO1245 &lt;= 6, "Due Soon[4-6]", AO1245 &lt;= 10, "Overdue[7-10]", AO1245 &lt;= 15, "Long Overdue[11-15]")</f>
        <v>Recently[1-3]</v>
      </c>
      <c r="AQ1245" s="9" t="str" cm="1">
        <f t="array" ref="AQ1245">_xlfn.IFS(AR1245 &lt;= 3, "New Relationship[1-3]", AR1245 &lt;= 7, "Established Relationship[4-7]", AR1245 &lt;= 12, "Long Term Relationship[8-12]", AR1245 &lt;= 17, "Very Long Term Relationship[13-17]")</f>
        <v>New Relationship[1-3]</v>
      </c>
      <c r="AR1245" s="1">
        <v>3</v>
      </c>
    </row>
    <row r="1246" spans="1:44" x14ac:dyDescent="0.25">
      <c r="A1246" s="1">
        <v>30</v>
      </c>
      <c r="B1246" s="8" t="str" cm="1">
        <f t="array" ref="B1246">_xlfn.IFS(A1246 &lt;= 25, "[18-25]", A1246 &lt;= 35, "[26-35]", A1246 &lt;=45, "[36-45]", A1246 &lt;= 60, "[46- 60]")</f>
        <v>[26-35]</v>
      </c>
      <c r="C1246" s="3" t="s">
        <v>43</v>
      </c>
      <c r="D1246">
        <f t="shared" si="19"/>
        <v>0</v>
      </c>
      <c r="E1246" t="s">
        <v>44</v>
      </c>
      <c r="F1246" s="1">
        <v>1312</v>
      </c>
      <c r="G1246" s="3" t="s">
        <v>45</v>
      </c>
      <c r="H1246" s="1">
        <v>2</v>
      </c>
      <c r="I1246" s="9" t="str" cm="1">
        <f t="array" ref="I1246">_xlfn.IFS(H1246 &lt;= 2, "[1-2] very close", H1246 &lt;= 10, "[3-10] close", H1246 &lt;= 20, "[11-20] moderate", H1246 &lt;= 30, "[21-30] far")</f>
        <v>[1-2] very close</v>
      </c>
      <c r="J1246" s="1">
        <v>4</v>
      </c>
      <c r="K1246" s="3" t="s">
        <v>60</v>
      </c>
      <c r="L1246" s="1">
        <v>1</v>
      </c>
      <c r="M1246" s="1">
        <v>1745</v>
      </c>
      <c r="N1246" s="1">
        <v>4</v>
      </c>
      <c r="O1246" s="3" t="s">
        <v>39</v>
      </c>
      <c r="P1246" s="1">
        <v>78</v>
      </c>
      <c r="Q1246" s="1">
        <v>2</v>
      </c>
      <c r="R1246" s="1">
        <v>1</v>
      </c>
      <c r="S1246" s="3" t="s">
        <v>47</v>
      </c>
      <c r="T1246" s="1">
        <v>1</v>
      </c>
      <c r="U1246" s="3" t="s">
        <v>41</v>
      </c>
      <c r="V1246" s="4">
        <v>4968</v>
      </c>
      <c r="W1246" s="1">
        <v>26427</v>
      </c>
      <c r="X1246" s="1">
        <v>0</v>
      </c>
      <c r="Y1246" s="3" t="s">
        <v>42</v>
      </c>
      <c r="Z1246" s="3" t="s">
        <v>43</v>
      </c>
      <c r="AA1246" s="5">
        <v>0.16</v>
      </c>
      <c r="AB1246" s="10" t="str" cm="1">
        <f t="array" ref="AB1246">_xlfn.IFS(AA1246 &lt;= 15%, "Low Hike[11-15%]", AA1246 &lt;= 20%, "Moderate Hike[16-20%]", AA1246 &lt;= 25%,"High Hike[21-25%]")</f>
        <v>Moderate Hike[16-20%]</v>
      </c>
      <c r="AC1246" s="1">
        <v>3</v>
      </c>
      <c r="AD1246" s="1">
        <v>4</v>
      </c>
      <c r="AE1246" s="1">
        <v>80</v>
      </c>
      <c r="AF1246" s="1">
        <v>0</v>
      </c>
      <c r="AG1246" s="1">
        <v>10</v>
      </c>
      <c r="AH1246" s="9" t="str" cm="1">
        <f t="array" ref="AH1246">_xlfn.IFS(AG1246 &lt;= 5, "New[1-5]", AG1246 &lt;= 10, "Early Career[6-10]", AG1246 &lt;= 20, "Established[11-20]", AG1246 &lt;= 30, "Veteran[21-30]", AG1246 &lt;= 40, "Late Career[31-40]")</f>
        <v>Early Career[6-10]</v>
      </c>
      <c r="AI1246" s="1">
        <v>2</v>
      </c>
      <c r="AJ1246" s="1">
        <v>3</v>
      </c>
      <c r="AK1246" s="1">
        <v>9</v>
      </c>
      <c r="AL1246" s="9" t="str" cm="1">
        <f t="array" ref="AL1246">_xlfn.IFS(AK1246 &lt;= 5, "New[1-5]", AK1246 &lt;= 10, "Early Career[6-10]", AK1246 &lt;= 20, "Established[11-20]", AK1246 &lt;= 30, "Veteran[21-30]", AK1246 &lt;= 40, "Late Career[31-40]")</f>
        <v>Early Career[6-10]</v>
      </c>
      <c r="AM1246" s="1">
        <v>7</v>
      </c>
      <c r="AN1246" s="9" t="str" cm="1">
        <f t="array" ref="AN1246">_xlfn.IFS(AM1246 &lt;= 3, "New to Role[1-3]", AM1246 &lt;= 7, "Settled[4-7]", AM1246 &lt;= 12, "Experienced[[8-12]", AM1246 &lt;= 18, "Long Tenured[13-18]")</f>
        <v>Settled[4-7]</v>
      </c>
      <c r="AO1246" s="1">
        <v>0</v>
      </c>
      <c r="AP1246" s="9" t="str" cm="1">
        <f t="array" ref="AP1246">_xlfn.IFS(AO1246 &lt;= 3, "Recently[1-3]", AO1246 &lt;= 6, "Due Soon[4-6]", AO1246 &lt;= 10, "Overdue[7-10]", AO1246 &lt;= 15, "Long Overdue[11-15]")</f>
        <v>Recently[1-3]</v>
      </c>
      <c r="AQ1246" s="9" t="str" cm="1">
        <f t="array" ref="AQ1246">_xlfn.IFS(AR1246 &lt;= 3, "New Relationship[1-3]", AR1246 &lt;= 7, "Established Relationship[4-7]", AR1246 &lt;= 12, "Long Term Relationship[8-12]", AR1246 &lt;= 17, "Very Long Term Relationship[13-17]")</f>
        <v>Established Relationship[4-7]</v>
      </c>
      <c r="AR1246" s="1">
        <v>7</v>
      </c>
    </row>
    <row r="1247" spans="1:44" x14ac:dyDescent="0.25">
      <c r="A1247" s="1">
        <v>24</v>
      </c>
      <c r="B1247" s="8" t="str" cm="1">
        <f t="array" ref="B1247">_xlfn.IFS(A1247 &lt;= 25, "[18-25]", A1247 &lt;= 35, "[26-35]", A1247 &lt;=45, "[36-45]", A1247 &lt;= 60, "[46- 60]")</f>
        <v>[18-25]</v>
      </c>
      <c r="C1247" s="3" t="s">
        <v>43</v>
      </c>
      <c r="D1247">
        <f t="shared" si="19"/>
        <v>0</v>
      </c>
      <c r="E1247" t="s">
        <v>44</v>
      </c>
      <c r="F1247" s="1">
        <v>897</v>
      </c>
      <c r="G1247" s="3" t="s">
        <v>61</v>
      </c>
      <c r="H1247" s="1">
        <v>10</v>
      </c>
      <c r="I1247" s="9" t="str" cm="1">
        <f t="array" ref="I1247">_xlfn.IFS(H1247 &lt;= 2, "[1-2] very close", H1247 &lt;= 10, "[3-10] close", H1247 &lt;= 20, "[11-20] moderate", H1247 &lt;= 30, "[21-30] far")</f>
        <v>[3-10] close</v>
      </c>
      <c r="J1247" s="1">
        <v>3</v>
      </c>
      <c r="K1247" s="3" t="s">
        <v>51</v>
      </c>
      <c r="L1247" s="1">
        <v>1</v>
      </c>
      <c r="M1247" s="1">
        <v>1746</v>
      </c>
      <c r="N1247" s="1">
        <v>1</v>
      </c>
      <c r="O1247" s="3" t="s">
        <v>46</v>
      </c>
      <c r="P1247" s="1">
        <v>59</v>
      </c>
      <c r="Q1247" s="1">
        <v>3</v>
      </c>
      <c r="R1247" s="1">
        <v>1</v>
      </c>
      <c r="S1247" s="3" t="s">
        <v>61</v>
      </c>
      <c r="T1247" s="1">
        <v>4</v>
      </c>
      <c r="U1247" s="3" t="s">
        <v>48</v>
      </c>
      <c r="V1247" s="4">
        <v>2145</v>
      </c>
      <c r="W1247" s="1">
        <v>2097</v>
      </c>
      <c r="X1247" s="1">
        <v>0</v>
      </c>
      <c r="Y1247" s="3" t="s">
        <v>42</v>
      </c>
      <c r="Z1247" s="3" t="s">
        <v>43</v>
      </c>
      <c r="AA1247" s="5">
        <v>0.14000000000000001</v>
      </c>
      <c r="AB1247" s="10" t="str" cm="1">
        <f t="array" ref="AB1247">_xlfn.IFS(AA1247 &lt;= 15%, "Low Hike[11-15%]", AA1247 &lt;= 20%, "Moderate Hike[16-20%]", AA1247 &lt;= 25%,"High Hike[21-25%]")</f>
        <v>Low Hike[11-15%]</v>
      </c>
      <c r="AC1247" s="1">
        <v>3</v>
      </c>
      <c r="AD1247" s="1">
        <v>4</v>
      </c>
      <c r="AE1247" s="1">
        <v>80</v>
      </c>
      <c r="AF1247" s="1">
        <v>1</v>
      </c>
      <c r="AG1247" s="1">
        <v>3</v>
      </c>
      <c r="AH1247" s="9" t="str" cm="1">
        <f t="array" ref="AH1247">_xlfn.IFS(AG1247 &lt;= 5, "New[1-5]", AG1247 &lt;= 10, "Early Career[6-10]", AG1247 &lt;= 20, "Established[11-20]", AG1247 &lt;= 30, "Veteran[21-30]", AG1247 &lt;= 40, "Late Career[31-40]")</f>
        <v>New[1-5]</v>
      </c>
      <c r="AI1247" s="1">
        <v>2</v>
      </c>
      <c r="AJ1247" s="1">
        <v>3</v>
      </c>
      <c r="AK1247" s="1">
        <v>2</v>
      </c>
      <c r="AL1247" s="9" t="str" cm="1">
        <f t="array" ref="AL1247">_xlfn.IFS(AK1247 &lt;= 5, "New[1-5]", AK1247 &lt;= 10, "Early Career[6-10]", AK1247 &lt;= 20, "Established[11-20]", AK1247 &lt;= 30, "Veteran[21-30]", AK1247 &lt;= 40, "Late Career[31-40]")</f>
        <v>New[1-5]</v>
      </c>
      <c r="AM1247" s="1">
        <v>2</v>
      </c>
      <c r="AN1247" s="9" t="str" cm="1">
        <f t="array" ref="AN1247">_xlfn.IFS(AM1247 &lt;= 3, "New to Role[1-3]", AM1247 &lt;= 7, "Settled[4-7]", AM1247 &lt;= 12, "Experienced[[8-12]", AM1247 &lt;= 18, "Long Tenured[13-18]")</f>
        <v>New to Role[1-3]</v>
      </c>
      <c r="AO1247" s="1">
        <v>2</v>
      </c>
      <c r="AP1247" s="9" t="str" cm="1">
        <f t="array" ref="AP1247">_xlfn.IFS(AO1247 &lt;= 3, "Recently[1-3]", AO1247 &lt;= 6, "Due Soon[4-6]", AO1247 &lt;= 10, "Overdue[7-10]", AO1247 &lt;= 15, "Long Overdue[11-15]")</f>
        <v>Recently[1-3]</v>
      </c>
      <c r="AQ1247" s="9" t="str" cm="1">
        <f t="array" ref="AQ1247">_xlfn.IFS(AR1247 &lt;= 3, "New Relationship[1-3]", AR1247 &lt;= 7, "Established Relationship[4-7]", AR1247 &lt;= 12, "Long Term Relationship[8-12]", AR1247 &lt;= 17, "Very Long Term Relationship[13-17]")</f>
        <v>New Relationship[1-3]</v>
      </c>
      <c r="AR1247" s="1">
        <v>1</v>
      </c>
    </row>
    <row r="1248" spans="1:44" x14ac:dyDescent="0.25">
      <c r="A1248" s="1">
        <v>30</v>
      </c>
      <c r="B1248" s="8" t="str" cm="1">
        <f t="array" ref="B1248">_xlfn.IFS(A1248 &lt;= 25, "[18-25]", A1248 &lt;= 35, "[26-35]", A1248 &lt;=45, "[36-45]", A1248 &lt;= 60, "[46- 60]")</f>
        <v>[26-35]</v>
      </c>
      <c r="C1248" s="3" t="s">
        <v>35</v>
      </c>
      <c r="D1248">
        <f t="shared" si="19"/>
        <v>1</v>
      </c>
      <c r="E1248" t="s">
        <v>44</v>
      </c>
      <c r="F1248" s="1">
        <v>600</v>
      </c>
      <c r="G1248" s="3" t="s">
        <v>61</v>
      </c>
      <c r="H1248" s="1">
        <v>8</v>
      </c>
      <c r="I1248" s="9" t="str" cm="1">
        <f t="array" ref="I1248">_xlfn.IFS(H1248 &lt;= 2, "[1-2] very close", H1248 &lt;= 10, "[3-10] close", H1248 &lt;= 20, "[11-20] moderate", H1248 &lt;= 30, "[21-30] far")</f>
        <v>[3-10] close</v>
      </c>
      <c r="J1248" s="1">
        <v>3</v>
      </c>
      <c r="K1248" s="3" t="s">
        <v>61</v>
      </c>
      <c r="L1248" s="1">
        <v>1</v>
      </c>
      <c r="M1248" s="1">
        <v>1747</v>
      </c>
      <c r="N1248" s="1">
        <v>3</v>
      </c>
      <c r="O1248" s="3" t="s">
        <v>39</v>
      </c>
      <c r="P1248" s="1">
        <v>66</v>
      </c>
      <c r="Q1248" s="1">
        <v>2</v>
      </c>
      <c r="R1248" s="1">
        <v>1</v>
      </c>
      <c r="S1248" s="3" t="s">
        <v>61</v>
      </c>
      <c r="T1248" s="1">
        <v>4</v>
      </c>
      <c r="U1248" s="3" t="s">
        <v>52</v>
      </c>
      <c r="V1248" s="4">
        <v>2180</v>
      </c>
      <c r="W1248" s="1">
        <v>9732</v>
      </c>
      <c r="X1248" s="1">
        <v>6</v>
      </c>
      <c r="Y1248" s="3" t="s">
        <v>42</v>
      </c>
      <c r="Z1248" s="3" t="s">
        <v>43</v>
      </c>
      <c r="AA1248" s="5">
        <v>0.11</v>
      </c>
      <c r="AB1248" s="10" t="str" cm="1">
        <f t="array" ref="AB1248">_xlfn.IFS(AA1248 &lt;= 15%, "Low Hike[11-15%]", AA1248 &lt;= 20%, "Moderate Hike[16-20%]", AA1248 &lt;= 25%,"High Hike[21-25%]")</f>
        <v>Low Hike[11-15%]</v>
      </c>
      <c r="AC1248" s="1">
        <v>3</v>
      </c>
      <c r="AD1248" s="1">
        <v>3</v>
      </c>
      <c r="AE1248" s="1">
        <v>80</v>
      </c>
      <c r="AF1248" s="1">
        <v>1</v>
      </c>
      <c r="AG1248" s="1">
        <v>6</v>
      </c>
      <c r="AH1248" s="9" t="str" cm="1">
        <f t="array" ref="AH1248">_xlfn.IFS(AG1248 &lt;= 5, "New[1-5]", AG1248 &lt;= 10, "Early Career[6-10]", AG1248 &lt;= 20, "Established[11-20]", AG1248 &lt;= 30, "Veteran[21-30]", AG1248 &lt;= 40, "Late Career[31-40]")</f>
        <v>Early Career[6-10]</v>
      </c>
      <c r="AI1248" s="1">
        <v>0</v>
      </c>
      <c r="AJ1248" s="1">
        <v>2</v>
      </c>
      <c r="AK1248" s="1">
        <v>4</v>
      </c>
      <c r="AL1248" s="9" t="str" cm="1">
        <f t="array" ref="AL1248">_xlfn.IFS(AK1248 &lt;= 5, "New[1-5]", AK1248 &lt;= 10, "Early Career[6-10]", AK1248 &lt;= 20, "Established[11-20]", AK1248 &lt;= 30, "Veteran[21-30]", AK1248 &lt;= 40, "Late Career[31-40]")</f>
        <v>New[1-5]</v>
      </c>
      <c r="AM1248" s="1">
        <v>2</v>
      </c>
      <c r="AN1248" s="9" t="str" cm="1">
        <f t="array" ref="AN1248">_xlfn.IFS(AM1248 &lt;= 3, "New to Role[1-3]", AM1248 &lt;= 7, "Settled[4-7]", AM1248 &lt;= 12, "Experienced[[8-12]", AM1248 &lt;= 18, "Long Tenured[13-18]")</f>
        <v>New to Role[1-3]</v>
      </c>
      <c r="AO1248" s="1">
        <v>1</v>
      </c>
      <c r="AP1248" s="9" t="str" cm="1">
        <f t="array" ref="AP1248">_xlfn.IFS(AO1248 &lt;= 3, "Recently[1-3]", AO1248 &lt;= 6, "Due Soon[4-6]", AO1248 &lt;= 10, "Overdue[7-10]", AO1248 &lt;= 15, "Long Overdue[11-15]")</f>
        <v>Recently[1-3]</v>
      </c>
      <c r="AQ1248" s="9" t="str" cm="1">
        <f t="array" ref="AQ1248">_xlfn.IFS(AR1248 &lt;= 3, "New Relationship[1-3]", AR1248 &lt;= 7, "Established Relationship[4-7]", AR1248 &lt;= 12, "Long Term Relationship[8-12]", AR1248 &lt;= 17, "Very Long Term Relationship[13-17]")</f>
        <v>New Relationship[1-3]</v>
      </c>
      <c r="AR1248" s="1">
        <v>2</v>
      </c>
    </row>
    <row r="1249" spans="1:44" x14ac:dyDescent="0.25">
      <c r="A1249" s="1">
        <v>31</v>
      </c>
      <c r="B1249" s="8" t="str" cm="1">
        <f t="array" ref="B1249">_xlfn.IFS(A1249 &lt;= 25, "[18-25]", A1249 &lt;= 35, "[26-35]", A1249 &lt;=45, "[36-45]", A1249 &lt;= 60, "[46- 60]")</f>
        <v>[26-35]</v>
      </c>
      <c r="C1249" s="3" t="s">
        <v>43</v>
      </c>
      <c r="D1249">
        <f t="shared" si="19"/>
        <v>0</v>
      </c>
      <c r="E1249" t="s">
        <v>36</v>
      </c>
      <c r="F1249" s="1">
        <v>1003</v>
      </c>
      <c r="G1249" s="3" t="s">
        <v>37</v>
      </c>
      <c r="H1249" s="1">
        <v>5</v>
      </c>
      <c r="I1249" s="9" t="str" cm="1">
        <f t="array" ref="I1249">_xlfn.IFS(H1249 &lt;= 2, "[1-2] very close", H1249 &lt;= 10, "[3-10] close", H1249 &lt;= 20, "[11-20] moderate", H1249 &lt;= 30, "[21-30] far")</f>
        <v>[3-10] close</v>
      </c>
      <c r="J1249" s="1">
        <v>3</v>
      </c>
      <c r="K1249" s="3" t="s">
        <v>60</v>
      </c>
      <c r="L1249" s="1">
        <v>1</v>
      </c>
      <c r="M1249" s="1">
        <v>1749</v>
      </c>
      <c r="N1249" s="1">
        <v>1</v>
      </c>
      <c r="O1249" s="3" t="s">
        <v>46</v>
      </c>
      <c r="P1249" s="1">
        <v>51</v>
      </c>
      <c r="Q1249" s="1">
        <v>3</v>
      </c>
      <c r="R1249" s="1">
        <v>2</v>
      </c>
      <c r="S1249" s="3" t="s">
        <v>40</v>
      </c>
      <c r="T1249" s="1">
        <v>3</v>
      </c>
      <c r="U1249" s="3" t="s">
        <v>48</v>
      </c>
      <c r="V1249" s="4">
        <v>8346</v>
      </c>
      <c r="W1249" s="1">
        <v>20943</v>
      </c>
      <c r="X1249" s="1">
        <v>1</v>
      </c>
      <c r="Y1249" s="3" t="s">
        <v>42</v>
      </c>
      <c r="Z1249" s="3" t="s">
        <v>43</v>
      </c>
      <c r="AA1249" s="5">
        <v>0.19</v>
      </c>
      <c r="AB1249" s="10" t="str" cm="1">
        <f t="array" ref="AB1249">_xlfn.IFS(AA1249 &lt;= 15%, "Low Hike[11-15%]", AA1249 &lt;= 20%, "Moderate Hike[16-20%]", AA1249 &lt;= 25%,"High Hike[21-25%]")</f>
        <v>Moderate Hike[16-20%]</v>
      </c>
      <c r="AC1249" s="1">
        <v>3</v>
      </c>
      <c r="AD1249" s="1">
        <v>3</v>
      </c>
      <c r="AE1249" s="1">
        <v>80</v>
      </c>
      <c r="AF1249" s="1">
        <v>1</v>
      </c>
      <c r="AG1249" s="1">
        <v>6</v>
      </c>
      <c r="AH1249" s="9" t="str" cm="1">
        <f t="array" ref="AH1249">_xlfn.IFS(AG1249 &lt;= 5, "New[1-5]", AG1249 &lt;= 10, "Early Career[6-10]", AG1249 &lt;= 20, "Established[11-20]", AG1249 &lt;= 30, "Veteran[21-30]", AG1249 &lt;= 40, "Late Career[31-40]")</f>
        <v>Early Career[6-10]</v>
      </c>
      <c r="AI1249" s="1">
        <v>3</v>
      </c>
      <c r="AJ1249" s="1">
        <v>3</v>
      </c>
      <c r="AK1249" s="1">
        <v>5</v>
      </c>
      <c r="AL1249" s="9" t="str" cm="1">
        <f t="array" ref="AL1249">_xlfn.IFS(AK1249 &lt;= 5, "New[1-5]", AK1249 &lt;= 10, "Early Career[6-10]", AK1249 &lt;= 20, "Established[11-20]", AK1249 &lt;= 30, "Veteran[21-30]", AK1249 &lt;= 40, "Late Career[31-40]")</f>
        <v>New[1-5]</v>
      </c>
      <c r="AM1249" s="1">
        <v>2</v>
      </c>
      <c r="AN1249" s="9" t="str" cm="1">
        <f t="array" ref="AN1249">_xlfn.IFS(AM1249 &lt;= 3, "New to Role[1-3]", AM1249 &lt;= 7, "Settled[4-7]", AM1249 &lt;= 12, "Experienced[[8-12]", AM1249 &lt;= 18, "Long Tenured[13-18]")</f>
        <v>New to Role[1-3]</v>
      </c>
      <c r="AO1249" s="1">
        <v>0</v>
      </c>
      <c r="AP1249" s="9" t="str" cm="1">
        <f t="array" ref="AP1249">_xlfn.IFS(AO1249 &lt;= 3, "Recently[1-3]", AO1249 &lt;= 6, "Due Soon[4-6]", AO1249 &lt;= 10, "Overdue[7-10]", AO1249 &lt;= 15, "Long Overdue[11-15]")</f>
        <v>Recently[1-3]</v>
      </c>
      <c r="AQ1249" s="9" t="str" cm="1">
        <f t="array" ref="AQ1249">_xlfn.IFS(AR1249 &lt;= 3, "New Relationship[1-3]", AR1249 &lt;= 7, "Established Relationship[4-7]", AR1249 &lt;= 12, "Long Term Relationship[8-12]", AR1249 &lt;= 17, "Very Long Term Relationship[13-17]")</f>
        <v>New Relationship[1-3]</v>
      </c>
      <c r="AR1249" s="1">
        <v>2</v>
      </c>
    </row>
    <row r="1250" spans="1:44" x14ac:dyDescent="0.25">
      <c r="A1250" s="1">
        <v>27</v>
      </c>
      <c r="B1250" s="8" t="str" cm="1">
        <f t="array" ref="B1250">_xlfn.IFS(A1250 &lt;= 25, "[18-25]", A1250 &lt;= 35, "[26-35]", A1250 &lt;=45, "[36-45]", A1250 &lt;= 60, "[46- 60]")</f>
        <v>[26-35]</v>
      </c>
      <c r="C1250" s="3" t="s">
        <v>43</v>
      </c>
      <c r="D1250">
        <f t="shared" si="19"/>
        <v>0</v>
      </c>
      <c r="E1250" t="s">
        <v>36</v>
      </c>
      <c r="F1250" s="1">
        <v>1054</v>
      </c>
      <c r="G1250" s="3" t="s">
        <v>45</v>
      </c>
      <c r="H1250" s="1">
        <v>8</v>
      </c>
      <c r="I1250" s="9" t="str" cm="1">
        <f t="array" ref="I1250">_xlfn.IFS(H1250 &lt;= 2, "[1-2] very close", H1250 &lt;= 10, "[3-10] close", H1250 &lt;= 20, "[11-20] moderate", H1250 &lt;= 30, "[21-30] far")</f>
        <v>[3-10] close</v>
      </c>
      <c r="J1250" s="1">
        <v>3</v>
      </c>
      <c r="K1250" s="3" t="s">
        <v>51</v>
      </c>
      <c r="L1250" s="1">
        <v>1</v>
      </c>
      <c r="M1250" s="1">
        <v>1751</v>
      </c>
      <c r="N1250" s="1">
        <v>3</v>
      </c>
      <c r="O1250" s="3" t="s">
        <v>39</v>
      </c>
      <c r="P1250" s="1">
        <v>67</v>
      </c>
      <c r="Q1250" s="1">
        <v>3</v>
      </c>
      <c r="R1250" s="1">
        <v>1</v>
      </c>
      <c r="S1250" s="3" t="s">
        <v>47</v>
      </c>
      <c r="T1250" s="1">
        <v>4</v>
      </c>
      <c r="U1250" s="3" t="s">
        <v>41</v>
      </c>
      <c r="V1250" s="4">
        <v>3445</v>
      </c>
      <c r="W1250" s="1">
        <v>6152</v>
      </c>
      <c r="X1250" s="1">
        <v>1</v>
      </c>
      <c r="Y1250" s="3" t="s">
        <v>42</v>
      </c>
      <c r="Z1250" s="3" t="s">
        <v>43</v>
      </c>
      <c r="AA1250" s="5">
        <v>0.11</v>
      </c>
      <c r="AB1250" s="10" t="str" cm="1">
        <f t="array" ref="AB1250">_xlfn.IFS(AA1250 &lt;= 15%, "Low Hike[11-15%]", AA1250 &lt;= 20%, "Moderate Hike[16-20%]", AA1250 &lt;= 25%,"High Hike[21-25%]")</f>
        <v>Low Hike[11-15%]</v>
      </c>
      <c r="AC1250" s="1">
        <v>3</v>
      </c>
      <c r="AD1250" s="1">
        <v>3</v>
      </c>
      <c r="AE1250" s="1">
        <v>80</v>
      </c>
      <c r="AF1250" s="1">
        <v>0</v>
      </c>
      <c r="AG1250" s="1">
        <v>6</v>
      </c>
      <c r="AH1250" s="9" t="str" cm="1">
        <f t="array" ref="AH1250">_xlfn.IFS(AG1250 &lt;= 5, "New[1-5]", AG1250 &lt;= 10, "Early Career[6-10]", AG1250 &lt;= 20, "Established[11-20]", AG1250 &lt;= 30, "Veteran[21-30]", AG1250 &lt;= 40, "Late Career[31-40]")</f>
        <v>Early Career[6-10]</v>
      </c>
      <c r="AI1250" s="1">
        <v>5</v>
      </c>
      <c r="AJ1250" s="1">
        <v>2</v>
      </c>
      <c r="AK1250" s="1">
        <v>6</v>
      </c>
      <c r="AL1250" s="9" t="str" cm="1">
        <f t="array" ref="AL1250">_xlfn.IFS(AK1250 &lt;= 5, "New[1-5]", AK1250 &lt;= 10, "Early Career[6-10]", AK1250 &lt;= 20, "Established[11-20]", AK1250 &lt;= 30, "Veteran[21-30]", AK1250 &lt;= 40, "Late Career[31-40]")</f>
        <v>Early Career[6-10]</v>
      </c>
      <c r="AM1250" s="1">
        <v>2</v>
      </c>
      <c r="AN1250" s="9" t="str" cm="1">
        <f t="array" ref="AN1250">_xlfn.IFS(AM1250 &lt;= 3, "New to Role[1-3]", AM1250 &lt;= 7, "Settled[4-7]", AM1250 &lt;= 12, "Experienced[[8-12]", AM1250 &lt;= 18, "Long Tenured[13-18]")</f>
        <v>New to Role[1-3]</v>
      </c>
      <c r="AO1250" s="1">
        <v>1</v>
      </c>
      <c r="AP1250" s="9" t="str" cm="1">
        <f t="array" ref="AP1250">_xlfn.IFS(AO1250 &lt;= 3, "Recently[1-3]", AO1250 &lt;= 6, "Due Soon[4-6]", AO1250 &lt;= 10, "Overdue[7-10]", AO1250 &lt;= 15, "Long Overdue[11-15]")</f>
        <v>Recently[1-3]</v>
      </c>
      <c r="AQ1250" s="9" t="str" cm="1">
        <f t="array" ref="AQ1250">_xlfn.IFS(AR1250 &lt;= 3, "New Relationship[1-3]", AR1250 &lt;= 7, "Established Relationship[4-7]", AR1250 &lt;= 12, "Long Term Relationship[8-12]", AR1250 &lt;= 17, "Very Long Term Relationship[13-17]")</f>
        <v>Established Relationship[4-7]</v>
      </c>
      <c r="AR1250" s="1">
        <v>4</v>
      </c>
    </row>
    <row r="1251" spans="1:44" x14ac:dyDescent="0.25">
      <c r="A1251" s="1">
        <v>29</v>
      </c>
      <c r="B1251" s="8" t="str" cm="1">
        <f t="array" ref="B1251">_xlfn.IFS(A1251 &lt;= 25, "[18-25]", A1251 &lt;= 35, "[26-35]", A1251 &lt;=45, "[36-45]", A1251 &lt;= 60, "[46- 60]")</f>
        <v>[26-35]</v>
      </c>
      <c r="C1251" s="3" t="s">
        <v>35</v>
      </c>
      <c r="D1251">
        <f t="shared" si="19"/>
        <v>1</v>
      </c>
      <c r="E1251" t="s">
        <v>36</v>
      </c>
      <c r="F1251" s="1">
        <v>428</v>
      </c>
      <c r="G1251" s="3" t="s">
        <v>37</v>
      </c>
      <c r="H1251" s="1">
        <v>9</v>
      </c>
      <c r="I1251" s="9" t="str" cm="1">
        <f t="array" ref="I1251">_xlfn.IFS(H1251 &lt;= 2, "[1-2] very close", H1251 &lt;= 10, "[3-10] close", H1251 &lt;= 20, "[11-20] moderate", H1251 &lt;= 30, "[21-30] far")</f>
        <v>[3-10] close</v>
      </c>
      <c r="J1251" s="1">
        <v>3</v>
      </c>
      <c r="K1251" s="3" t="s">
        <v>59</v>
      </c>
      <c r="L1251" s="1">
        <v>1</v>
      </c>
      <c r="M1251" s="1">
        <v>1752</v>
      </c>
      <c r="N1251" s="1">
        <v>2</v>
      </c>
      <c r="O1251" s="3" t="s">
        <v>39</v>
      </c>
      <c r="P1251" s="1">
        <v>52</v>
      </c>
      <c r="Q1251" s="1">
        <v>1</v>
      </c>
      <c r="R1251" s="1">
        <v>1</v>
      </c>
      <c r="S1251" s="3" t="s">
        <v>57</v>
      </c>
      <c r="T1251" s="1">
        <v>2</v>
      </c>
      <c r="U1251" s="3" t="s">
        <v>41</v>
      </c>
      <c r="V1251" s="4">
        <v>2760</v>
      </c>
      <c r="W1251" s="1">
        <v>14630</v>
      </c>
      <c r="X1251" s="1">
        <v>1</v>
      </c>
      <c r="Y1251" s="3" t="s">
        <v>42</v>
      </c>
      <c r="Z1251" s="3" t="s">
        <v>43</v>
      </c>
      <c r="AA1251" s="5">
        <v>0.13</v>
      </c>
      <c r="AB1251" s="10" t="str" cm="1">
        <f t="array" ref="AB1251">_xlfn.IFS(AA1251 &lt;= 15%, "Low Hike[11-15%]", AA1251 &lt;= 20%, "Moderate Hike[16-20%]", AA1251 &lt;= 25%,"High Hike[21-25%]")</f>
        <v>Low Hike[11-15%]</v>
      </c>
      <c r="AC1251" s="1">
        <v>3</v>
      </c>
      <c r="AD1251" s="1">
        <v>3</v>
      </c>
      <c r="AE1251" s="1">
        <v>80</v>
      </c>
      <c r="AF1251" s="1">
        <v>0</v>
      </c>
      <c r="AG1251" s="1">
        <v>2</v>
      </c>
      <c r="AH1251" s="9" t="str" cm="1">
        <f t="array" ref="AH1251">_xlfn.IFS(AG1251 &lt;= 5, "New[1-5]", AG1251 &lt;= 10, "Early Career[6-10]", AG1251 &lt;= 20, "Established[11-20]", AG1251 &lt;= 30, "Veteran[21-30]", AG1251 &lt;= 40, "Late Career[31-40]")</f>
        <v>New[1-5]</v>
      </c>
      <c r="AI1251" s="1">
        <v>3</v>
      </c>
      <c r="AJ1251" s="1">
        <v>3</v>
      </c>
      <c r="AK1251" s="1">
        <v>2</v>
      </c>
      <c r="AL1251" s="9" t="str" cm="1">
        <f t="array" ref="AL1251">_xlfn.IFS(AK1251 &lt;= 5, "New[1-5]", AK1251 &lt;= 10, "Early Career[6-10]", AK1251 &lt;= 20, "Established[11-20]", AK1251 &lt;= 30, "Veteran[21-30]", AK1251 &lt;= 40, "Late Career[31-40]")</f>
        <v>New[1-5]</v>
      </c>
      <c r="AM1251" s="1">
        <v>2</v>
      </c>
      <c r="AN1251" s="9" t="str" cm="1">
        <f t="array" ref="AN1251">_xlfn.IFS(AM1251 &lt;= 3, "New to Role[1-3]", AM1251 &lt;= 7, "Settled[4-7]", AM1251 &lt;= 12, "Experienced[[8-12]", AM1251 &lt;= 18, "Long Tenured[13-18]")</f>
        <v>New to Role[1-3]</v>
      </c>
      <c r="AO1251" s="1">
        <v>2</v>
      </c>
      <c r="AP1251" s="9" t="str" cm="1">
        <f t="array" ref="AP1251">_xlfn.IFS(AO1251 &lt;= 3, "Recently[1-3]", AO1251 &lt;= 6, "Due Soon[4-6]", AO1251 &lt;= 10, "Overdue[7-10]", AO1251 &lt;= 15, "Long Overdue[11-15]")</f>
        <v>Recently[1-3]</v>
      </c>
      <c r="AQ1251" s="9" t="str" cm="1">
        <f t="array" ref="AQ1251">_xlfn.IFS(AR1251 &lt;= 3, "New Relationship[1-3]", AR1251 &lt;= 7, "Established Relationship[4-7]", AR1251 &lt;= 12, "Long Term Relationship[8-12]", AR1251 &lt;= 17, "Very Long Term Relationship[13-17]")</f>
        <v>New Relationship[1-3]</v>
      </c>
      <c r="AR1251" s="1">
        <v>2</v>
      </c>
    </row>
    <row r="1252" spans="1:44" x14ac:dyDescent="0.25">
      <c r="A1252" s="1">
        <v>29</v>
      </c>
      <c r="B1252" s="8" t="str" cm="1">
        <f t="array" ref="B1252">_xlfn.IFS(A1252 &lt;= 25, "[18-25]", A1252 &lt;= 35, "[26-35]", A1252 &lt;=45, "[36-45]", A1252 &lt;= 60, "[46- 60]")</f>
        <v>[26-35]</v>
      </c>
      <c r="C1252" s="3" t="s">
        <v>43</v>
      </c>
      <c r="D1252">
        <f t="shared" si="19"/>
        <v>0</v>
      </c>
      <c r="E1252" t="s">
        <v>44</v>
      </c>
      <c r="F1252" s="1">
        <v>461</v>
      </c>
      <c r="G1252" s="3" t="s">
        <v>45</v>
      </c>
      <c r="H1252" s="1">
        <v>1</v>
      </c>
      <c r="I1252" s="9" t="str" cm="1">
        <f t="array" ref="I1252">_xlfn.IFS(H1252 &lt;= 2, "[1-2] very close", H1252 &lt;= 10, "[3-10] close", H1252 &lt;= 20, "[11-20] moderate", H1252 &lt;= 30, "[21-30] far")</f>
        <v>[1-2] very close</v>
      </c>
      <c r="J1252" s="1">
        <v>3</v>
      </c>
      <c r="K1252" s="3" t="s">
        <v>38</v>
      </c>
      <c r="L1252" s="1">
        <v>1</v>
      </c>
      <c r="M1252" s="1">
        <v>1753</v>
      </c>
      <c r="N1252" s="1">
        <v>4</v>
      </c>
      <c r="O1252" s="3" t="s">
        <v>46</v>
      </c>
      <c r="P1252" s="1">
        <v>70</v>
      </c>
      <c r="Q1252" s="1">
        <v>4</v>
      </c>
      <c r="R1252" s="1">
        <v>2</v>
      </c>
      <c r="S1252" s="3" t="s">
        <v>54</v>
      </c>
      <c r="T1252" s="1">
        <v>3</v>
      </c>
      <c r="U1252" s="3" t="s">
        <v>41</v>
      </c>
      <c r="V1252" s="4">
        <v>6294</v>
      </c>
      <c r="W1252" s="1">
        <v>23060</v>
      </c>
      <c r="X1252" s="1">
        <v>8</v>
      </c>
      <c r="Y1252" s="3" t="s">
        <v>42</v>
      </c>
      <c r="Z1252" s="3" t="s">
        <v>35</v>
      </c>
      <c r="AA1252" s="5">
        <v>0.12</v>
      </c>
      <c r="AB1252" s="10" t="str" cm="1">
        <f t="array" ref="AB1252">_xlfn.IFS(AA1252 &lt;= 15%, "Low Hike[11-15%]", AA1252 &lt;= 20%, "Moderate Hike[16-20%]", AA1252 &lt;= 25%,"High Hike[21-25%]")</f>
        <v>Low Hike[11-15%]</v>
      </c>
      <c r="AC1252" s="1">
        <v>3</v>
      </c>
      <c r="AD1252" s="1">
        <v>4</v>
      </c>
      <c r="AE1252" s="1">
        <v>80</v>
      </c>
      <c r="AF1252" s="1">
        <v>0</v>
      </c>
      <c r="AG1252" s="1">
        <v>10</v>
      </c>
      <c r="AH1252" s="9" t="str" cm="1">
        <f t="array" ref="AH1252">_xlfn.IFS(AG1252 &lt;= 5, "New[1-5]", AG1252 &lt;= 10, "Early Career[6-10]", AG1252 &lt;= 20, "Established[11-20]", AG1252 &lt;= 30, "Veteran[21-30]", AG1252 &lt;= 40, "Late Career[31-40]")</f>
        <v>Early Career[6-10]</v>
      </c>
      <c r="AI1252" s="1">
        <v>5</v>
      </c>
      <c r="AJ1252" s="1">
        <v>4</v>
      </c>
      <c r="AK1252" s="1">
        <v>3</v>
      </c>
      <c r="AL1252" s="9" t="str" cm="1">
        <f t="array" ref="AL1252">_xlfn.IFS(AK1252 &lt;= 5, "New[1-5]", AK1252 &lt;= 10, "Early Career[6-10]", AK1252 &lt;= 20, "Established[11-20]", AK1252 &lt;= 30, "Veteran[21-30]", AK1252 &lt;= 40, "Late Career[31-40]")</f>
        <v>New[1-5]</v>
      </c>
      <c r="AM1252" s="1">
        <v>2</v>
      </c>
      <c r="AN1252" s="9" t="str" cm="1">
        <f t="array" ref="AN1252">_xlfn.IFS(AM1252 &lt;= 3, "New to Role[1-3]", AM1252 &lt;= 7, "Settled[4-7]", AM1252 &lt;= 12, "Experienced[[8-12]", AM1252 &lt;= 18, "Long Tenured[13-18]")</f>
        <v>New to Role[1-3]</v>
      </c>
      <c r="AO1252" s="1">
        <v>0</v>
      </c>
      <c r="AP1252" s="9" t="str" cm="1">
        <f t="array" ref="AP1252">_xlfn.IFS(AO1252 &lt;= 3, "Recently[1-3]", AO1252 &lt;= 6, "Due Soon[4-6]", AO1252 &lt;= 10, "Overdue[7-10]", AO1252 &lt;= 15, "Long Overdue[11-15]")</f>
        <v>Recently[1-3]</v>
      </c>
      <c r="AQ1252" s="9" t="str" cm="1">
        <f t="array" ref="AQ1252">_xlfn.IFS(AR1252 &lt;= 3, "New Relationship[1-3]", AR1252 &lt;= 7, "Established Relationship[4-7]", AR1252 &lt;= 12, "Long Term Relationship[8-12]", AR1252 &lt;= 17, "Very Long Term Relationship[13-17]")</f>
        <v>New Relationship[1-3]</v>
      </c>
      <c r="AR1252" s="1">
        <v>2</v>
      </c>
    </row>
    <row r="1253" spans="1:44" x14ac:dyDescent="0.25">
      <c r="A1253" s="1">
        <v>30</v>
      </c>
      <c r="B1253" s="8" t="str" cm="1">
        <f t="array" ref="B1253">_xlfn.IFS(A1253 &lt;= 25, "[18-25]", A1253 &lt;= 35, "[26-35]", A1253 &lt;=45, "[36-45]", A1253 &lt;= 60, "[46- 60]")</f>
        <v>[26-35]</v>
      </c>
      <c r="C1253" s="3" t="s">
        <v>43</v>
      </c>
      <c r="D1253">
        <f t="shared" si="19"/>
        <v>0</v>
      </c>
      <c r="E1253" t="s">
        <v>36</v>
      </c>
      <c r="F1253" s="1">
        <v>979</v>
      </c>
      <c r="G1253" s="3" t="s">
        <v>37</v>
      </c>
      <c r="H1253" s="1">
        <v>15</v>
      </c>
      <c r="I1253" s="9" t="str" cm="1">
        <f t="array" ref="I1253">_xlfn.IFS(H1253 &lt;= 2, "[1-2] very close", H1253 &lt;= 10, "[3-10] close", H1253 &lt;= 20, "[11-20] moderate", H1253 &lt;= 30, "[21-30] far")</f>
        <v>[11-20] moderate</v>
      </c>
      <c r="J1253" s="1">
        <v>2</v>
      </c>
      <c r="K1253" s="3" t="s">
        <v>59</v>
      </c>
      <c r="L1253" s="1">
        <v>1</v>
      </c>
      <c r="M1253" s="1">
        <v>1754</v>
      </c>
      <c r="N1253" s="1">
        <v>3</v>
      </c>
      <c r="O1253" s="3" t="s">
        <v>46</v>
      </c>
      <c r="P1253" s="1">
        <v>94</v>
      </c>
      <c r="Q1253" s="1">
        <v>2</v>
      </c>
      <c r="R1253" s="1">
        <v>3</v>
      </c>
      <c r="S1253" s="3" t="s">
        <v>40</v>
      </c>
      <c r="T1253" s="1">
        <v>1</v>
      </c>
      <c r="U1253" s="3" t="s">
        <v>52</v>
      </c>
      <c r="V1253" s="4">
        <v>7140</v>
      </c>
      <c r="W1253" s="1">
        <v>3088</v>
      </c>
      <c r="X1253" s="1">
        <v>2</v>
      </c>
      <c r="Y1253" s="3" t="s">
        <v>42</v>
      </c>
      <c r="Z1253" s="3" t="s">
        <v>43</v>
      </c>
      <c r="AA1253" s="5">
        <v>0.11</v>
      </c>
      <c r="AB1253" s="10" t="str" cm="1">
        <f t="array" ref="AB1253">_xlfn.IFS(AA1253 &lt;= 15%, "Low Hike[11-15%]", AA1253 &lt;= 20%, "Moderate Hike[16-20%]", AA1253 &lt;= 25%,"High Hike[21-25%]")</f>
        <v>Low Hike[11-15%]</v>
      </c>
      <c r="AC1253" s="1">
        <v>3</v>
      </c>
      <c r="AD1253" s="1">
        <v>1</v>
      </c>
      <c r="AE1253" s="1">
        <v>80</v>
      </c>
      <c r="AF1253" s="1">
        <v>1</v>
      </c>
      <c r="AG1253" s="1">
        <v>12</v>
      </c>
      <c r="AH1253" s="9" t="str" cm="1">
        <f t="array" ref="AH1253">_xlfn.IFS(AG1253 &lt;= 5, "New[1-5]", AG1253 &lt;= 10, "Early Career[6-10]", AG1253 &lt;= 20, "Established[11-20]", AG1253 &lt;= 30, "Veteran[21-30]", AG1253 &lt;= 40, "Late Career[31-40]")</f>
        <v>Established[11-20]</v>
      </c>
      <c r="AI1253" s="1">
        <v>2</v>
      </c>
      <c r="AJ1253" s="1">
        <v>3</v>
      </c>
      <c r="AK1253" s="1">
        <v>7</v>
      </c>
      <c r="AL1253" s="9" t="str" cm="1">
        <f t="array" ref="AL1253">_xlfn.IFS(AK1253 &lt;= 5, "New[1-5]", AK1253 &lt;= 10, "Early Career[6-10]", AK1253 &lt;= 20, "Established[11-20]", AK1253 &lt;= 30, "Veteran[21-30]", AK1253 &lt;= 40, "Late Career[31-40]")</f>
        <v>Early Career[6-10]</v>
      </c>
      <c r="AM1253" s="1">
        <v>7</v>
      </c>
      <c r="AN1253" s="9" t="str" cm="1">
        <f t="array" ref="AN1253">_xlfn.IFS(AM1253 &lt;= 3, "New to Role[1-3]", AM1253 &lt;= 7, "Settled[4-7]", AM1253 &lt;= 12, "Experienced[[8-12]", AM1253 &lt;= 18, "Long Tenured[13-18]")</f>
        <v>Settled[4-7]</v>
      </c>
      <c r="AO1253" s="1">
        <v>1</v>
      </c>
      <c r="AP1253" s="9" t="str" cm="1">
        <f t="array" ref="AP1253">_xlfn.IFS(AO1253 &lt;= 3, "Recently[1-3]", AO1253 &lt;= 6, "Due Soon[4-6]", AO1253 &lt;= 10, "Overdue[7-10]", AO1253 &lt;= 15, "Long Overdue[11-15]")</f>
        <v>Recently[1-3]</v>
      </c>
      <c r="AQ1253" s="9" t="str" cm="1">
        <f t="array" ref="AQ1253">_xlfn.IFS(AR1253 &lt;= 3, "New Relationship[1-3]", AR1253 &lt;= 7, "Established Relationship[4-7]", AR1253 &lt;= 12, "Long Term Relationship[8-12]", AR1253 &lt;= 17, "Very Long Term Relationship[13-17]")</f>
        <v>Established Relationship[4-7]</v>
      </c>
      <c r="AR1253" s="1">
        <v>7</v>
      </c>
    </row>
    <row r="1254" spans="1:44" x14ac:dyDescent="0.25">
      <c r="A1254" s="1">
        <v>34</v>
      </c>
      <c r="B1254" s="8" t="str" cm="1">
        <f t="array" ref="B1254">_xlfn.IFS(A1254 &lt;= 25, "[18-25]", A1254 &lt;= 35, "[26-35]", A1254 &lt;=45, "[36-45]", A1254 &lt;= 60, "[46- 60]")</f>
        <v>[26-35]</v>
      </c>
      <c r="C1254" s="3" t="s">
        <v>43</v>
      </c>
      <c r="D1254">
        <f t="shared" si="19"/>
        <v>0</v>
      </c>
      <c r="E1254" t="s">
        <v>36</v>
      </c>
      <c r="F1254" s="1">
        <v>181</v>
      </c>
      <c r="G1254" s="3" t="s">
        <v>45</v>
      </c>
      <c r="H1254" s="1">
        <v>2</v>
      </c>
      <c r="I1254" s="9" t="str" cm="1">
        <f t="array" ref="I1254">_xlfn.IFS(H1254 &lt;= 2, "[1-2] very close", H1254 &lt;= 10, "[3-10] close", H1254 &lt;= 20, "[11-20] moderate", H1254 &lt;= 30, "[21-30] far")</f>
        <v>[1-2] very close</v>
      </c>
      <c r="J1254" s="1">
        <v>4</v>
      </c>
      <c r="K1254" s="3" t="s">
        <v>51</v>
      </c>
      <c r="L1254" s="1">
        <v>1</v>
      </c>
      <c r="M1254" s="1">
        <v>1755</v>
      </c>
      <c r="N1254" s="1">
        <v>4</v>
      </c>
      <c r="O1254" s="3" t="s">
        <v>46</v>
      </c>
      <c r="P1254" s="1">
        <v>97</v>
      </c>
      <c r="Q1254" s="1">
        <v>4</v>
      </c>
      <c r="R1254" s="1">
        <v>1</v>
      </c>
      <c r="S1254" s="3" t="s">
        <v>47</v>
      </c>
      <c r="T1254" s="1">
        <v>4</v>
      </c>
      <c r="U1254" s="3" t="s">
        <v>48</v>
      </c>
      <c r="V1254" s="4">
        <v>2932</v>
      </c>
      <c r="W1254" s="1">
        <v>5586</v>
      </c>
      <c r="X1254" s="1">
        <v>0</v>
      </c>
      <c r="Y1254" s="3" t="s">
        <v>42</v>
      </c>
      <c r="Z1254" s="3" t="s">
        <v>35</v>
      </c>
      <c r="AA1254" s="5">
        <v>0.14000000000000001</v>
      </c>
      <c r="AB1254" s="10" t="str" cm="1">
        <f t="array" ref="AB1254">_xlfn.IFS(AA1254 &lt;= 15%, "Low Hike[11-15%]", AA1254 &lt;= 20%, "Moderate Hike[16-20%]", AA1254 &lt;= 25%,"High Hike[21-25%]")</f>
        <v>Low Hike[11-15%]</v>
      </c>
      <c r="AC1254" s="1">
        <v>3</v>
      </c>
      <c r="AD1254" s="1">
        <v>1</v>
      </c>
      <c r="AE1254" s="1">
        <v>80</v>
      </c>
      <c r="AF1254" s="1">
        <v>3</v>
      </c>
      <c r="AG1254" s="1">
        <v>6</v>
      </c>
      <c r="AH1254" s="9" t="str" cm="1">
        <f t="array" ref="AH1254">_xlfn.IFS(AG1254 &lt;= 5, "New[1-5]", AG1254 &lt;= 10, "Early Career[6-10]", AG1254 &lt;= 20, "Established[11-20]", AG1254 &lt;= 30, "Veteran[21-30]", AG1254 &lt;= 40, "Late Career[31-40]")</f>
        <v>Early Career[6-10]</v>
      </c>
      <c r="AI1254" s="1">
        <v>3</v>
      </c>
      <c r="AJ1254" s="1">
        <v>3</v>
      </c>
      <c r="AK1254" s="1">
        <v>5</v>
      </c>
      <c r="AL1254" s="9" t="str" cm="1">
        <f t="array" ref="AL1254">_xlfn.IFS(AK1254 &lt;= 5, "New[1-5]", AK1254 &lt;= 10, "Early Career[6-10]", AK1254 &lt;= 20, "Established[11-20]", AK1254 &lt;= 30, "Veteran[21-30]", AK1254 &lt;= 40, "Late Career[31-40]")</f>
        <v>New[1-5]</v>
      </c>
      <c r="AM1254" s="1">
        <v>0</v>
      </c>
      <c r="AN1254" s="9" t="str" cm="1">
        <f t="array" ref="AN1254">_xlfn.IFS(AM1254 &lt;= 3, "New to Role[1-3]", AM1254 &lt;= 7, "Settled[4-7]", AM1254 &lt;= 12, "Experienced[[8-12]", AM1254 &lt;= 18, "Long Tenured[13-18]")</f>
        <v>New to Role[1-3]</v>
      </c>
      <c r="AO1254" s="1">
        <v>1</v>
      </c>
      <c r="AP1254" s="9" t="str" cm="1">
        <f t="array" ref="AP1254">_xlfn.IFS(AO1254 &lt;= 3, "Recently[1-3]", AO1254 &lt;= 6, "Due Soon[4-6]", AO1254 &lt;= 10, "Overdue[7-10]", AO1254 &lt;= 15, "Long Overdue[11-15]")</f>
        <v>Recently[1-3]</v>
      </c>
      <c r="AQ1254" s="9" t="str" cm="1">
        <f t="array" ref="AQ1254">_xlfn.IFS(AR1254 &lt;= 3, "New Relationship[1-3]", AR1254 &lt;= 7, "Established Relationship[4-7]", AR1254 &lt;= 12, "Long Term Relationship[8-12]", AR1254 &lt;= 17, "Very Long Term Relationship[13-17]")</f>
        <v>New Relationship[1-3]</v>
      </c>
      <c r="AR1254" s="1">
        <v>2</v>
      </c>
    </row>
    <row r="1255" spans="1:44" x14ac:dyDescent="0.25">
      <c r="A1255" s="1">
        <v>33</v>
      </c>
      <c r="B1255" s="8" t="str" cm="1">
        <f t="array" ref="B1255">_xlfn.IFS(A1255 &lt;= 25, "[18-25]", A1255 &lt;= 35, "[26-35]", A1255 &lt;=45, "[36-45]", A1255 &lt;= 60, "[46- 60]")</f>
        <v>[26-35]</v>
      </c>
      <c r="C1255" s="3" t="s">
        <v>43</v>
      </c>
      <c r="D1255">
        <f t="shared" si="19"/>
        <v>0</v>
      </c>
      <c r="E1255" t="s">
        <v>62</v>
      </c>
      <c r="F1255" s="1">
        <v>1283</v>
      </c>
      <c r="G1255" s="3" t="s">
        <v>37</v>
      </c>
      <c r="H1255" s="1">
        <v>2</v>
      </c>
      <c r="I1255" s="9" t="str" cm="1">
        <f t="array" ref="I1255">_xlfn.IFS(H1255 &lt;= 2, "[1-2] very close", H1255 &lt;= 10, "[3-10] close", H1255 &lt;= 20, "[11-20] moderate", H1255 &lt;= 30, "[21-30] far")</f>
        <v>[1-2] very close</v>
      </c>
      <c r="J1255" s="1">
        <v>3</v>
      </c>
      <c r="K1255" s="3" t="s">
        <v>59</v>
      </c>
      <c r="L1255" s="1">
        <v>1</v>
      </c>
      <c r="M1255" s="1">
        <v>1756</v>
      </c>
      <c r="N1255" s="1">
        <v>4</v>
      </c>
      <c r="O1255" s="3" t="s">
        <v>39</v>
      </c>
      <c r="P1255" s="1">
        <v>62</v>
      </c>
      <c r="Q1255" s="1">
        <v>3</v>
      </c>
      <c r="R1255" s="1">
        <v>2</v>
      </c>
      <c r="S1255" s="3" t="s">
        <v>40</v>
      </c>
      <c r="T1255" s="1">
        <v>2</v>
      </c>
      <c r="U1255" s="3" t="s">
        <v>41</v>
      </c>
      <c r="V1255" s="4">
        <v>5147</v>
      </c>
      <c r="W1255" s="1">
        <v>10697</v>
      </c>
      <c r="X1255" s="1">
        <v>8</v>
      </c>
      <c r="Y1255" s="3" t="s">
        <v>42</v>
      </c>
      <c r="Z1255" s="3" t="s">
        <v>43</v>
      </c>
      <c r="AA1255" s="5">
        <v>0.15</v>
      </c>
      <c r="AB1255" s="10" t="str" cm="1">
        <f t="array" ref="AB1255">_xlfn.IFS(AA1255 &lt;= 15%, "Low Hike[11-15%]", AA1255 &lt;= 20%, "Moderate Hike[16-20%]", AA1255 &lt;= 25%,"High Hike[21-25%]")</f>
        <v>Low Hike[11-15%]</v>
      </c>
      <c r="AC1255" s="1">
        <v>3</v>
      </c>
      <c r="AD1255" s="1">
        <v>4</v>
      </c>
      <c r="AE1255" s="1">
        <v>80</v>
      </c>
      <c r="AF1255" s="1">
        <v>0</v>
      </c>
      <c r="AG1255" s="1">
        <v>13</v>
      </c>
      <c r="AH1255" s="9" t="str" cm="1">
        <f t="array" ref="AH1255">_xlfn.IFS(AG1255 &lt;= 5, "New[1-5]", AG1255 &lt;= 10, "Early Career[6-10]", AG1255 &lt;= 20, "Established[11-20]", AG1255 &lt;= 30, "Veteran[21-30]", AG1255 &lt;= 40, "Late Career[31-40]")</f>
        <v>Established[11-20]</v>
      </c>
      <c r="AI1255" s="1">
        <v>2</v>
      </c>
      <c r="AJ1255" s="1">
        <v>2</v>
      </c>
      <c r="AK1255" s="1">
        <v>11</v>
      </c>
      <c r="AL1255" s="9" t="str" cm="1">
        <f t="array" ref="AL1255">_xlfn.IFS(AK1255 &lt;= 5, "New[1-5]", AK1255 &lt;= 10, "Early Career[6-10]", AK1255 &lt;= 20, "Established[11-20]", AK1255 &lt;= 30, "Veteran[21-30]", AK1255 &lt;= 40, "Late Career[31-40]")</f>
        <v>Established[11-20]</v>
      </c>
      <c r="AM1255" s="1">
        <v>7</v>
      </c>
      <c r="AN1255" s="9" t="str" cm="1">
        <f t="array" ref="AN1255">_xlfn.IFS(AM1255 &lt;= 3, "New to Role[1-3]", AM1255 &lt;= 7, "Settled[4-7]", AM1255 &lt;= 12, "Experienced[[8-12]", AM1255 &lt;= 18, "Long Tenured[13-18]")</f>
        <v>Settled[4-7]</v>
      </c>
      <c r="AO1255" s="1">
        <v>1</v>
      </c>
      <c r="AP1255" s="9" t="str" cm="1">
        <f t="array" ref="AP1255">_xlfn.IFS(AO1255 &lt;= 3, "Recently[1-3]", AO1255 &lt;= 6, "Due Soon[4-6]", AO1255 &lt;= 10, "Overdue[7-10]", AO1255 &lt;= 15, "Long Overdue[11-15]")</f>
        <v>Recently[1-3]</v>
      </c>
      <c r="AQ1255" s="9" t="str" cm="1">
        <f t="array" ref="AQ1255">_xlfn.IFS(AR1255 &lt;= 3, "New Relationship[1-3]", AR1255 &lt;= 7, "Established Relationship[4-7]", AR1255 &lt;= 12, "Long Term Relationship[8-12]", AR1255 &lt;= 17, "Very Long Term Relationship[13-17]")</f>
        <v>Established Relationship[4-7]</v>
      </c>
      <c r="AR1255" s="1">
        <v>7</v>
      </c>
    </row>
    <row r="1256" spans="1:44" x14ac:dyDescent="0.25">
      <c r="A1256" s="1">
        <v>49</v>
      </c>
      <c r="B1256" s="8" t="str" cm="1">
        <f t="array" ref="B1256">_xlfn.IFS(A1256 &lt;= 25, "[18-25]", A1256 &lt;= 35, "[26-35]", A1256 &lt;=45, "[36-45]", A1256 &lt;= 60, "[46- 60]")</f>
        <v>[46- 60]</v>
      </c>
      <c r="C1256" s="3" t="s">
        <v>43</v>
      </c>
      <c r="D1256">
        <f t="shared" si="19"/>
        <v>0</v>
      </c>
      <c r="E1256" t="s">
        <v>36</v>
      </c>
      <c r="F1256" s="1">
        <v>1313</v>
      </c>
      <c r="G1256" s="3" t="s">
        <v>37</v>
      </c>
      <c r="H1256" s="1">
        <v>11</v>
      </c>
      <c r="I1256" s="9" t="str" cm="1">
        <f t="array" ref="I1256">_xlfn.IFS(H1256 &lt;= 2, "[1-2] very close", H1256 &lt;= 10, "[3-10] close", H1256 &lt;= 20, "[11-20] moderate", H1256 &lt;= 30, "[21-30] far")</f>
        <v>[11-20] moderate</v>
      </c>
      <c r="J1256" s="1">
        <v>4</v>
      </c>
      <c r="K1256" s="3" t="s">
        <v>59</v>
      </c>
      <c r="L1256" s="1">
        <v>1</v>
      </c>
      <c r="M1256" s="1">
        <v>1757</v>
      </c>
      <c r="N1256" s="1">
        <v>4</v>
      </c>
      <c r="O1256" s="3" t="s">
        <v>39</v>
      </c>
      <c r="P1256" s="1">
        <v>80</v>
      </c>
      <c r="Q1256" s="1">
        <v>3</v>
      </c>
      <c r="R1256" s="1">
        <v>2</v>
      </c>
      <c r="S1256" s="3" t="s">
        <v>40</v>
      </c>
      <c r="T1256" s="1">
        <v>4</v>
      </c>
      <c r="U1256" s="3" t="s">
        <v>41</v>
      </c>
      <c r="V1256" s="4">
        <v>4507</v>
      </c>
      <c r="W1256" s="1">
        <v>8191</v>
      </c>
      <c r="X1256" s="1">
        <v>3</v>
      </c>
      <c r="Y1256" s="3" t="s">
        <v>42</v>
      </c>
      <c r="Z1256" s="3" t="s">
        <v>43</v>
      </c>
      <c r="AA1256" s="5">
        <v>0.12</v>
      </c>
      <c r="AB1256" s="10" t="str" cm="1">
        <f t="array" ref="AB1256">_xlfn.IFS(AA1256 &lt;= 15%, "Low Hike[11-15%]", AA1256 &lt;= 20%, "Moderate Hike[16-20%]", AA1256 &lt;= 25%,"High Hike[21-25%]")</f>
        <v>Low Hike[11-15%]</v>
      </c>
      <c r="AC1256" s="1">
        <v>3</v>
      </c>
      <c r="AD1256" s="1">
        <v>3</v>
      </c>
      <c r="AE1256" s="1">
        <v>80</v>
      </c>
      <c r="AF1256" s="1">
        <v>0</v>
      </c>
      <c r="AG1256" s="1">
        <v>8</v>
      </c>
      <c r="AH1256" s="9" t="str" cm="1">
        <f t="array" ref="AH1256">_xlfn.IFS(AG1256 &lt;= 5, "New[1-5]", AG1256 &lt;= 10, "Early Career[6-10]", AG1256 &lt;= 20, "Established[11-20]", AG1256 &lt;= 30, "Veteran[21-30]", AG1256 &lt;= 40, "Late Career[31-40]")</f>
        <v>Early Career[6-10]</v>
      </c>
      <c r="AI1256" s="1">
        <v>1</v>
      </c>
      <c r="AJ1256" s="1">
        <v>4</v>
      </c>
      <c r="AK1256" s="1">
        <v>5</v>
      </c>
      <c r="AL1256" s="9" t="str" cm="1">
        <f t="array" ref="AL1256">_xlfn.IFS(AK1256 &lt;= 5, "New[1-5]", AK1256 &lt;= 10, "Early Career[6-10]", AK1256 &lt;= 20, "Established[11-20]", AK1256 &lt;= 30, "Veteran[21-30]", AK1256 &lt;= 40, "Late Career[31-40]")</f>
        <v>New[1-5]</v>
      </c>
      <c r="AM1256" s="1">
        <v>1</v>
      </c>
      <c r="AN1256" s="9" t="str" cm="1">
        <f t="array" ref="AN1256">_xlfn.IFS(AM1256 &lt;= 3, "New to Role[1-3]", AM1256 &lt;= 7, "Settled[4-7]", AM1256 &lt;= 12, "Experienced[[8-12]", AM1256 &lt;= 18, "Long Tenured[13-18]")</f>
        <v>New to Role[1-3]</v>
      </c>
      <c r="AO1256" s="1">
        <v>0</v>
      </c>
      <c r="AP1256" s="9" t="str" cm="1">
        <f t="array" ref="AP1256">_xlfn.IFS(AO1256 &lt;= 3, "Recently[1-3]", AO1256 &lt;= 6, "Due Soon[4-6]", AO1256 &lt;= 10, "Overdue[7-10]", AO1256 &lt;= 15, "Long Overdue[11-15]")</f>
        <v>Recently[1-3]</v>
      </c>
      <c r="AQ1256" s="9" t="str" cm="1">
        <f t="array" ref="AQ1256">_xlfn.IFS(AR1256 &lt;= 3, "New Relationship[1-3]", AR1256 &lt;= 7, "Established Relationship[4-7]", AR1256 &lt;= 12, "Long Term Relationship[8-12]", AR1256 &lt;= 17, "Very Long Term Relationship[13-17]")</f>
        <v>Established Relationship[4-7]</v>
      </c>
      <c r="AR1256" s="1">
        <v>4</v>
      </c>
    </row>
    <row r="1257" spans="1:44" x14ac:dyDescent="0.25">
      <c r="A1257" s="1">
        <v>33</v>
      </c>
      <c r="B1257" s="8" t="str" cm="1">
        <f t="array" ref="B1257">_xlfn.IFS(A1257 &lt;= 25, "[18-25]", A1257 &lt;= 35, "[26-35]", A1257 &lt;=45, "[36-45]", A1257 &lt;= 60, "[46- 60]")</f>
        <v>[26-35]</v>
      </c>
      <c r="C1257" s="3" t="s">
        <v>35</v>
      </c>
      <c r="D1257">
        <f t="shared" si="19"/>
        <v>1</v>
      </c>
      <c r="E1257" t="s">
        <v>36</v>
      </c>
      <c r="F1257" s="1">
        <v>211</v>
      </c>
      <c r="G1257" s="3" t="s">
        <v>37</v>
      </c>
      <c r="H1257" s="1">
        <v>16</v>
      </c>
      <c r="I1257" s="9" t="str" cm="1">
        <f t="array" ref="I1257">_xlfn.IFS(H1257 &lt;= 2, "[1-2] very close", H1257 &lt;= 10, "[3-10] close", H1257 &lt;= 20, "[11-20] moderate", H1257 &lt;= 30, "[21-30] far")</f>
        <v>[11-20] moderate</v>
      </c>
      <c r="J1257" s="1">
        <v>3</v>
      </c>
      <c r="K1257" s="3" t="s">
        <v>38</v>
      </c>
      <c r="L1257" s="1">
        <v>1</v>
      </c>
      <c r="M1257" s="1">
        <v>1758</v>
      </c>
      <c r="N1257" s="1">
        <v>1</v>
      </c>
      <c r="O1257" s="3" t="s">
        <v>39</v>
      </c>
      <c r="P1257" s="1">
        <v>74</v>
      </c>
      <c r="Q1257" s="1">
        <v>3</v>
      </c>
      <c r="R1257" s="1">
        <v>3</v>
      </c>
      <c r="S1257" s="3" t="s">
        <v>40</v>
      </c>
      <c r="T1257" s="1">
        <v>1</v>
      </c>
      <c r="U1257" s="3" t="s">
        <v>41</v>
      </c>
      <c r="V1257" s="4">
        <v>8564</v>
      </c>
      <c r="W1257" s="1">
        <v>10092</v>
      </c>
      <c r="X1257" s="1">
        <v>2</v>
      </c>
      <c r="Y1257" s="3" t="s">
        <v>42</v>
      </c>
      <c r="Z1257" s="3" t="s">
        <v>35</v>
      </c>
      <c r="AA1257" s="5">
        <v>0.2</v>
      </c>
      <c r="AB1257" s="10" t="str" cm="1">
        <f t="array" ref="AB1257">_xlfn.IFS(AA1257 &lt;= 15%, "Low Hike[11-15%]", AA1257 &lt;= 20%, "Moderate Hike[16-20%]", AA1257 &lt;= 25%,"High Hike[21-25%]")</f>
        <v>Moderate Hike[16-20%]</v>
      </c>
      <c r="AC1257" s="1">
        <v>4</v>
      </c>
      <c r="AD1257" s="1">
        <v>3</v>
      </c>
      <c r="AE1257" s="1">
        <v>80</v>
      </c>
      <c r="AF1257" s="1">
        <v>0</v>
      </c>
      <c r="AG1257" s="1">
        <v>11</v>
      </c>
      <c r="AH1257" s="9" t="str" cm="1">
        <f t="array" ref="AH1257">_xlfn.IFS(AG1257 &lt;= 5, "New[1-5]", AG1257 &lt;= 10, "Early Career[6-10]", AG1257 &lt;= 20, "Established[11-20]", AG1257 &lt;= 30, "Veteran[21-30]", AG1257 &lt;= 40, "Late Career[31-40]")</f>
        <v>Established[11-20]</v>
      </c>
      <c r="AI1257" s="1">
        <v>2</v>
      </c>
      <c r="AJ1257" s="1">
        <v>2</v>
      </c>
      <c r="AK1257" s="1">
        <v>0</v>
      </c>
      <c r="AL1257" s="9" t="str" cm="1">
        <f t="array" ref="AL1257">_xlfn.IFS(AK1257 &lt;= 5, "New[1-5]", AK1257 &lt;= 10, "Early Career[6-10]", AK1257 &lt;= 20, "Established[11-20]", AK1257 &lt;= 30, "Veteran[21-30]", AK1257 &lt;= 40, "Late Career[31-40]")</f>
        <v>New[1-5]</v>
      </c>
      <c r="AM1257" s="1">
        <v>0</v>
      </c>
      <c r="AN1257" s="9" t="str" cm="1">
        <f t="array" ref="AN1257">_xlfn.IFS(AM1257 &lt;= 3, "New to Role[1-3]", AM1257 &lt;= 7, "Settled[4-7]", AM1257 &lt;= 12, "Experienced[[8-12]", AM1257 &lt;= 18, "Long Tenured[13-18]")</f>
        <v>New to Role[1-3]</v>
      </c>
      <c r="AO1257" s="1">
        <v>0</v>
      </c>
      <c r="AP1257" s="9" t="str" cm="1">
        <f t="array" ref="AP1257">_xlfn.IFS(AO1257 &lt;= 3, "Recently[1-3]", AO1257 &lt;= 6, "Due Soon[4-6]", AO1257 &lt;= 10, "Overdue[7-10]", AO1257 &lt;= 15, "Long Overdue[11-15]")</f>
        <v>Recently[1-3]</v>
      </c>
      <c r="AQ1257" s="9" t="str" cm="1">
        <f t="array" ref="AQ1257">_xlfn.IFS(AR1257 &lt;= 3, "New Relationship[1-3]", AR1257 &lt;= 7, "Established Relationship[4-7]", AR1257 &lt;= 12, "Long Term Relationship[8-12]", AR1257 &lt;= 17, "Very Long Term Relationship[13-17]")</f>
        <v>New Relationship[1-3]</v>
      </c>
      <c r="AR1257" s="1">
        <v>0</v>
      </c>
    </row>
    <row r="1258" spans="1:44" x14ac:dyDescent="0.25">
      <c r="A1258" s="1">
        <v>38</v>
      </c>
      <c r="B1258" s="8" t="str" cm="1">
        <f t="array" ref="B1258">_xlfn.IFS(A1258 &lt;= 25, "[18-25]", A1258 &lt;= 35, "[26-35]", A1258 &lt;=45, "[36-45]", A1258 &lt;= 60, "[46- 60]")</f>
        <v>[36-45]</v>
      </c>
      <c r="C1258" s="3" t="s">
        <v>43</v>
      </c>
      <c r="D1258">
        <f t="shared" si="19"/>
        <v>0</v>
      </c>
      <c r="E1258" t="s">
        <v>44</v>
      </c>
      <c r="F1258" s="1">
        <v>594</v>
      </c>
      <c r="G1258" s="3" t="s">
        <v>45</v>
      </c>
      <c r="H1258" s="1">
        <v>2</v>
      </c>
      <c r="I1258" s="9" t="str" cm="1">
        <f t="array" ref="I1258">_xlfn.IFS(H1258 &lt;= 2, "[1-2] very close", H1258 &lt;= 10, "[3-10] close", H1258 &lt;= 20, "[11-20] moderate", H1258 &lt;= 30, "[21-30] far")</f>
        <v>[1-2] very close</v>
      </c>
      <c r="J1258" s="1">
        <v>2</v>
      </c>
      <c r="K1258" s="3" t="s">
        <v>51</v>
      </c>
      <c r="L1258" s="1">
        <v>1</v>
      </c>
      <c r="M1258" s="1">
        <v>1760</v>
      </c>
      <c r="N1258" s="1">
        <v>3</v>
      </c>
      <c r="O1258" s="3" t="s">
        <v>39</v>
      </c>
      <c r="P1258" s="1">
        <v>75</v>
      </c>
      <c r="Q1258" s="1">
        <v>2</v>
      </c>
      <c r="R1258" s="1">
        <v>1</v>
      </c>
      <c r="S1258" s="3" t="s">
        <v>50</v>
      </c>
      <c r="T1258" s="1">
        <v>2</v>
      </c>
      <c r="U1258" s="3" t="s">
        <v>48</v>
      </c>
      <c r="V1258" s="4">
        <v>2468</v>
      </c>
      <c r="W1258" s="1">
        <v>15963</v>
      </c>
      <c r="X1258" s="1">
        <v>4</v>
      </c>
      <c r="Y1258" s="3" t="s">
        <v>42</v>
      </c>
      <c r="Z1258" s="3" t="s">
        <v>43</v>
      </c>
      <c r="AA1258" s="5">
        <v>0.14000000000000001</v>
      </c>
      <c r="AB1258" s="10" t="str" cm="1">
        <f t="array" ref="AB1258">_xlfn.IFS(AA1258 &lt;= 15%, "Low Hike[11-15%]", AA1258 &lt;= 20%, "Moderate Hike[16-20%]", AA1258 &lt;= 25%,"High Hike[21-25%]")</f>
        <v>Low Hike[11-15%]</v>
      </c>
      <c r="AC1258" s="1">
        <v>3</v>
      </c>
      <c r="AD1258" s="1">
        <v>2</v>
      </c>
      <c r="AE1258" s="1">
        <v>80</v>
      </c>
      <c r="AF1258" s="1">
        <v>1</v>
      </c>
      <c r="AG1258" s="1">
        <v>9</v>
      </c>
      <c r="AH1258" s="9" t="str" cm="1">
        <f t="array" ref="AH1258">_xlfn.IFS(AG1258 &lt;= 5, "New[1-5]", AG1258 &lt;= 10, "Early Career[6-10]", AG1258 &lt;= 20, "Established[11-20]", AG1258 &lt;= 30, "Veteran[21-30]", AG1258 &lt;= 40, "Late Career[31-40]")</f>
        <v>Early Career[6-10]</v>
      </c>
      <c r="AI1258" s="1">
        <v>4</v>
      </c>
      <c r="AJ1258" s="1">
        <v>2</v>
      </c>
      <c r="AK1258" s="1">
        <v>6</v>
      </c>
      <c r="AL1258" s="9" t="str" cm="1">
        <f t="array" ref="AL1258">_xlfn.IFS(AK1258 &lt;= 5, "New[1-5]", AK1258 &lt;= 10, "Early Career[6-10]", AK1258 &lt;= 20, "Established[11-20]", AK1258 &lt;= 30, "Veteran[21-30]", AK1258 &lt;= 40, "Late Career[31-40]")</f>
        <v>Early Career[6-10]</v>
      </c>
      <c r="AM1258" s="1">
        <v>1</v>
      </c>
      <c r="AN1258" s="9" t="str" cm="1">
        <f t="array" ref="AN1258">_xlfn.IFS(AM1258 &lt;= 3, "New to Role[1-3]", AM1258 &lt;= 7, "Settled[4-7]", AM1258 &lt;= 12, "Experienced[[8-12]", AM1258 &lt;= 18, "Long Tenured[13-18]")</f>
        <v>New to Role[1-3]</v>
      </c>
      <c r="AO1258" s="1">
        <v>0</v>
      </c>
      <c r="AP1258" s="9" t="str" cm="1">
        <f t="array" ref="AP1258">_xlfn.IFS(AO1258 &lt;= 3, "Recently[1-3]", AO1258 &lt;= 6, "Due Soon[4-6]", AO1258 &lt;= 10, "Overdue[7-10]", AO1258 &lt;= 15, "Long Overdue[11-15]")</f>
        <v>Recently[1-3]</v>
      </c>
      <c r="AQ1258" s="9" t="str" cm="1">
        <f t="array" ref="AQ1258">_xlfn.IFS(AR1258 &lt;= 3, "New Relationship[1-3]", AR1258 &lt;= 7, "Established Relationship[4-7]", AR1258 &lt;= 12, "Long Term Relationship[8-12]", AR1258 &lt;= 17, "Very Long Term Relationship[13-17]")</f>
        <v>Established Relationship[4-7]</v>
      </c>
      <c r="AR1258" s="1">
        <v>5</v>
      </c>
    </row>
    <row r="1259" spans="1:44" x14ac:dyDescent="0.25">
      <c r="A1259" s="1">
        <v>31</v>
      </c>
      <c r="B1259" s="8" t="str" cm="1">
        <f t="array" ref="B1259">_xlfn.IFS(A1259 &lt;= 25, "[18-25]", A1259 &lt;= 35, "[26-35]", A1259 &lt;=45, "[36-45]", A1259 &lt;= 60, "[46- 60]")</f>
        <v>[26-35]</v>
      </c>
      <c r="C1259" s="3" t="s">
        <v>35</v>
      </c>
      <c r="D1259">
        <f t="shared" si="19"/>
        <v>1</v>
      </c>
      <c r="E1259" t="s">
        <v>36</v>
      </c>
      <c r="F1259" s="1">
        <v>1079</v>
      </c>
      <c r="G1259" s="3" t="s">
        <v>37</v>
      </c>
      <c r="H1259" s="1">
        <v>16</v>
      </c>
      <c r="I1259" s="9" t="str" cm="1">
        <f t="array" ref="I1259">_xlfn.IFS(H1259 &lt;= 2, "[1-2] very close", H1259 &lt;= 10, "[3-10] close", H1259 &lt;= 20, "[11-20] moderate", H1259 &lt;= 30, "[21-30] far")</f>
        <v>[11-20] moderate</v>
      </c>
      <c r="J1259" s="1">
        <v>4</v>
      </c>
      <c r="K1259" s="3" t="s">
        <v>59</v>
      </c>
      <c r="L1259" s="1">
        <v>1</v>
      </c>
      <c r="M1259" s="1">
        <v>1761</v>
      </c>
      <c r="N1259" s="1">
        <v>1</v>
      </c>
      <c r="O1259" s="3" t="s">
        <v>46</v>
      </c>
      <c r="P1259" s="1">
        <v>70</v>
      </c>
      <c r="Q1259" s="1">
        <v>3</v>
      </c>
      <c r="R1259" s="1">
        <v>3</v>
      </c>
      <c r="S1259" s="3" t="s">
        <v>40</v>
      </c>
      <c r="T1259" s="1">
        <v>3</v>
      </c>
      <c r="U1259" s="3" t="s">
        <v>48</v>
      </c>
      <c r="V1259" s="4">
        <v>8161</v>
      </c>
      <c r="W1259" s="1">
        <v>19002</v>
      </c>
      <c r="X1259" s="1">
        <v>2</v>
      </c>
      <c r="Y1259" s="3" t="s">
        <v>42</v>
      </c>
      <c r="Z1259" s="3" t="s">
        <v>43</v>
      </c>
      <c r="AA1259" s="5">
        <v>0.13</v>
      </c>
      <c r="AB1259" s="10" t="str" cm="1">
        <f t="array" ref="AB1259">_xlfn.IFS(AA1259 &lt;= 15%, "Low Hike[11-15%]", AA1259 &lt;= 20%, "Moderate Hike[16-20%]", AA1259 &lt;= 25%,"High Hike[21-25%]")</f>
        <v>Low Hike[11-15%]</v>
      </c>
      <c r="AC1259" s="1">
        <v>3</v>
      </c>
      <c r="AD1259" s="1">
        <v>1</v>
      </c>
      <c r="AE1259" s="1">
        <v>80</v>
      </c>
      <c r="AF1259" s="1">
        <v>3</v>
      </c>
      <c r="AG1259" s="1">
        <v>10</v>
      </c>
      <c r="AH1259" s="9" t="str" cm="1">
        <f t="array" ref="AH1259">_xlfn.IFS(AG1259 &lt;= 5, "New[1-5]", AG1259 &lt;= 10, "Early Career[6-10]", AG1259 &lt;= 20, "Established[11-20]", AG1259 &lt;= 30, "Veteran[21-30]", AG1259 &lt;= 40, "Late Career[31-40]")</f>
        <v>Early Career[6-10]</v>
      </c>
      <c r="AI1259" s="1">
        <v>2</v>
      </c>
      <c r="AJ1259" s="1">
        <v>3</v>
      </c>
      <c r="AK1259" s="1">
        <v>1</v>
      </c>
      <c r="AL1259" s="9" t="str" cm="1">
        <f t="array" ref="AL1259">_xlfn.IFS(AK1259 &lt;= 5, "New[1-5]", AK1259 &lt;= 10, "Early Career[6-10]", AK1259 &lt;= 20, "Established[11-20]", AK1259 &lt;= 30, "Veteran[21-30]", AK1259 &lt;= 40, "Late Career[31-40]")</f>
        <v>New[1-5]</v>
      </c>
      <c r="AM1259" s="1">
        <v>0</v>
      </c>
      <c r="AN1259" s="9" t="str" cm="1">
        <f t="array" ref="AN1259">_xlfn.IFS(AM1259 &lt;= 3, "New to Role[1-3]", AM1259 &lt;= 7, "Settled[4-7]", AM1259 &lt;= 12, "Experienced[[8-12]", AM1259 &lt;= 18, "Long Tenured[13-18]")</f>
        <v>New to Role[1-3]</v>
      </c>
      <c r="AO1259" s="1">
        <v>0</v>
      </c>
      <c r="AP1259" s="9" t="str" cm="1">
        <f t="array" ref="AP1259">_xlfn.IFS(AO1259 &lt;= 3, "Recently[1-3]", AO1259 &lt;= 6, "Due Soon[4-6]", AO1259 &lt;= 10, "Overdue[7-10]", AO1259 &lt;= 15, "Long Overdue[11-15]")</f>
        <v>Recently[1-3]</v>
      </c>
      <c r="AQ1259" s="9" t="str" cm="1">
        <f t="array" ref="AQ1259">_xlfn.IFS(AR1259 &lt;= 3, "New Relationship[1-3]", AR1259 &lt;= 7, "Established Relationship[4-7]", AR1259 &lt;= 12, "Long Term Relationship[8-12]", AR1259 &lt;= 17, "Very Long Term Relationship[13-17]")</f>
        <v>New Relationship[1-3]</v>
      </c>
      <c r="AR1259" s="1">
        <v>0</v>
      </c>
    </row>
    <row r="1260" spans="1:44" x14ac:dyDescent="0.25">
      <c r="A1260" s="1">
        <v>29</v>
      </c>
      <c r="B1260" s="8" t="str" cm="1">
        <f t="array" ref="B1260">_xlfn.IFS(A1260 &lt;= 25, "[18-25]", A1260 &lt;= 35, "[26-35]", A1260 &lt;=45, "[36-45]", A1260 &lt;= 60, "[46- 60]")</f>
        <v>[26-35]</v>
      </c>
      <c r="C1260" s="3" t="s">
        <v>43</v>
      </c>
      <c r="D1260">
        <f t="shared" si="19"/>
        <v>0</v>
      </c>
      <c r="E1260" t="s">
        <v>36</v>
      </c>
      <c r="F1260" s="1">
        <v>590</v>
      </c>
      <c r="G1260" s="3" t="s">
        <v>45</v>
      </c>
      <c r="H1260" s="1">
        <v>4</v>
      </c>
      <c r="I1260" s="9" t="str" cm="1">
        <f t="array" ref="I1260">_xlfn.IFS(H1260 &lt;= 2, "[1-2] very close", H1260 &lt;= 10, "[3-10] close", H1260 &lt;= 20, "[11-20] moderate", H1260 &lt;= 30, "[21-30] far")</f>
        <v>[3-10] close</v>
      </c>
      <c r="J1260" s="1">
        <v>3</v>
      </c>
      <c r="K1260" s="3" t="s">
        <v>60</v>
      </c>
      <c r="L1260" s="1">
        <v>1</v>
      </c>
      <c r="M1260" s="1">
        <v>1762</v>
      </c>
      <c r="N1260" s="1">
        <v>4</v>
      </c>
      <c r="O1260" s="3" t="s">
        <v>39</v>
      </c>
      <c r="P1260" s="1">
        <v>91</v>
      </c>
      <c r="Q1260" s="1">
        <v>2</v>
      </c>
      <c r="R1260" s="1">
        <v>1</v>
      </c>
      <c r="S1260" s="3" t="s">
        <v>47</v>
      </c>
      <c r="T1260" s="1">
        <v>1</v>
      </c>
      <c r="U1260" s="3" t="s">
        <v>52</v>
      </c>
      <c r="V1260" s="4">
        <v>2109</v>
      </c>
      <c r="W1260" s="1">
        <v>10007</v>
      </c>
      <c r="X1260" s="1">
        <v>1</v>
      </c>
      <c r="Y1260" s="3" t="s">
        <v>42</v>
      </c>
      <c r="Z1260" s="3" t="s">
        <v>43</v>
      </c>
      <c r="AA1260" s="5">
        <v>0.13</v>
      </c>
      <c r="AB1260" s="10" t="str" cm="1">
        <f t="array" ref="AB1260">_xlfn.IFS(AA1260 &lt;= 15%, "Low Hike[11-15%]", AA1260 &lt;= 20%, "Moderate Hike[16-20%]", AA1260 &lt;= 25%,"High Hike[21-25%]")</f>
        <v>Low Hike[11-15%]</v>
      </c>
      <c r="AC1260" s="1">
        <v>3</v>
      </c>
      <c r="AD1260" s="1">
        <v>3</v>
      </c>
      <c r="AE1260" s="1">
        <v>80</v>
      </c>
      <c r="AF1260" s="1">
        <v>1</v>
      </c>
      <c r="AG1260" s="1">
        <v>1</v>
      </c>
      <c r="AH1260" s="9" t="str" cm="1">
        <f t="array" ref="AH1260">_xlfn.IFS(AG1260 &lt;= 5, "New[1-5]", AG1260 &lt;= 10, "Early Career[6-10]", AG1260 &lt;= 20, "Established[11-20]", AG1260 &lt;= 30, "Veteran[21-30]", AG1260 &lt;= 40, "Late Career[31-40]")</f>
        <v>New[1-5]</v>
      </c>
      <c r="AI1260" s="1">
        <v>2</v>
      </c>
      <c r="AJ1260" s="1">
        <v>3</v>
      </c>
      <c r="AK1260" s="1">
        <v>1</v>
      </c>
      <c r="AL1260" s="9" t="str" cm="1">
        <f t="array" ref="AL1260">_xlfn.IFS(AK1260 &lt;= 5, "New[1-5]", AK1260 &lt;= 10, "Early Career[6-10]", AK1260 &lt;= 20, "Established[11-20]", AK1260 &lt;= 30, "Veteran[21-30]", AK1260 &lt;= 40, "Late Career[31-40]")</f>
        <v>New[1-5]</v>
      </c>
      <c r="AM1260" s="1">
        <v>0</v>
      </c>
      <c r="AN1260" s="9" t="str" cm="1">
        <f t="array" ref="AN1260">_xlfn.IFS(AM1260 &lt;= 3, "New to Role[1-3]", AM1260 &lt;= 7, "Settled[4-7]", AM1260 &lt;= 12, "Experienced[[8-12]", AM1260 &lt;= 18, "Long Tenured[13-18]")</f>
        <v>New to Role[1-3]</v>
      </c>
      <c r="AO1260" s="1">
        <v>0</v>
      </c>
      <c r="AP1260" s="9" t="str" cm="1">
        <f t="array" ref="AP1260">_xlfn.IFS(AO1260 &lt;= 3, "Recently[1-3]", AO1260 &lt;= 6, "Due Soon[4-6]", AO1260 &lt;= 10, "Overdue[7-10]", AO1260 &lt;= 15, "Long Overdue[11-15]")</f>
        <v>Recently[1-3]</v>
      </c>
      <c r="AQ1260" s="9" t="str" cm="1">
        <f t="array" ref="AQ1260">_xlfn.IFS(AR1260 &lt;= 3, "New Relationship[1-3]", AR1260 &lt;= 7, "Established Relationship[4-7]", AR1260 &lt;= 12, "Long Term Relationship[8-12]", AR1260 &lt;= 17, "Very Long Term Relationship[13-17]")</f>
        <v>New Relationship[1-3]</v>
      </c>
      <c r="AR1260" s="1">
        <v>0</v>
      </c>
    </row>
    <row r="1261" spans="1:44" x14ac:dyDescent="0.25">
      <c r="A1261" s="1">
        <v>30</v>
      </c>
      <c r="B1261" s="8" t="str" cm="1">
        <f t="array" ref="B1261">_xlfn.IFS(A1261 &lt;= 25, "[18-25]", A1261 &lt;= 35, "[26-35]", A1261 &lt;=45, "[36-45]", A1261 &lt;= 60, "[46- 60]")</f>
        <v>[26-35]</v>
      </c>
      <c r="C1261" s="3" t="s">
        <v>43</v>
      </c>
      <c r="D1261">
        <f t="shared" si="19"/>
        <v>0</v>
      </c>
      <c r="E1261" t="s">
        <v>36</v>
      </c>
      <c r="F1261" s="1">
        <v>305</v>
      </c>
      <c r="G1261" s="3" t="s">
        <v>45</v>
      </c>
      <c r="H1261" s="1">
        <v>16</v>
      </c>
      <c r="I1261" s="9" t="str" cm="1">
        <f t="array" ref="I1261">_xlfn.IFS(H1261 &lt;= 2, "[1-2] very close", H1261 &lt;= 10, "[3-10] close", H1261 &lt;= 20, "[11-20] moderate", H1261 &lt;= 30, "[21-30] far")</f>
        <v>[11-20] moderate</v>
      </c>
      <c r="J1261" s="1">
        <v>3</v>
      </c>
      <c r="K1261" s="3" t="s">
        <v>38</v>
      </c>
      <c r="L1261" s="1">
        <v>1</v>
      </c>
      <c r="M1261" s="1">
        <v>1763</v>
      </c>
      <c r="N1261" s="1">
        <v>3</v>
      </c>
      <c r="O1261" s="3" t="s">
        <v>46</v>
      </c>
      <c r="P1261" s="1">
        <v>58</v>
      </c>
      <c r="Q1261" s="1">
        <v>4</v>
      </c>
      <c r="R1261" s="1">
        <v>2</v>
      </c>
      <c r="S1261" s="3" t="s">
        <v>54</v>
      </c>
      <c r="T1261" s="1">
        <v>3</v>
      </c>
      <c r="U1261" s="3" t="s">
        <v>48</v>
      </c>
      <c r="V1261" s="4">
        <v>5294</v>
      </c>
      <c r="W1261" s="1">
        <v>9128</v>
      </c>
      <c r="X1261" s="1">
        <v>3</v>
      </c>
      <c r="Y1261" s="3" t="s">
        <v>42</v>
      </c>
      <c r="Z1261" s="3" t="s">
        <v>43</v>
      </c>
      <c r="AA1261" s="5">
        <v>0.16</v>
      </c>
      <c r="AB1261" s="10" t="str" cm="1">
        <f t="array" ref="AB1261">_xlfn.IFS(AA1261 &lt;= 15%, "Low Hike[11-15%]", AA1261 &lt;= 20%, "Moderate Hike[16-20%]", AA1261 &lt;= 25%,"High Hike[21-25%]")</f>
        <v>Moderate Hike[16-20%]</v>
      </c>
      <c r="AC1261" s="1">
        <v>3</v>
      </c>
      <c r="AD1261" s="1">
        <v>3</v>
      </c>
      <c r="AE1261" s="1">
        <v>80</v>
      </c>
      <c r="AF1261" s="1">
        <v>1</v>
      </c>
      <c r="AG1261" s="1">
        <v>10</v>
      </c>
      <c r="AH1261" s="9" t="str" cm="1">
        <f t="array" ref="AH1261">_xlfn.IFS(AG1261 &lt;= 5, "New[1-5]", AG1261 &lt;= 10, "Early Career[6-10]", AG1261 &lt;= 20, "Established[11-20]", AG1261 &lt;= 30, "Veteran[21-30]", AG1261 &lt;= 40, "Late Career[31-40]")</f>
        <v>Early Career[6-10]</v>
      </c>
      <c r="AI1261" s="1">
        <v>3</v>
      </c>
      <c r="AJ1261" s="1">
        <v>3</v>
      </c>
      <c r="AK1261" s="1">
        <v>7</v>
      </c>
      <c r="AL1261" s="9" t="str" cm="1">
        <f t="array" ref="AL1261">_xlfn.IFS(AK1261 &lt;= 5, "New[1-5]", AK1261 &lt;= 10, "Early Career[6-10]", AK1261 &lt;= 20, "Established[11-20]", AK1261 &lt;= 30, "Veteran[21-30]", AK1261 &lt;= 40, "Late Career[31-40]")</f>
        <v>Early Career[6-10]</v>
      </c>
      <c r="AM1261" s="1">
        <v>0</v>
      </c>
      <c r="AN1261" s="9" t="str" cm="1">
        <f t="array" ref="AN1261">_xlfn.IFS(AM1261 &lt;= 3, "New to Role[1-3]", AM1261 &lt;= 7, "Settled[4-7]", AM1261 &lt;= 12, "Experienced[[8-12]", AM1261 &lt;= 18, "Long Tenured[13-18]")</f>
        <v>New to Role[1-3]</v>
      </c>
      <c r="AO1261" s="1">
        <v>1</v>
      </c>
      <c r="AP1261" s="9" t="str" cm="1">
        <f t="array" ref="AP1261">_xlfn.IFS(AO1261 &lt;= 3, "Recently[1-3]", AO1261 &lt;= 6, "Due Soon[4-6]", AO1261 &lt;= 10, "Overdue[7-10]", AO1261 &lt;= 15, "Long Overdue[11-15]")</f>
        <v>Recently[1-3]</v>
      </c>
      <c r="AQ1261" s="9" t="str" cm="1">
        <f t="array" ref="AQ1261">_xlfn.IFS(AR1261 &lt;= 3, "New Relationship[1-3]", AR1261 &lt;= 7, "Established Relationship[4-7]", AR1261 &lt;= 12, "Long Term Relationship[8-12]", AR1261 &lt;= 17, "Very Long Term Relationship[13-17]")</f>
        <v>Established Relationship[4-7]</v>
      </c>
      <c r="AR1261" s="1">
        <v>7</v>
      </c>
    </row>
    <row r="1262" spans="1:44" x14ac:dyDescent="0.25">
      <c r="A1262" s="1">
        <v>32</v>
      </c>
      <c r="B1262" s="8" t="str" cm="1">
        <f t="array" ref="B1262">_xlfn.IFS(A1262 &lt;= 25, "[18-25]", A1262 &lt;= 35, "[26-35]", A1262 &lt;=45, "[36-45]", A1262 &lt;= 60, "[46- 60]")</f>
        <v>[26-35]</v>
      </c>
      <c r="C1262" s="3" t="s">
        <v>43</v>
      </c>
      <c r="D1262">
        <f t="shared" si="19"/>
        <v>0</v>
      </c>
      <c r="E1262" t="s">
        <v>62</v>
      </c>
      <c r="F1262" s="1">
        <v>953</v>
      </c>
      <c r="G1262" s="3" t="s">
        <v>45</v>
      </c>
      <c r="H1262" s="1">
        <v>5</v>
      </c>
      <c r="I1262" s="9" t="str" cm="1">
        <f t="array" ref="I1262">_xlfn.IFS(H1262 &lt;= 2, "[1-2] very close", H1262 &lt;= 10, "[3-10] close", H1262 &lt;= 20, "[11-20] moderate", H1262 &lt;= 30, "[21-30] far")</f>
        <v>[3-10] close</v>
      </c>
      <c r="J1262" s="1">
        <v>4</v>
      </c>
      <c r="K1262" s="3" t="s">
        <v>60</v>
      </c>
      <c r="L1262" s="1">
        <v>1</v>
      </c>
      <c r="M1262" s="1">
        <v>1764</v>
      </c>
      <c r="N1262" s="1">
        <v>2</v>
      </c>
      <c r="O1262" s="3" t="s">
        <v>46</v>
      </c>
      <c r="P1262" s="1">
        <v>65</v>
      </c>
      <c r="Q1262" s="1">
        <v>3</v>
      </c>
      <c r="R1262" s="1">
        <v>1</v>
      </c>
      <c r="S1262" s="3" t="s">
        <v>47</v>
      </c>
      <c r="T1262" s="1">
        <v>2</v>
      </c>
      <c r="U1262" s="3" t="s">
        <v>41</v>
      </c>
      <c r="V1262" s="4">
        <v>2718</v>
      </c>
      <c r="W1262" s="1">
        <v>17674</v>
      </c>
      <c r="X1262" s="1">
        <v>2</v>
      </c>
      <c r="Y1262" s="3" t="s">
        <v>42</v>
      </c>
      <c r="Z1262" s="3" t="s">
        <v>43</v>
      </c>
      <c r="AA1262" s="5">
        <v>0.14000000000000001</v>
      </c>
      <c r="AB1262" s="10" t="str" cm="1">
        <f t="array" ref="AB1262">_xlfn.IFS(AA1262 &lt;= 15%, "Low Hike[11-15%]", AA1262 &lt;= 20%, "Moderate Hike[16-20%]", AA1262 &lt;= 25%,"High Hike[21-25%]")</f>
        <v>Low Hike[11-15%]</v>
      </c>
      <c r="AC1262" s="1">
        <v>3</v>
      </c>
      <c r="AD1262" s="1">
        <v>2</v>
      </c>
      <c r="AE1262" s="1">
        <v>80</v>
      </c>
      <c r="AF1262" s="1">
        <v>0</v>
      </c>
      <c r="AG1262" s="1">
        <v>12</v>
      </c>
      <c r="AH1262" s="9" t="str" cm="1">
        <f t="array" ref="AH1262">_xlfn.IFS(AG1262 &lt;= 5, "New[1-5]", AG1262 &lt;= 10, "Early Career[6-10]", AG1262 &lt;= 20, "Established[11-20]", AG1262 &lt;= 30, "Veteran[21-30]", AG1262 &lt;= 40, "Late Career[31-40]")</f>
        <v>Established[11-20]</v>
      </c>
      <c r="AI1262" s="1">
        <v>3</v>
      </c>
      <c r="AJ1262" s="1">
        <v>3</v>
      </c>
      <c r="AK1262" s="1">
        <v>7</v>
      </c>
      <c r="AL1262" s="9" t="str" cm="1">
        <f t="array" ref="AL1262">_xlfn.IFS(AK1262 &lt;= 5, "New[1-5]", AK1262 &lt;= 10, "Early Career[6-10]", AK1262 &lt;= 20, "Established[11-20]", AK1262 &lt;= 30, "Veteran[21-30]", AK1262 &lt;= 40, "Late Career[31-40]")</f>
        <v>Early Career[6-10]</v>
      </c>
      <c r="AM1262" s="1">
        <v>7</v>
      </c>
      <c r="AN1262" s="9" t="str" cm="1">
        <f t="array" ref="AN1262">_xlfn.IFS(AM1262 &lt;= 3, "New to Role[1-3]", AM1262 &lt;= 7, "Settled[4-7]", AM1262 &lt;= 12, "Experienced[[8-12]", AM1262 &lt;= 18, "Long Tenured[13-18]")</f>
        <v>Settled[4-7]</v>
      </c>
      <c r="AO1262" s="1">
        <v>0</v>
      </c>
      <c r="AP1262" s="9" t="str" cm="1">
        <f t="array" ref="AP1262">_xlfn.IFS(AO1262 &lt;= 3, "Recently[1-3]", AO1262 &lt;= 6, "Due Soon[4-6]", AO1262 &lt;= 10, "Overdue[7-10]", AO1262 &lt;= 15, "Long Overdue[11-15]")</f>
        <v>Recently[1-3]</v>
      </c>
      <c r="AQ1262" s="9" t="str" cm="1">
        <f t="array" ref="AQ1262">_xlfn.IFS(AR1262 &lt;= 3, "New Relationship[1-3]", AR1262 &lt;= 7, "Established Relationship[4-7]", AR1262 &lt;= 12, "Long Term Relationship[8-12]", AR1262 &lt;= 17, "Very Long Term Relationship[13-17]")</f>
        <v>Established Relationship[4-7]</v>
      </c>
      <c r="AR1262" s="1">
        <v>7</v>
      </c>
    </row>
    <row r="1263" spans="1:44" x14ac:dyDescent="0.25">
      <c r="A1263" s="1">
        <v>38</v>
      </c>
      <c r="B1263" s="8" t="str" cm="1">
        <f t="array" ref="B1263">_xlfn.IFS(A1263 &lt;= 25, "[18-25]", A1263 &lt;= 35, "[26-35]", A1263 &lt;=45, "[36-45]", A1263 &lt;= 60, "[46- 60]")</f>
        <v>[36-45]</v>
      </c>
      <c r="C1263" s="3" t="s">
        <v>43</v>
      </c>
      <c r="D1263">
        <f t="shared" si="19"/>
        <v>0</v>
      </c>
      <c r="E1263" t="s">
        <v>36</v>
      </c>
      <c r="F1263" s="1">
        <v>833</v>
      </c>
      <c r="G1263" s="3" t="s">
        <v>45</v>
      </c>
      <c r="H1263" s="1">
        <v>18</v>
      </c>
      <c r="I1263" s="9" t="str" cm="1">
        <f t="array" ref="I1263">_xlfn.IFS(H1263 &lt;= 2, "[1-2] very close", H1263 &lt;= 10, "[3-10] close", H1263 &lt;= 20, "[11-20] moderate", H1263 &lt;= 30, "[21-30] far")</f>
        <v>[11-20] moderate</v>
      </c>
      <c r="J1263" s="1">
        <v>3</v>
      </c>
      <c r="K1263" s="3" t="s">
        <v>51</v>
      </c>
      <c r="L1263" s="1">
        <v>1</v>
      </c>
      <c r="M1263" s="1">
        <v>1766</v>
      </c>
      <c r="N1263" s="1">
        <v>2</v>
      </c>
      <c r="O1263" s="3" t="s">
        <v>46</v>
      </c>
      <c r="P1263" s="1">
        <v>60</v>
      </c>
      <c r="Q1263" s="1">
        <v>1</v>
      </c>
      <c r="R1263" s="1">
        <v>2</v>
      </c>
      <c r="S1263" s="3" t="s">
        <v>54</v>
      </c>
      <c r="T1263" s="1">
        <v>4</v>
      </c>
      <c r="U1263" s="3" t="s">
        <v>48</v>
      </c>
      <c r="V1263" s="4">
        <v>5811</v>
      </c>
      <c r="W1263" s="1">
        <v>24539</v>
      </c>
      <c r="X1263" s="1">
        <v>3</v>
      </c>
      <c r="Y1263" s="3" t="s">
        <v>42</v>
      </c>
      <c r="Z1263" s="3" t="s">
        <v>35</v>
      </c>
      <c r="AA1263" s="5">
        <v>0.16</v>
      </c>
      <c r="AB1263" s="10" t="str" cm="1">
        <f t="array" ref="AB1263">_xlfn.IFS(AA1263 &lt;= 15%, "Low Hike[11-15%]", AA1263 &lt;= 20%, "Moderate Hike[16-20%]", AA1263 &lt;= 25%,"High Hike[21-25%]")</f>
        <v>Moderate Hike[16-20%]</v>
      </c>
      <c r="AC1263" s="1">
        <v>3</v>
      </c>
      <c r="AD1263" s="1">
        <v>3</v>
      </c>
      <c r="AE1263" s="1">
        <v>80</v>
      </c>
      <c r="AF1263" s="1">
        <v>1</v>
      </c>
      <c r="AG1263" s="1">
        <v>15</v>
      </c>
      <c r="AH1263" s="9" t="str" cm="1">
        <f t="array" ref="AH1263">_xlfn.IFS(AG1263 &lt;= 5, "New[1-5]", AG1263 &lt;= 10, "Early Career[6-10]", AG1263 &lt;= 20, "Established[11-20]", AG1263 &lt;= 30, "Veteran[21-30]", AG1263 &lt;= 40, "Late Career[31-40]")</f>
        <v>Established[11-20]</v>
      </c>
      <c r="AI1263" s="1">
        <v>2</v>
      </c>
      <c r="AJ1263" s="1">
        <v>3</v>
      </c>
      <c r="AK1263" s="1">
        <v>1</v>
      </c>
      <c r="AL1263" s="9" t="str" cm="1">
        <f t="array" ref="AL1263">_xlfn.IFS(AK1263 &lt;= 5, "New[1-5]", AK1263 &lt;= 10, "Early Career[6-10]", AK1263 &lt;= 20, "Established[11-20]", AK1263 &lt;= 30, "Veteran[21-30]", AK1263 &lt;= 40, "Late Career[31-40]")</f>
        <v>New[1-5]</v>
      </c>
      <c r="AM1263" s="1">
        <v>0</v>
      </c>
      <c r="AN1263" s="9" t="str" cm="1">
        <f t="array" ref="AN1263">_xlfn.IFS(AM1263 &lt;= 3, "New to Role[1-3]", AM1263 &lt;= 7, "Settled[4-7]", AM1263 &lt;= 12, "Experienced[[8-12]", AM1263 &lt;= 18, "Long Tenured[13-18]")</f>
        <v>New to Role[1-3]</v>
      </c>
      <c r="AO1263" s="1">
        <v>1</v>
      </c>
      <c r="AP1263" s="9" t="str" cm="1">
        <f t="array" ref="AP1263">_xlfn.IFS(AO1263 &lt;= 3, "Recently[1-3]", AO1263 &lt;= 6, "Due Soon[4-6]", AO1263 &lt;= 10, "Overdue[7-10]", AO1263 &lt;= 15, "Long Overdue[11-15]")</f>
        <v>Recently[1-3]</v>
      </c>
      <c r="AQ1263" s="9" t="str" cm="1">
        <f t="array" ref="AQ1263">_xlfn.IFS(AR1263 &lt;= 3, "New Relationship[1-3]", AR1263 &lt;= 7, "Established Relationship[4-7]", AR1263 &lt;= 12, "Long Term Relationship[8-12]", AR1263 &lt;= 17, "Very Long Term Relationship[13-17]")</f>
        <v>New Relationship[1-3]</v>
      </c>
      <c r="AR1263" s="1">
        <v>0</v>
      </c>
    </row>
    <row r="1264" spans="1:44" x14ac:dyDescent="0.25">
      <c r="A1264" s="1">
        <v>43</v>
      </c>
      <c r="B1264" s="8" t="str" cm="1">
        <f t="array" ref="B1264">_xlfn.IFS(A1264 &lt;= 25, "[18-25]", A1264 &lt;= 35, "[26-35]", A1264 &lt;=45, "[36-45]", A1264 &lt;= 60, "[46- 60]")</f>
        <v>[36-45]</v>
      </c>
      <c r="C1264" s="3" t="s">
        <v>35</v>
      </c>
      <c r="D1264">
        <f t="shared" si="19"/>
        <v>1</v>
      </c>
      <c r="E1264" t="s">
        <v>44</v>
      </c>
      <c r="F1264" s="1">
        <v>807</v>
      </c>
      <c r="G1264" s="3" t="s">
        <v>45</v>
      </c>
      <c r="H1264" s="1">
        <v>17</v>
      </c>
      <c r="I1264" s="9" t="str" cm="1">
        <f t="array" ref="I1264">_xlfn.IFS(H1264 &lt;= 2, "[1-2] very close", H1264 &lt;= 10, "[3-10] close", H1264 &lt;= 20, "[11-20] moderate", H1264 &lt;= 30, "[21-30] far")</f>
        <v>[11-20] moderate</v>
      </c>
      <c r="J1264" s="1">
        <v>3</v>
      </c>
      <c r="K1264" s="3" t="s">
        <v>60</v>
      </c>
      <c r="L1264" s="1">
        <v>1</v>
      </c>
      <c r="M1264" s="1">
        <v>1767</v>
      </c>
      <c r="N1264" s="1">
        <v>3</v>
      </c>
      <c r="O1264" s="3" t="s">
        <v>46</v>
      </c>
      <c r="P1264" s="1">
        <v>38</v>
      </c>
      <c r="Q1264" s="1">
        <v>2</v>
      </c>
      <c r="R1264" s="1">
        <v>1</v>
      </c>
      <c r="S1264" s="3" t="s">
        <v>47</v>
      </c>
      <c r="T1264" s="1">
        <v>3</v>
      </c>
      <c r="U1264" s="3" t="s">
        <v>48</v>
      </c>
      <c r="V1264" s="4">
        <v>2437</v>
      </c>
      <c r="W1264" s="1">
        <v>15587</v>
      </c>
      <c r="X1264" s="1">
        <v>9</v>
      </c>
      <c r="Y1264" s="3" t="s">
        <v>42</v>
      </c>
      <c r="Z1264" s="3" t="s">
        <v>35</v>
      </c>
      <c r="AA1264" s="5">
        <v>0.16</v>
      </c>
      <c r="AB1264" s="10" t="str" cm="1">
        <f t="array" ref="AB1264">_xlfn.IFS(AA1264 &lt;= 15%, "Low Hike[11-15%]", AA1264 &lt;= 20%, "Moderate Hike[16-20%]", AA1264 &lt;= 25%,"High Hike[21-25%]")</f>
        <v>Moderate Hike[16-20%]</v>
      </c>
      <c r="AC1264" s="1">
        <v>3</v>
      </c>
      <c r="AD1264" s="1">
        <v>4</v>
      </c>
      <c r="AE1264" s="1">
        <v>80</v>
      </c>
      <c r="AF1264" s="1">
        <v>1</v>
      </c>
      <c r="AG1264" s="1">
        <v>6</v>
      </c>
      <c r="AH1264" s="9" t="str" cm="1">
        <f t="array" ref="AH1264">_xlfn.IFS(AG1264 &lt;= 5, "New[1-5]", AG1264 &lt;= 10, "Early Career[6-10]", AG1264 &lt;= 20, "Established[11-20]", AG1264 &lt;= 30, "Veteran[21-30]", AG1264 &lt;= 40, "Late Career[31-40]")</f>
        <v>Early Career[6-10]</v>
      </c>
      <c r="AI1264" s="1">
        <v>4</v>
      </c>
      <c r="AJ1264" s="1">
        <v>3</v>
      </c>
      <c r="AK1264" s="1">
        <v>1</v>
      </c>
      <c r="AL1264" s="9" t="str" cm="1">
        <f t="array" ref="AL1264">_xlfn.IFS(AK1264 &lt;= 5, "New[1-5]", AK1264 &lt;= 10, "Early Career[6-10]", AK1264 &lt;= 20, "Established[11-20]", AK1264 &lt;= 30, "Veteran[21-30]", AK1264 &lt;= 40, "Late Career[31-40]")</f>
        <v>New[1-5]</v>
      </c>
      <c r="AM1264" s="1">
        <v>0</v>
      </c>
      <c r="AN1264" s="9" t="str" cm="1">
        <f t="array" ref="AN1264">_xlfn.IFS(AM1264 &lt;= 3, "New to Role[1-3]", AM1264 &lt;= 7, "Settled[4-7]", AM1264 &lt;= 12, "Experienced[[8-12]", AM1264 &lt;= 18, "Long Tenured[13-18]")</f>
        <v>New to Role[1-3]</v>
      </c>
      <c r="AO1264" s="1">
        <v>0</v>
      </c>
      <c r="AP1264" s="9" t="str" cm="1">
        <f t="array" ref="AP1264">_xlfn.IFS(AO1264 &lt;= 3, "Recently[1-3]", AO1264 &lt;= 6, "Due Soon[4-6]", AO1264 &lt;= 10, "Overdue[7-10]", AO1264 &lt;= 15, "Long Overdue[11-15]")</f>
        <v>Recently[1-3]</v>
      </c>
      <c r="AQ1264" s="9" t="str" cm="1">
        <f t="array" ref="AQ1264">_xlfn.IFS(AR1264 &lt;= 3, "New Relationship[1-3]", AR1264 &lt;= 7, "Established Relationship[4-7]", AR1264 &lt;= 12, "Long Term Relationship[8-12]", AR1264 &lt;= 17, "Very Long Term Relationship[13-17]")</f>
        <v>New Relationship[1-3]</v>
      </c>
      <c r="AR1264" s="1">
        <v>0</v>
      </c>
    </row>
    <row r="1265" spans="1:44" x14ac:dyDescent="0.25">
      <c r="A1265" s="1">
        <v>42</v>
      </c>
      <c r="B1265" s="8" t="str" cm="1">
        <f t="array" ref="B1265">_xlfn.IFS(A1265 &lt;= 25, "[18-25]", A1265 &lt;= 35, "[26-35]", A1265 &lt;=45, "[36-45]", A1265 &lt;= 60, "[46- 60]")</f>
        <v>[36-45]</v>
      </c>
      <c r="C1265" s="3" t="s">
        <v>43</v>
      </c>
      <c r="D1265">
        <f t="shared" si="19"/>
        <v>0</v>
      </c>
      <c r="E1265" t="s">
        <v>36</v>
      </c>
      <c r="F1265" s="1">
        <v>855</v>
      </c>
      <c r="G1265" s="3" t="s">
        <v>45</v>
      </c>
      <c r="H1265" s="1">
        <v>12</v>
      </c>
      <c r="I1265" s="9" t="str" cm="1">
        <f t="array" ref="I1265">_xlfn.IFS(H1265 &lt;= 2, "[1-2] very close", H1265 &lt;= 10, "[3-10] close", H1265 &lt;= 20, "[11-20] moderate", H1265 &lt;= 30, "[21-30] far")</f>
        <v>[11-20] moderate</v>
      </c>
      <c r="J1265" s="1">
        <v>3</v>
      </c>
      <c r="K1265" s="3" t="s">
        <v>51</v>
      </c>
      <c r="L1265" s="1">
        <v>1</v>
      </c>
      <c r="M1265" s="1">
        <v>1768</v>
      </c>
      <c r="N1265" s="1">
        <v>2</v>
      </c>
      <c r="O1265" s="3" t="s">
        <v>46</v>
      </c>
      <c r="P1265" s="1">
        <v>57</v>
      </c>
      <c r="Q1265" s="1">
        <v>3</v>
      </c>
      <c r="R1265" s="1">
        <v>1</v>
      </c>
      <c r="S1265" s="3" t="s">
        <v>50</v>
      </c>
      <c r="T1265" s="1">
        <v>2</v>
      </c>
      <c r="U1265" s="3" t="s">
        <v>52</v>
      </c>
      <c r="V1265" s="4">
        <v>2766</v>
      </c>
      <c r="W1265" s="1">
        <v>8952</v>
      </c>
      <c r="X1265" s="1">
        <v>8</v>
      </c>
      <c r="Y1265" s="3" t="s">
        <v>42</v>
      </c>
      <c r="Z1265" s="3" t="s">
        <v>43</v>
      </c>
      <c r="AA1265" s="5">
        <v>0.22</v>
      </c>
      <c r="AB1265" s="10" t="str" cm="1">
        <f t="array" ref="AB1265">_xlfn.IFS(AA1265 &lt;= 15%, "Low Hike[11-15%]", AA1265 &lt;= 20%, "Moderate Hike[16-20%]", AA1265 &lt;= 25%,"High Hike[21-25%]")</f>
        <v>High Hike[21-25%]</v>
      </c>
      <c r="AC1265" s="1">
        <v>4</v>
      </c>
      <c r="AD1265" s="1">
        <v>2</v>
      </c>
      <c r="AE1265" s="1">
        <v>80</v>
      </c>
      <c r="AF1265" s="1">
        <v>3</v>
      </c>
      <c r="AG1265" s="1">
        <v>7</v>
      </c>
      <c r="AH1265" s="9" t="str" cm="1">
        <f t="array" ref="AH1265">_xlfn.IFS(AG1265 &lt;= 5, "New[1-5]", AG1265 &lt;= 10, "Early Career[6-10]", AG1265 &lt;= 20, "Established[11-20]", AG1265 &lt;= 30, "Veteran[21-30]", AG1265 &lt;= 40, "Late Career[31-40]")</f>
        <v>Early Career[6-10]</v>
      </c>
      <c r="AI1265" s="1">
        <v>6</v>
      </c>
      <c r="AJ1265" s="1">
        <v>2</v>
      </c>
      <c r="AK1265" s="1">
        <v>5</v>
      </c>
      <c r="AL1265" s="9" t="str" cm="1">
        <f t="array" ref="AL1265">_xlfn.IFS(AK1265 &lt;= 5, "New[1-5]", AK1265 &lt;= 10, "Early Career[6-10]", AK1265 &lt;= 20, "Established[11-20]", AK1265 &lt;= 30, "Veteran[21-30]", AK1265 &lt;= 40, "Late Career[31-40]")</f>
        <v>New[1-5]</v>
      </c>
      <c r="AM1265" s="1">
        <v>3</v>
      </c>
      <c r="AN1265" s="9" t="str" cm="1">
        <f t="array" ref="AN1265">_xlfn.IFS(AM1265 &lt;= 3, "New to Role[1-3]", AM1265 &lt;= 7, "Settled[4-7]", AM1265 &lt;= 12, "Experienced[[8-12]", AM1265 &lt;= 18, "Long Tenured[13-18]")</f>
        <v>New to Role[1-3]</v>
      </c>
      <c r="AO1265" s="1">
        <v>0</v>
      </c>
      <c r="AP1265" s="9" t="str" cm="1">
        <f t="array" ref="AP1265">_xlfn.IFS(AO1265 &lt;= 3, "Recently[1-3]", AO1265 &lt;= 6, "Due Soon[4-6]", AO1265 &lt;= 10, "Overdue[7-10]", AO1265 &lt;= 15, "Long Overdue[11-15]")</f>
        <v>Recently[1-3]</v>
      </c>
      <c r="AQ1265" s="9" t="str" cm="1">
        <f t="array" ref="AQ1265">_xlfn.IFS(AR1265 &lt;= 3, "New Relationship[1-3]", AR1265 &lt;= 7, "Established Relationship[4-7]", AR1265 &lt;= 12, "Long Term Relationship[8-12]", AR1265 &lt;= 17, "Very Long Term Relationship[13-17]")</f>
        <v>Established Relationship[4-7]</v>
      </c>
      <c r="AR1265" s="1">
        <v>4</v>
      </c>
    </row>
    <row r="1266" spans="1:44" x14ac:dyDescent="0.25">
      <c r="A1266" s="1">
        <v>55</v>
      </c>
      <c r="B1266" s="8" t="str" cm="1">
        <f t="array" ref="B1266">_xlfn.IFS(A1266 &lt;= 25, "[18-25]", A1266 &lt;= 35, "[26-35]", A1266 &lt;=45, "[36-45]", A1266 &lt;= 60, "[46- 60]")</f>
        <v>[46- 60]</v>
      </c>
      <c r="C1266" s="3" t="s">
        <v>43</v>
      </c>
      <c r="D1266">
        <f t="shared" si="19"/>
        <v>0</v>
      </c>
      <c r="E1266" t="s">
        <v>36</v>
      </c>
      <c r="F1266" s="1">
        <v>478</v>
      </c>
      <c r="G1266" s="3" t="s">
        <v>45</v>
      </c>
      <c r="H1266" s="1">
        <v>2</v>
      </c>
      <c r="I1266" s="9" t="str" cm="1">
        <f t="array" ref="I1266">_xlfn.IFS(H1266 &lt;= 2, "[1-2] very close", H1266 &lt;= 10, "[3-10] close", H1266 &lt;= 20, "[11-20] moderate", H1266 &lt;= 30, "[21-30] far")</f>
        <v>[1-2] very close</v>
      </c>
      <c r="J1266" s="1">
        <v>3</v>
      </c>
      <c r="K1266" s="3" t="s">
        <v>51</v>
      </c>
      <c r="L1266" s="1">
        <v>1</v>
      </c>
      <c r="M1266" s="1">
        <v>1770</v>
      </c>
      <c r="N1266" s="1">
        <v>3</v>
      </c>
      <c r="O1266" s="3" t="s">
        <v>46</v>
      </c>
      <c r="P1266" s="1">
        <v>60</v>
      </c>
      <c r="Q1266" s="1">
        <v>2</v>
      </c>
      <c r="R1266" s="1">
        <v>5</v>
      </c>
      <c r="S1266" s="3" t="s">
        <v>58</v>
      </c>
      <c r="T1266" s="1">
        <v>1</v>
      </c>
      <c r="U1266" s="3" t="s">
        <v>48</v>
      </c>
      <c r="V1266" s="4">
        <v>19038</v>
      </c>
      <c r="W1266" s="1">
        <v>19805</v>
      </c>
      <c r="X1266" s="1">
        <v>8</v>
      </c>
      <c r="Y1266" s="3" t="s">
        <v>42</v>
      </c>
      <c r="Z1266" s="3" t="s">
        <v>43</v>
      </c>
      <c r="AA1266" s="5">
        <v>0.12</v>
      </c>
      <c r="AB1266" s="10" t="str" cm="1">
        <f t="array" ref="AB1266">_xlfn.IFS(AA1266 &lt;= 15%, "Low Hike[11-15%]", AA1266 &lt;= 20%, "Moderate Hike[16-20%]", AA1266 &lt;= 25%,"High Hike[21-25%]")</f>
        <v>Low Hike[11-15%]</v>
      </c>
      <c r="AC1266" s="1">
        <v>3</v>
      </c>
      <c r="AD1266" s="1">
        <v>2</v>
      </c>
      <c r="AE1266" s="1">
        <v>80</v>
      </c>
      <c r="AF1266" s="1">
        <v>3</v>
      </c>
      <c r="AG1266" s="1">
        <v>34</v>
      </c>
      <c r="AH1266" s="9" t="str" cm="1">
        <f t="array" ref="AH1266">_xlfn.IFS(AG1266 &lt;= 5, "New[1-5]", AG1266 &lt;= 10, "Early Career[6-10]", AG1266 &lt;= 20, "Established[11-20]", AG1266 &lt;= 30, "Veteran[21-30]", AG1266 &lt;= 40, "Late Career[31-40]")</f>
        <v>Late Career[31-40]</v>
      </c>
      <c r="AI1266" s="1">
        <v>2</v>
      </c>
      <c r="AJ1266" s="1">
        <v>3</v>
      </c>
      <c r="AK1266" s="1">
        <v>1</v>
      </c>
      <c r="AL1266" s="9" t="str" cm="1">
        <f t="array" ref="AL1266">_xlfn.IFS(AK1266 &lt;= 5, "New[1-5]", AK1266 &lt;= 10, "Early Career[6-10]", AK1266 &lt;= 20, "Established[11-20]", AK1266 &lt;= 30, "Veteran[21-30]", AK1266 &lt;= 40, "Late Career[31-40]")</f>
        <v>New[1-5]</v>
      </c>
      <c r="AM1266" s="1">
        <v>0</v>
      </c>
      <c r="AN1266" s="9" t="str" cm="1">
        <f t="array" ref="AN1266">_xlfn.IFS(AM1266 &lt;= 3, "New to Role[1-3]", AM1266 &lt;= 7, "Settled[4-7]", AM1266 &lt;= 12, "Experienced[[8-12]", AM1266 &lt;= 18, "Long Tenured[13-18]")</f>
        <v>New to Role[1-3]</v>
      </c>
      <c r="AO1266" s="1">
        <v>0</v>
      </c>
      <c r="AP1266" s="9" t="str" cm="1">
        <f t="array" ref="AP1266">_xlfn.IFS(AO1266 &lt;= 3, "Recently[1-3]", AO1266 &lt;= 6, "Due Soon[4-6]", AO1266 &lt;= 10, "Overdue[7-10]", AO1266 &lt;= 15, "Long Overdue[11-15]")</f>
        <v>Recently[1-3]</v>
      </c>
      <c r="AQ1266" s="9" t="str" cm="1">
        <f t="array" ref="AQ1266">_xlfn.IFS(AR1266 &lt;= 3, "New Relationship[1-3]", AR1266 &lt;= 7, "Established Relationship[4-7]", AR1266 &lt;= 12, "Long Term Relationship[8-12]", AR1266 &lt;= 17, "Very Long Term Relationship[13-17]")</f>
        <v>New Relationship[1-3]</v>
      </c>
      <c r="AR1266" s="1">
        <v>0</v>
      </c>
    </row>
    <row r="1267" spans="1:44" x14ac:dyDescent="0.25">
      <c r="A1267" s="1">
        <v>33</v>
      </c>
      <c r="B1267" s="8" t="str" cm="1">
        <f t="array" ref="B1267">_xlfn.IFS(A1267 &lt;= 25, "[18-25]", A1267 &lt;= 35, "[26-35]", A1267 &lt;=45, "[36-45]", A1267 &lt;= 60, "[46- 60]")</f>
        <v>[26-35]</v>
      </c>
      <c r="C1267" s="3" t="s">
        <v>43</v>
      </c>
      <c r="D1267">
        <f t="shared" si="19"/>
        <v>0</v>
      </c>
      <c r="E1267" t="s">
        <v>62</v>
      </c>
      <c r="F1267" s="1">
        <v>775</v>
      </c>
      <c r="G1267" s="3" t="s">
        <v>45</v>
      </c>
      <c r="H1267" s="1">
        <v>4</v>
      </c>
      <c r="I1267" s="9" t="str" cm="1">
        <f t="array" ref="I1267">_xlfn.IFS(H1267 &lt;= 2, "[1-2] very close", H1267 &lt;= 10, "[3-10] close", H1267 &lt;= 20, "[11-20] moderate", H1267 &lt;= 30, "[21-30] far")</f>
        <v>[3-10] close</v>
      </c>
      <c r="J1267" s="1">
        <v>3</v>
      </c>
      <c r="K1267" s="3" t="s">
        <v>60</v>
      </c>
      <c r="L1267" s="1">
        <v>1</v>
      </c>
      <c r="M1267" s="1">
        <v>1771</v>
      </c>
      <c r="N1267" s="1">
        <v>4</v>
      </c>
      <c r="O1267" s="3" t="s">
        <v>46</v>
      </c>
      <c r="P1267" s="1">
        <v>90</v>
      </c>
      <c r="Q1267" s="1">
        <v>3</v>
      </c>
      <c r="R1267" s="1">
        <v>2</v>
      </c>
      <c r="S1267" s="3" t="s">
        <v>47</v>
      </c>
      <c r="T1267" s="1">
        <v>2</v>
      </c>
      <c r="U1267" s="3" t="s">
        <v>52</v>
      </c>
      <c r="V1267" s="4">
        <v>3055</v>
      </c>
      <c r="W1267" s="1">
        <v>6194</v>
      </c>
      <c r="X1267" s="1">
        <v>5</v>
      </c>
      <c r="Y1267" s="3" t="s">
        <v>42</v>
      </c>
      <c r="Z1267" s="3" t="s">
        <v>43</v>
      </c>
      <c r="AA1267" s="5">
        <v>0.15</v>
      </c>
      <c r="AB1267" s="10" t="str" cm="1">
        <f t="array" ref="AB1267">_xlfn.IFS(AA1267 &lt;= 15%, "Low Hike[11-15%]", AA1267 &lt;= 20%, "Moderate Hike[16-20%]", AA1267 &lt;= 25%,"High Hike[21-25%]")</f>
        <v>Low Hike[11-15%]</v>
      </c>
      <c r="AC1267" s="1">
        <v>3</v>
      </c>
      <c r="AD1267" s="1">
        <v>4</v>
      </c>
      <c r="AE1267" s="1">
        <v>80</v>
      </c>
      <c r="AF1267" s="1">
        <v>2</v>
      </c>
      <c r="AG1267" s="1">
        <v>11</v>
      </c>
      <c r="AH1267" s="9" t="str" cm="1">
        <f t="array" ref="AH1267">_xlfn.IFS(AG1267 &lt;= 5, "New[1-5]", AG1267 &lt;= 10, "Early Career[6-10]", AG1267 &lt;= 20, "Established[11-20]", AG1267 &lt;= 30, "Veteran[21-30]", AG1267 &lt;= 40, "Late Career[31-40]")</f>
        <v>Established[11-20]</v>
      </c>
      <c r="AI1267" s="1">
        <v>2</v>
      </c>
      <c r="AJ1267" s="1">
        <v>2</v>
      </c>
      <c r="AK1267" s="1">
        <v>9</v>
      </c>
      <c r="AL1267" s="9" t="str" cm="1">
        <f t="array" ref="AL1267">_xlfn.IFS(AK1267 &lt;= 5, "New[1-5]", AK1267 &lt;= 10, "Early Career[6-10]", AK1267 &lt;= 20, "Established[11-20]", AK1267 &lt;= 30, "Veteran[21-30]", AK1267 &lt;= 40, "Late Career[31-40]")</f>
        <v>Early Career[6-10]</v>
      </c>
      <c r="AM1267" s="1">
        <v>8</v>
      </c>
      <c r="AN1267" s="9" t="str" cm="1">
        <f t="array" ref="AN1267">_xlfn.IFS(AM1267 &lt;= 3, "New to Role[1-3]", AM1267 &lt;= 7, "Settled[4-7]", AM1267 &lt;= 12, "Experienced[[8-12]", AM1267 &lt;= 18, "Long Tenured[13-18]")</f>
        <v>Experienced[[8-12]</v>
      </c>
      <c r="AO1267" s="1">
        <v>1</v>
      </c>
      <c r="AP1267" s="9" t="str" cm="1">
        <f t="array" ref="AP1267">_xlfn.IFS(AO1267 &lt;= 3, "Recently[1-3]", AO1267 &lt;= 6, "Due Soon[4-6]", AO1267 &lt;= 10, "Overdue[7-10]", AO1267 &lt;= 15, "Long Overdue[11-15]")</f>
        <v>Recently[1-3]</v>
      </c>
      <c r="AQ1267" s="9" t="str" cm="1">
        <f t="array" ref="AQ1267">_xlfn.IFS(AR1267 &lt;= 3, "New Relationship[1-3]", AR1267 &lt;= 7, "Established Relationship[4-7]", AR1267 &lt;= 12, "Long Term Relationship[8-12]", AR1267 &lt;= 17, "Very Long Term Relationship[13-17]")</f>
        <v>Established Relationship[4-7]</v>
      </c>
      <c r="AR1267" s="1">
        <v>7</v>
      </c>
    </row>
    <row r="1268" spans="1:44" x14ac:dyDescent="0.25">
      <c r="A1268" s="1">
        <v>41</v>
      </c>
      <c r="B1268" s="8" t="str" cm="1">
        <f t="array" ref="B1268">_xlfn.IFS(A1268 &lt;= 25, "[18-25]", A1268 &lt;= 35, "[26-35]", A1268 &lt;=45, "[36-45]", A1268 &lt;= 60, "[46- 60]")</f>
        <v>[36-45]</v>
      </c>
      <c r="C1268" s="3" t="s">
        <v>43</v>
      </c>
      <c r="D1268">
        <f t="shared" si="19"/>
        <v>0</v>
      </c>
      <c r="E1268" t="s">
        <v>36</v>
      </c>
      <c r="F1268" s="1">
        <v>548</v>
      </c>
      <c r="G1268" s="3" t="s">
        <v>45</v>
      </c>
      <c r="H1268" s="1">
        <v>9</v>
      </c>
      <c r="I1268" s="9" t="str" cm="1">
        <f t="array" ref="I1268">_xlfn.IFS(H1268 &lt;= 2, "[1-2] very close", H1268 &lt;= 10, "[3-10] close", H1268 &lt;= 20, "[11-20] moderate", H1268 &lt;= 30, "[21-30] far")</f>
        <v>[3-10] close</v>
      </c>
      <c r="J1268" s="1">
        <v>4</v>
      </c>
      <c r="K1268" s="3" t="s">
        <v>38</v>
      </c>
      <c r="L1268" s="1">
        <v>1</v>
      </c>
      <c r="M1268" s="1">
        <v>1772</v>
      </c>
      <c r="N1268" s="1">
        <v>3</v>
      </c>
      <c r="O1268" s="3" t="s">
        <v>46</v>
      </c>
      <c r="P1268" s="1">
        <v>94</v>
      </c>
      <c r="Q1268" s="1">
        <v>3</v>
      </c>
      <c r="R1268" s="1">
        <v>1</v>
      </c>
      <c r="S1268" s="3" t="s">
        <v>50</v>
      </c>
      <c r="T1268" s="1">
        <v>1</v>
      </c>
      <c r="U1268" s="3" t="s">
        <v>52</v>
      </c>
      <c r="V1268" s="4">
        <v>2289</v>
      </c>
      <c r="W1268" s="1">
        <v>20520</v>
      </c>
      <c r="X1268" s="1">
        <v>1</v>
      </c>
      <c r="Y1268" s="3" t="s">
        <v>42</v>
      </c>
      <c r="Z1268" s="3" t="s">
        <v>43</v>
      </c>
      <c r="AA1268" s="5">
        <v>0.2</v>
      </c>
      <c r="AB1268" s="10" t="str" cm="1">
        <f t="array" ref="AB1268">_xlfn.IFS(AA1268 &lt;= 15%, "Low Hike[11-15%]", AA1268 &lt;= 20%, "Moderate Hike[16-20%]", AA1268 &lt;= 25%,"High Hike[21-25%]")</f>
        <v>Moderate Hike[16-20%]</v>
      </c>
      <c r="AC1268" s="1">
        <v>4</v>
      </c>
      <c r="AD1268" s="1">
        <v>2</v>
      </c>
      <c r="AE1268" s="1">
        <v>80</v>
      </c>
      <c r="AF1268" s="1">
        <v>2</v>
      </c>
      <c r="AG1268" s="1">
        <v>5</v>
      </c>
      <c r="AH1268" s="9" t="str" cm="1">
        <f t="array" ref="AH1268">_xlfn.IFS(AG1268 &lt;= 5, "New[1-5]", AG1268 &lt;= 10, "Early Career[6-10]", AG1268 &lt;= 20, "Established[11-20]", AG1268 &lt;= 30, "Veteran[21-30]", AG1268 &lt;= 40, "Late Career[31-40]")</f>
        <v>New[1-5]</v>
      </c>
      <c r="AI1268" s="1">
        <v>2</v>
      </c>
      <c r="AJ1268" s="1">
        <v>3</v>
      </c>
      <c r="AK1268" s="1">
        <v>5</v>
      </c>
      <c r="AL1268" s="9" t="str" cm="1">
        <f t="array" ref="AL1268">_xlfn.IFS(AK1268 &lt;= 5, "New[1-5]", AK1268 &lt;= 10, "Early Career[6-10]", AK1268 &lt;= 20, "Established[11-20]", AK1268 &lt;= 30, "Veteran[21-30]", AK1268 &lt;= 40, "Late Career[31-40]")</f>
        <v>New[1-5]</v>
      </c>
      <c r="AM1268" s="1">
        <v>3</v>
      </c>
      <c r="AN1268" s="9" t="str" cm="1">
        <f t="array" ref="AN1268">_xlfn.IFS(AM1268 &lt;= 3, "New to Role[1-3]", AM1268 &lt;= 7, "Settled[4-7]", AM1268 &lt;= 12, "Experienced[[8-12]", AM1268 &lt;= 18, "Long Tenured[13-18]")</f>
        <v>New to Role[1-3]</v>
      </c>
      <c r="AO1268" s="1">
        <v>0</v>
      </c>
      <c r="AP1268" s="9" t="str" cm="1">
        <f t="array" ref="AP1268">_xlfn.IFS(AO1268 &lt;= 3, "Recently[1-3]", AO1268 &lt;= 6, "Due Soon[4-6]", AO1268 &lt;= 10, "Overdue[7-10]", AO1268 &lt;= 15, "Long Overdue[11-15]")</f>
        <v>Recently[1-3]</v>
      </c>
      <c r="AQ1268" s="9" t="str" cm="1">
        <f t="array" ref="AQ1268">_xlfn.IFS(AR1268 &lt;= 3, "New Relationship[1-3]", AR1268 &lt;= 7, "Established Relationship[4-7]", AR1268 &lt;= 12, "Long Term Relationship[8-12]", AR1268 &lt;= 17, "Very Long Term Relationship[13-17]")</f>
        <v>Established Relationship[4-7]</v>
      </c>
      <c r="AR1268" s="1">
        <v>4</v>
      </c>
    </row>
    <row r="1269" spans="1:44" x14ac:dyDescent="0.25">
      <c r="A1269" s="1">
        <v>34</v>
      </c>
      <c r="B1269" s="8" t="str" cm="1">
        <f t="array" ref="B1269">_xlfn.IFS(A1269 &lt;= 25, "[18-25]", A1269 &lt;= 35, "[26-35]", A1269 &lt;=45, "[36-45]", A1269 &lt;= 60, "[46- 60]")</f>
        <v>[26-35]</v>
      </c>
      <c r="C1269" s="3" t="s">
        <v>43</v>
      </c>
      <c r="D1269">
        <f t="shared" si="19"/>
        <v>0</v>
      </c>
      <c r="E1269" t="s">
        <v>62</v>
      </c>
      <c r="F1269" s="1">
        <v>1375</v>
      </c>
      <c r="G1269" s="3" t="s">
        <v>37</v>
      </c>
      <c r="H1269" s="1">
        <v>10</v>
      </c>
      <c r="I1269" s="9" t="str" cm="1">
        <f t="array" ref="I1269">_xlfn.IFS(H1269 &lt;= 2, "[1-2] very close", H1269 &lt;= 10, "[3-10] close", H1269 &lt;= 20, "[11-20] moderate", H1269 &lt;= 30, "[21-30] far")</f>
        <v>[3-10] close</v>
      </c>
      <c r="J1269" s="1">
        <v>3</v>
      </c>
      <c r="K1269" s="3" t="s">
        <v>38</v>
      </c>
      <c r="L1269" s="1">
        <v>1</v>
      </c>
      <c r="M1269" s="1">
        <v>1774</v>
      </c>
      <c r="N1269" s="1">
        <v>4</v>
      </c>
      <c r="O1269" s="3" t="s">
        <v>46</v>
      </c>
      <c r="P1269" s="1">
        <v>87</v>
      </c>
      <c r="Q1269" s="1">
        <v>3</v>
      </c>
      <c r="R1269" s="1">
        <v>2</v>
      </c>
      <c r="S1269" s="3" t="s">
        <v>40</v>
      </c>
      <c r="T1269" s="1">
        <v>3</v>
      </c>
      <c r="U1269" s="3" t="s">
        <v>52</v>
      </c>
      <c r="V1269" s="4">
        <v>4001</v>
      </c>
      <c r="W1269" s="1">
        <v>12313</v>
      </c>
      <c r="X1269" s="1">
        <v>1</v>
      </c>
      <c r="Y1269" s="3" t="s">
        <v>42</v>
      </c>
      <c r="Z1269" s="3" t="s">
        <v>35</v>
      </c>
      <c r="AA1269" s="5">
        <v>0.14000000000000001</v>
      </c>
      <c r="AB1269" s="10" t="str" cm="1">
        <f t="array" ref="AB1269">_xlfn.IFS(AA1269 &lt;= 15%, "Low Hike[11-15%]", AA1269 &lt;= 20%, "Moderate Hike[16-20%]", AA1269 &lt;= 25%,"High Hike[21-25%]")</f>
        <v>Low Hike[11-15%]</v>
      </c>
      <c r="AC1269" s="1">
        <v>3</v>
      </c>
      <c r="AD1269" s="1">
        <v>3</v>
      </c>
      <c r="AE1269" s="1">
        <v>80</v>
      </c>
      <c r="AF1269" s="1">
        <v>1</v>
      </c>
      <c r="AG1269" s="1">
        <v>15</v>
      </c>
      <c r="AH1269" s="9" t="str" cm="1">
        <f t="array" ref="AH1269">_xlfn.IFS(AG1269 &lt;= 5, "New[1-5]", AG1269 &lt;= 10, "Early Career[6-10]", AG1269 &lt;= 20, "Established[11-20]", AG1269 &lt;= 30, "Veteran[21-30]", AG1269 &lt;= 40, "Late Career[31-40]")</f>
        <v>Established[11-20]</v>
      </c>
      <c r="AI1269" s="1">
        <v>3</v>
      </c>
      <c r="AJ1269" s="1">
        <v>3</v>
      </c>
      <c r="AK1269" s="1">
        <v>15</v>
      </c>
      <c r="AL1269" s="9" t="str" cm="1">
        <f t="array" ref="AL1269">_xlfn.IFS(AK1269 &lt;= 5, "New[1-5]", AK1269 &lt;= 10, "Early Career[6-10]", AK1269 &lt;= 20, "Established[11-20]", AK1269 &lt;= 30, "Veteran[21-30]", AK1269 &lt;= 40, "Late Career[31-40]")</f>
        <v>Established[11-20]</v>
      </c>
      <c r="AM1269" s="1">
        <v>14</v>
      </c>
      <c r="AN1269" s="9" t="str" cm="1">
        <f t="array" ref="AN1269">_xlfn.IFS(AM1269 &lt;= 3, "New to Role[1-3]", AM1269 &lt;= 7, "Settled[4-7]", AM1269 &lt;= 12, "Experienced[[8-12]", AM1269 &lt;= 18, "Long Tenured[13-18]")</f>
        <v>Long Tenured[13-18]</v>
      </c>
      <c r="AO1269" s="1">
        <v>0</v>
      </c>
      <c r="AP1269" s="9" t="str" cm="1">
        <f t="array" ref="AP1269">_xlfn.IFS(AO1269 &lt;= 3, "Recently[1-3]", AO1269 &lt;= 6, "Due Soon[4-6]", AO1269 &lt;= 10, "Overdue[7-10]", AO1269 &lt;= 15, "Long Overdue[11-15]")</f>
        <v>Recently[1-3]</v>
      </c>
      <c r="AQ1269" s="9" t="str" cm="1">
        <f t="array" ref="AQ1269">_xlfn.IFS(AR1269 &lt;= 3, "New Relationship[1-3]", AR1269 &lt;= 7, "Established Relationship[4-7]", AR1269 &lt;= 12, "Long Term Relationship[8-12]", AR1269 &lt;= 17, "Very Long Term Relationship[13-17]")</f>
        <v>Established Relationship[4-7]</v>
      </c>
      <c r="AR1269" s="1">
        <v>7</v>
      </c>
    </row>
    <row r="1270" spans="1:44" x14ac:dyDescent="0.25">
      <c r="A1270" s="1">
        <v>53</v>
      </c>
      <c r="B1270" s="8" t="str" cm="1">
        <f t="array" ref="B1270">_xlfn.IFS(A1270 &lt;= 25, "[18-25]", A1270 &lt;= 35, "[26-35]", A1270 &lt;=45, "[36-45]", A1270 &lt;= 60, "[46- 60]")</f>
        <v>[46- 60]</v>
      </c>
      <c r="C1270" s="3" t="s">
        <v>43</v>
      </c>
      <c r="D1270">
        <f t="shared" si="19"/>
        <v>0</v>
      </c>
      <c r="E1270" t="s">
        <v>62</v>
      </c>
      <c r="F1270" s="1">
        <v>661</v>
      </c>
      <c r="G1270" s="3" t="s">
        <v>45</v>
      </c>
      <c r="H1270" s="1">
        <v>1</v>
      </c>
      <c r="I1270" s="9" t="str" cm="1">
        <f t="array" ref="I1270">_xlfn.IFS(H1270 &lt;= 2, "[1-2] very close", H1270 &lt;= 10, "[3-10] close", H1270 &lt;= 20, "[11-20] moderate", H1270 &lt;= 30, "[21-30] far")</f>
        <v>[1-2] very close</v>
      </c>
      <c r="J1270" s="1">
        <v>4</v>
      </c>
      <c r="K1270" s="3" t="s">
        <v>51</v>
      </c>
      <c r="L1270" s="1">
        <v>1</v>
      </c>
      <c r="M1270" s="1">
        <v>1775</v>
      </c>
      <c r="N1270" s="1">
        <v>1</v>
      </c>
      <c r="O1270" s="3" t="s">
        <v>39</v>
      </c>
      <c r="P1270" s="1">
        <v>60</v>
      </c>
      <c r="Q1270" s="1">
        <v>2</v>
      </c>
      <c r="R1270" s="1">
        <v>4</v>
      </c>
      <c r="S1270" s="3" t="s">
        <v>53</v>
      </c>
      <c r="T1270" s="1">
        <v>3</v>
      </c>
      <c r="U1270" s="3" t="s">
        <v>48</v>
      </c>
      <c r="V1270" s="4">
        <v>12965</v>
      </c>
      <c r="W1270" s="1">
        <v>22308</v>
      </c>
      <c r="X1270" s="1">
        <v>4</v>
      </c>
      <c r="Y1270" s="3" t="s">
        <v>42</v>
      </c>
      <c r="Z1270" s="3" t="s">
        <v>35</v>
      </c>
      <c r="AA1270" s="5">
        <v>0.2</v>
      </c>
      <c r="AB1270" s="10" t="str" cm="1">
        <f t="array" ref="AB1270">_xlfn.IFS(AA1270 &lt;= 15%, "Low Hike[11-15%]", AA1270 &lt;= 20%, "Moderate Hike[16-20%]", AA1270 &lt;= 25%,"High Hike[21-25%]")</f>
        <v>Moderate Hike[16-20%]</v>
      </c>
      <c r="AC1270" s="1">
        <v>4</v>
      </c>
      <c r="AD1270" s="1">
        <v>4</v>
      </c>
      <c r="AE1270" s="1">
        <v>80</v>
      </c>
      <c r="AF1270" s="1">
        <v>3</v>
      </c>
      <c r="AG1270" s="1">
        <v>27</v>
      </c>
      <c r="AH1270" s="9" t="str" cm="1">
        <f t="array" ref="AH1270">_xlfn.IFS(AG1270 &lt;= 5, "New[1-5]", AG1270 &lt;= 10, "Early Career[6-10]", AG1270 &lt;= 20, "Established[11-20]", AG1270 &lt;= 30, "Veteran[21-30]", AG1270 &lt;= 40, "Late Career[31-40]")</f>
        <v>Veteran[21-30]</v>
      </c>
      <c r="AI1270" s="1">
        <v>2</v>
      </c>
      <c r="AJ1270" s="1">
        <v>2</v>
      </c>
      <c r="AK1270" s="1">
        <v>3</v>
      </c>
      <c r="AL1270" s="9" t="str" cm="1">
        <f t="array" ref="AL1270">_xlfn.IFS(AK1270 &lt;= 5, "New[1-5]", AK1270 &lt;= 10, "Early Career[6-10]", AK1270 &lt;= 20, "Established[11-20]", AK1270 &lt;= 30, "Veteran[21-30]", AK1270 &lt;= 40, "Late Career[31-40]")</f>
        <v>New[1-5]</v>
      </c>
      <c r="AM1270" s="1">
        <v>2</v>
      </c>
      <c r="AN1270" s="9" t="str" cm="1">
        <f t="array" ref="AN1270">_xlfn.IFS(AM1270 &lt;= 3, "New to Role[1-3]", AM1270 &lt;= 7, "Settled[4-7]", AM1270 &lt;= 12, "Experienced[[8-12]", AM1270 &lt;= 18, "Long Tenured[13-18]")</f>
        <v>New to Role[1-3]</v>
      </c>
      <c r="AO1270" s="1">
        <v>0</v>
      </c>
      <c r="AP1270" s="9" t="str" cm="1">
        <f t="array" ref="AP1270">_xlfn.IFS(AO1270 &lt;= 3, "Recently[1-3]", AO1270 &lt;= 6, "Due Soon[4-6]", AO1270 &lt;= 10, "Overdue[7-10]", AO1270 &lt;= 15, "Long Overdue[11-15]")</f>
        <v>Recently[1-3]</v>
      </c>
      <c r="AQ1270" s="9" t="str" cm="1">
        <f t="array" ref="AQ1270">_xlfn.IFS(AR1270 &lt;= 3, "New Relationship[1-3]", AR1270 &lt;= 7, "Established Relationship[4-7]", AR1270 &lt;= 12, "Long Term Relationship[8-12]", AR1270 &lt;= 17, "Very Long Term Relationship[13-17]")</f>
        <v>New Relationship[1-3]</v>
      </c>
      <c r="AR1270" s="1">
        <v>2</v>
      </c>
    </row>
    <row r="1271" spans="1:44" x14ac:dyDescent="0.25">
      <c r="A1271" s="1">
        <v>43</v>
      </c>
      <c r="B1271" s="8" t="str" cm="1">
        <f t="array" ref="B1271">_xlfn.IFS(A1271 &lt;= 25, "[18-25]", A1271 &lt;= 35, "[26-35]", A1271 &lt;=45, "[36-45]", A1271 &lt;= 60, "[46- 60]")</f>
        <v>[36-45]</v>
      </c>
      <c r="C1271" s="3" t="s">
        <v>43</v>
      </c>
      <c r="D1271">
        <f t="shared" si="19"/>
        <v>0</v>
      </c>
      <c r="E1271" t="s">
        <v>36</v>
      </c>
      <c r="F1271" s="1">
        <v>244</v>
      </c>
      <c r="G1271" s="3" t="s">
        <v>61</v>
      </c>
      <c r="H1271" s="1">
        <v>2</v>
      </c>
      <c r="I1271" s="9" t="str" cm="1">
        <f t="array" ref="I1271">_xlfn.IFS(H1271 &lt;= 2, "[1-2] very close", H1271 &lt;= 10, "[3-10] close", H1271 &lt;= 20, "[11-20] moderate", H1271 &lt;= 30, "[21-30] far")</f>
        <v>[1-2] very close</v>
      </c>
      <c r="J1271" s="1">
        <v>3</v>
      </c>
      <c r="K1271" s="3" t="s">
        <v>38</v>
      </c>
      <c r="L1271" s="1">
        <v>1</v>
      </c>
      <c r="M1271" s="1">
        <v>1778</v>
      </c>
      <c r="N1271" s="1">
        <v>2</v>
      </c>
      <c r="O1271" s="3" t="s">
        <v>46</v>
      </c>
      <c r="P1271" s="1">
        <v>97</v>
      </c>
      <c r="Q1271" s="1">
        <v>3</v>
      </c>
      <c r="R1271" s="1">
        <v>1</v>
      </c>
      <c r="S1271" s="3" t="s">
        <v>61</v>
      </c>
      <c r="T1271" s="1">
        <v>4</v>
      </c>
      <c r="U1271" s="3" t="s">
        <v>41</v>
      </c>
      <c r="V1271" s="4">
        <v>3539</v>
      </c>
      <c r="W1271" s="1">
        <v>5033</v>
      </c>
      <c r="X1271" s="1">
        <v>0</v>
      </c>
      <c r="Y1271" s="3" t="s">
        <v>42</v>
      </c>
      <c r="Z1271" s="3" t="s">
        <v>43</v>
      </c>
      <c r="AA1271" s="5">
        <v>0.13</v>
      </c>
      <c r="AB1271" s="10" t="str" cm="1">
        <f t="array" ref="AB1271">_xlfn.IFS(AA1271 &lt;= 15%, "Low Hike[11-15%]", AA1271 &lt;= 20%, "Moderate Hike[16-20%]", AA1271 &lt;= 25%,"High Hike[21-25%]")</f>
        <v>Low Hike[11-15%]</v>
      </c>
      <c r="AC1271" s="1">
        <v>3</v>
      </c>
      <c r="AD1271" s="1">
        <v>2</v>
      </c>
      <c r="AE1271" s="1">
        <v>80</v>
      </c>
      <c r="AF1271" s="1">
        <v>0</v>
      </c>
      <c r="AG1271" s="1">
        <v>10</v>
      </c>
      <c r="AH1271" s="9" t="str" cm="1">
        <f t="array" ref="AH1271">_xlfn.IFS(AG1271 &lt;= 5, "New[1-5]", AG1271 &lt;= 10, "Early Career[6-10]", AG1271 &lt;= 20, "Established[11-20]", AG1271 &lt;= 30, "Veteran[21-30]", AG1271 &lt;= 40, "Late Career[31-40]")</f>
        <v>Early Career[6-10]</v>
      </c>
      <c r="AI1271" s="1">
        <v>5</v>
      </c>
      <c r="AJ1271" s="1">
        <v>3</v>
      </c>
      <c r="AK1271" s="1">
        <v>9</v>
      </c>
      <c r="AL1271" s="9" t="str" cm="1">
        <f t="array" ref="AL1271">_xlfn.IFS(AK1271 &lt;= 5, "New[1-5]", AK1271 &lt;= 10, "Early Career[6-10]", AK1271 &lt;= 20, "Established[11-20]", AK1271 &lt;= 30, "Veteran[21-30]", AK1271 &lt;= 40, "Late Career[31-40]")</f>
        <v>Early Career[6-10]</v>
      </c>
      <c r="AM1271" s="1">
        <v>7</v>
      </c>
      <c r="AN1271" s="9" t="str" cm="1">
        <f t="array" ref="AN1271">_xlfn.IFS(AM1271 &lt;= 3, "New to Role[1-3]", AM1271 &lt;= 7, "Settled[4-7]", AM1271 &lt;= 12, "Experienced[[8-12]", AM1271 &lt;= 18, "Long Tenured[13-18]")</f>
        <v>Settled[4-7]</v>
      </c>
      <c r="AO1271" s="1">
        <v>1</v>
      </c>
      <c r="AP1271" s="9" t="str" cm="1">
        <f t="array" ref="AP1271">_xlfn.IFS(AO1271 &lt;= 3, "Recently[1-3]", AO1271 &lt;= 6, "Due Soon[4-6]", AO1271 &lt;= 10, "Overdue[7-10]", AO1271 &lt;= 15, "Long Overdue[11-15]")</f>
        <v>Recently[1-3]</v>
      </c>
      <c r="AQ1271" s="9" t="str" cm="1">
        <f t="array" ref="AQ1271">_xlfn.IFS(AR1271 &lt;= 3, "New Relationship[1-3]", AR1271 &lt;= 7, "Established Relationship[4-7]", AR1271 &lt;= 12, "Long Term Relationship[8-12]", AR1271 &lt;= 17, "Very Long Term Relationship[13-17]")</f>
        <v>Long Term Relationship[8-12]</v>
      </c>
      <c r="AR1271" s="1">
        <v>8</v>
      </c>
    </row>
    <row r="1272" spans="1:44" x14ac:dyDescent="0.25">
      <c r="A1272" s="1">
        <v>34</v>
      </c>
      <c r="B1272" s="8" t="str" cm="1">
        <f t="array" ref="B1272">_xlfn.IFS(A1272 &lt;= 25, "[18-25]", A1272 &lt;= 35, "[26-35]", A1272 &lt;=45, "[36-45]", A1272 &lt;= 60, "[46- 60]")</f>
        <v>[26-35]</v>
      </c>
      <c r="C1272" s="3" t="s">
        <v>43</v>
      </c>
      <c r="D1272">
        <f t="shared" si="19"/>
        <v>0</v>
      </c>
      <c r="E1272" t="s">
        <v>36</v>
      </c>
      <c r="F1272" s="1">
        <v>511</v>
      </c>
      <c r="G1272" s="3" t="s">
        <v>37</v>
      </c>
      <c r="H1272" s="1">
        <v>3</v>
      </c>
      <c r="I1272" s="9" t="str" cm="1">
        <f t="array" ref="I1272">_xlfn.IFS(H1272 &lt;= 2, "[1-2] very close", H1272 &lt;= 10, "[3-10] close", H1272 &lt;= 20, "[11-20] moderate", H1272 &lt;= 30, "[21-30] far")</f>
        <v>[3-10] close</v>
      </c>
      <c r="J1272" s="1">
        <v>2</v>
      </c>
      <c r="K1272" s="3" t="s">
        <v>38</v>
      </c>
      <c r="L1272" s="1">
        <v>1</v>
      </c>
      <c r="M1272" s="1">
        <v>1779</v>
      </c>
      <c r="N1272" s="1">
        <v>4</v>
      </c>
      <c r="O1272" s="3" t="s">
        <v>39</v>
      </c>
      <c r="P1272" s="1">
        <v>32</v>
      </c>
      <c r="Q1272" s="1">
        <v>1</v>
      </c>
      <c r="R1272" s="1">
        <v>2</v>
      </c>
      <c r="S1272" s="3" t="s">
        <v>40</v>
      </c>
      <c r="T1272" s="1">
        <v>4</v>
      </c>
      <c r="U1272" s="3" t="s">
        <v>41</v>
      </c>
      <c r="V1272" s="4">
        <v>6029</v>
      </c>
      <c r="W1272" s="1">
        <v>25353</v>
      </c>
      <c r="X1272" s="1">
        <v>5</v>
      </c>
      <c r="Y1272" s="3" t="s">
        <v>42</v>
      </c>
      <c r="Z1272" s="3" t="s">
        <v>43</v>
      </c>
      <c r="AA1272" s="5">
        <v>0.12</v>
      </c>
      <c r="AB1272" s="10" t="str" cm="1">
        <f t="array" ref="AB1272">_xlfn.IFS(AA1272 &lt;= 15%, "Low Hike[11-15%]", AA1272 &lt;= 20%, "Moderate Hike[16-20%]", AA1272 &lt;= 25%,"High Hike[21-25%]")</f>
        <v>Low Hike[11-15%]</v>
      </c>
      <c r="AC1272" s="1">
        <v>3</v>
      </c>
      <c r="AD1272" s="1">
        <v>1</v>
      </c>
      <c r="AE1272" s="1">
        <v>80</v>
      </c>
      <c r="AF1272" s="1">
        <v>0</v>
      </c>
      <c r="AG1272" s="1">
        <v>6</v>
      </c>
      <c r="AH1272" s="9" t="str" cm="1">
        <f t="array" ref="AH1272">_xlfn.IFS(AG1272 &lt;= 5, "New[1-5]", AG1272 &lt;= 10, "Early Career[6-10]", AG1272 &lt;= 20, "Established[11-20]", AG1272 &lt;= 30, "Veteran[21-30]", AG1272 &lt;= 40, "Late Career[31-40]")</f>
        <v>Early Career[6-10]</v>
      </c>
      <c r="AI1272" s="1">
        <v>3</v>
      </c>
      <c r="AJ1272" s="1">
        <v>3</v>
      </c>
      <c r="AK1272" s="1">
        <v>2</v>
      </c>
      <c r="AL1272" s="9" t="str" cm="1">
        <f t="array" ref="AL1272">_xlfn.IFS(AK1272 &lt;= 5, "New[1-5]", AK1272 &lt;= 10, "Early Career[6-10]", AK1272 &lt;= 20, "Established[11-20]", AK1272 &lt;= 30, "Veteran[21-30]", AK1272 &lt;= 40, "Late Career[31-40]")</f>
        <v>New[1-5]</v>
      </c>
      <c r="AM1272" s="1">
        <v>2</v>
      </c>
      <c r="AN1272" s="9" t="str" cm="1">
        <f t="array" ref="AN1272">_xlfn.IFS(AM1272 &lt;= 3, "New to Role[1-3]", AM1272 &lt;= 7, "Settled[4-7]", AM1272 &lt;= 12, "Experienced[[8-12]", AM1272 &lt;= 18, "Long Tenured[13-18]")</f>
        <v>New to Role[1-3]</v>
      </c>
      <c r="AO1272" s="1">
        <v>2</v>
      </c>
      <c r="AP1272" s="9" t="str" cm="1">
        <f t="array" ref="AP1272">_xlfn.IFS(AO1272 &lt;= 3, "Recently[1-3]", AO1272 &lt;= 6, "Due Soon[4-6]", AO1272 &lt;= 10, "Overdue[7-10]", AO1272 &lt;= 15, "Long Overdue[11-15]")</f>
        <v>Recently[1-3]</v>
      </c>
      <c r="AQ1272" s="9" t="str" cm="1">
        <f t="array" ref="AQ1272">_xlfn.IFS(AR1272 &lt;= 3, "New Relationship[1-3]", AR1272 &lt;= 7, "Established Relationship[4-7]", AR1272 &lt;= 12, "Long Term Relationship[8-12]", AR1272 &lt;= 17, "Very Long Term Relationship[13-17]")</f>
        <v>New Relationship[1-3]</v>
      </c>
      <c r="AR1272" s="1">
        <v>2</v>
      </c>
    </row>
    <row r="1273" spans="1:44" x14ac:dyDescent="0.25">
      <c r="A1273" s="1">
        <v>21</v>
      </c>
      <c r="B1273" s="8" t="str" cm="1">
        <f t="array" ref="B1273">_xlfn.IFS(A1273 &lt;= 25, "[18-25]", A1273 &lt;= 35, "[26-35]", A1273 &lt;=45, "[36-45]", A1273 &lt;= 60, "[46- 60]")</f>
        <v>[18-25]</v>
      </c>
      <c r="C1273" s="3" t="s">
        <v>35</v>
      </c>
      <c r="D1273">
        <f t="shared" si="19"/>
        <v>1</v>
      </c>
      <c r="E1273" t="s">
        <v>36</v>
      </c>
      <c r="F1273" s="1">
        <v>337</v>
      </c>
      <c r="G1273" s="3" t="s">
        <v>37</v>
      </c>
      <c r="H1273" s="1">
        <v>7</v>
      </c>
      <c r="I1273" s="9" t="str" cm="1">
        <f t="array" ref="I1273">_xlfn.IFS(H1273 &lt;= 2, "[1-2] very close", H1273 &lt;= 10, "[3-10] close", H1273 &lt;= 20, "[11-20] moderate", H1273 &lt;= 30, "[21-30] far")</f>
        <v>[3-10] close</v>
      </c>
      <c r="J1273" s="1">
        <v>1</v>
      </c>
      <c r="K1273" s="3" t="s">
        <v>59</v>
      </c>
      <c r="L1273" s="1">
        <v>1</v>
      </c>
      <c r="M1273" s="1">
        <v>1780</v>
      </c>
      <c r="N1273" s="1">
        <v>2</v>
      </c>
      <c r="O1273" s="3" t="s">
        <v>46</v>
      </c>
      <c r="P1273" s="1">
        <v>31</v>
      </c>
      <c r="Q1273" s="1">
        <v>3</v>
      </c>
      <c r="R1273" s="1">
        <v>1</v>
      </c>
      <c r="S1273" s="3" t="s">
        <v>57</v>
      </c>
      <c r="T1273" s="1">
        <v>2</v>
      </c>
      <c r="U1273" s="3" t="s">
        <v>41</v>
      </c>
      <c r="V1273" s="4">
        <v>2679</v>
      </c>
      <c r="W1273" s="1">
        <v>4567</v>
      </c>
      <c r="X1273" s="1">
        <v>1</v>
      </c>
      <c r="Y1273" s="3" t="s">
        <v>42</v>
      </c>
      <c r="Z1273" s="3" t="s">
        <v>43</v>
      </c>
      <c r="AA1273" s="5">
        <v>0.13</v>
      </c>
      <c r="AB1273" s="10" t="str" cm="1">
        <f t="array" ref="AB1273">_xlfn.IFS(AA1273 &lt;= 15%, "Low Hike[11-15%]", AA1273 &lt;= 20%, "Moderate Hike[16-20%]", AA1273 &lt;= 25%,"High Hike[21-25%]")</f>
        <v>Low Hike[11-15%]</v>
      </c>
      <c r="AC1273" s="1">
        <v>3</v>
      </c>
      <c r="AD1273" s="1">
        <v>2</v>
      </c>
      <c r="AE1273" s="1">
        <v>80</v>
      </c>
      <c r="AF1273" s="1">
        <v>0</v>
      </c>
      <c r="AG1273" s="1">
        <v>1</v>
      </c>
      <c r="AH1273" s="9" t="str" cm="1">
        <f t="array" ref="AH1273">_xlfn.IFS(AG1273 &lt;= 5, "New[1-5]", AG1273 &lt;= 10, "Early Career[6-10]", AG1273 &lt;= 20, "Established[11-20]", AG1273 &lt;= 30, "Veteran[21-30]", AG1273 &lt;= 40, "Late Career[31-40]")</f>
        <v>New[1-5]</v>
      </c>
      <c r="AI1273" s="1">
        <v>3</v>
      </c>
      <c r="AJ1273" s="1">
        <v>3</v>
      </c>
      <c r="AK1273" s="1">
        <v>1</v>
      </c>
      <c r="AL1273" s="9" t="str" cm="1">
        <f t="array" ref="AL1273">_xlfn.IFS(AK1273 &lt;= 5, "New[1-5]", AK1273 &lt;= 10, "Early Career[6-10]", AK1273 &lt;= 20, "Established[11-20]", AK1273 &lt;= 30, "Veteran[21-30]", AK1273 &lt;= 40, "Late Career[31-40]")</f>
        <v>New[1-5]</v>
      </c>
      <c r="AM1273" s="1">
        <v>0</v>
      </c>
      <c r="AN1273" s="9" t="str" cm="1">
        <f t="array" ref="AN1273">_xlfn.IFS(AM1273 &lt;= 3, "New to Role[1-3]", AM1273 &lt;= 7, "Settled[4-7]", AM1273 &lt;= 12, "Experienced[[8-12]", AM1273 &lt;= 18, "Long Tenured[13-18]")</f>
        <v>New to Role[1-3]</v>
      </c>
      <c r="AO1273" s="1">
        <v>1</v>
      </c>
      <c r="AP1273" s="9" t="str" cm="1">
        <f t="array" ref="AP1273">_xlfn.IFS(AO1273 &lt;= 3, "Recently[1-3]", AO1273 &lt;= 6, "Due Soon[4-6]", AO1273 &lt;= 10, "Overdue[7-10]", AO1273 &lt;= 15, "Long Overdue[11-15]")</f>
        <v>Recently[1-3]</v>
      </c>
      <c r="AQ1273" s="9" t="str" cm="1">
        <f t="array" ref="AQ1273">_xlfn.IFS(AR1273 &lt;= 3, "New Relationship[1-3]", AR1273 &lt;= 7, "Established Relationship[4-7]", AR1273 &lt;= 12, "Long Term Relationship[8-12]", AR1273 &lt;= 17, "Very Long Term Relationship[13-17]")</f>
        <v>New Relationship[1-3]</v>
      </c>
      <c r="AR1273" s="1">
        <v>0</v>
      </c>
    </row>
    <row r="1274" spans="1:44" x14ac:dyDescent="0.25">
      <c r="A1274" s="1">
        <v>38</v>
      </c>
      <c r="B1274" s="8" t="str" cm="1">
        <f t="array" ref="B1274">_xlfn.IFS(A1274 &lt;= 25, "[18-25]", A1274 &lt;= 35, "[26-35]", A1274 &lt;=45, "[36-45]", A1274 &lt;= 60, "[46- 60]")</f>
        <v>[36-45]</v>
      </c>
      <c r="C1274" s="3" t="s">
        <v>43</v>
      </c>
      <c r="D1274">
        <f t="shared" si="19"/>
        <v>0</v>
      </c>
      <c r="E1274" t="s">
        <v>36</v>
      </c>
      <c r="F1274" s="1">
        <v>1153</v>
      </c>
      <c r="G1274" s="3" t="s">
        <v>45</v>
      </c>
      <c r="H1274" s="1">
        <v>6</v>
      </c>
      <c r="I1274" s="9" t="str" cm="1">
        <f t="array" ref="I1274">_xlfn.IFS(H1274 &lt;= 2, "[1-2] very close", H1274 &lt;= 10, "[3-10] close", H1274 &lt;= 20, "[11-20] moderate", H1274 &lt;= 30, "[21-30] far")</f>
        <v>[3-10] close</v>
      </c>
      <c r="J1274" s="1">
        <v>2</v>
      </c>
      <c r="K1274" s="3" t="s">
        <v>49</v>
      </c>
      <c r="L1274" s="1">
        <v>1</v>
      </c>
      <c r="M1274" s="1">
        <v>1782</v>
      </c>
      <c r="N1274" s="1">
        <v>4</v>
      </c>
      <c r="O1274" s="3" t="s">
        <v>39</v>
      </c>
      <c r="P1274" s="1">
        <v>40</v>
      </c>
      <c r="Q1274" s="1">
        <v>2</v>
      </c>
      <c r="R1274" s="1">
        <v>1</v>
      </c>
      <c r="S1274" s="3" t="s">
        <v>50</v>
      </c>
      <c r="T1274" s="1">
        <v>3</v>
      </c>
      <c r="U1274" s="3" t="s">
        <v>48</v>
      </c>
      <c r="V1274" s="4">
        <v>3702</v>
      </c>
      <c r="W1274" s="1">
        <v>16376</v>
      </c>
      <c r="X1274" s="1">
        <v>1</v>
      </c>
      <c r="Y1274" s="3" t="s">
        <v>42</v>
      </c>
      <c r="Z1274" s="3" t="s">
        <v>43</v>
      </c>
      <c r="AA1274" s="5">
        <v>0.11</v>
      </c>
      <c r="AB1274" s="10" t="str" cm="1">
        <f t="array" ref="AB1274">_xlfn.IFS(AA1274 &lt;= 15%, "Low Hike[11-15%]", AA1274 &lt;= 20%, "Moderate Hike[16-20%]", AA1274 &lt;= 25%,"High Hike[21-25%]")</f>
        <v>Low Hike[11-15%]</v>
      </c>
      <c r="AC1274" s="1">
        <v>3</v>
      </c>
      <c r="AD1274" s="1">
        <v>2</v>
      </c>
      <c r="AE1274" s="1">
        <v>80</v>
      </c>
      <c r="AF1274" s="1">
        <v>1</v>
      </c>
      <c r="AG1274" s="1">
        <v>5</v>
      </c>
      <c r="AH1274" s="9" t="str" cm="1">
        <f t="array" ref="AH1274">_xlfn.IFS(AG1274 &lt;= 5, "New[1-5]", AG1274 &lt;= 10, "Early Career[6-10]", AG1274 &lt;= 20, "Established[11-20]", AG1274 &lt;= 30, "Veteran[21-30]", AG1274 &lt;= 40, "Late Career[31-40]")</f>
        <v>New[1-5]</v>
      </c>
      <c r="AI1274" s="1">
        <v>3</v>
      </c>
      <c r="AJ1274" s="1">
        <v>3</v>
      </c>
      <c r="AK1274" s="1">
        <v>5</v>
      </c>
      <c r="AL1274" s="9" t="str" cm="1">
        <f t="array" ref="AL1274">_xlfn.IFS(AK1274 &lt;= 5, "New[1-5]", AK1274 &lt;= 10, "Early Career[6-10]", AK1274 &lt;= 20, "Established[11-20]", AK1274 &lt;= 30, "Veteran[21-30]", AK1274 &lt;= 40, "Late Career[31-40]")</f>
        <v>New[1-5]</v>
      </c>
      <c r="AM1274" s="1">
        <v>4</v>
      </c>
      <c r="AN1274" s="9" t="str" cm="1">
        <f t="array" ref="AN1274">_xlfn.IFS(AM1274 &lt;= 3, "New to Role[1-3]", AM1274 &lt;= 7, "Settled[4-7]", AM1274 &lt;= 12, "Experienced[[8-12]", AM1274 &lt;= 18, "Long Tenured[13-18]")</f>
        <v>Settled[4-7]</v>
      </c>
      <c r="AO1274" s="1">
        <v>0</v>
      </c>
      <c r="AP1274" s="9" t="str" cm="1">
        <f t="array" ref="AP1274">_xlfn.IFS(AO1274 &lt;= 3, "Recently[1-3]", AO1274 &lt;= 6, "Due Soon[4-6]", AO1274 &lt;= 10, "Overdue[7-10]", AO1274 &lt;= 15, "Long Overdue[11-15]")</f>
        <v>Recently[1-3]</v>
      </c>
      <c r="AQ1274" s="9" t="str" cm="1">
        <f t="array" ref="AQ1274">_xlfn.IFS(AR1274 &lt;= 3, "New Relationship[1-3]", AR1274 &lt;= 7, "Established Relationship[4-7]", AR1274 &lt;= 12, "Long Term Relationship[8-12]", AR1274 &lt;= 17, "Very Long Term Relationship[13-17]")</f>
        <v>Established Relationship[4-7]</v>
      </c>
      <c r="AR1274" s="1">
        <v>4</v>
      </c>
    </row>
    <row r="1275" spans="1:44" x14ac:dyDescent="0.25">
      <c r="A1275" s="1">
        <v>22</v>
      </c>
      <c r="B1275" s="8" t="str" cm="1">
        <f t="array" ref="B1275">_xlfn.IFS(A1275 &lt;= 25, "[18-25]", A1275 &lt;= 35, "[26-35]", A1275 &lt;=45, "[36-45]", A1275 &lt;= 60, "[46- 60]")</f>
        <v>[18-25]</v>
      </c>
      <c r="C1275" s="3" t="s">
        <v>35</v>
      </c>
      <c r="D1275">
        <f t="shared" si="19"/>
        <v>1</v>
      </c>
      <c r="E1275" t="s">
        <v>36</v>
      </c>
      <c r="F1275" s="1">
        <v>1294</v>
      </c>
      <c r="G1275" s="3" t="s">
        <v>45</v>
      </c>
      <c r="H1275" s="1">
        <v>8</v>
      </c>
      <c r="I1275" s="9" t="str" cm="1">
        <f t="array" ref="I1275">_xlfn.IFS(H1275 &lt;= 2, "[1-2] very close", H1275 &lt;= 10, "[3-10] close", H1275 &lt;= 20, "[11-20] moderate", H1275 &lt;= 30, "[21-30] far")</f>
        <v>[3-10] close</v>
      </c>
      <c r="J1275" s="1">
        <v>1</v>
      </c>
      <c r="K1275" s="3" t="s">
        <v>51</v>
      </c>
      <c r="L1275" s="1">
        <v>1</v>
      </c>
      <c r="M1275" s="1">
        <v>1783</v>
      </c>
      <c r="N1275" s="1">
        <v>3</v>
      </c>
      <c r="O1275" s="3" t="s">
        <v>39</v>
      </c>
      <c r="P1275" s="1">
        <v>79</v>
      </c>
      <c r="Q1275" s="1">
        <v>3</v>
      </c>
      <c r="R1275" s="1">
        <v>1</v>
      </c>
      <c r="S1275" s="3" t="s">
        <v>50</v>
      </c>
      <c r="T1275" s="1">
        <v>1</v>
      </c>
      <c r="U1275" s="3" t="s">
        <v>48</v>
      </c>
      <c r="V1275" s="4">
        <v>2398</v>
      </c>
      <c r="W1275" s="1">
        <v>15999</v>
      </c>
      <c r="X1275" s="1">
        <v>1</v>
      </c>
      <c r="Y1275" s="3" t="s">
        <v>42</v>
      </c>
      <c r="Z1275" s="3" t="s">
        <v>35</v>
      </c>
      <c r="AA1275" s="5">
        <v>0.17</v>
      </c>
      <c r="AB1275" s="10" t="str" cm="1">
        <f t="array" ref="AB1275">_xlfn.IFS(AA1275 &lt;= 15%, "Low Hike[11-15%]", AA1275 &lt;= 20%, "Moderate Hike[16-20%]", AA1275 &lt;= 25%,"High Hike[21-25%]")</f>
        <v>Moderate Hike[16-20%]</v>
      </c>
      <c r="AC1275" s="1">
        <v>3</v>
      </c>
      <c r="AD1275" s="1">
        <v>3</v>
      </c>
      <c r="AE1275" s="1">
        <v>80</v>
      </c>
      <c r="AF1275" s="1">
        <v>0</v>
      </c>
      <c r="AG1275" s="1">
        <v>1</v>
      </c>
      <c r="AH1275" s="9" t="str" cm="1">
        <f t="array" ref="AH1275">_xlfn.IFS(AG1275 &lt;= 5, "New[1-5]", AG1275 &lt;= 10, "Early Career[6-10]", AG1275 &lt;= 20, "Established[11-20]", AG1275 &lt;= 30, "Veteran[21-30]", AG1275 &lt;= 40, "Late Career[31-40]")</f>
        <v>New[1-5]</v>
      </c>
      <c r="AI1275" s="1">
        <v>6</v>
      </c>
      <c r="AJ1275" s="1">
        <v>3</v>
      </c>
      <c r="AK1275" s="1">
        <v>1</v>
      </c>
      <c r="AL1275" s="9" t="str" cm="1">
        <f t="array" ref="AL1275">_xlfn.IFS(AK1275 &lt;= 5, "New[1-5]", AK1275 &lt;= 10, "Early Career[6-10]", AK1275 &lt;= 20, "Established[11-20]", AK1275 &lt;= 30, "Veteran[21-30]", AK1275 &lt;= 40, "Late Career[31-40]")</f>
        <v>New[1-5]</v>
      </c>
      <c r="AM1275" s="1">
        <v>0</v>
      </c>
      <c r="AN1275" s="9" t="str" cm="1">
        <f t="array" ref="AN1275">_xlfn.IFS(AM1275 &lt;= 3, "New to Role[1-3]", AM1275 &lt;= 7, "Settled[4-7]", AM1275 &lt;= 12, "Experienced[[8-12]", AM1275 &lt;= 18, "Long Tenured[13-18]")</f>
        <v>New to Role[1-3]</v>
      </c>
      <c r="AO1275" s="1">
        <v>0</v>
      </c>
      <c r="AP1275" s="9" t="str" cm="1">
        <f t="array" ref="AP1275">_xlfn.IFS(AO1275 &lt;= 3, "Recently[1-3]", AO1275 &lt;= 6, "Due Soon[4-6]", AO1275 &lt;= 10, "Overdue[7-10]", AO1275 &lt;= 15, "Long Overdue[11-15]")</f>
        <v>Recently[1-3]</v>
      </c>
      <c r="AQ1275" s="9" t="str" cm="1">
        <f t="array" ref="AQ1275">_xlfn.IFS(AR1275 &lt;= 3, "New Relationship[1-3]", AR1275 &lt;= 7, "Established Relationship[4-7]", AR1275 &lt;= 12, "Long Term Relationship[8-12]", AR1275 &lt;= 17, "Very Long Term Relationship[13-17]")</f>
        <v>New Relationship[1-3]</v>
      </c>
      <c r="AR1275" s="1">
        <v>0</v>
      </c>
    </row>
    <row r="1276" spans="1:44" x14ac:dyDescent="0.25">
      <c r="A1276" s="1">
        <v>31</v>
      </c>
      <c r="B1276" s="8" t="str" cm="1">
        <f t="array" ref="B1276">_xlfn.IFS(A1276 &lt;= 25, "[18-25]", A1276 &lt;= 35, "[26-35]", A1276 &lt;=45, "[36-45]", A1276 &lt;= 60, "[46- 60]")</f>
        <v>[26-35]</v>
      </c>
      <c r="C1276" s="3" t="s">
        <v>43</v>
      </c>
      <c r="D1276">
        <f t="shared" si="19"/>
        <v>0</v>
      </c>
      <c r="E1276" t="s">
        <v>36</v>
      </c>
      <c r="F1276" s="1">
        <v>196</v>
      </c>
      <c r="G1276" s="3" t="s">
        <v>37</v>
      </c>
      <c r="H1276" s="1">
        <v>29</v>
      </c>
      <c r="I1276" s="9" t="str" cm="1">
        <f t="array" ref="I1276">_xlfn.IFS(H1276 &lt;= 2, "[1-2] very close", H1276 &lt;= 10, "[3-10] close", H1276 &lt;= 20, "[11-20] moderate", H1276 &lt;= 30, "[21-30] far")</f>
        <v>[21-30] far</v>
      </c>
      <c r="J1276" s="1">
        <v>4</v>
      </c>
      <c r="K1276" s="3" t="s">
        <v>59</v>
      </c>
      <c r="L1276" s="1">
        <v>1</v>
      </c>
      <c r="M1276" s="1">
        <v>1784</v>
      </c>
      <c r="N1276" s="1">
        <v>1</v>
      </c>
      <c r="O1276" s="3" t="s">
        <v>39</v>
      </c>
      <c r="P1276" s="1">
        <v>91</v>
      </c>
      <c r="Q1276" s="1">
        <v>2</v>
      </c>
      <c r="R1276" s="1">
        <v>2</v>
      </c>
      <c r="S1276" s="3" t="s">
        <v>40</v>
      </c>
      <c r="T1276" s="1">
        <v>4</v>
      </c>
      <c r="U1276" s="3" t="s">
        <v>48</v>
      </c>
      <c r="V1276" s="4">
        <v>5468</v>
      </c>
      <c r="W1276" s="1">
        <v>13402</v>
      </c>
      <c r="X1276" s="1">
        <v>1</v>
      </c>
      <c r="Y1276" s="3" t="s">
        <v>42</v>
      </c>
      <c r="Z1276" s="3" t="s">
        <v>43</v>
      </c>
      <c r="AA1276" s="5">
        <v>0.14000000000000001</v>
      </c>
      <c r="AB1276" s="10" t="str" cm="1">
        <f t="array" ref="AB1276">_xlfn.IFS(AA1276 &lt;= 15%, "Low Hike[11-15%]", AA1276 &lt;= 20%, "Moderate Hike[16-20%]", AA1276 &lt;= 25%,"High Hike[21-25%]")</f>
        <v>Low Hike[11-15%]</v>
      </c>
      <c r="AC1276" s="1">
        <v>3</v>
      </c>
      <c r="AD1276" s="1">
        <v>1</v>
      </c>
      <c r="AE1276" s="1">
        <v>80</v>
      </c>
      <c r="AF1276" s="1">
        <v>2</v>
      </c>
      <c r="AG1276" s="1">
        <v>13</v>
      </c>
      <c r="AH1276" s="9" t="str" cm="1">
        <f t="array" ref="AH1276">_xlfn.IFS(AG1276 &lt;= 5, "New[1-5]", AG1276 &lt;= 10, "Early Career[6-10]", AG1276 &lt;= 20, "Established[11-20]", AG1276 &lt;= 30, "Veteran[21-30]", AG1276 &lt;= 40, "Late Career[31-40]")</f>
        <v>Established[11-20]</v>
      </c>
      <c r="AI1276" s="1">
        <v>3</v>
      </c>
      <c r="AJ1276" s="1">
        <v>3</v>
      </c>
      <c r="AK1276" s="1">
        <v>12</v>
      </c>
      <c r="AL1276" s="9" t="str" cm="1">
        <f t="array" ref="AL1276">_xlfn.IFS(AK1276 &lt;= 5, "New[1-5]", AK1276 &lt;= 10, "Early Career[6-10]", AK1276 &lt;= 20, "Established[11-20]", AK1276 &lt;= 30, "Veteran[21-30]", AK1276 &lt;= 40, "Late Career[31-40]")</f>
        <v>Established[11-20]</v>
      </c>
      <c r="AM1276" s="1">
        <v>7</v>
      </c>
      <c r="AN1276" s="9" t="str" cm="1">
        <f t="array" ref="AN1276">_xlfn.IFS(AM1276 &lt;= 3, "New to Role[1-3]", AM1276 &lt;= 7, "Settled[4-7]", AM1276 &lt;= 12, "Experienced[[8-12]", AM1276 &lt;= 18, "Long Tenured[13-18]")</f>
        <v>Settled[4-7]</v>
      </c>
      <c r="AO1276" s="1">
        <v>5</v>
      </c>
      <c r="AP1276" s="9" t="str" cm="1">
        <f t="array" ref="AP1276">_xlfn.IFS(AO1276 &lt;= 3, "Recently[1-3]", AO1276 &lt;= 6, "Due Soon[4-6]", AO1276 &lt;= 10, "Overdue[7-10]", AO1276 &lt;= 15, "Long Overdue[11-15]")</f>
        <v>Due Soon[4-6]</v>
      </c>
      <c r="AQ1276" s="9" t="str" cm="1">
        <f t="array" ref="AQ1276">_xlfn.IFS(AR1276 &lt;= 3, "New Relationship[1-3]", AR1276 &lt;= 7, "Established Relationship[4-7]", AR1276 &lt;= 12, "Long Term Relationship[8-12]", AR1276 &lt;= 17, "Very Long Term Relationship[13-17]")</f>
        <v>Established Relationship[4-7]</v>
      </c>
      <c r="AR1276" s="1">
        <v>7</v>
      </c>
    </row>
    <row r="1277" spans="1:44" x14ac:dyDescent="0.25">
      <c r="A1277" s="1">
        <v>51</v>
      </c>
      <c r="B1277" s="8" t="str" cm="1">
        <f t="array" ref="B1277">_xlfn.IFS(A1277 &lt;= 25, "[18-25]", A1277 &lt;= 35, "[26-35]", A1277 &lt;=45, "[36-45]", A1277 &lt;= 60, "[46- 60]")</f>
        <v>[46- 60]</v>
      </c>
      <c r="C1277" s="3" t="s">
        <v>43</v>
      </c>
      <c r="D1277">
        <f t="shared" si="19"/>
        <v>0</v>
      </c>
      <c r="E1277" t="s">
        <v>36</v>
      </c>
      <c r="F1277" s="1">
        <v>942</v>
      </c>
      <c r="G1277" s="3" t="s">
        <v>45</v>
      </c>
      <c r="H1277" s="1">
        <v>3</v>
      </c>
      <c r="I1277" s="9" t="str" cm="1">
        <f t="array" ref="I1277">_xlfn.IFS(H1277 &lt;= 2, "[1-2] very close", H1277 &lt;= 10, "[3-10] close", H1277 &lt;= 20, "[11-20] moderate", H1277 &lt;= 30, "[21-30] far")</f>
        <v>[3-10] close</v>
      </c>
      <c r="J1277" s="1">
        <v>3</v>
      </c>
      <c r="K1277" s="3" t="s">
        <v>60</v>
      </c>
      <c r="L1277" s="1">
        <v>1</v>
      </c>
      <c r="M1277" s="1">
        <v>1786</v>
      </c>
      <c r="N1277" s="1">
        <v>1</v>
      </c>
      <c r="O1277" s="3" t="s">
        <v>39</v>
      </c>
      <c r="P1277" s="1">
        <v>53</v>
      </c>
      <c r="Q1277" s="1">
        <v>3</v>
      </c>
      <c r="R1277" s="1">
        <v>3</v>
      </c>
      <c r="S1277" s="3" t="s">
        <v>56</v>
      </c>
      <c r="T1277" s="1">
        <v>3</v>
      </c>
      <c r="U1277" s="3" t="s">
        <v>48</v>
      </c>
      <c r="V1277" s="4">
        <v>13116</v>
      </c>
      <c r="W1277" s="1">
        <v>22984</v>
      </c>
      <c r="X1277" s="1">
        <v>2</v>
      </c>
      <c r="Y1277" s="3" t="s">
        <v>42</v>
      </c>
      <c r="Z1277" s="3" t="s">
        <v>43</v>
      </c>
      <c r="AA1277" s="5">
        <v>0.11</v>
      </c>
      <c r="AB1277" s="10" t="str" cm="1">
        <f t="array" ref="AB1277">_xlfn.IFS(AA1277 &lt;= 15%, "Low Hike[11-15%]", AA1277 &lt;= 20%, "Moderate Hike[16-20%]", AA1277 &lt;= 25%,"High Hike[21-25%]")</f>
        <v>Low Hike[11-15%]</v>
      </c>
      <c r="AC1277" s="1">
        <v>3</v>
      </c>
      <c r="AD1277" s="1">
        <v>4</v>
      </c>
      <c r="AE1277" s="1">
        <v>80</v>
      </c>
      <c r="AF1277" s="1">
        <v>0</v>
      </c>
      <c r="AG1277" s="1">
        <v>15</v>
      </c>
      <c r="AH1277" s="9" t="str" cm="1">
        <f t="array" ref="AH1277">_xlfn.IFS(AG1277 &lt;= 5, "New[1-5]", AG1277 &lt;= 10, "Early Career[6-10]", AG1277 &lt;= 20, "Established[11-20]", AG1277 &lt;= 30, "Veteran[21-30]", AG1277 &lt;= 40, "Late Career[31-40]")</f>
        <v>Established[11-20]</v>
      </c>
      <c r="AI1277" s="1">
        <v>2</v>
      </c>
      <c r="AJ1277" s="1">
        <v>3</v>
      </c>
      <c r="AK1277" s="1">
        <v>2</v>
      </c>
      <c r="AL1277" s="9" t="str" cm="1">
        <f t="array" ref="AL1277">_xlfn.IFS(AK1277 &lt;= 5, "New[1-5]", AK1277 &lt;= 10, "Early Career[6-10]", AK1277 &lt;= 20, "Established[11-20]", AK1277 &lt;= 30, "Veteran[21-30]", AK1277 &lt;= 40, "Late Career[31-40]")</f>
        <v>New[1-5]</v>
      </c>
      <c r="AM1277" s="1">
        <v>2</v>
      </c>
      <c r="AN1277" s="9" t="str" cm="1">
        <f t="array" ref="AN1277">_xlfn.IFS(AM1277 &lt;= 3, "New to Role[1-3]", AM1277 &lt;= 7, "Settled[4-7]", AM1277 &lt;= 12, "Experienced[[8-12]", AM1277 &lt;= 18, "Long Tenured[13-18]")</f>
        <v>New to Role[1-3]</v>
      </c>
      <c r="AO1277" s="1">
        <v>2</v>
      </c>
      <c r="AP1277" s="9" t="str" cm="1">
        <f t="array" ref="AP1277">_xlfn.IFS(AO1277 &lt;= 3, "Recently[1-3]", AO1277 &lt;= 6, "Due Soon[4-6]", AO1277 &lt;= 10, "Overdue[7-10]", AO1277 &lt;= 15, "Long Overdue[11-15]")</f>
        <v>Recently[1-3]</v>
      </c>
      <c r="AQ1277" s="9" t="str" cm="1">
        <f t="array" ref="AQ1277">_xlfn.IFS(AR1277 &lt;= 3, "New Relationship[1-3]", AR1277 &lt;= 7, "Established Relationship[4-7]", AR1277 &lt;= 12, "Long Term Relationship[8-12]", AR1277 &lt;= 17, "Very Long Term Relationship[13-17]")</f>
        <v>New Relationship[1-3]</v>
      </c>
      <c r="AR1277" s="1">
        <v>2</v>
      </c>
    </row>
    <row r="1278" spans="1:44" x14ac:dyDescent="0.25">
      <c r="A1278" s="1">
        <v>37</v>
      </c>
      <c r="B1278" s="8" t="str" cm="1">
        <f t="array" ref="B1278">_xlfn.IFS(A1278 &lt;= 25, "[18-25]", A1278 &lt;= 35, "[26-35]", A1278 &lt;=45, "[36-45]", A1278 &lt;= 60, "[46- 60]")</f>
        <v>[36-45]</v>
      </c>
      <c r="C1278" s="3" t="s">
        <v>43</v>
      </c>
      <c r="D1278">
        <f t="shared" si="19"/>
        <v>0</v>
      </c>
      <c r="E1278" t="s">
        <v>36</v>
      </c>
      <c r="F1278" s="1">
        <v>589</v>
      </c>
      <c r="G1278" s="3" t="s">
        <v>37</v>
      </c>
      <c r="H1278" s="1">
        <v>9</v>
      </c>
      <c r="I1278" s="9" t="str" cm="1">
        <f t="array" ref="I1278">_xlfn.IFS(H1278 &lt;= 2, "[1-2] very close", H1278 &lt;= 10, "[3-10] close", H1278 &lt;= 20, "[11-20] moderate", H1278 &lt;= 30, "[21-30] far")</f>
        <v>[3-10] close</v>
      </c>
      <c r="J1278" s="1">
        <v>2</v>
      </c>
      <c r="K1278" s="3" t="s">
        <v>59</v>
      </c>
      <c r="L1278" s="1">
        <v>1</v>
      </c>
      <c r="M1278" s="1">
        <v>1787</v>
      </c>
      <c r="N1278" s="1">
        <v>2</v>
      </c>
      <c r="O1278" s="3" t="s">
        <v>46</v>
      </c>
      <c r="P1278" s="1">
        <v>46</v>
      </c>
      <c r="Q1278" s="1">
        <v>2</v>
      </c>
      <c r="R1278" s="1">
        <v>2</v>
      </c>
      <c r="S1278" s="3" t="s">
        <v>40</v>
      </c>
      <c r="T1278" s="1">
        <v>2</v>
      </c>
      <c r="U1278" s="3" t="s">
        <v>48</v>
      </c>
      <c r="V1278" s="4">
        <v>4189</v>
      </c>
      <c r="W1278" s="1">
        <v>8800</v>
      </c>
      <c r="X1278" s="1">
        <v>1</v>
      </c>
      <c r="Y1278" s="3" t="s">
        <v>42</v>
      </c>
      <c r="Z1278" s="3" t="s">
        <v>43</v>
      </c>
      <c r="AA1278" s="5">
        <v>0.14000000000000001</v>
      </c>
      <c r="AB1278" s="10" t="str" cm="1">
        <f t="array" ref="AB1278">_xlfn.IFS(AA1278 &lt;= 15%, "Low Hike[11-15%]", AA1278 &lt;= 20%, "Moderate Hike[16-20%]", AA1278 &lt;= 25%,"High Hike[21-25%]")</f>
        <v>Low Hike[11-15%]</v>
      </c>
      <c r="AC1278" s="1">
        <v>3</v>
      </c>
      <c r="AD1278" s="1">
        <v>1</v>
      </c>
      <c r="AE1278" s="1">
        <v>80</v>
      </c>
      <c r="AF1278" s="1">
        <v>2</v>
      </c>
      <c r="AG1278" s="1">
        <v>5</v>
      </c>
      <c r="AH1278" s="9" t="str" cm="1">
        <f t="array" ref="AH1278">_xlfn.IFS(AG1278 &lt;= 5, "New[1-5]", AG1278 &lt;= 10, "Early Career[6-10]", AG1278 &lt;= 20, "Established[11-20]", AG1278 &lt;= 30, "Veteran[21-30]", AG1278 &lt;= 40, "Late Career[31-40]")</f>
        <v>New[1-5]</v>
      </c>
      <c r="AI1278" s="1">
        <v>2</v>
      </c>
      <c r="AJ1278" s="1">
        <v>3</v>
      </c>
      <c r="AK1278" s="1">
        <v>5</v>
      </c>
      <c r="AL1278" s="9" t="str" cm="1">
        <f t="array" ref="AL1278">_xlfn.IFS(AK1278 &lt;= 5, "New[1-5]", AK1278 &lt;= 10, "Early Career[6-10]", AK1278 &lt;= 20, "Established[11-20]", AK1278 &lt;= 30, "Veteran[21-30]", AK1278 &lt;= 40, "Late Career[31-40]")</f>
        <v>New[1-5]</v>
      </c>
      <c r="AM1278" s="1">
        <v>2</v>
      </c>
      <c r="AN1278" s="9" t="str" cm="1">
        <f t="array" ref="AN1278">_xlfn.IFS(AM1278 &lt;= 3, "New to Role[1-3]", AM1278 &lt;= 7, "Settled[4-7]", AM1278 &lt;= 12, "Experienced[[8-12]", AM1278 &lt;= 18, "Long Tenured[13-18]")</f>
        <v>New to Role[1-3]</v>
      </c>
      <c r="AO1278" s="1">
        <v>0</v>
      </c>
      <c r="AP1278" s="9" t="str" cm="1">
        <f t="array" ref="AP1278">_xlfn.IFS(AO1278 &lt;= 3, "Recently[1-3]", AO1278 &lt;= 6, "Due Soon[4-6]", AO1278 &lt;= 10, "Overdue[7-10]", AO1278 &lt;= 15, "Long Overdue[11-15]")</f>
        <v>Recently[1-3]</v>
      </c>
      <c r="AQ1278" s="9" t="str" cm="1">
        <f t="array" ref="AQ1278">_xlfn.IFS(AR1278 &lt;= 3, "New Relationship[1-3]", AR1278 &lt;= 7, "Established Relationship[4-7]", AR1278 &lt;= 12, "Long Term Relationship[8-12]", AR1278 &lt;= 17, "Very Long Term Relationship[13-17]")</f>
        <v>New Relationship[1-3]</v>
      </c>
      <c r="AR1278" s="1">
        <v>3</v>
      </c>
    </row>
    <row r="1279" spans="1:44" x14ac:dyDescent="0.25">
      <c r="A1279" s="1">
        <v>46</v>
      </c>
      <c r="B1279" s="8" t="str" cm="1">
        <f t="array" ref="B1279">_xlfn.IFS(A1279 &lt;= 25, "[18-25]", A1279 &lt;= 35, "[26-35]", A1279 &lt;=45, "[36-45]", A1279 &lt;= 60, "[46- 60]")</f>
        <v>[46- 60]</v>
      </c>
      <c r="C1279" s="3" t="s">
        <v>43</v>
      </c>
      <c r="D1279">
        <f t="shared" si="19"/>
        <v>0</v>
      </c>
      <c r="E1279" t="s">
        <v>36</v>
      </c>
      <c r="F1279" s="1">
        <v>734</v>
      </c>
      <c r="G1279" s="3" t="s">
        <v>45</v>
      </c>
      <c r="H1279" s="1">
        <v>2</v>
      </c>
      <c r="I1279" s="9" t="str" cm="1">
        <f t="array" ref="I1279">_xlfn.IFS(H1279 &lt;= 2, "[1-2] very close", H1279 &lt;= 10, "[3-10] close", H1279 &lt;= 20, "[11-20] moderate", H1279 &lt;= 30, "[21-30] far")</f>
        <v>[1-2] very close</v>
      </c>
      <c r="J1279" s="1">
        <v>4</v>
      </c>
      <c r="K1279" s="3" t="s">
        <v>51</v>
      </c>
      <c r="L1279" s="1">
        <v>1</v>
      </c>
      <c r="M1279" s="1">
        <v>1789</v>
      </c>
      <c r="N1279" s="1">
        <v>3</v>
      </c>
      <c r="O1279" s="3" t="s">
        <v>46</v>
      </c>
      <c r="P1279" s="1">
        <v>46</v>
      </c>
      <c r="Q1279" s="1">
        <v>3</v>
      </c>
      <c r="R1279" s="1">
        <v>5</v>
      </c>
      <c r="S1279" s="3" t="s">
        <v>58</v>
      </c>
      <c r="T1279" s="1">
        <v>4</v>
      </c>
      <c r="U1279" s="3" t="s">
        <v>52</v>
      </c>
      <c r="V1279" s="4">
        <v>19328</v>
      </c>
      <c r="W1279" s="1">
        <v>14218</v>
      </c>
      <c r="X1279" s="1">
        <v>7</v>
      </c>
      <c r="Y1279" s="3" t="s">
        <v>42</v>
      </c>
      <c r="Z1279" s="3" t="s">
        <v>35</v>
      </c>
      <c r="AA1279" s="5">
        <v>0.17</v>
      </c>
      <c r="AB1279" s="10" t="str" cm="1">
        <f t="array" ref="AB1279">_xlfn.IFS(AA1279 &lt;= 15%, "Low Hike[11-15%]", AA1279 &lt;= 20%, "Moderate Hike[16-20%]", AA1279 &lt;= 25%,"High Hike[21-25%]")</f>
        <v>Moderate Hike[16-20%]</v>
      </c>
      <c r="AC1279" s="1">
        <v>3</v>
      </c>
      <c r="AD1279" s="1">
        <v>3</v>
      </c>
      <c r="AE1279" s="1">
        <v>80</v>
      </c>
      <c r="AF1279" s="1">
        <v>1</v>
      </c>
      <c r="AG1279" s="1">
        <v>24</v>
      </c>
      <c r="AH1279" s="9" t="str" cm="1">
        <f t="array" ref="AH1279">_xlfn.IFS(AG1279 &lt;= 5, "New[1-5]", AG1279 &lt;= 10, "Early Career[6-10]", AG1279 &lt;= 20, "Established[11-20]", AG1279 &lt;= 30, "Veteran[21-30]", AG1279 &lt;= 40, "Late Career[31-40]")</f>
        <v>Veteran[21-30]</v>
      </c>
      <c r="AI1279" s="1">
        <v>3</v>
      </c>
      <c r="AJ1279" s="1">
        <v>3</v>
      </c>
      <c r="AK1279" s="1">
        <v>2</v>
      </c>
      <c r="AL1279" s="9" t="str" cm="1">
        <f t="array" ref="AL1279">_xlfn.IFS(AK1279 &lt;= 5, "New[1-5]", AK1279 &lt;= 10, "Early Career[6-10]", AK1279 &lt;= 20, "Established[11-20]", AK1279 &lt;= 30, "Veteran[21-30]", AK1279 &lt;= 40, "Late Career[31-40]")</f>
        <v>New[1-5]</v>
      </c>
      <c r="AM1279" s="1">
        <v>1</v>
      </c>
      <c r="AN1279" s="9" t="str" cm="1">
        <f t="array" ref="AN1279">_xlfn.IFS(AM1279 &lt;= 3, "New to Role[1-3]", AM1279 &lt;= 7, "Settled[4-7]", AM1279 &lt;= 12, "Experienced[[8-12]", AM1279 &lt;= 18, "Long Tenured[13-18]")</f>
        <v>New to Role[1-3]</v>
      </c>
      <c r="AO1279" s="1">
        <v>2</v>
      </c>
      <c r="AP1279" s="9" t="str" cm="1">
        <f t="array" ref="AP1279">_xlfn.IFS(AO1279 &lt;= 3, "Recently[1-3]", AO1279 &lt;= 6, "Due Soon[4-6]", AO1279 &lt;= 10, "Overdue[7-10]", AO1279 &lt;= 15, "Long Overdue[11-15]")</f>
        <v>Recently[1-3]</v>
      </c>
      <c r="AQ1279" s="9" t="str" cm="1">
        <f t="array" ref="AQ1279">_xlfn.IFS(AR1279 &lt;= 3, "New Relationship[1-3]", AR1279 &lt;= 7, "Established Relationship[4-7]", AR1279 &lt;= 12, "Long Term Relationship[8-12]", AR1279 &lt;= 17, "Very Long Term Relationship[13-17]")</f>
        <v>New Relationship[1-3]</v>
      </c>
      <c r="AR1279" s="1">
        <v>2</v>
      </c>
    </row>
    <row r="1280" spans="1:44" x14ac:dyDescent="0.25">
      <c r="A1280" s="1">
        <v>36</v>
      </c>
      <c r="B1280" s="8" t="str" cm="1">
        <f t="array" ref="B1280">_xlfn.IFS(A1280 &lt;= 25, "[18-25]", A1280 &lt;= 35, "[26-35]", A1280 &lt;=45, "[36-45]", A1280 &lt;= 60, "[46- 60]")</f>
        <v>[36-45]</v>
      </c>
      <c r="C1280" s="3" t="s">
        <v>43</v>
      </c>
      <c r="D1280">
        <f t="shared" si="19"/>
        <v>0</v>
      </c>
      <c r="E1280" t="s">
        <v>36</v>
      </c>
      <c r="F1280" s="1">
        <v>1383</v>
      </c>
      <c r="G1280" s="3" t="s">
        <v>45</v>
      </c>
      <c r="H1280" s="1">
        <v>10</v>
      </c>
      <c r="I1280" s="9" t="str" cm="1">
        <f t="array" ref="I1280">_xlfn.IFS(H1280 &lt;= 2, "[1-2] very close", H1280 &lt;= 10, "[3-10] close", H1280 &lt;= 20, "[11-20] moderate", H1280 &lt;= 30, "[21-30] far")</f>
        <v>[3-10] close</v>
      </c>
      <c r="J1280" s="1">
        <v>3</v>
      </c>
      <c r="K1280" s="3" t="s">
        <v>38</v>
      </c>
      <c r="L1280" s="1">
        <v>1</v>
      </c>
      <c r="M1280" s="1">
        <v>1790</v>
      </c>
      <c r="N1280" s="1">
        <v>4</v>
      </c>
      <c r="O1280" s="3" t="s">
        <v>46</v>
      </c>
      <c r="P1280" s="1">
        <v>90</v>
      </c>
      <c r="Q1280" s="1">
        <v>3</v>
      </c>
      <c r="R1280" s="1">
        <v>3</v>
      </c>
      <c r="S1280" s="3" t="s">
        <v>54</v>
      </c>
      <c r="T1280" s="1">
        <v>1</v>
      </c>
      <c r="U1280" s="3" t="s">
        <v>48</v>
      </c>
      <c r="V1280" s="4">
        <v>8321</v>
      </c>
      <c r="W1280" s="1">
        <v>25949</v>
      </c>
      <c r="X1280" s="1">
        <v>7</v>
      </c>
      <c r="Y1280" s="3" t="s">
        <v>42</v>
      </c>
      <c r="Z1280" s="3" t="s">
        <v>35</v>
      </c>
      <c r="AA1280" s="5">
        <v>0.13</v>
      </c>
      <c r="AB1280" s="10" t="str" cm="1">
        <f t="array" ref="AB1280">_xlfn.IFS(AA1280 &lt;= 15%, "Low Hike[11-15%]", AA1280 &lt;= 20%, "Moderate Hike[16-20%]", AA1280 &lt;= 25%,"High Hike[21-25%]")</f>
        <v>Low Hike[11-15%]</v>
      </c>
      <c r="AC1280" s="1">
        <v>3</v>
      </c>
      <c r="AD1280" s="1">
        <v>4</v>
      </c>
      <c r="AE1280" s="1">
        <v>80</v>
      </c>
      <c r="AF1280" s="1">
        <v>1</v>
      </c>
      <c r="AG1280" s="1">
        <v>15</v>
      </c>
      <c r="AH1280" s="9" t="str" cm="1">
        <f t="array" ref="AH1280">_xlfn.IFS(AG1280 &lt;= 5, "New[1-5]", AG1280 &lt;= 10, "Early Career[6-10]", AG1280 &lt;= 20, "Established[11-20]", AG1280 &lt;= 30, "Veteran[21-30]", AG1280 &lt;= 40, "Late Career[31-40]")</f>
        <v>Established[11-20]</v>
      </c>
      <c r="AI1280" s="1">
        <v>1</v>
      </c>
      <c r="AJ1280" s="1">
        <v>3</v>
      </c>
      <c r="AK1280" s="1">
        <v>12</v>
      </c>
      <c r="AL1280" s="9" t="str" cm="1">
        <f t="array" ref="AL1280">_xlfn.IFS(AK1280 &lt;= 5, "New[1-5]", AK1280 &lt;= 10, "Early Career[6-10]", AK1280 &lt;= 20, "Established[11-20]", AK1280 &lt;= 30, "Veteran[21-30]", AK1280 &lt;= 40, "Late Career[31-40]")</f>
        <v>Established[11-20]</v>
      </c>
      <c r="AM1280" s="1">
        <v>8</v>
      </c>
      <c r="AN1280" s="9" t="str" cm="1">
        <f t="array" ref="AN1280">_xlfn.IFS(AM1280 &lt;= 3, "New to Role[1-3]", AM1280 &lt;= 7, "Settled[4-7]", AM1280 &lt;= 12, "Experienced[[8-12]", AM1280 &lt;= 18, "Long Tenured[13-18]")</f>
        <v>Experienced[[8-12]</v>
      </c>
      <c r="AO1280" s="1">
        <v>5</v>
      </c>
      <c r="AP1280" s="9" t="str" cm="1">
        <f t="array" ref="AP1280">_xlfn.IFS(AO1280 &lt;= 3, "Recently[1-3]", AO1280 &lt;= 6, "Due Soon[4-6]", AO1280 &lt;= 10, "Overdue[7-10]", AO1280 &lt;= 15, "Long Overdue[11-15]")</f>
        <v>Due Soon[4-6]</v>
      </c>
      <c r="AQ1280" s="9" t="str" cm="1">
        <f t="array" ref="AQ1280">_xlfn.IFS(AR1280 &lt;= 3, "New Relationship[1-3]", AR1280 &lt;= 7, "Established Relationship[4-7]", AR1280 &lt;= 12, "Long Term Relationship[8-12]", AR1280 &lt;= 17, "Very Long Term Relationship[13-17]")</f>
        <v>Established Relationship[4-7]</v>
      </c>
      <c r="AR1280" s="1">
        <v>7</v>
      </c>
    </row>
    <row r="1281" spans="1:44" x14ac:dyDescent="0.25">
      <c r="A1281" s="1">
        <v>44</v>
      </c>
      <c r="B1281" s="8" t="str" cm="1">
        <f t="array" ref="B1281">_xlfn.IFS(A1281 &lt;= 25, "[18-25]", A1281 &lt;= 35, "[26-35]", A1281 &lt;=45, "[36-45]", A1281 &lt;= 60, "[46- 60]")</f>
        <v>[36-45]</v>
      </c>
      <c r="C1281" s="3" t="s">
        <v>35</v>
      </c>
      <c r="D1281">
        <f t="shared" si="19"/>
        <v>1</v>
      </c>
      <c r="E1281" t="s">
        <v>44</v>
      </c>
      <c r="F1281" s="1">
        <v>429</v>
      </c>
      <c r="G1281" s="3" t="s">
        <v>45</v>
      </c>
      <c r="H1281" s="1">
        <v>1</v>
      </c>
      <c r="I1281" s="9" t="str" cm="1">
        <f t="array" ref="I1281">_xlfn.IFS(H1281 &lt;= 2, "[1-2] very close", H1281 &lt;= 10, "[3-10] close", H1281 &lt;= 20, "[11-20] moderate", H1281 &lt;= 30, "[21-30] far")</f>
        <v>[1-2] very close</v>
      </c>
      <c r="J1281" s="1">
        <v>2</v>
      </c>
      <c r="K1281" s="3" t="s">
        <v>51</v>
      </c>
      <c r="L1281" s="1">
        <v>1</v>
      </c>
      <c r="M1281" s="1">
        <v>1792</v>
      </c>
      <c r="N1281" s="1">
        <v>3</v>
      </c>
      <c r="O1281" s="3" t="s">
        <v>46</v>
      </c>
      <c r="P1281" s="1">
        <v>99</v>
      </c>
      <c r="Q1281" s="1">
        <v>3</v>
      </c>
      <c r="R1281" s="1">
        <v>1</v>
      </c>
      <c r="S1281" s="3" t="s">
        <v>47</v>
      </c>
      <c r="T1281" s="1">
        <v>2</v>
      </c>
      <c r="U1281" s="3" t="s">
        <v>52</v>
      </c>
      <c r="V1281" s="4">
        <v>2342</v>
      </c>
      <c r="W1281" s="1">
        <v>11092</v>
      </c>
      <c r="X1281" s="1">
        <v>1</v>
      </c>
      <c r="Y1281" s="3" t="s">
        <v>42</v>
      </c>
      <c r="Z1281" s="3" t="s">
        <v>35</v>
      </c>
      <c r="AA1281" s="5">
        <v>0.12</v>
      </c>
      <c r="AB1281" s="10" t="str" cm="1">
        <f t="array" ref="AB1281">_xlfn.IFS(AA1281 &lt;= 15%, "Low Hike[11-15%]", AA1281 &lt;= 20%, "Moderate Hike[16-20%]", AA1281 &lt;= 25%,"High Hike[21-25%]")</f>
        <v>Low Hike[11-15%]</v>
      </c>
      <c r="AC1281" s="1">
        <v>3</v>
      </c>
      <c r="AD1281" s="1">
        <v>3</v>
      </c>
      <c r="AE1281" s="1">
        <v>80</v>
      </c>
      <c r="AF1281" s="1">
        <v>3</v>
      </c>
      <c r="AG1281" s="1">
        <v>6</v>
      </c>
      <c r="AH1281" s="9" t="str" cm="1">
        <f t="array" ref="AH1281">_xlfn.IFS(AG1281 &lt;= 5, "New[1-5]", AG1281 &lt;= 10, "Early Career[6-10]", AG1281 &lt;= 20, "Established[11-20]", AG1281 &lt;= 30, "Veteran[21-30]", AG1281 &lt;= 40, "Late Career[31-40]")</f>
        <v>Early Career[6-10]</v>
      </c>
      <c r="AI1281" s="1">
        <v>2</v>
      </c>
      <c r="AJ1281" s="1">
        <v>2</v>
      </c>
      <c r="AK1281" s="1">
        <v>5</v>
      </c>
      <c r="AL1281" s="9" t="str" cm="1">
        <f t="array" ref="AL1281">_xlfn.IFS(AK1281 &lt;= 5, "New[1-5]", AK1281 &lt;= 10, "Early Career[6-10]", AK1281 &lt;= 20, "Established[11-20]", AK1281 &lt;= 30, "Veteran[21-30]", AK1281 &lt;= 40, "Late Career[31-40]")</f>
        <v>New[1-5]</v>
      </c>
      <c r="AM1281" s="1">
        <v>3</v>
      </c>
      <c r="AN1281" s="9" t="str" cm="1">
        <f t="array" ref="AN1281">_xlfn.IFS(AM1281 &lt;= 3, "New to Role[1-3]", AM1281 &lt;= 7, "Settled[4-7]", AM1281 &lt;= 12, "Experienced[[8-12]", AM1281 &lt;= 18, "Long Tenured[13-18]")</f>
        <v>New to Role[1-3]</v>
      </c>
      <c r="AO1281" s="1">
        <v>2</v>
      </c>
      <c r="AP1281" s="9" t="str" cm="1">
        <f t="array" ref="AP1281">_xlfn.IFS(AO1281 &lt;= 3, "Recently[1-3]", AO1281 &lt;= 6, "Due Soon[4-6]", AO1281 &lt;= 10, "Overdue[7-10]", AO1281 &lt;= 15, "Long Overdue[11-15]")</f>
        <v>Recently[1-3]</v>
      </c>
      <c r="AQ1281" s="9" t="str" cm="1">
        <f t="array" ref="AQ1281">_xlfn.IFS(AR1281 &lt;= 3, "New Relationship[1-3]", AR1281 &lt;= 7, "Established Relationship[4-7]", AR1281 &lt;= 12, "Long Term Relationship[8-12]", AR1281 &lt;= 17, "Very Long Term Relationship[13-17]")</f>
        <v>New Relationship[1-3]</v>
      </c>
      <c r="AR1281" s="1">
        <v>3</v>
      </c>
    </row>
    <row r="1282" spans="1:44" x14ac:dyDescent="0.25">
      <c r="A1282" s="1">
        <v>37</v>
      </c>
      <c r="B1282" s="8" t="str" cm="1">
        <f t="array" ref="B1282">_xlfn.IFS(A1282 &lt;= 25, "[18-25]", A1282 &lt;= 35, "[26-35]", A1282 &lt;=45, "[36-45]", A1282 &lt;= 60, "[46- 60]")</f>
        <v>[36-45]</v>
      </c>
      <c r="C1282" s="3" t="s">
        <v>43</v>
      </c>
      <c r="D1282">
        <f t="shared" ref="D1282:D1345" si="20">IF(C1282 = "Yes",1, 0)</f>
        <v>0</v>
      </c>
      <c r="E1282" t="s">
        <v>36</v>
      </c>
      <c r="F1282" s="1">
        <v>1239</v>
      </c>
      <c r="G1282" s="3" t="s">
        <v>61</v>
      </c>
      <c r="H1282" s="1">
        <v>8</v>
      </c>
      <c r="I1282" s="9" t="str" cm="1">
        <f t="array" ref="I1282">_xlfn.IFS(H1282 &lt;= 2, "[1-2] very close", H1282 &lt;= 10, "[3-10] close", H1282 &lt;= 20, "[11-20] moderate", H1282 &lt;= 30, "[21-30] far")</f>
        <v>[3-10] close</v>
      </c>
      <c r="J1282" s="1">
        <v>2</v>
      </c>
      <c r="K1282" s="3" t="s">
        <v>49</v>
      </c>
      <c r="L1282" s="1">
        <v>1</v>
      </c>
      <c r="M1282" s="1">
        <v>1794</v>
      </c>
      <c r="N1282" s="1">
        <v>3</v>
      </c>
      <c r="O1282" s="3" t="s">
        <v>46</v>
      </c>
      <c r="P1282" s="1">
        <v>89</v>
      </c>
      <c r="Q1282" s="1">
        <v>3</v>
      </c>
      <c r="R1282" s="1">
        <v>2</v>
      </c>
      <c r="S1282" s="3" t="s">
        <v>61</v>
      </c>
      <c r="T1282" s="1">
        <v>2</v>
      </c>
      <c r="U1282" s="3" t="s">
        <v>52</v>
      </c>
      <c r="V1282" s="4">
        <v>4071</v>
      </c>
      <c r="W1282" s="1">
        <v>12832</v>
      </c>
      <c r="X1282" s="1">
        <v>2</v>
      </c>
      <c r="Y1282" s="3" t="s">
        <v>42</v>
      </c>
      <c r="Z1282" s="3" t="s">
        <v>43</v>
      </c>
      <c r="AA1282" s="5">
        <v>0.13</v>
      </c>
      <c r="AB1282" s="10" t="str" cm="1">
        <f t="array" ref="AB1282">_xlfn.IFS(AA1282 &lt;= 15%, "Low Hike[11-15%]", AA1282 &lt;= 20%, "Moderate Hike[16-20%]", AA1282 &lt;= 25%,"High Hike[21-25%]")</f>
        <v>Low Hike[11-15%]</v>
      </c>
      <c r="AC1282" s="1">
        <v>3</v>
      </c>
      <c r="AD1282" s="1">
        <v>3</v>
      </c>
      <c r="AE1282" s="1">
        <v>80</v>
      </c>
      <c r="AF1282" s="1">
        <v>0</v>
      </c>
      <c r="AG1282" s="1">
        <v>19</v>
      </c>
      <c r="AH1282" s="9" t="str" cm="1">
        <f t="array" ref="AH1282">_xlfn.IFS(AG1282 &lt;= 5, "New[1-5]", AG1282 &lt;= 10, "Early Career[6-10]", AG1282 &lt;= 20, "Established[11-20]", AG1282 &lt;= 30, "Veteran[21-30]", AG1282 &lt;= 40, "Late Career[31-40]")</f>
        <v>Established[11-20]</v>
      </c>
      <c r="AI1282" s="1">
        <v>4</v>
      </c>
      <c r="AJ1282" s="1">
        <v>2</v>
      </c>
      <c r="AK1282" s="1">
        <v>10</v>
      </c>
      <c r="AL1282" s="9" t="str" cm="1">
        <f t="array" ref="AL1282">_xlfn.IFS(AK1282 &lt;= 5, "New[1-5]", AK1282 &lt;= 10, "Early Career[6-10]", AK1282 &lt;= 20, "Established[11-20]", AK1282 &lt;= 30, "Veteran[21-30]", AK1282 &lt;= 40, "Late Career[31-40]")</f>
        <v>Early Career[6-10]</v>
      </c>
      <c r="AM1282" s="1">
        <v>0</v>
      </c>
      <c r="AN1282" s="9" t="str" cm="1">
        <f t="array" ref="AN1282">_xlfn.IFS(AM1282 &lt;= 3, "New to Role[1-3]", AM1282 &lt;= 7, "Settled[4-7]", AM1282 &lt;= 12, "Experienced[[8-12]", AM1282 &lt;= 18, "Long Tenured[13-18]")</f>
        <v>New to Role[1-3]</v>
      </c>
      <c r="AO1282" s="1">
        <v>4</v>
      </c>
      <c r="AP1282" s="9" t="str" cm="1">
        <f t="array" ref="AP1282">_xlfn.IFS(AO1282 &lt;= 3, "Recently[1-3]", AO1282 &lt;= 6, "Due Soon[4-6]", AO1282 &lt;= 10, "Overdue[7-10]", AO1282 &lt;= 15, "Long Overdue[11-15]")</f>
        <v>Due Soon[4-6]</v>
      </c>
      <c r="AQ1282" s="9" t="str" cm="1">
        <f t="array" ref="AQ1282">_xlfn.IFS(AR1282 &lt;= 3, "New Relationship[1-3]", AR1282 &lt;= 7, "Established Relationship[4-7]", AR1282 &lt;= 12, "Long Term Relationship[8-12]", AR1282 &lt;= 17, "Very Long Term Relationship[13-17]")</f>
        <v>Established Relationship[4-7]</v>
      </c>
      <c r="AR1282" s="1">
        <v>7</v>
      </c>
    </row>
    <row r="1283" spans="1:44" x14ac:dyDescent="0.25">
      <c r="A1283" s="1">
        <v>35</v>
      </c>
      <c r="B1283" s="8" t="str" cm="1">
        <f t="array" ref="B1283">_xlfn.IFS(A1283 &lt;= 25, "[18-25]", A1283 &lt;= 35, "[26-35]", A1283 &lt;=45, "[36-45]", A1283 &lt;= 60, "[46- 60]")</f>
        <v>[26-35]</v>
      </c>
      <c r="C1283" s="3" t="s">
        <v>35</v>
      </c>
      <c r="D1283">
        <f t="shared" si="20"/>
        <v>1</v>
      </c>
      <c r="E1283" t="s">
        <v>36</v>
      </c>
      <c r="F1283" s="1">
        <v>303</v>
      </c>
      <c r="G1283" s="3" t="s">
        <v>37</v>
      </c>
      <c r="H1283" s="1">
        <v>27</v>
      </c>
      <c r="I1283" s="9" t="str" cm="1">
        <f t="array" ref="I1283">_xlfn.IFS(H1283 &lt;= 2, "[1-2] very close", H1283 &lt;= 10, "[3-10] close", H1283 &lt;= 20, "[11-20] moderate", H1283 &lt;= 30, "[21-30] far")</f>
        <v>[21-30] far</v>
      </c>
      <c r="J1283" s="1">
        <v>3</v>
      </c>
      <c r="K1283" s="3" t="s">
        <v>38</v>
      </c>
      <c r="L1283" s="1">
        <v>1</v>
      </c>
      <c r="M1283" s="1">
        <v>1797</v>
      </c>
      <c r="N1283" s="1">
        <v>3</v>
      </c>
      <c r="O1283" s="3" t="s">
        <v>46</v>
      </c>
      <c r="P1283" s="1">
        <v>84</v>
      </c>
      <c r="Q1283" s="1">
        <v>3</v>
      </c>
      <c r="R1283" s="1">
        <v>2</v>
      </c>
      <c r="S1283" s="3" t="s">
        <v>40</v>
      </c>
      <c r="T1283" s="1">
        <v>4</v>
      </c>
      <c r="U1283" s="3" t="s">
        <v>41</v>
      </c>
      <c r="V1283" s="4">
        <v>5813</v>
      </c>
      <c r="W1283" s="1">
        <v>13492</v>
      </c>
      <c r="X1283" s="1">
        <v>1</v>
      </c>
      <c r="Y1283" s="3" t="s">
        <v>42</v>
      </c>
      <c r="Z1283" s="3" t="s">
        <v>35</v>
      </c>
      <c r="AA1283" s="5">
        <v>0.18</v>
      </c>
      <c r="AB1283" s="10" t="str" cm="1">
        <f t="array" ref="AB1283">_xlfn.IFS(AA1283 &lt;= 15%, "Low Hike[11-15%]", AA1283 &lt;= 20%, "Moderate Hike[16-20%]", AA1283 &lt;= 25%,"High Hike[21-25%]")</f>
        <v>Moderate Hike[16-20%]</v>
      </c>
      <c r="AC1283" s="1">
        <v>3</v>
      </c>
      <c r="AD1283" s="1">
        <v>4</v>
      </c>
      <c r="AE1283" s="1">
        <v>80</v>
      </c>
      <c r="AF1283" s="1">
        <v>0</v>
      </c>
      <c r="AG1283" s="1">
        <v>10</v>
      </c>
      <c r="AH1283" s="9" t="str" cm="1">
        <f t="array" ref="AH1283">_xlfn.IFS(AG1283 &lt;= 5, "New[1-5]", AG1283 &lt;= 10, "Early Career[6-10]", AG1283 &lt;= 20, "Established[11-20]", AG1283 &lt;= 30, "Veteran[21-30]", AG1283 &lt;= 40, "Late Career[31-40]")</f>
        <v>Early Career[6-10]</v>
      </c>
      <c r="AI1283" s="1">
        <v>2</v>
      </c>
      <c r="AJ1283" s="1">
        <v>3</v>
      </c>
      <c r="AK1283" s="1">
        <v>10</v>
      </c>
      <c r="AL1283" s="9" t="str" cm="1">
        <f t="array" ref="AL1283">_xlfn.IFS(AK1283 &lt;= 5, "New[1-5]", AK1283 &lt;= 10, "Early Career[6-10]", AK1283 &lt;= 20, "Established[11-20]", AK1283 &lt;= 30, "Veteran[21-30]", AK1283 &lt;= 40, "Late Career[31-40]")</f>
        <v>Early Career[6-10]</v>
      </c>
      <c r="AM1283" s="1">
        <v>7</v>
      </c>
      <c r="AN1283" s="9" t="str" cm="1">
        <f t="array" ref="AN1283">_xlfn.IFS(AM1283 &lt;= 3, "New to Role[1-3]", AM1283 &lt;= 7, "Settled[4-7]", AM1283 &lt;= 12, "Experienced[[8-12]", AM1283 &lt;= 18, "Long Tenured[13-18]")</f>
        <v>Settled[4-7]</v>
      </c>
      <c r="AO1283" s="1">
        <v>7</v>
      </c>
      <c r="AP1283" s="9" t="str" cm="1">
        <f t="array" ref="AP1283">_xlfn.IFS(AO1283 &lt;= 3, "Recently[1-3]", AO1283 &lt;= 6, "Due Soon[4-6]", AO1283 &lt;= 10, "Overdue[7-10]", AO1283 &lt;= 15, "Long Overdue[11-15]")</f>
        <v>Overdue[7-10]</v>
      </c>
      <c r="AQ1283" s="9" t="str" cm="1">
        <f t="array" ref="AQ1283">_xlfn.IFS(AR1283 &lt;= 3, "New Relationship[1-3]", AR1283 &lt;= 7, "Established Relationship[4-7]", AR1283 &lt;= 12, "Long Term Relationship[8-12]", AR1283 &lt;= 17, "Very Long Term Relationship[13-17]")</f>
        <v>Established Relationship[4-7]</v>
      </c>
      <c r="AR1283" s="1">
        <v>7</v>
      </c>
    </row>
    <row r="1284" spans="1:44" x14ac:dyDescent="0.25">
      <c r="A1284" s="1">
        <v>33</v>
      </c>
      <c r="B1284" s="8" t="str" cm="1">
        <f t="array" ref="B1284">_xlfn.IFS(A1284 &lt;= 25, "[18-25]", A1284 &lt;= 35, "[26-35]", A1284 &lt;=45, "[36-45]", A1284 &lt;= 60, "[46- 60]")</f>
        <v>[26-35]</v>
      </c>
      <c r="C1284" s="3" t="s">
        <v>43</v>
      </c>
      <c r="D1284">
        <f t="shared" si="20"/>
        <v>0</v>
      </c>
      <c r="E1284" t="s">
        <v>36</v>
      </c>
      <c r="F1284" s="1">
        <v>867</v>
      </c>
      <c r="G1284" s="3" t="s">
        <v>45</v>
      </c>
      <c r="H1284" s="1">
        <v>8</v>
      </c>
      <c r="I1284" s="9" t="str" cm="1">
        <f t="array" ref="I1284">_xlfn.IFS(H1284 &lt;= 2, "[1-2] very close", H1284 &lt;= 10, "[3-10] close", H1284 &lt;= 20, "[11-20] moderate", H1284 &lt;= 30, "[21-30] far")</f>
        <v>[3-10] close</v>
      </c>
      <c r="J1284" s="1">
        <v>4</v>
      </c>
      <c r="K1284" s="3" t="s">
        <v>38</v>
      </c>
      <c r="L1284" s="1">
        <v>1</v>
      </c>
      <c r="M1284" s="1">
        <v>1798</v>
      </c>
      <c r="N1284" s="1">
        <v>4</v>
      </c>
      <c r="O1284" s="3" t="s">
        <v>46</v>
      </c>
      <c r="P1284" s="1">
        <v>90</v>
      </c>
      <c r="Q1284" s="1">
        <v>4</v>
      </c>
      <c r="R1284" s="1">
        <v>1</v>
      </c>
      <c r="S1284" s="3" t="s">
        <v>47</v>
      </c>
      <c r="T1284" s="1">
        <v>1</v>
      </c>
      <c r="U1284" s="3" t="s">
        <v>48</v>
      </c>
      <c r="V1284" s="4">
        <v>3143</v>
      </c>
      <c r="W1284" s="1">
        <v>6076</v>
      </c>
      <c r="X1284" s="1">
        <v>6</v>
      </c>
      <c r="Y1284" s="3" t="s">
        <v>42</v>
      </c>
      <c r="Z1284" s="3" t="s">
        <v>43</v>
      </c>
      <c r="AA1284" s="5">
        <v>0.19</v>
      </c>
      <c r="AB1284" s="10" t="str" cm="1">
        <f t="array" ref="AB1284">_xlfn.IFS(AA1284 &lt;= 15%, "Low Hike[11-15%]", AA1284 &lt;= 20%, "Moderate Hike[16-20%]", AA1284 &lt;= 25%,"High Hike[21-25%]")</f>
        <v>Moderate Hike[16-20%]</v>
      </c>
      <c r="AC1284" s="1">
        <v>3</v>
      </c>
      <c r="AD1284" s="1">
        <v>2</v>
      </c>
      <c r="AE1284" s="1">
        <v>80</v>
      </c>
      <c r="AF1284" s="1">
        <v>1</v>
      </c>
      <c r="AG1284" s="1">
        <v>14</v>
      </c>
      <c r="AH1284" s="9" t="str" cm="1">
        <f t="array" ref="AH1284">_xlfn.IFS(AG1284 &lt;= 5, "New[1-5]", AG1284 &lt;= 10, "Early Career[6-10]", AG1284 &lt;= 20, "Established[11-20]", AG1284 &lt;= 30, "Veteran[21-30]", AG1284 &lt;= 40, "Late Career[31-40]")</f>
        <v>Established[11-20]</v>
      </c>
      <c r="AI1284" s="1">
        <v>1</v>
      </c>
      <c r="AJ1284" s="1">
        <v>3</v>
      </c>
      <c r="AK1284" s="1">
        <v>10</v>
      </c>
      <c r="AL1284" s="9" t="str" cm="1">
        <f t="array" ref="AL1284">_xlfn.IFS(AK1284 &lt;= 5, "New[1-5]", AK1284 &lt;= 10, "Early Career[6-10]", AK1284 &lt;= 20, "Established[11-20]", AK1284 &lt;= 30, "Veteran[21-30]", AK1284 &lt;= 40, "Late Career[31-40]")</f>
        <v>Early Career[6-10]</v>
      </c>
      <c r="AM1284" s="1">
        <v>8</v>
      </c>
      <c r="AN1284" s="9" t="str" cm="1">
        <f t="array" ref="AN1284">_xlfn.IFS(AM1284 &lt;= 3, "New to Role[1-3]", AM1284 &lt;= 7, "Settled[4-7]", AM1284 &lt;= 12, "Experienced[[8-12]", AM1284 &lt;= 18, "Long Tenured[13-18]")</f>
        <v>Experienced[[8-12]</v>
      </c>
      <c r="AO1284" s="1">
        <v>7</v>
      </c>
      <c r="AP1284" s="9" t="str" cm="1">
        <f t="array" ref="AP1284">_xlfn.IFS(AO1284 &lt;= 3, "Recently[1-3]", AO1284 &lt;= 6, "Due Soon[4-6]", AO1284 &lt;= 10, "Overdue[7-10]", AO1284 &lt;= 15, "Long Overdue[11-15]")</f>
        <v>Overdue[7-10]</v>
      </c>
      <c r="AQ1284" s="9" t="str" cm="1">
        <f t="array" ref="AQ1284">_xlfn.IFS(AR1284 &lt;= 3, "New Relationship[1-3]", AR1284 &lt;= 7, "Established Relationship[4-7]", AR1284 &lt;= 12, "Long Term Relationship[8-12]", AR1284 &lt;= 17, "Very Long Term Relationship[13-17]")</f>
        <v>Established Relationship[4-7]</v>
      </c>
      <c r="AR1284" s="1">
        <v>6</v>
      </c>
    </row>
    <row r="1285" spans="1:44" x14ac:dyDescent="0.25">
      <c r="A1285" s="1">
        <v>28</v>
      </c>
      <c r="B1285" s="8" t="str" cm="1">
        <f t="array" ref="B1285">_xlfn.IFS(A1285 &lt;= 25, "[18-25]", A1285 &lt;= 35, "[26-35]", A1285 &lt;=45, "[36-45]", A1285 &lt;= 60, "[46- 60]")</f>
        <v>[26-35]</v>
      </c>
      <c r="C1285" s="3" t="s">
        <v>43</v>
      </c>
      <c r="D1285">
        <f t="shared" si="20"/>
        <v>0</v>
      </c>
      <c r="E1285" t="s">
        <v>36</v>
      </c>
      <c r="F1285" s="1">
        <v>1181</v>
      </c>
      <c r="G1285" s="3" t="s">
        <v>45</v>
      </c>
      <c r="H1285" s="1">
        <v>1</v>
      </c>
      <c r="I1285" s="9" t="str" cm="1">
        <f t="array" ref="I1285">_xlfn.IFS(H1285 &lt;= 2, "[1-2] very close", H1285 &lt;= 10, "[3-10] close", H1285 &lt;= 20, "[11-20] moderate", H1285 &lt;= 30, "[21-30] far")</f>
        <v>[1-2] very close</v>
      </c>
      <c r="J1285" s="1">
        <v>3</v>
      </c>
      <c r="K1285" s="3" t="s">
        <v>38</v>
      </c>
      <c r="L1285" s="1">
        <v>1</v>
      </c>
      <c r="M1285" s="1">
        <v>1799</v>
      </c>
      <c r="N1285" s="1">
        <v>3</v>
      </c>
      <c r="O1285" s="3" t="s">
        <v>46</v>
      </c>
      <c r="P1285" s="1">
        <v>82</v>
      </c>
      <c r="Q1285" s="1">
        <v>3</v>
      </c>
      <c r="R1285" s="1">
        <v>1</v>
      </c>
      <c r="S1285" s="3" t="s">
        <v>47</v>
      </c>
      <c r="T1285" s="1">
        <v>4</v>
      </c>
      <c r="U1285" s="3" t="s">
        <v>48</v>
      </c>
      <c r="V1285" s="4">
        <v>2044</v>
      </c>
      <c r="W1285" s="1">
        <v>5531</v>
      </c>
      <c r="X1285" s="1">
        <v>1</v>
      </c>
      <c r="Y1285" s="3" t="s">
        <v>42</v>
      </c>
      <c r="Z1285" s="3" t="s">
        <v>43</v>
      </c>
      <c r="AA1285" s="5">
        <v>0.11</v>
      </c>
      <c r="AB1285" s="10" t="str" cm="1">
        <f t="array" ref="AB1285">_xlfn.IFS(AA1285 &lt;= 15%, "Low Hike[11-15%]", AA1285 &lt;= 20%, "Moderate Hike[16-20%]", AA1285 &lt;= 25%,"High Hike[21-25%]")</f>
        <v>Low Hike[11-15%]</v>
      </c>
      <c r="AC1285" s="1">
        <v>3</v>
      </c>
      <c r="AD1285" s="1">
        <v>3</v>
      </c>
      <c r="AE1285" s="1">
        <v>80</v>
      </c>
      <c r="AF1285" s="1">
        <v>1</v>
      </c>
      <c r="AG1285" s="1">
        <v>5</v>
      </c>
      <c r="AH1285" s="9" t="str" cm="1">
        <f t="array" ref="AH1285">_xlfn.IFS(AG1285 &lt;= 5, "New[1-5]", AG1285 &lt;= 10, "Early Career[6-10]", AG1285 &lt;= 20, "Established[11-20]", AG1285 &lt;= 30, "Veteran[21-30]", AG1285 &lt;= 40, "Late Career[31-40]")</f>
        <v>New[1-5]</v>
      </c>
      <c r="AI1285" s="1">
        <v>6</v>
      </c>
      <c r="AJ1285" s="1">
        <v>4</v>
      </c>
      <c r="AK1285" s="1">
        <v>5</v>
      </c>
      <c r="AL1285" s="9" t="str" cm="1">
        <f t="array" ref="AL1285">_xlfn.IFS(AK1285 &lt;= 5, "New[1-5]", AK1285 &lt;= 10, "Early Career[6-10]", AK1285 &lt;= 20, "Established[11-20]", AK1285 &lt;= 30, "Veteran[21-30]", AK1285 &lt;= 40, "Late Career[31-40]")</f>
        <v>New[1-5]</v>
      </c>
      <c r="AM1285" s="1">
        <v>3</v>
      </c>
      <c r="AN1285" s="9" t="str" cm="1">
        <f t="array" ref="AN1285">_xlfn.IFS(AM1285 &lt;= 3, "New to Role[1-3]", AM1285 &lt;= 7, "Settled[4-7]", AM1285 &lt;= 12, "Experienced[[8-12]", AM1285 &lt;= 18, "Long Tenured[13-18]")</f>
        <v>New to Role[1-3]</v>
      </c>
      <c r="AO1285" s="1">
        <v>0</v>
      </c>
      <c r="AP1285" s="9" t="str" cm="1">
        <f t="array" ref="AP1285">_xlfn.IFS(AO1285 &lt;= 3, "Recently[1-3]", AO1285 &lt;= 6, "Due Soon[4-6]", AO1285 &lt;= 10, "Overdue[7-10]", AO1285 &lt;= 15, "Long Overdue[11-15]")</f>
        <v>Recently[1-3]</v>
      </c>
      <c r="AQ1285" s="9" t="str" cm="1">
        <f t="array" ref="AQ1285">_xlfn.IFS(AR1285 &lt;= 3, "New Relationship[1-3]", AR1285 &lt;= 7, "Established Relationship[4-7]", AR1285 &lt;= 12, "Long Term Relationship[8-12]", AR1285 &lt;= 17, "Very Long Term Relationship[13-17]")</f>
        <v>New Relationship[1-3]</v>
      </c>
      <c r="AR1285" s="1">
        <v>3</v>
      </c>
    </row>
    <row r="1286" spans="1:44" x14ac:dyDescent="0.25">
      <c r="A1286" s="1">
        <v>39</v>
      </c>
      <c r="B1286" s="8" t="str" cm="1">
        <f t="array" ref="B1286">_xlfn.IFS(A1286 &lt;= 25, "[18-25]", A1286 &lt;= 35, "[26-35]", A1286 &lt;=45, "[36-45]", A1286 &lt;= 60, "[46- 60]")</f>
        <v>[36-45]</v>
      </c>
      <c r="C1286" s="3" t="s">
        <v>43</v>
      </c>
      <c r="D1286">
        <f t="shared" si="20"/>
        <v>0</v>
      </c>
      <c r="E1286" t="s">
        <v>36</v>
      </c>
      <c r="F1286" s="1">
        <v>1253</v>
      </c>
      <c r="G1286" s="3" t="s">
        <v>45</v>
      </c>
      <c r="H1286" s="1">
        <v>10</v>
      </c>
      <c r="I1286" s="9" t="str" cm="1">
        <f t="array" ref="I1286">_xlfn.IFS(H1286 &lt;= 2, "[1-2] very close", H1286 &lt;= 10, "[3-10] close", H1286 &lt;= 20, "[11-20] moderate", H1286 &lt;= 30, "[21-30] far")</f>
        <v>[3-10] close</v>
      </c>
      <c r="J1286" s="1">
        <v>1</v>
      </c>
      <c r="K1286" s="3" t="s">
        <v>51</v>
      </c>
      <c r="L1286" s="1">
        <v>1</v>
      </c>
      <c r="M1286" s="1">
        <v>1800</v>
      </c>
      <c r="N1286" s="1">
        <v>3</v>
      </c>
      <c r="O1286" s="3" t="s">
        <v>46</v>
      </c>
      <c r="P1286" s="1">
        <v>65</v>
      </c>
      <c r="Q1286" s="1">
        <v>3</v>
      </c>
      <c r="R1286" s="1">
        <v>3</v>
      </c>
      <c r="S1286" s="3" t="s">
        <v>58</v>
      </c>
      <c r="T1286" s="1">
        <v>3</v>
      </c>
      <c r="U1286" s="3" t="s">
        <v>41</v>
      </c>
      <c r="V1286" s="4">
        <v>13464</v>
      </c>
      <c r="W1286" s="1">
        <v>7914</v>
      </c>
      <c r="X1286" s="1">
        <v>7</v>
      </c>
      <c r="Y1286" s="3" t="s">
        <v>42</v>
      </c>
      <c r="Z1286" s="3" t="s">
        <v>43</v>
      </c>
      <c r="AA1286" s="5">
        <v>0.21</v>
      </c>
      <c r="AB1286" s="10" t="str" cm="1">
        <f t="array" ref="AB1286">_xlfn.IFS(AA1286 &lt;= 15%, "Low Hike[11-15%]", AA1286 &lt;= 20%, "Moderate Hike[16-20%]", AA1286 &lt;= 25%,"High Hike[21-25%]")</f>
        <v>High Hike[21-25%]</v>
      </c>
      <c r="AC1286" s="1">
        <v>4</v>
      </c>
      <c r="AD1286" s="1">
        <v>3</v>
      </c>
      <c r="AE1286" s="1">
        <v>80</v>
      </c>
      <c r="AF1286" s="1">
        <v>0</v>
      </c>
      <c r="AG1286" s="1">
        <v>9</v>
      </c>
      <c r="AH1286" s="9" t="str" cm="1">
        <f t="array" ref="AH1286">_xlfn.IFS(AG1286 &lt;= 5, "New[1-5]", AG1286 &lt;= 10, "Early Career[6-10]", AG1286 &lt;= 20, "Established[11-20]", AG1286 &lt;= 30, "Veteran[21-30]", AG1286 &lt;= 40, "Late Career[31-40]")</f>
        <v>Early Career[6-10]</v>
      </c>
      <c r="AI1286" s="1">
        <v>3</v>
      </c>
      <c r="AJ1286" s="1">
        <v>3</v>
      </c>
      <c r="AK1286" s="1">
        <v>4</v>
      </c>
      <c r="AL1286" s="9" t="str" cm="1">
        <f t="array" ref="AL1286">_xlfn.IFS(AK1286 &lt;= 5, "New[1-5]", AK1286 &lt;= 10, "Early Career[6-10]", AK1286 &lt;= 20, "Established[11-20]", AK1286 &lt;= 30, "Veteran[21-30]", AK1286 &lt;= 40, "Late Career[31-40]")</f>
        <v>New[1-5]</v>
      </c>
      <c r="AM1286" s="1">
        <v>3</v>
      </c>
      <c r="AN1286" s="9" t="str" cm="1">
        <f t="array" ref="AN1286">_xlfn.IFS(AM1286 &lt;= 3, "New to Role[1-3]", AM1286 &lt;= 7, "Settled[4-7]", AM1286 &lt;= 12, "Experienced[[8-12]", AM1286 &lt;= 18, "Long Tenured[13-18]")</f>
        <v>New to Role[1-3]</v>
      </c>
      <c r="AO1286" s="1">
        <v>2</v>
      </c>
      <c r="AP1286" s="9" t="str" cm="1">
        <f t="array" ref="AP1286">_xlfn.IFS(AO1286 &lt;= 3, "Recently[1-3]", AO1286 &lt;= 6, "Due Soon[4-6]", AO1286 &lt;= 10, "Overdue[7-10]", AO1286 &lt;= 15, "Long Overdue[11-15]")</f>
        <v>Recently[1-3]</v>
      </c>
      <c r="AQ1286" s="9" t="str" cm="1">
        <f t="array" ref="AQ1286">_xlfn.IFS(AR1286 &lt;= 3, "New Relationship[1-3]", AR1286 &lt;= 7, "Established Relationship[4-7]", AR1286 &lt;= 12, "Long Term Relationship[8-12]", AR1286 &lt;= 17, "Very Long Term Relationship[13-17]")</f>
        <v>New Relationship[1-3]</v>
      </c>
      <c r="AR1286" s="1">
        <v>2</v>
      </c>
    </row>
    <row r="1287" spans="1:44" x14ac:dyDescent="0.25">
      <c r="A1287" s="1">
        <v>46</v>
      </c>
      <c r="B1287" s="8" t="str" cm="1">
        <f t="array" ref="B1287">_xlfn.IFS(A1287 &lt;= 25, "[18-25]", A1287 &lt;= 35, "[26-35]", A1287 &lt;=45, "[36-45]", A1287 &lt;= 60, "[46- 60]")</f>
        <v>[46- 60]</v>
      </c>
      <c r="C1287" s="3" t="s">
        <v>43</v>
      </c>
      <c r="D1287">
        <f t="shared" si="20"/>
        <v>0</v>
      </c>
      <c r="E1287" t="s">
        <v>62</v>
      </c>
      <c r="F1287" s="1">
        <v>849</v>
      </c>
      <c r="G1287" s="3" t="s">
        <v>37</v>
      </c>
      <c r="H1287" s="1">
        <v>26</v>
      </c>
      <c r="I1287" s="9" t="str" cm="1">
        <f t="array" ref="I1287">_xlfn.IFS(H1287 &lt;= 2, "[1-2] very close", H1287 &lt;= 10, "[3-10] close", H1287 &lt;= 20, "[11-20] moderate", H1287 &lt;= 30, "[21-30] far")</f>
        <v>[21-30] far</v>
      </c>
      <c r="J1287" s="1">
        <v>2</v>
      </c>
      <c r="K1287" s="3" t="s">
        <v>38</v>
      </c>
      <c r="L1287" s="1">
        <v>1</v>
      </c>
      <c r="M1287" s="1">
        <v>1801</v>
      </c>
      <c r="N1287" s="1">
        <v>2</v>
      </c>
      <c r="O1287" s="3" t="s">
        <v>46</v>
      </c>
      <c r="P1287" s="1">
        <v>98</v>
      </c>
      <c r="Q1287" s="1">
        <v>2</v>
      </c>
      <c r="R1287" s="1">
        <v>2</v>
      </c>
      <c r="S1287" s="3" t="s">
        <v>40</v>
      </c>
      <c r="T1287" s="1">
        <v>2</v>
      </c>
      <c r="U1287" s="3" t="s">
        <v>41</v>
      </c>
      <c r="V1287" s="4">
        <v>7991</v>
      </c>
      <c r="W1287" s="1">
        <v>25166</v>
      </c>
      <c r="X1287" s="1">
        <v>8</v>
      </c>
      <c r="Y1287" s="3" t="s">
        <v>42</v>
      </c>
      <c r="Z1287" s="3" t="s">
        <v>43</v>
      </c>
      <c r="AA1287" s="5">
        <v>0.15</v>
      </c>
      <c r="AB1287" s="10" t="str" cm="1">
        <f t="array" ref="AB1287">_xlfn.IFS(AA1287 &lt;= 15%, "Low Hike[11-15%]", AA1287 &lt;= 20%, "Moderate Hike[16-20%]", AA1287 &lt;= 25%,"High Hike[21-25%]")</f>
        <v>Low Hike[11-15%]</v>
      </c>
      <c r="AC1287" s="1">
        <v>3</v>
      </c>
      <c r="AD1287" s="1">
        <v>3</v>
      </c>
      <c r="AE1287" s="1">
        <v>80</v>
      </c>
      <c r="AF1287" s="1">
        <v>0</v>
      </c>
      <c r="AG1287" s="1">
        <v>6</v>
      </c>
      <c r="AH1287" s="9" t="str" cm="1">
        <f t="array" ref="AH1287">_xlfn.IFS(AG1287 &lt;= 5, "New[1-5]", AG1287 &lt;= 10, "Early Career[6-10]", AG1287 &lt;= 20, "Established[11-20]", AG1287 &lt;= 30, "Veteran[21-30]", AG1287 &lt;= 40, "Late Career[31-40]")</f>
        <v>Early Career[6-10]</v>
      </c>
      <c r="AI1287" s="1">
        <v>3</v>
      </c>
      <c r="AJ1287" s="1">
        <v>3</v>
      </c>
      <c r="AK1287" s="1">
        <v>2</v>
      </c>
      <c r="AL1287" s="9" t="str" cm="1">
        <f t="array" ref="AL1287">_xlfn.IFS(AK1287 &lt;= 5, "New[1-5]", AK1287 &lt;= 10, "Early Career[6-10]", AK1287 &lt;= 20, "Established[11-20]", AK1287 &lt;= 30, "Veteran[21-30]", AK1287 &lt;= 40, "Late Career[31-40]")</f>
        <v>New[1-5]</v>
      </c>
      <c r="AM1287" s="1">
        <v>2</v>
      </c>
      <c r="AN1287" s="9" t="str" cm="1">
        <f t="array" ref="AN1287">_xlfn.IFS(AM1287 &lt;= 3, "New to Role[1-3]", AM1287 &lt;= 7, "Settled[4-7]", AM1287 &lt;= 12, "Experienced[[8-12]", AM1287 &lt;= 18, "Long Tenured[13-18]")</f>
        <v>New to Role[1-3]</v>
      </c>
      <c r="AO1287" s="1">
        <v>2</v>
      </c>
      <c r="AP1287" s="9" t="str" cm="1">
        <f t="array" ref="AP1287">_xlfn.IFS(AO1287 &lt;= 3, "Recently[1-3]", AO1287 &lt;= 6, "Due Soon[4-6]", AO1287 &lt;= 10, "Overdue[7-10]", AO1287 &lt;= 15, "Long Overdue[11-15]")</f>
        <v>Recently[1-3]</v>
      </c>
      <c r="AQ1287" s="9" t="str" cm="1">
        <f t="array" ref="AQ1287">_xlfn.IFS(AR1287 &lt;= 3, "New Relationship[1-3]", AR1287 &lt;= 7, "Established Relationship[4-7]", AR1287 &lt;= 12, "Long Term Relationship[8-12]", AR1287 &lt;= 17, "Very Long Term Relationship[13-17]")</f>
        <v>New Relationship[1-3]</v>
      </c>
      <c r="AR1287" s="1">
        <v>2</v>
      </c>
    </row>
    <row r="1288" spans="1:44" x14ac:dyDescent="0.25">
      <c r="A1288" s="1">
        <v>40</v>
      </c>
      <c r="B1288" s="8" t="str" cm="1">
        <f t="array" ref="B1288">_xlfn.IFS(A1288 &lt;= 25, "[18-25]", A1288 &lt;= 35, "[26-35]", A1288 &lt;=45, "[36-45]", A1288 &lt;= 60, "[46- 60]")</f>
        <v>[36-45]</v>
      </c>
      <c r="C1288" s="3" t="s">
        <v>43</v>
      </c>
      <c r="D1288">
        <f t="shared" si="20"/>
        <v>0</v>
      </c>
      <c r="E1288" t="s">
        <v>36</v>
      </c>
      <c r="F1288" s="1">
        <v>616</v>
      </c>
      <c r="G1288" s="3" t="s">
        <v>45</v>
      </c>
      <c r="H1288" s="1">
        <v>2</v>
      </c>
      <c r="I1288" s="9" t="str" cm="1">
        <f t="array" ref="I1288">_xlfn.IFS(H1288 &lt;= 2, "[1-2] very close", H1288 &lt;= 10, "[3-10] close", H1288 &lt;= 20, "[11-20] moderate", H1288 &lt;= 30, "[21-30] far")</f>
        <v>[1-2] very close</v>
      </c>
      <c r="J1288" s="1">
        <v>2</v>
      </c>
      <c r="K1288" s="3" t="s">
        <v>38</v>
      </c>
      <c r="L1288" s="1">
        <v>1</v>
      </c>
      <c r="M1288" s="1">
        <v>1802</v>
      </c>
      <c r="N1288" s="1">
        <v>3</v>
      </c>
      <c r="O1288" s="3" t="s">
        <v>39</v>
      </c>
      <c r="P1288" s="1">
        <v>99</v>
      </c>
      <c r="Q1288" s="1">
        <v>3</v>
      </c>
      <c r="R1288" s="1">
        <v>1</v>
      </c>
      <c r="S1288" s="3" t="s">
        <v>50</v>
      </c>
      <c r="T1288" s="1">
        <v>1</v>
      </c>
      <c r="U1288" s="3" t="s">
        <v>48</v>
      </c>
      <c r="V1288" s="4">
        <v>3377</v>
      </c>
      <c r="W1288" s="1">
        <v>25605</v>
      </c>
      <c r="X1288" s="1">
        <v>4</v>
      </c>
      <c r="Y1288" s="3" t="s">
        <v>42</v>
      </c>
      <c r="Z1288" s="3" t="s">
        <v>43</v>
      </c>
      <c r="AA1288" s="5">
        <v>0.17</v>
      </c>
      <c r="AB1288" s="10" t="str" cm="1">
        <f t="array" ref="AB1288">_xlfn.IFS(AA1288 &lt;= 15%, "Low Hike[11-15%]", AA1288 &lt;= 20%, "Moderate Hike[16-20%]", AA1288 &lt;= 25%,"High Hike[21-25%]")</f>
        <v>Moderate Hike[16-20%]</v>
      </c>
      <c r="AC1288" s="1">
        <v>3</v>
      </c>
      <c r="AD1288" s="1">
        <v>4</v>
      </c>
      <c r="AE1288" s="1">
        <v>80</v>
      </c>
      <c r="AF1288" s="1">
        <v>1</v>
      </c>
      <c r="AG1288" s="1">
        <v>7</v>
      </c>
      <c r="AH1288" s="9" t="str" cm="1">
        <f t="array" ref="AH1288">_xlfn.IFS(AG1288 &lt;= 5, "New[1-5]", AG1288 &lt;= 10, "Early Career[6-10]", AG1288 &lt;= 20, "Established[11-20]", AG1288 &lt;= 30, "Veteran[21-30]", AG1288 &lt;= 40, "Late Career[31-40]")</f>
        <v>Early Career[6-10]</v>
      </c>
      <c r="AI1288" s="1">
        <v>5</v>
      </c>
      <c r="AJ1288" s="1">
        <v>2</v>
      </c>
      <c r="AK1288" s="1">
        <v>4</v>
      </c>
      <c r="AL1288" s="9" t="str" cm="1">
        <f t="array" ref="AL1288">_xlfn.IFS(AK1288 &lt;= 5, "New[1-5]", AK1288 &lt;= 10, "Early Career[6-10]", AK1288 &lt;= 20, "Established[11-20]", AK1288 &lt;= 30, "Veteran[21-30]", AK1288 &lt;= 40, "Late Career[31-40]")</f>
        <v>New[1-5]</v>
      </c>
      <c r="AM1288" s="1">
        <v>3</v>
      </c>
      <c r="AN1288" s="9" t="str" cm="1">
        <f t="array" ref="AN1288">_xlfn.IFS(AM1288 &lt;= 3, "New to Role[1-3]", AM1288 &lt;= 7, "Settled[4-7]", AM1288 &lt;= 12, "Experienced[[8-12]", AM1288 &lt;= 18, "Long Tenured[13-18]")</f>
        <v>New to Role[1-3]</v>
      </c>
      <c r="AO1288" s="1">
        <v>0</v>
      </c>
      <c r="AP1288" s="9" t="str" cm="1">
        <f t="array" ref="AP1288">_xlfn.IFS(AO1288 &lt;= 3, "Recently[1-3]", AO1288 &lt;= 6, "Due Soon[4-6]", AO1288 &lt;= 10, "Overdue[7-10]", AO1288 &lt;= 15, "Long Overdue[11-15]")</f>
        <v>Recently[1-3]</v>
      </c>
      <c r="AQ1288" s="9" t="str" cm="1">
        <f t="array" ref="AQ1288">_xlfn.IFS(AR1288 &lt;= 3, "New Relationship[1-3]", AR1288 &lt;= 7, "Established Relationship[4-7]", AR1288 &lt;= 12, "Long Term Relationship[8-12]", AR1288 &lt;= 17, "Very Long Term Relationship[13-17]")</f>
        <v>New Relationship[1-3]</v>
      </c>
      <c r="AR1288" s="1">
        <v>2</v>
      </c>
    </row>
    <row r="1289" spans="1:44" x14ac:dyDescent="0.25">
      <c r="A1289" s="1">
        <v>42</v>
      </c>
      <c r="B1289" s="8" t="str" cm="1">
        <f t="array" ref="B1289">_xlfn.IFS(A1289 &lt;= 25, "[18-25]", A1289 &lt;= 35, "[26-35]", A1289 &lt;=45, "[36-45]", A1289 &lt;= 60, "[46- 60]")</f>
        <v>[36-45]</v>
      </c>
      <c r="C1289" s="3" t="s">
        <v>43</v>
      </c>
      <c r="D1289">
        <f t="shared" si="20"/>
        <v>0</v>
      </c>
      <c r="E1289" t="s">
        <v>36</v>
      </c>
      <c r="F1289" s="1">
        <v>1128</v>
      </c>
      <c r="G1289" s="3" t="s">
        <v>45</v>
      </c>
      <c r="H1289" s="1">
        <v>13</v>
      </c>
      <c r="I1289" s="9" t="str" cm="1">
        <f t="array" ref="I1289">_xlfn.IFS(H1289 &lt;= 2, "[1-2] very close", H1289 &lt;= 10, "[3-10] close", H1289 &lt;= 20, "[11-20] moderate", H1289 &lt;= 30, "[21-30] far")</f>
        <v>[11-20] moderate</v>
      </c>
      <c r="J1289" s="1">
        <v>3</v>
      </c>
      <c r="K1289" s="3" t="s">
        <v>51</v>
      </c>
      <c r="L1289" s="1">
        <v>1</v>
      </c>
      <c r="M1289" s="1">
        <v>1803</v>
      </c>
      <c r="N1289" s="1">
        <v>2</v>
      </c>
      <c r="O1289" s="3" t="s">
        <v>46</v>
      </c>
      <c r="P1289" s="1">
        <v>95</v>
      </c>
      <c r="Q1289" s="1">
        <v>4</v>
      </c>
      <c r="R1289" s="1">
        <v>2</v>
      </c>
      <c r="S1289" s="3" t="s">
        <v>54</v>
      </c>
      <c r="T1289" s="1">
        <v>1</v>
      </c>
      <c r="U1289" s="3" t="s">
        <v>48</v>
      </c>
      <c r="V1289" s="4">
        <v>5538</v>
      </c>
      <c r="W1289" s="1">
        <v>5696</v>
      </c>
      <c r="X1289" s="1">
        <v>5</v>
      </c>
      <c r="Y1289" s="3" t="s">
        <v>42</v>
      </c>
      <c r="Z1289" s="3" t="s">
        <v>43</v>
      </c>
      <c r="AA1289" s="5">
        <v>0.18</v>
      </c>
      <c r="AB1289" s="10" t="str" cm="1">
        <f t="array" ref="AB1289">_xlfn.IFS(AA1289 &lt;= 15%, "Low Hike[11-15%]", AA1289 &lt;= 20%, "Moderate Hike[16-20%]", AA1289 &lt;= 25%,"High Hike[21-25%]")</f>
        <v>Moderate Hike[16-20%]</v>
      </c>
      <c r="AC1289" s="1">
        <v>3</v>
      </c>
      <c r="AD1289" s="1">
        <v>3</v>
      </c>
      <c r="AE1289" s="1">
        <v>80</v>
      </c>
      <c r="AF1289" s="1">
        <v>2</v>
      </c>
      <c r="AG1289" s="1">
        <v>10</v>
      </c>
      <c r="AH1289" s="9" t="str" cm="1">
        <f t="array" ref="AH1289">_xlfn.IFS(AG1289 &lt;= 5, "New[1-5]", AG1289 &lt;= 10, "Early Career[6-10]", AG1289 &lt;= 20, "Established[11-20]", AG1289 &lt;= 30, "Veteran[21-30]", AG1289 &lt;= 40, "Late Career[31-40]")</f>
        <v>Early Career[6-10]</v>
      </c>
      <c r="AI1289" s="1">
        <v>2</v>
      </c>
      <c r="AJ1289" s="1">
        <v>2</v>
      </c>
      <c r="AK1289" s="1">
        <v>0</v>
      </c>
      <c r="AL1289" s="9" t="str" cm="1">
        <f t="array" ref="AL1289">_xlfn.IFS(AK1289 &lt;= 5, "New[1-5]", AK1289 &lt;= 10, "Early Career[6-10]", AK1289 &lt;= 20, "Established[11-20]", AK1289 &lt;= 30, "Veteran[21-30]", AK1289 &lt;= 40, "Late Career[31-40]")</f>
        <v>New[1-5]</v>
      </c>
      <c r="AM1289" s="1">
        <v>0</v>
      </c>
      <c r="AN1289" s="9" t="str" cm="1">
        <f t="array" ref="AN1289">_xlfn.IFS(AM1289 &lt;= 3, "New to Role[1-3]", AM1289 &lt;= 7, "Settled[4-7]", AM1289 &lt;= 12, "Experienced[[8-12]", AM1289 &lt;= 18, "Long Tenured[13-18]")</f>
        <v>New to Role[1-3]</v>
      </c>
      <c r="AO1289" s="1">
        <v>0</v>
      </c>
      <c r="AP1289" s="9" t="str" cm="1">
        <f t="array" ref="AP1289">_xlfn.IFS(AO1289 &lt;= 3, "Recently[1-3]", AO1289 &lt;= 6, "Due Soon[4-6]", AO1289 &lt;= 10, "Overdue[7-10]", AO1289 &lt;= 15, "Long Overdue[11-15]")</f>
        <v>Recently[1-3]</v>
      </c>
      <c r="AQ1289" s="9" t="str" cm="1">
        <f t="array" ref="AQ1289">_xlfn.IFS(AR1289 &lt;= 3, "New Relationship[1-3]", AR1289 &lt;= 7, "Established Relationship[4-7]", AR1289 &lt;= 12, "Long Term Relationship[8-12]", AR1289 &lt;= 17, "Very Long Term Relationship[13-17]")</f>
        <v>New Relationship[1-3]</v>
      </c>
      <c r="AR1289" s="1">
        <v>0</v>
      </c>
    </row>
    <row r="1290" spans="1:44" x14ac:dyDescent="0.25">
      <c r="A1290" s="1">
        <v>35</v>
      </c>
      <c r="B1290" s="8" t="str" cm="1">
        <f t="array" ref="B1290">_xlfn.IFS(A1290 &lt;= 25, "[18-25]", A1290 &lt;= 35, "[26-35]", A1290 &lt;=45, "[36-45]", A1290 &lt;= 60, "[46- 60]")</f>
        <v>[26-35]</v>
      </c>
      <c r="C1290" s="3" t="s">
        <v>43</v>
      </c>
      <c r="D1290">
        <f t="shared" si="20"/>
        <v>0</v>
      </c>
      <c r="E1290" t="s">
        <v>62</v>
      </c>
      <c r="F1290" s="1">
        <v>1180</v>
      </c>
      <c r="G1290" s="3" t="s">
        <v>45</v>
      </c>
      <c r="H1290" s="1">
        <v>2</v>
      </c>
      <c r="I1290" s="9" t="str" cm="1">
        <f t="array" ref="I1290">_xlfn.IFS(H1290 &lt;= 2, "[1-2] very close", H1290 &lt;= 10, "[3-10] close", H1290 &lt;= 20, "[11-20] moderate", H1290 &lt;= 30, "[21-30] far")</f>
        <v>[1-2] very close</v>
      </c>
      <c r="J1290" s="1">
        <v>2</v>
      </c>
      <c r="K1290" s="3" t="s">
        <v>51</v>
      </c>
      <c r="L1290" s="1">
        <v>1</v>
      </c>
      <c r="M1290" s="1">
        <v>1804</v>
      </c>
      <c r="N1290" s="1">
        <v>2</v>
      </c>
      <c r="O1290" s="3" t="s">
        <v>46</v>
      </c>
      <c r="P1290" s="1">
        <v>90</v>
      </c>
      <c r="Q1290" s="1">
        <v>3</v>
      </c>
      <c r="R1290" s="1">
        <v>2</v>
      </c>
      <c r="S1290" s="3" t="s">
        <v>53</v>
      </c>
      <c r="T1290" s="1">
        <v>4</v>
      </c>
      <c r="U1290" s="3" t="s">
        <v>52</v>
      </c>
      <c r="V1290" s="4">
        <v>5762</v>
      </c>
      <c r="W1290" s="1">
        <v>24442</v>
      </c>
      <c r="X1290" s="1">
        <v>2</v>
      </c>
      <c r="Y1290" s="3" t="s">
        <v>42</v>
      </c>
      <c r="Z1290" s="3" t="s">
        <v>43</v>
      </c>
      <c r="AA1290" s="5">
        <v>0.14000000000000001</v>
      </c>
      <c r="AB1290" s="10" t="str" cm="1">
        <f t="array" ref="AB1290">_xlfn.IFS(AA1290 &lt;= 15%, "Low Hike[11-15%]", AA1290 &lt;= 20%, "Moderate Hike[16-20%]", AA1290 &lt;= 25%,"High Hike[21-25%]")</f>
        <v>Low Hike[11-15%]</v>
      </c>
      <c r="AC1290" s="1">
        <v>3</v>
      </c>
      <c r="AD1290" s="1">
        <v>3</v>
      </c>
      <c r="AE1290" s="1">
        <v>80</v>
      </c>
      <c r="AF1290" s="1">
        <v>1</v>
      </c>
      <c r="AG1290" s="1">
        <v>15</v>
      </c>
      <c r="AH1290" s="9" t="str" cm="1">
        <f t="array" ref="AH1290">_xlfn.IFS(AG1290 &lt;= 5, "New[1-5]", AG1290 &lt;= 10, "Early Career[6-10]", AG1290 &lt;= 20, "Established[11-20]", AG1290 &lt;= 30, "Veteran[21-30]", AG1290 &lt;= 40, "Late Career[31-40]")</f>
        <v>Established[11-20]</v>
      </c>
      <c r="AI1290" s="1">
        <v>6</v>
      </c>
      <c r="AJ1290" s="1">
        <v>3</v>
      </c>
      <c r="AK1290" s="1">
        <v>7</v>
      </c>
      <c r="AL1290" s="9" t="str" cm="1">
        <f t="array" ref="AL1290">_xlfn.IFS(AK1290 &lt;= 5, "New[1-5]", AK1290 &lt;= 10, "Early Career[6-10]", AK1290 &lt;= 20, "Established[11-20]", AK1290 &lt;= 30, "Veteran[21-30]", AK1290 &lt;= 40, "Late Career[31-40]")</f>
        <v>Early Career[6-10]</v>
      </c>
      <c r="AM1290" s="1">
        <v>7</v>
      </c>
      <c r="AN1290" s="9" t="str" cm="1">
        <f t="array" ref="AN1290">_xlfn.IFS(AM1290 &lt;= 3, "New to Role[1-3]", AM1290 &lt;= 7, "Settled[4-7]", AM1290 &lt;= 12, "Experienced[[8-12]", AM1290 &lt;= 18, "Long Tenured[13-18]")</f>
        <v>Settled[4-7]</v>
      </c>
      <c r="AO1290" s="1">
        <v>1</v>
      </c>
      <c r="AP1290" s="9" t="str" cm="1">
        <f t="array" ref="AP1290">_xlfn.IFS(AO1290 &lt;= 3, "Recently[1-3]", AO1290 &lt;= 6, "Due Soon[4-6]", AO1290 &lt;= 10, "Overdue[7-10]", AO1290 &lt;= 15, "Long Overdue[11-15]")</f>
        <v>Recently[1-3]</v>
      </c>
      <c r="AQ1290" s="9" t="str" cm="1">
        <f t="array" ref="AQ1290">_xlfn.IFS(AR1290 &lt;= 3, "New Relationship[1-3]", AR1290 &lt;= 7, "Established Relationship[4-7]", AR1290 &lt;= 12, "Long Term Relationship[8-12]", AR1290 &lt;= 17, "Very Long Term Relationship[13-17]")</f>
        <v>Established Relationship[4-7]</v>
      </c>
      <c r="AR1290" s="1">
        <v>7</v>
      </c>
    </row>
    <row r="1291" spans="1:44" x14ac:dyDescent="0.25">
      <c r="A1291" s="1">
        <v>38</v>
      </c>
      <c r="B1291" s="8" t="str" cm="1">
        <f t="array" ref="B1291">_xlfn.IFS(A1291 &lt;= 25, "[18-25]", A1291 &lt;= 35, "[26-35]", A1291 &lt;=45, "[36-45]", A1291 &lt;= 60, "[46- 60]")</f>
        <v>[36-45]</v>
      </c>
      <c r="C1291" s="3" t="s">
        <v>43</v>
      </c>
      <c r="D1291">
        <f t="shared" si="20"/>
        <v>0</v>
      </c>
      <c r="E1291" t="s">
        <v>62</v>
      </c>
      <c r="F1291" s="1">
        <v>1336</v>
      </c>
      <c r="G1291" s="3" t="s">
        <v>61</v>
      </c>
      <c r="H1291" s="1">
        <v>2</v>
      </c>
      <c r="I1291" s="9" t="str" cm="1">
        <f t="array" ref="I1291">_xlfn.IFS(H1291 &lt;= 2, "[1-2] very close", H1291 &lt;= 10, "[3-10] close", H1291 &lt;= 20, "[11-20] moderate", H1291 &lt;= 30, "[21-30] far")</f>
        <v>[1-2] very close</v>
      </c>
      <c r="J1291" s="1">
        <v>3</v>
      </c>
      <c r="K1291" s="3" t="s">
        <v>61</v>
      </c>
      <c r="L1291" s="1">
        <v>1</v>
      </c>
      <c r="M1291" s="1">
        <v>1805</v>
      </c>
      <c r="N1291" s="1">
        <v>1</v>
      </c>
      <c r="O1291" s="3" t="s">
        <v>46</v>
      </c>
      <c r="P1291" s="1">
        <v>100</v>
      </c>
      <c r="Q1291" s="1">
        <v>3</v>
      </c>
      <c r="R1291" s="1">
        <v>1</v>
      </c>
      <c r="S1291" s="3" t="s">
        <v>61</v>
      </c>
      <c r="T1291" s="1">
        <v>2</v>
      </c>
      <c r="U1291" s="3" t="s">
        <v>52</v>
      </c>
      <c r="V1291" s="4">
        <v>2592</v>
      </c>
      <c r="W1291" s="1">
        <v>7129</v>
      </c>
      <c r="X1291" s="1">
        <v>5</v>
      </c>
      <c r="Y1291" s="3" t="s">
        <v>42</v>
      </c>
      <c r="Z1291" s="3" t="s">
        <v>43</v>
      </c>
      <c r="AA1291" s="5">
        <v>0.13</v>
      </c>
      <c r="AB1291" s="10" t="str" cm="1">
        <f t="array" ref="AB1291">_xlfn.IFS(AA1291 &lt;= 15%, "Low Hike[11-15%]", AA1291 &lt;= 20%, "Moderate Hike[16-20%]", AA1291 &lt;= 25%,"High Hike[21-25%]")</f>
        <v>Low Hike[11-15%]</v>
      </c>
      <c r="AC1291" s="1">
        <v>3</v>
      </c>
      <c r="AD1291" s="1">
        <v>4</v>
      </c>
      <c r="AE1291" s="1">
        <v>80</v>
      </c>
      <c r="AF1291" s="1">
        <v>3</v>
      </c>
      <c r="AG1291" s="1">
        <v>13</v>
      </c>
      <c r="AH1291" s="9" t="str" cm="1">
        <f t="array" ref="AH1291">_xlfn.IFS(AG1291 &lt;= 5, "New[1-5]", AG1291 &lt;= 10, "Early Career[6-10]", AG1291 &lt;= 20, "Established[11-20]", AG1291 &lt;= 30, "Veteran[21-30]", AG1291 &lt;= 40, "Late Career[31-40]")</f>
        <v>Established[11-20]</v>
      </c>
      <c r="AI1291" s="1">
        <v>3</v>
      </c>
      <c r="AJ1291" s="1">
        <v>3</v>
      </c>
      <c r="AK1291" s="1">
        <v>11</v>
      </c>
      <c r="AL1291" s="9" t="str" cm="1">
        <f t="array" ref="AL1291">_xlfn.IFS(AK1291 &lt;= 5, "New[1-5]", AK1291 &lt;= 10, "Early Career[6-10]", AK1291 &lt;= 20, "Established[11-20]", AK1291 &lt;= 30, "Veteran[21-30]", AK1291 &lt;= 40, "Late Career[31-40]")</f>
        <v>Established[11-20]</v>
      </c>
      <c r="AM1291" s="1">
        <v>10</v>
      </c>
      <c r="AN1291" s="9" t="str" cm="1">
        <f t="array" ref="AN1291">_xlfn.IFS(AM1291 &lt;= 3, "New to Role[1-3]", AM1291 &lt;= 7, "Settled[4-7]", AM1291 &lt;= 12, "Experienced[[8-12]", AM1291 &lt;= 18, "Long Tenured[13-18]")</f>
        <v>Experienced[[8-12]</v>
      </c>
      <c r="AO1291" s="1">
        <v>3</v>
      </c>
      <c r="AP1291" s="9" t="str" cm="1">
        <f t="array" ref="AP1291">_xlfn.IFS(AO1291 &lt;= 3, "Recently[1-3]", AO1291 &lt;= 6, "Due Soon[4-6]", AO1291 &lt;= 10, "Overdue[7-10]", AO1291 &lt;= 15, "Long Overdue[11-15]")</f>
        <v>Recently[1-3]</v>
      </c>
      <c r="AQ1291" s="9" t="str" cm="1">
        <f t="array" ref="AQ1291">_xlfn.IFS(AR1291 &lt;= 3, "New Relationship[1-3]", AR1291 &lt;= 7, "Established Relationship[4-7]", AR1291 &lt;= 12, "Long Term Relationship[8-12]", AR1291 &lt;= 17, "Very Long Term Relationship[13-17]")</f>
        <v>Long Term Relationship[8-12]</v>
      </c>
      <c r="AR1291" s="1">
        <v>8</v>
      </c>
    </row>
    <row r="1292" spans="1:44" x14ac:dyDescent="0.25">
      <c r="A1292" s="1">
        <v>34</v>
      </c>
      <c r="B1292" s="8" t="str" cm="1">
        <f t="array" ref="B1292">_xlfn.IFS(A1292 &lt;= 25, "[18-25]", A1292 &lt;= 35, "[26-35]", A1292 &lt;=45, "[36-45]", A1292 &lt;= 60, "[46- 60]")</f>
        <v>[26-35]</v>
      </c>
      <c r="C1292" s="3" t="s">
        <v>35</v>
      </c>
      <c r="D1292">
        <f t="shared" si="20"/>
        <v>1</v>
      </c>
      <c r="E1292" t="s">
        <v>44</v>
      </c>
      <c r="F1292" s="1">
        <v>234</v>
      </c>
      <c r="G1292" s="3" t="s">
        <v>45</v>
      </c>
      <c r="H1292" s="1">
        <v>9</v>
      </c>
      <c r="I1292" s="9" t="str" cm="1">
        <f t="array" ref="I1292">_xlfn.IFS(H1292 &lt;= 2, "[1-2] very close", H1292 &lt;= 10, "[3-10] close", H1292 &lt;= 20, "[11-20] moderate", H1292 &lt;= 30, "[21-30] far")</f>
        <v>[3-10] close</v>
      </c>
      <c r="J1292" s="1">
        <v>4</v>
      </c>
      <c r="K1292" s="3" t="s">
        <v>38</v>
      </c>
      <c r="L1292" s="1">
        <v>1</v>
      </c>
      <c r="M1292" s="1">
        <v>1807</v>
      </c>
      <c r="N1292" s="1">
        <v>4</v>
      </c>
      <c r="O1292" s="3" t="s">
        <v>46</v>
      </c>
      <c r="P1292" s="1">
        <v>93</v>
      </c>
      <c r="Q1292" s="1">
        <v>3</v>
      </c>
      <c r="R1292" s="1">
        <v>2</v>
      </c>
      <c r="S1292" s="3" t="s">
        <v>50</v>
      </c>
      <c r="T1292" s="1">
        <v>1</v>
      </c>
      <c r="U1292" s="3" t="s">
        <v>48</v>
      </c>
      <c r="V1292" s="4">
        <v>5346</v>
      </c>
      <c r="W1292" s="1">
        <v>6208</v>
      </c>
      <c r="X1292" s="1">
        <v>4</v>
      </c>
      <c r="Y1292" s="3" t="s">
        <v>42</v>
      </c>
      <c r="Z1292" s="3" t="s">
        <v>43</v>
      </c>
      <c r="AA1292" s="5">
        <v>0.17</v>
      </c>
      <c r="AB1292" s="10" t="str" cm="1">
        <f t="array" ref="AB1292">_xlfn.IFS(AA1292 &lt;= 15%, "Low Hike[11-15%]", AA1292 &lt;= 20%, "Moderate Hike[16-20%]", AA1292 &lt;= 25%,"High Hike[21-25%]")</f>
        <v>Moderate Hike[16-20%]</v>
      </c>
      <c r="AC1292" s="1">
        <v>3</v>
      </c>
      <c r="AD1292" s="1">
        <v>3</v>
      </c>
      <c r="AE1292" s="1">
        <v>80</v>
      </c>
      <c r="AF1292" s="1">
        <v>1</v>
      </c>
      <c r="AG1292" s="1">
        <v>11</v>
      </c>
      <c r="AH1292" s="9" t="str" cm="1">
        <f t="array" ref="AH1292">_xlfn.IFS(AG1292 &lt;= 5, "New[1-5]", AG1292 &lt;= 10, "Early Career[6-10]", AG1292 &lt;= 20, "Established[11-20]", AG1292 &lt;= 30, "Veteran[21-30]", AG1292 &lt;= 40, "Late Career[31-40]")</f>
        <v>Established[11-20]</v>
      </c>
      <c r="AI1292" s="1">
        <v>3</v>
      </c>
      <c r="AJ1292" s="1">
        <v>2</v>
      </c>
      <c r="AK1292" s="1">
        <v>7</v>
      </c>
      <c r="AL1292" s="9" t="str" cm="1">
        <f t="array" ref="AL1292">_xlfn.IFS(AK1292 &lt;= 5, "New[1-5]", AK1292 &lt;= 10, "Early Career[6-10]", AK1292 &lt;= 20, "Established[11-20]", AK1292 &lt;= 30, "Veteran[21-30]", AK1292 &lt;= 40, "Late Career[31-40]")</f>
        <v>Early Career[6-10]</v>
      </c>
      <c r="AM1292" s="1">
        <v>1</v>
      </c>
      <c r="AN1292" s="9" t="str" cm="1">
        <f t="array" ref="AN1292">_xlfn.IFS(AM1292 &lt;= 3, "New to Role[1-3]", AM1292 &lt;= 7, "Settled[4-7]", AM1292 &lt;= 12, "Experienced[[8-12]", AM1292 &lt;= 18, "Long Tenured[13-18]")</f>
        <v>New to Role[1-3]</v>
      </c>
      <c r="AO1292" s="1">
        <v>0</v>
      </c>
      <c r="AP1292" s="9" t="str" cm="1">
        <f t="array" ref="AP1292">_xlfn.IFS(AO1292 &lt;= 3, "Recently[1-3]", AO1292 &lt;= 6, "Due Soon[4-6]", AO1292 &lt;= 10, "Overdue[7-10]", AO1292 &lt;= 15, "Long Overdue[11-15]")</f>
        <v>Recently[1-3]</v>
      </c>
      <c r="AQ1292" s="9" t="str" cm="1">
        <f t="array" ref="AQ1292">_xlfn.IFS(AR1292 &lt;= 3, "New Relationship[1-3]", AR1292 &lt;= 7, "Established Relationship[4-7]", AR1292 &lt;= 12, "Long Term Relationship[8-12]", AR1292 &lt;= 17, "Very Long Term Relationship[13-17]")</f>
        <v>Established Relationship[4-7]</v>
      </c>
      <c r="AR1292" s="1">
        <v>7</v>
      </c>
    </row>
    <row r="1293" spans="1:44" x14ac:dyDescent="0.25">
      <c r="A1293" s="1">
        <v>37</v>
      </c>
      <c r="B1293" s="8" t="str" cm="1">
        <f t="array" ref="B1293">_xlfn.IFS(A1293 &lt;= 25, "[18-25]", A1293 &lt;= 35, "[26-35]", A1293 &lt;=45, "[36-45]", A1293 &lt;= 60, "[46- 60]")</f>
        <v>[36-45]</v>
      </c>
      <c r="C1293" s="3" t="s">
        <v>35</v>
      </c>
      <c r="D1293">
        <f t="shared" si="20"/>
        <v>1</v>
      </c>
      <c r="E1293" t="s">
        <v>36</v>
      </c>
      <c r="F1293" s="1">
        <v>370</v>
      </c>
      <c r="G1293" s="3" t="s">
        <v>45</v>
      </c>
      <c r="H1293" s="1">
        <v>10</v>
      </c>
      <c r="I1293" s="9" t="str" cm="1">
        <f t="array" ref="I1293">_xlfn.IFS(H1293 &lt;= 2, "[1-2] very close", H1293 &lt;= 10, "[3-10] close", H1293 &lt;= 20, "[11-20] moderate", H1293 &lt;= 30, "[21-30] far")</f>
        <v>[3-10] close</v>
      </c>
      <c r="J1293" s="1">
        <v>4</v>
      </c>
      <c r="K1293" s="3" t="s">
        <v>51</v>
      </c>
      <c r="L1293" s="1">
        <v>1</v>
      </c>
      <c r="M1293" s="1">
        <v>1809</v>
      </c>
      <c r="N1293" s="1">
        <v>4</v>
      </c>
      <c r="O1293" s="3" t="s">
        <v>46</v>
      </c>
      <c r="P1293" s="1">
        <v>58</v>
      </c>
      <c r="Q1293" s="1">
        <v>3</v>
      </c>
      <c r="R1293" s="1">
        <v>2</v>
      </c>
      <c r="S1293" s="3" t="s">
        <v>53</v>
      </c>
      <c r="T1293" s="1">
        <v>1</v>
      </c>
      <c r="U1293" s="3" t="s">
        <v>41</v>
      </c>
      <c r="V1293" s="4">
        <v>4213</v>
      </c>
      <c r="W1293" s="1">
        <v>4992</v>
      </c>
      <c r="X1293" s="1">
        <v>1</v>
      </c>
      <c r="Y1293" s="3" t="s">
        <v>42</v>
      </c>
      <c r="Z1293" s="3" t="s">
        <v>43</v>
      </c>
      <c r="AA1293" s="5">
        <v>0.15</v>
      </c>
      <c r="AB1293" s="10" t="str" cm="1">
        <f t="array" ref="AB1293">_xlfn.IFS(AA1293 &lt;= 15%, "Low Hike[11-15%]", AA1293 &lt;= 20%, "Moderate Hike[16-20%]", AA1293 &lt;= 25%,"High Hike[21-25%]")</f>
        <v>Low Hike[11-15%]</v>
      </c>
      <c r="AC1293" s="1">
        <v>3</v>
      </c>
      <c r="AD1293" s="1">
        <v>2</v>
      </c>
      <c r="AE1293" s="1">
        <v>80</v>
      </c>
      <c r="AF1293" s="1">
        <v>0</v>
      </c>
      <c r="AG1293" s="1">
        <v>10</v>
      </c>
      <c r="AH1293" s="9" t="str" cm="1">
        <f t="array" ref="AH1293">_xlfn.IFS(AG1293 &lt;= 5, "New[1-5]", AG1293 &lt;= 10, "Early Career[6-10]", AG1293 &lt;= 20, "Established[11-20]", AG1293 &lt;= 30, "Veteran[21-30]", AG1293 &lt;= 40, "Late Career[31-40]")</f>
        <v>Early Career[6-10]</v>
      </c>
      <c r="AI1293" s="1">
        <v>4</v>
      </c>
      <c r="AJ1293" s="1">
        <v>1</v>
      </c>
      <c r="AK1293" s="1">
        <v>10</v>
      </c>
      <c r="AL1293" s="9" t="str" cm="1">
        <f t="array" ref="AL1293">_xlfn.IFS(AK1293 &lt;= 5, "New[1-5]", AK1293 &lt;= 10, "Early Career[6-10]", AK1293 &lt;= 20, "Established[11-20]", AK1293 &lt;= 30, "Veteran[21-30]", AK1293 &lt;= 40, "Late Career[31-40]")</f>
        <v>Early Career[6-10]</v>
      </c>
      <c r="AM1293" s="1">
        <v>3</v>
      </c>
      <c r="AN1293" s="9" t="str" cm="1">
        <f t="array" ref="AN1293">_xlfn.IFS(AM1293 &lt;= 3, "New to Role[1-3]", AM1293 &lt;= 7, "Settled[4-7]", AM1293 &lt;= 12, "Experienced[[8-12]", AM1293 &lt;= 18, "Long Tenured[13-18]")</f>
        <v>New to Role[1-3]</v>
      </c>
      <c r="AO1293" s="1">
        <v>0</v>
      </c>
      <c r="AP1293" s="9" t="str" cm="1">
        <f t="array" ref="AP1293">_xlfn.IFS(AO1293 &lt;= 3, "Recently[1-3]", AO1293 &lt;= 6, "Due Soon[4-6]", AO1293 &lt;= 10, "Overdue[7-10]", AO1293 &lt;= 15, "Long Overdue[11-15]")</f>
        <v>Recently[1-3]</v>
      </c>
      <c r="AQ1293" s="9" t="str" cm="1">
        <f t="array" ref="AQ1293">_xlfn.IFS(AR1293 &lt;= 3, "New Relationship[1-3]", AR1293 &lt;= 7, "Established Relationship[4-7]", AR1293 &lt;= 12, "Long Term Relationship[8-12]", AR1293 &lt;= 17, "Very Long Term Relationship[13-17]")</f>
        <v>Long Term Relationship[8-12]</v>
      </c>
      <c r="AR1293" s="1">
        <v>8</v>
      </c>
    </row>
    <row r="1294" spans="1:44" x14ac:dyDescent="0.25">
      <c r="A1294" s="1">
        <v>39</v>
      </c>
      <c r="B1294" s="8" t="str" cm="1">
        <f t="array" ref="B1294">_xlfn.IFS(A1294 &lt;= 25, "[18-25]", A1294 &lt;= 35, "[26-35]", A1294 &lt;=45, "[36-45]", A1294 &lt;= 60, "[46- 60]")</f>
        <v>[36-45]</v>
      </c>
      <c r="C1294" s="3" t="s">
        <v>43</v>
      </c>
      <c r="D1294">
        <f t="shared" si="20"/>
        <v>0</v>
      </c>
      <c r="E1294" t="s">
        <v>44</v>
      </c>
      <c r="F1294" s="1">
        <v>766</v>
      </c>
      <c r="G1294" s="3" t="s">
        <v>37</v>
      </c>
      <c r="H1294" s="1">
        <v>20</v>
      </c>
      <c r="I1294" s="9" t="str" cm="1">
        <f t="array" ref="I1294">_xlfn.IFS(H1294 &lt;= 2, "[1-2] very close", H1294 &lt;= 10, "[3-10] close", H1294 &lt;= 20, "[11-20] moderate", H1294 &lt;= 30, "[21-30] far")</f>
        <v>[11-20] moderate</v>
      </c>
      <c r="J1294" s="1">
        <v>3</v>
      </c>
      <c r="K1294" s="3" t="s">
        <v>38</v>
      </c>
      <c r="L1294" s="1">
        <v>1</v>
      </c>
      <c r="M1294" s="1">
        <v>1812</v>
      </c>
      <c r="N1294" s="1">
        <v>3</v>
      </c>
      <c r="O1294" s="3" t="s">
        <v>46</v>
      </c>
      <c r="P1294" s="1">
        <v>83</v>
      </c>
      <c r="Q1294" s="1">
        <v>3</v>
      </c>
      <c r="R1294" s="1">
        <v>2</v>
      </c>
      <c r="S1294" s="3" t="s">
        <v>40</v>
      </c>
      <c r="T1294" s="1">
        <v>4</v>
      </c>
      <c r="U1294" s="3" t="s">
        <v>52</v>
      </c>
      <c r="V1294" s="4">
        <v>4127</v>
      </c>
      <c r="W1294" s="1">
        <v>19188</v>
      </c>
      <c r="X1294" s="1">
        <v>2</v>
      </c>
      <c r="Y1294" s="3" t="s">
        <v>42</v>
      </c>
      <c r="Z1294" s="3" t="s">
        <v>43</v>
      </c>
      <c r="AA1294" s="5">
        <v>0.18</v>
      </c>
      <c r="AB1294" s="10" t="str" cm="1">
        <f t="array" ref="AB1294">_xlfn.IFS(AA1294 &lt;= 15%, "Low Hike[11-15%]", AA1294 &lt;= 20%, "Moderate Hike[16-20%]", AA1294 &lt;= 25%,"High Hike[21-25%]")</f>
        <v>Moderate Hike[16-20%]</v>
      </c>
      <c r="AC1294" s="1">
        <v>3</v>
      </c>
      <c r="AD1294" s="1">
        <v>4</v>
      </c>
      <c r="AE1294" s="1">
        <v>80</v>
      </c>
      <c r="AF1294" s="1">
        <v>1</v>
      </c>
      <c r="AG1294" s="1">
        <v>7</v>
      </c>
      <c r="AH1294" s="9" t="str" cm="1">
        <f t="array" ref="AH1294">_xlfn.IFS(AG1294 &lt;= 5, "New[1-5]", AG1294 &lt;= 10, "Early Career[6-10]", AG1294 &lt;= 20, "Established[11-20]", AG1294 &lt;= 30, "Veteran[21-30]", AG1294 &lt;= 40, "Late Career[31-40]")</f>
        <v>Early Career[6-10]</v>
      </c>
      <c r="AI1294" s="1">
        <v>6</v>
      </c>
      <c r="AJ1294" s="1">
        <v>3</v>
      </c>
      <c r="AK1294" s="1">
        <v>2</v>
      </c>
      <c r="AL1294" s="9" t="str" cm="1">
        <f t="array" ref="AL1294">_xlfn.IFS(AK1294 &lt;= 5, "New[1-5]", AK1294 &lt;= 10, "Early Career[6-10]", AK1294 &lt;= 20, "Established[11-20]", AK1294 &lt;= 30, "Veteran[21-30]", AK1294 &lt;= 40, "Late Career[31-40]")</f>
        <v>New[1-5]</v>
      </c>
      <c r="AM1294" s="1">
        <v>1</v>
      </c>
      <c r="AN1294" s="9" t="str" cm="1">
        <f t="array" ref="AN1294">_xlfn.IFS(AM1294 &lt;= 3, "New to Role[1-3]", AM1294 &lt;= 7, "Settled[4-7]", AM1294 &lt;= 12, "Experienced[[8-12]", AM1294 &lt;= 18, "Long Tenured[13-18]")</f>
        <v>New to Role[1-3]</v>
      </c>
      <c r="AO1294" s="1">
        <v>2</v>
      </c>
      <c r="AP1294" s="9" t="str" cm="1">
        <f t="array" ref="AP1294">_xlfn.IFS(AO1294 &lt;= 3, "Recently[1-3]", AO1294 &lt;= 6, "Due Soon[4-6]", AO1294 &lt;= 10, "Overdue[7-10]", AO1294 &lt;= 15, "Long Overdue[11-15]")</f>
        <v>Recently[1-3]</v>
      </c>
      <c r="AQ1294" s="9" t="str" cm="1">
        <f t="array" ref="AQ1294">_xlfn.IFS(AR1294 &lt;= 3, "New Relationship[1-3]", AR1294 &lt;= 7, "Established Relationship[4-7]", AR1294 &lt;= 12, "Long Term Relationship[8-12]", AR1294 &lt;= 17, "Very Long Term Relationship[13-17]")</f>
        <v>New Relationship[1-3]</v>
      </c>
      <c r="AR1294" s="1">
        <v>2</v>
      </c>
    </row>
    <row r="1295" spans="1:44" x14ac:dyDescent="0.25">
      <c r="A1295" s="1">
        <v>43</v>
      </c>
      <c r="B1295" s="8" t="str" cm="1">
        <f t="array" ref="B1295">_xlfn.IFS(A1295 &lt;= 25, "[18-25]", A1295 &lt;= 35, "[26-35]", A1295 &lt;=45, "[36-45]", A1295 &lt;= 60, "[46- 60]")</f>
        <v>[36-45]</v>
      </c>
      <c r="C1295" s="3" t="s">
        <v>43</v>
      </c>
      <c r="D1295">
        <f t="shared" si="20"/>
        <v>0</v>
      </c>
      <c r="E1295" t="s">
        <v>62</v>
      </c>
      <c r="F1295" s="1">
        <v>343</v>
      </c>
      <c r="G1295" s="3" t="s">
        <v>45</v>
      </c>
      <c r="H1295" s="1">
        <v>9</v>
      </c>
      <c r="I1295" s="9" t="str" cm="1">
        <f t="array" ref="I1295">_xlfn.IFS(H1295 &lt;= 2, "[1-2] very close", H1295 &lt;= 10, "[3-10] close", H1295 &lt;= 20, "[11-20] moderate", H1295 &lt;= 30, "[21-30] far")</f>
        <v>[3-10] close</v>
      </c>
      <c r="J1295" s="1">
        <v>3</v>
      </c>
      <c r="K1295" s="3" t="s">
        <v>38</v>
      </c>
      <c r="L1295" s="1">
        <v>1</v>
      </c>
      <c r="M1295" s="1">
        <v>1813</v>
      </c>
      <c r="N1295" s="1">
        <v>1</v>
      </c>
      <c r="O1295" s="3" t="s">
        <v>46</v>
      </c>
      <c r="P1295" s="1">
        <v>52</v>
      </c>
      <c r="Q1295" s="1">
        <v>3</v>
      </c>
      <c r="R1295" s="1">
        <v>1</v>
      </c>
      <c r="S1295" s="3" t="s">
        <v>47</v>
      </c>
      <c r="T1295" s="1">
        <v>3</v>
      </c>
      <c r="U1295" s="3" t="s">
        <v>41</v>
      </c>
      <c r="V1295" s="4">
        <v>2438</v>
      </c>
      <c r="W1295" s="1">
        <v>24978</v>
      </c>
      <c r="X1295" s="1">
        <v>4</v>
      </c>
      <c r="Y1295" s="3" t="s">
        <v>42</v>
      </c>
      <c r="Z1295" s="3" t="s">
        <v>43</v>
      </c>
      <c r="AA1295" s="5">
        <v>0.13</v>
      </c>
      <c r="AB1295" s="10" t="str" cm="1">
        <f t="array" ref="AB1295">_xlfn.IFS(AA1295 &lt;= 15%, "Low Hike[11-15%]", AA1295 &lt;= 20%, "Moderate Hike[16-20%]", AA1295 &lt;= 25%,"High Hike[21-25%]")</f>
        <v>Low Hike[11-15%]</v>
      </c>
      <c r="AC1295" s="1">
        <v>3</v>
      </c>
      <c r="AD1295" s="1">
        <v>3</v>
      </c>
      <c r="AE1295" s="1">
        <v>80</v>
      </c>
      <c r="AF1295" s="1">
        <v>0</v>
      </c>
      <c r="AG1295" s="1">
        <v>7</v>
      </c>
      <c r="AH1295" s="9" t="str" cm="1">
        <f t="array" ref="AH1295">_xlfn.IFS(AG1295 &lt;= 5, "New[1-5]", AG1295 &lt;= 10, "Early Career[6-10]", AG1295 &lt;= 20, "Established[11-20]", AG1295 &lt;= 30, "Veteran[21-30]", AG1295 &lt;= 40, "Late Career[31-40]")</f>
        <v>Early Career[6-10]</v>
      </c>
      <c r="AI1295" s="1">
        <v>2</v>
      </c>
      <c r="AJ1295" s="1">
        <v>2</v>
      </c>
      <c r="AK1295" s="1">
        <v>3</v>
      </c>
      <c r="AL1295" s="9" t="str" cm="1">
        <f t="array" ref="AL1295">_xlfn.IFS(AK1295 &lt;= 5, "New[1-5]", AK1295 &lt;= 10, "Early Career[6-10]", AK1295 &lt;= 20, "Established[11-20]", AK1295 &lt;= 30, "Veteran[21-30]", AK1295 &lt;= 40, "Late Career[31-40]")</f>
        <v>New[1-5]</v>
      </c>
      <c r="AM1295" s="1">
        <v>2</v>
      </c>
      <c r="AN1295" s="9" t="str" cm="1">
        <f t="array" ref="AN1295">_xlfn.IFS(AM1295 &lt;= 3, "New to Role[1-3]", AM1295 &lt;= 7, "Settled[4-7]", AM1295 &lt;= 12, "Experienced[[8-12]", AM1295 &lt;= 18, "Long Tenured[13-18]")</f>
        <v>New to Role[1-3]</v>
      </c>
      <c r="AO1295" s="1">
        <v>1</v>
      </c>
      <c r="AP1295" s="9" t="str" cm="1">
        <f t="array" ref="AP1295">_xlfn.IFS(AO1295 &lt;= 3, "Recently[1-3]", AO1295 &lt;= 6, "Due Soon[4-6]", AO1295 &lt;= 10, "Overdue[7-10]", AO1295 &lt;= 15, "Long Overdue[11-15]")</f>
        <v>Recently[1-3]</v>
      </c>
      <c r="AQ1295" s="9" t="str" cm="1">
        <f t="array" ref="AQ1295">_xlfn.IFS(AR1295 &lt;= 3, "New Relationship[1-3]", AR1295 &lt;= 7, "Established Relationship[4-7]", AR1295 &lt;= 12, "Long Term Relationship[8-12]", AR1295 &lt;= 17, "Very Long Term Relationship[13-17]")</f>
        <v>New Relationship[1-3]</v>
      </c>
      <c r="AR1295" s="1">
        <v>2</v>
      </c>
    </row>
    <row r="1296" spans="1:44" x14ac:dyDescent="0.25">
      <c r="A1296" s="1">
        <v>41</v>
      </c>
      <c r="B1296" s="8" t="str" cm="1">
        <f t="array" ref="B1296">_xlfn.IFS(A1296 &lt;= 25, "[18-25]", A1296 &lt;= 35, "[26-35]", A1296 &lt;=45, "[36-45]", A1296 &lt;= 60, "[46- 60]")</f>
        <v>[36-45]</v>
      </c>
      <c r="C1296" s="3" t="s">
        <v>43</v>
      </c>
      <c r="D1296">
        <f t="shared" si="20"/>
        <v>0</v>
      </c>
      <c r="E1296" t="s">
        <v>36</v>
      </c>
      <c r="F1296" s="1">
        <v>447</v>
      </c>
      <c r="G1296" s="3" t="s">
        <v>45</v>
      </c>
      <c r="H1296" s="1">
        <v>5</v>
      </c>
      <c r="I1296" s="9" t="str" cm="1">
        <f t="array" ref="I1296">_xlfn.IFS(H1296 &lt;= 2, "[1-2] very close", H1296 &lt;= 10, "[3-10] close", H1296 &lt;= 20, "[11-20] moderate", H1296 &lt;= 30, "[21-30] far")</f>
        <v>[3-10] close</v>
      </c>
      <c r="J1296" s="1">
        <v>3</v>
      </c>
      <c r="K1296" s="3" t="s">
        <v>38</v>
      </c>
      <c r="L1296" s="1">
        <v>1</v>
      </c>
      <c r="M1296" s="1">
        <v>1814</v>
      </c>
      <c r="N1296" s="1">
        <v>2</v>
      </c>
      <c r="O1296" s="3" t="s">
        <v>46</v>
      </c>
      <c r="P1296" s="1">
        <v>85</v>
      </c>
      <c r="Q1296" s="1">
        <v>4</v>
      </c>
      <c r="R1296" s="1">
        <v>2</v>
      </c>
      <c r="S1296" s="3" t="s">
        <v>54</v>
      </c>
      <c r="T1296" s="1">
        <v>2</v>
      </c>
      <c r="U1296" s="3" t="s">
        <v>41</v>
      </c>
      <c r="V1296" s="4">
        <v>6870</v>
      </c>
      <c r="W1296" s="1">
        <v>15530</v>
      </c>
      <c r="X1296" s="1">
        <v>3</v>
      </c>
      <c r="Y1296" s="3" t="s">
        <v>42</v>
      </c>
      <c r="Z1296" s="3" t="s">
        <v>43</v>
      </c>
      <c r="AA1296" s="5">
        <v>0.12</v>
      </c>
      <c r="AB1296" s="10" t="str" cm="1">
        <f t="array" ref="AB1296">_xlfn.IFS(AA1296 &lt;= 15%, "Low Hike[11-15%]", AA1296 &lt;= 20%, "Moderate Hike[16-20%]", AA1296 &lt;= 25%,"High Hike[21-25%]")</f>
        <v>Low Hike[11-15%]</v>
      </c>
      <c r="AC1296" s="1">
        <v>3</v>
      </c>
      <c r="AD1296" s="1">
        <v>1</v>
      </c>
      <c r="AE1296" s="1">
        <v>80</v>
      </c>
      <c r="AF1296" s="1">
        <v>0</v>
      </c>
      <c r="AG1296" s="1">
        <v>11</v>
      </c>
      <c r="AH1296" s="9" t="str" cm="1">
        <f t="array" ref="AH1296">_xlfn.IFS(AG1296 &lt;= 5, "New[1-5]", AG1296 &lt;= 10, "Early Career[6-10]", AG1296 &lt;= 20, "Established[11-20]", AG1296 &lt;= 30, "Veteran[21-30]", AG1296 &lt;= 40, "Late Career[31-40]")</f>
        <v>Established[11-20]</v>
      </c>
      <c r="AI1296" s="1">
        <v>3</v>
      </c>
      <c r="AJ1296" s="1">
        <v>1</v>
      </c>
      <c r="AK1296" s="1">
        <v>3</v>
      </c>
      <c r="AL1296" s="9" t="str" cm="1">
        <f t="array" ref="AL1296">_xlfn.IFS(AK1296 &lt;= 5, "New[1-5]", AK1296 &lt;= 10, "Early Career[6-10]", AK1296 &lt;= 20, "Established[11-20]", AK1296 &lt;= 30, "Veteran[21-30]", AK1296 &lt;= 40, "Late Career[31-40]")</f>
        <v>New[1-5]</v>
      </c>
      <c r="AM1296" s="1">
        <v>2</v>
      </c>
      <c r="AN1296" s="9" t="str" cm="1">
        <f t="array" ref="AN1296">_xlfn.IFS(AM1296 &lt;= 3, "New to Role[1-3]", AM1296 &lt;= 7, "Settled[4-7]", AM1296 &lt;= 12, "Experienced[[8-12]", AM1296 &lt;= 18, "Long Tenured[13-18]")</f>
        <v>New to Role[1-3]</v>
      </c>
      <c r="AO1296" s="1">
        <v>1</v>
      </c>
      <c r="AP1296" s="9" t="str" cm="1">
        <f t="array" ref="AP1296">_xlfn.IFS(AO1296 &lt;= 3, "Recently[1-3]", AO1296 &lt;= 6, "Due Soon[4-6]", AO1296 &lt;= 10, "Overdue[7-10]", AO1296 &lt;= 15, "Long Overdue[11-15]")</f>
        <v>Recently[1-3]</v>
      </c>
      <c r="AQ1296" s="9" t="str" cm="1">
        <f t="array" ref="AQ1296">_xlfn.IFS(AR1296 &lt;= 3, "New Relationship[1-3]", AR1296 &lt;= 7, "Established Relationship[4-7]", AR1296 &lt;= 12, "Long Term Relationship[8-12]", AR1296 &lt;= 17, "Very Long Term Relationship[13-17]")</f>
        <v>New Relationship[1-3]</v>
      </c>
      <c r="AR1296" s="1">
        <v>2</v>
      </c>
    </row>
    <row r="1297" spans="1:44" x14ac:dyDescent="0.25">
      <c r="A1297" s="1">
        <v>41</v>
      </c>
      <c r="B1297" s="8" t="str" cm="1">
        <f t="array" ref="B1297">_xlfn.IFS(A1297 &lt;= 25, "[18-25]", A1297 &lt;= 35, "[26-35]", A1297 &lt;=45, "[36-45]", A1297 &lt;= 60, "[46- 60]")</f>
        <v>[36-45]</v>
      </c>
      <c r="C1297" s="3" t="s">
        <v>43</v>
      </c>
      <c r="D1297">
        <f t="shared" si="20"/>
        <v>0</v>
      </c>
      <c r="E1297" t="s">
        <v>36</v>
      </c>
      <c r="F1297" s="1">
        <v>796</v>
      </c>
      <c r="G1297" s="3" t="s">
        <v>37</v>
      </c>
      <c r="H1297" s="1">
        <v>4</v>
      </c>
      <c r="I1297" s="9" t="str" cm="1">
        <f t="array" ref="I1297">_xlfn.IFS(H1297 &lt;= 2, "[1-2] very close", H1297 &lt;= 10, "[3-10] close", H1297 &lt;= 20, "[11-20] moderate", H1297 &lt;= 30, "[21-30] far")</f>
        <v>[3-10] close</v>
      </c>
      <c r="J1297" s="1">
        <v>1</v>
      </c>
      <c r="K1297" s="3" t="s">
        <v>59</v>
      </c>
      <c r="L1297" s="1">
        <v>1</v>
      </c>
      <c r="M1297" s="1">
        <v>1815</v>
      </c>
      <c r="N1297" s="1">
        <v>3</v>
      </c>
      <c r="O1297" s="3" t="s">
        <v>39</v>
      </c>
      <c r="P1297" s="1">
        <v>81</v>
      </c>
      <c r="Q1297" s="1">
        <v>3</v>
      </c>
      <c r="R1297" s="1">
        <v>3</v>
      </c>
      <c r="S1297" s="3" t="s">
        <v>40</v>
      </c>
      <c r="T1297" s="1">
        <v>3</v>
      </c>
      <c r="U1297" s="3" t="s">
        <v>52</v>
      </c>
      <c r="V1297" s="4">
        <v>10447</v>
      </c>
      <c r="W1297" s="1">
        <v>26458</v>
      </c>
      <c r="X1297" s="1">
        <v>0</v>
      </c>
      <c r="Y1297" s="3" t="s">
        <v>42</v>
      </c>
      <c r="Z1297" s="3" t="s">
        <v>35</v>
      </c>
      <c r="AA1297" s="5">
        <v>0.13</v>
      </c>
      <c r="AB1297" s="10" t="str" cm="1">
        <f t="array" ref="AB1297">_xlfn.IFS(AA1297 &lt;= 15%, "Low Hike[11-15%]", AA1297 &lt;= 20%, "Moderate Hike[16-20%]", AA1297 &lt;= 25%,"High Hike[21-25%]")</f>
        <v>Low Hike[11-15%]</v>
      </c>
      <c r="AC1297" s="1">
        <v>3</v>
      </c>
      <c r="AD1297" s="1">
        <v>4</v>
      </c>
      <c r="AE1297" s="1">
        <v>80</v>
      </c>
      <c r="AF1297" s="1">
        <v>1</v>
      </c>
      <c r="AG1297" s="1">
        <v>23</v>
      </c>
      <c r="AH1297" s="9" t="str" cm="1">
        <f t="array" ref="AH1297">_xlfn.IFS(AG1297 &lt;= 5, "New[1-5]", AG1297 &lt;= 10, "Early Career[6-10]", AG1297 &lt;= 20, "Established[11-20]", AG1297 &lt;= 30, "Veteran[21-30]", AG1297 &lt;= 40, "Late Career[31-40]")</f>
        <v>Veteran[21-30]</v>
      </c>
      <c r="AI1297" s="1">
        <v>3</v>
      </c>
      <c r="AJ1297" s="1">
        <v>4</v>
      </c>
      <c r="AK1297" s="1">
        <v>22</v>
      </c>
      <c r="AL1297" s="9" t="str" cm="1">
        <f t="array" ref="AL1297">_xlfn.IFS(AK1297 &lt;= 5, "New[1-5]", AK1297 &lt;= 10, "Early Career[6-10]", AK1297 &lt;= 20, "Established[11-20]", AK1297 &lt;= 30, "Veteran[21-30]", AK1297 &lt;= 40, "Late Career[31-40]")</f>
        <v>Veteran[21-30]</v>
      </c>
      <c r="AM1297" s="1">
        <v>14</v>
      </c>
      <c r="AN1297" s="9" t="str" cm="1">
        <f t="array" ref="AN1297">_xlfn.IFS(AM1297 &lt;= 3, "New to Role[1-3]", AM1297 &lt;= 7, "Settled[4-7]", AM1297 &lt;= 12, "Experienced[[8-12]", AM1297 &lt;= 18, "Long Tenured[13-18]")</f>
        <v>Long Tenured[13-18]</v>
      </c>
      <c r="AO1297" s="1">
        <v>13</v>
      </c>
      <c r="AP1297" s="9" t="str" cm="1">
        <f t="array" ref="AP1297">_xlfn.IFS(AO1297 &lt;= 3, "Recently[1-3]", AO1297 &lt;= 6, "Due Soon[4-6]", AO1297 &lt;= 10, "Overdue[7-10]", AO1297 &lt;= 15, "Long Overdue[11-15]")</f>
        <v>Long Overdue[11-15]</v>
      </c>
      <c r="AQ1297" s="9" t="str" cm="1">
        <f t="array" ref="AQ1297">_xlfn.IFS(AR1297 &lt;= 3, "New Relationship[1-3]", AR1297 &lt;= 7, "Established Relationship[4-7]", AR1297 &lt;= 12, "Long Term Relationship[8-12]", AR1297 &lt;= 17, "Very Long Term Relationship[13-17]")</f>
        <v>Established Relationship[4-7]</v>
      </c>
      <c r="AR1297" s="1">
        <v>5</v>
      </c>
    </row>
    <row r="1298" spans="1:44" x14ac:dyDescent="0.25">
      <c r="A1298" s="1">
        <v>30</v>
      </c>
      <c r="B1298" s="8" t="str" cm="1">
        <f t="array" ref="B1298">_xlfn.IFS(A1298 &lt;= 25, "[18-25]", A1298 &lt;= 35, "[26-35]", A1298 &lt;=45, "[36-45]", A1298 &lt;= 60, "[46- 60]")</f>
        <v>[26-35]</v>
      </c>
      <c r="C1298" s="3" t="s">
        <v>43</v>
      </c>
      <c r="D1298">
        <f t="shared" si="20"/>
        <v>0</v>
      </c>
      <c r="E1298" t="s">
        <v>36</v>
      </c>
      <c r="F1298" s="1">
        <v>1092</v>
      </c>
      <c r="G1298" s="3" t="s">
        <v>45</v>
      </c>
      <c r="H1298" s="1">
        <v>10</v>
      </c>
      <c r="I1298" s="9" t="str" cm="1">
        <f t="array" ref="I1298">_xlfn.IFS(H1298 &lt;= 2, "[1-2] very close", H1298 &lt;= 10, "[3-10] close", H1298 &lt;= 20, "[11-20] moderate", H1298 &lt;= 30, "[21-30] far")</f>
        <v>[3-10] close</v>
      </c>
      <c r="J1298" s="1">
        <v>3</v>
      </c>
      <c r="K1298" s="3" t="s">
        <v>51</v>
      </c>
      <c r="L1298" s="1">
        <v>1</v>
      </c>
      <c r="M1298" s="1">
        <v>1816</v>
      </c>
      <c r="N1298" s="1">
        <v>1</v>
      </c>
      <c r="O1298" s="3" t="s">
        <v>39</v>
      </c>
      <c r="P1298" s="1">
        <v>64</v>
      </c>
      <c r="Q1298" s="1">
        <v>3</v>
      </c>
      <c r="R1298" s="1">
        <v>3</v>
      </c>
      <c r="S1298" s="3" t="s">
        <v>53</v>
      </c>
      <c r="T1298" s="1">
        <v>3</v>
      </c>
      <c r="U1298" s="3" t="s">
        <v>41</v>
      </c>
      <c r="V1298" s="4">
        <v>9667</v>
      </c>
      <c r="W1298" s="1">
        <v>2739</v>
      </c>
      <c r="X1298" s="1">
        <v>9</v>
      </c>
      <c r="Y1298" s="3" t="s">
        <v>42</v>
      </c>
      <c r="Z1298" s="3" t="s">
        <v>43</v>
      </c>
      <c r="AA1298" s="5">
        <v>0.14000000000000001</v>
      </c>
      <c r="AB1298" s="10" t="str" cm="1">
        <f t="array" ref="AB1298">_xlfn.IFS(AA1298 &lt;= 15%, "Low Hike[11-15%]", AA1298 &lt;= 20%, "Moderate Hike[16-20%]", AA1298 &lt;= 25%,"High Hike[21-25%]")</f>
        <v>Low Hike[11-15%]</v>
      </c>
      <c r="AC1298" s="1">
        <v>3</v>
      </c>
      <c r="AD1298" s="1">
        <v>2</v>
      </c>
      <c r="AE1298" s="1">
        <v>80</v>
      </c>
      <c r="AF1298" s="1">
        <v>0</v>
      </c>
      <c r="AG1298" s="1">
        <v>9</v>
      </c>
      <c r="AH1298" s="9" t="str" cm="1">
        <f t="array" ref="AH1298">_xlfn.IFS(AG1298 &lt;= 5, "New[1-5]", AG1298 &lt;= 10, "Early Career[6-10]", AG1298 &lt;= 20, "Established[11-20]", AG1298 &lt;= 30, "Veteran[21-30]", AG1298 &lt;= 40, "Late Career[31-40]")</f>
        <v>Early Career[6-10]</v>
      </c>
      <c r="AI1298" s="1">
        <v>3</v>
      </c>
      <c r="AJ1298" s="1">
        <v>3</v>
      </c>
      <c r="AK1298" s="1">
        <v>7</v>
      </c>
      <c r="AL1298" s="9" t="str" cm="1">
        <f t="array" ref="AL1298">_xlfn.IFS(AK1298 &lt;= 5, "New[1-5]", AK1298 &lt;= 10, "Early Career[6-10]", AK1298 &lt;= 20, "Established[11-20]", AK1298 &lt;= 30, "Veteran[21-30]", AK1298 &lt;= 40, "Late Career[31-40]")</f>
        <v>Early Career[6-10]</v>
      </c>
      <c r="AM1298" s="1">
        <v>7</v>
      </c>
      <c r="AN1298" s="9" t="str" cm="1">
        <f t="array" ref="AN1298">_xlfn.IFS(AM1298 &lt;= 3, "New to Role[1-3]", AM1298 &lt;= 7, "Settled[4-7]", AM1298 &lt;= 12, "Experienced[[8-12]", AM1298 &lt;= 18, "Long Tenured[13-18]")</f>
        <v>Settled[4-7]</v>
      </c>
      <c r="AO1298" s="1">
        <v>0</v>
      </c>
      <c r="AP1298" s="9" t="str" cm="1">
        <f t="array" ref="AP1298">_xlfn.IFS(AO1298 &lt;= 3, "Recently[1-3]", AO1298 &lt;= 6, "Due Soon[4-6]", AO1298 &lt;= 10, "Overdue[7-10]", AO1298 &lt;= 15, "Long Overdue[11-15]")</f>
        <v>Recently[1-3]</v>
      </c>
      <c r="AQ1298" s="9" t="str" cm="1">
        <f t="array" ref="AQ1298">_xlfn.IFS(AR1298 &lt;= 3, "New Relationship[1-3]", AR1298 &lt;= 7, "Established Relationship[4-7]", AR1298 &lt;= 12, "Long Term Relationship[8-12]", AR1298 &lt;= 17, "Very Long Term Relationship[13-17]")</f>
        <v>New Relationship[1-3]</v>
      </c>
      <c r="AR1298" s="1">
        <v>2</v>
      </c>
    </row>
    <row r="1299" spans="1:44" x14ac:dyDescent="0.25">
      <c r="A1299" s="1">
        <v>26</v>
      </c>
      <c r="B1299" s="8" t="str" cm="1">
        <f t="array" ref="B1299">_xlfn.IFS(A1299 &lt;= 25, "[18-25]", A1299 &lt;= 35, "[26-35]", A1299 &lt;=45, "[36-45]", A1299 &lt;= 60, "[46- 60]")</f>
        <v>[26-35]</v>
      </c>
      <c r="C1299" s="3" t="s">
        <v>35</v>
      </c>
      <c r="D1299">
        <f t="shared" si="20"/>
        <v>1</v>
      </c>
      <c r="E1299" t="s">
        <v>36</v>
      </c>
      <c r="F1299" s="1">
        <v>920</v>
      </c>
      <c r="G1299" s="3" t="s">
        <v>61</v>
      </c>
      <c r="H1299" s="1">
        <v>20</v>
      </c>
      <c r="I1299" s="9" t="str" cm="1">
        <f t="array" ref="I1299">_xlfn.IFS(H1299 &lt;= 2, "[1-2] very close", H1299 &lt;= 10, "[3-10] close", H1299 &lt;= 20, "[11-20] moderate", H1299 &lt;= 30, "[21-30] far")</f>
        <v>[11-20] moderate</v>
      </c>
      <c r="J1299" s="1">
        <v>2</v>
      </c>
      <c r="K1299" s="3" t="s">
        <v>51</v>
      </c>
      <c r="L1299" s="1">
        <v>1</v>
      </c>
      <c r="M1299" s="1">
        <v>1818</v>
      </c>
      <c r="N1299" s="1">
        <v>4</v>
      </c>
      <c r="O1299" s="3" t="s">
        <v>39</v>
      </c>
      <c r="P1299" s="1">
        <v>69</v>
      </c>
      <c r="Q1299" s="1">
        <v>3</v>
      </c>
      <c r="R1299" s="1">
        <v>1</v>
      </c>
      <c r="S1299" s="3" t="s">
        <v>61</v>
      </c>
      <c r="T1299" s="1">
        <v>2</v>
      </c>
      <c r="U1299" s="3" t="s">
        <v>48</v>
      </c>
      <c r="V1299" s="4">
        <v>2148</v>
      </c>
      <c r="W1299" s="1">
        <v>6889</v>
      </c>
      <c r="X1299" s="1">
        <v>0</v>
      </c>
      <c r="Y1299" s="3" t="s">
        <v>42</v>
      </c>
      <c r="Z1299" s="3" t="s">
        <v>35</v>
      </c>
      <c r="AA1299" s="5">
        <v>0.11</v>
      </c>
      <c r="AB1299" s="10" t="str" cm="1">
        <f t="array" ref="AB1299">_xlfn.IFS(AA1299 &lt;= 15%, "Low Hike[11-15%]", AA1299 &lt;= 20%, "Moderate Hike[16-20%]", AA1299 &lt;= 25%,"High Hike[21-25%]")</f>
        <v>Low Hike[11-15%]</v>
      </c>
      <c r="AC1299" s="1">
        <v>3</v>
      </c>
      <c r="AD1299" s="1">
        <v>3</v>
      </c>
      <c r="AE1299" s="1">
        <v>80</v>
      </c>
      <c r="AF1299" s="1">
        <v>0</v>
      </c>
      <c r="AG1299" s="1">
        <v>6</v>
      </c>
      <c r="AH1299" s="9" t="str" cm="1">
        <f t="array" ref="AH1299">_xlfn.IFS(AG1299 &lt;= 5, "New[1-5]", AG1299 &lt;= 10, "Early Career[6-10]", AG1299 &lt;= 20, "Established[11-20]", AG1299 &lt;= 30, "Veteran[21-30]", AG1299 &lt;= 40, "Late Career[31-40]")</f>
        <v>Early Career[6-10]</v>
      </c>
      <c r="AI1299" s="1">
        <v>3</v>
      </c>
      <c r="AJ1299" s="1">
        <v>3</v>
      </c>
      <c r="AK1299" s="1">
        <v>5</v>
      </c>
      <c r="AL1299" s="9" t="str" cm="1">
        <f t="array" ref="AL1299">_xlfn.IFS(AK1299 &lt;= 5, "New[1-5]", AK1299 &lt;= 10, "Early Career[6-10]", AK1299 &lt;= 20, "Established[11-20]", AK1299 &lt;= 30, "Veteran[21-30]", AK1299 &lt;= 40, "Late Career[31-40]")</f>
        <v>New[1-5]</v>
      </c>
      <c r="AM1299" s="1">
        <v>1</v>
      </c>
      <c r="AN1299" s="9" t="str" cm="1">
        <f t="array" ref="AN1299">_xlfn.IFS(AM1299 &lt;= 3, "New to Role[1-3]", AM1299 &lt;= 7, "Settled[4-7]", AM1299 &lt;= 12, "Experienced[[8-12]", AM1299 &lt;= 18, "Long Tenured[13-18]")</f>
        <v>New to Role[1-3]</v>
      </c>
      <c r="AO1299" s="1">
        <v>1</v>
      </c>
      <c r="AP1299" s="9" t="str" cm="1">
        <f t="array" ref="AP1299">_xlfn.IFS(AO1299 &lt;= 3, "Recently[1-3]", AO1299 &lt;= 6, "Due Soon[4-6]", AO1299 &lt;= 10, "Overdue[7-10]", AO1299 &lt;= 15, "Long Overdue[11-15]")</f>
        <v>Recently[1-3]</v>
      </c>
      <c r="AQ1299" s="9" t="str" cm="1">
        <f t="array" ref="AQ1299">_xlfn.IFS(AR1299 &lt;= 3, "New Relationship[1-3]", AR1299 &lt;= 7, "Established Relationship[4-7]", AR1299 &lt;= 12, "Long Term Relationship[8-12]", AR1299 &lt;= 17, "Very Long Term Relationship[13-17]")</f>
        <v>Established Relationship[4-7]</v>
      </c>
      <c r="AR1299" s="1">
        <v>4</v>
      </c>
    </row>
    <row r="1300" spans="1:44" x14ac:dyDescent="0.25">
      <c r="A1300" s="1">
        <v>46</v>
      </c>
      <c r="B1300" s="8" t="str" cm="1">
        <f t="array" ref="B1300">_xlfn.IFS(A1300 &lt;= 25, "[18-25]", A1300 &lt;= 35, "[26-35]", A1300 &lt;=45, "[36-45]", A1300 &lt;= 60, "[46- 60]")</f>
        <v>[46- 60]</v>
      </c>
      <c r="C1300" s="3" t="s">
        <v>35</v>
      </c>
      <c r="D1300">
        <f t="shared" si="20"/>
        <v>1</v>
      </c>
      <c r="E1300" t="s">
        <v>36</v>
      </c>
      <c r="F1300" s="1">
        <v>261</v>
      </c>
      <c r="G1300" s="3" t="s">
        <v>45</v>
      </c>
      <c r="H1300" s="1">
        <v>21</v>
      </c>
      <c r="I1300" s="9" t="str" cm="1">
        <f t="array" ref="I1300">_xlfn.IFS(H1300 &lt;= 2, "[1-2] very close", H1300 &lt;= 10, "[3-10] close", H1300 &lt;= 20, "[11-20] moderate", H1300 &lt;= 30, "[21-30] far")</f>
        <v>[21-30] far</v>
      </c>
      <c r="J1300" s="1">
        <v>2</v>
      </c>
      <c r="K1300" s="3" t="s">
        <v>51</v>
      </c>
      <c r="L1300" s="1">
        <v>1</v>
      </c>
      <c r="M1300" s="1">
        <v>1821</v>
      </c>
      <c r="N1300" s="1">
        <v>4</v>
      </c>
      <c r="O1300" s="3" t="s">
        <v>39</v>
      </c>
      <c r="P1300" s="1">
        <v>66</v>
      </c>
      <c r="Q1300" s="1">
        <v>3</v>
      </c>
      <c r="R1300" s="1">
        <v>2</v>
      </c>
      <c r="S1300" s="3" t="s">
        <v>54</v>
      </c>
      <c r="T1300" s="1">
        <v>2</v>
      </c>
      <c r="U1300" s="3" t="s">
        <v>48</v>
      </c>
      <c r="V1300" s="4">
        <v>8926</v>
      </c>
      <c r="W1300" s="1">
        <v>10842</v>
      </c>
      <c r="X1300" s="1">
        <v>4</v>
      </c>
      <c r="Y1300" s="3" t="s">
        <v>42</v>
      </c>
      <c r="Z1300" s="3" t="s">
        <v>43</v>
      </c>
      <c r="AA1300" s="5">
        <v>0.22</v>
      </c>
      <c r="AB1300" s="10" t="str" cm="1">
        <f t="array" ref="AB1300">_xlfn.IFS(AA1300 &lt;= 15%, "Low Hike[11-15%]", AA1300 &lt;= 20%, "Moderate Hike[16-20%]", AA1300 &lt;= 25%,"High Hike[21-25%]")</f>
        <v>High Hike[21-25%]</v>
      </c>
      <c r="AC1300" s="1">
        <v>4</v>
      </c>
      <c r="AD1300" s="1">
        <v>4</v>
      </c>
      <c r="AE1300" s="1">
        <v>80</v>
      </c>
      <c r="AF1300" s="1">
        <v>1</v>
      </c>
      <c r="AG1300" s="1">
        <v>13</v>
      </c>
      <c r="AH1300" s="9" t="str" cm="1">
        <f t="array" ref="AH1300">_xlfn.IFS(AG1300 &lt;= 5, "New[1-5]", AG1300 &lt;= 10, "Early Career[6-10]", AG1300 &lt;= 20, "Established[11-20]", AG1300 &lt;= 30, "Veteran[21-30]", AG1300 &lt;= 40, "Late Career[31-40]")</f>
        <v>Established[11-20]</v>
      </c>
      <c r="AI1300" s="1">
        <v>2</v>
      </c>
      <c r="AJ1300" s="1">
        <v>4</v>
      </c>
      <c r="AK1300" s="1">
        <v>9</v>
      </c>
      <c r="AL1300" s="9" t="str" cm="1">
        <f t="array" ref="AL1300">_xlfn.IFS(AK1300 &lt;= 5, "New[1-5]", AK1300 &lt;= 10, "Early Career[6-10]", AK1300 &lt;= 20, "Established[11-20]", AK1300 &lt;= 30, "Veteran[21-30]", AK1300 &lt;= 40, "Late Career[31-40]")</f>
        <v>Early Career[6-10]</v>
      </c>
      <c r="AM1300" s="1">
        <v>7</v>
      </c>
      <c r="AN1300" s="9" t="str" cm="1">
        <f t="array" ref="AN1300">_xlfn.IFS(AM1300 &lt;= 3, "New to Role[1-3]", AM1300 &lt;= 7, "Settled[4-7]", AM1300 &lt;= 12, "Experienced[[8-12]", AM1300 &lt;= 18, "Long Tenured[13-18]")</f>
        <v>Settled[4-7]</v>
      </c>
      <c r="AO1300" s="1">
        <v>3</v>
      </c>
      <c r="AP1300" s="9" t="str" cm="1">
        <f t="array" ref="AP1300">_xlfn.IFS(AO1300 &lt;= 3, "Recently[1-3]", AO1300 &lt;= 6, "Due Soon[4-6]", AO1300 &lt;= 10, "Overdue[7-10]", AO1300 &lt;= 15, "Long Overdue[11-15]")</f>
        <v>Recently[1-3]</v>
      </c>
      <c r="AQ1300" s="9" t="str" cm="1">
        <f t="array" ref="AQ1300">_xlfn.IFS(AR1300 &lt;= 3, "New Relationship[1-3]", AR1300 &lt;= 7, "Established Relationship[4-7]", AR1300 &lt;= 12, "Long Term Relationship[8-12]", AR1300 &lt;= 17, "Very Long Term Relationship[13-17]")</f>
        <v>Established Relationship[4-7]</v>
      </c>
      <c r="AR1300" s="1">
        <v>7</v>
      </c>
    </row>
    <row r="1301" spans="1:44" x14ac:dyDescent="0.25">
      <c r="A1301" s="1">
        <v>40</v>
      </c>
      <c r="B1301" s="8" t="str" cm="1">
        <f t="array" ref="B1301">_xlfn.IFS(A1301 &lt;= 25, "[18-25]", A1301 &lt;= 35, "[26-35]", A1301 &lt;=45, "[36-45]", A1301 &lt;= 60, "[46- 60]")</f>
        <v>[36-45]</v>
      </c>
      <c r="C1301" s="3" t="s">
        <v>43</v>
      </c>
      <c r="D1301">
        <f t="shared" si="20"/>
        <v>0</v>
      </c>
      <c r="E1301" t="s">
        <v>36</v>
      </c>
      <c r="F1301" s="1">
        <v>1194</v>
      </c>
      <c r="G1301" s="3" t="s">
        <v>45</v>
      </c>
      <c r="H1301" s="1">
        <v>1</v>
      </c>
      <c r="I1301" s="9" t="str" cm="1">
        <f t="array" ref="I1301">_xlfn.IFS(H1301 &lt;= 2, "[1-2] very close", H1301 &lt;= 10, "[3-10] close", H1301 &lt;= 20, "[11-20] moderate", H1301 &lt;= 30, "[21-30] far")</f>
        <v>[1-2] very close</v>
      </c>
      <c r="J1301" s="1">
        <v>3</v>
      </c>
      <c r="K1301" s="3" t="s">
        <v>38</v>
      </c>
      <c r="L1301" s="1">
        <v>1</v>
      </c>
      <c r="M1301" s="1">
        <v>1822</v>
      </c>
      <c r="N1301" s="1">
        <v>3</v>
      </c>
      <c r="O1301" s="3" t="s">
        <v>39</v>
      </c>
      <c r="P1301" s="1">
        <v>52</v>
      </c>
      <c r="Q1301" s="1">
        <v>3</v>
      </c>
      <c r="R1301" s="1">
        <v>2</v>
      </c>
      <c r="S1301" s="3" t="s">
        <v>54</v>
      </c>
      <c r="T1301" s="1">
        <v>4</v>
      </c>
      <c r="U1301" s="3" t="s">
        <v>52</v>
      </c>
      <c r="V1301" s="4">
        <v>6513</v>
      </c>
      <c r="W1301" s="1">
        <v>9060</v>
      </c>
      <c r="X1301" s="1">
        <v>4</v>
      </c>
      <c r="Y1301" s="3" t="s">
        <v>42</v>
      </c>
      <c r="Z1301" s="3" t="s">
        <v>43</v>
      </c>
      <c r="AA1301" s="5">
        <v>0.17</v>
      </c>
      <c r="AB1301" s="10" t="str" cm="1">
        <f t="array" ref="AB1301">_xlfn.IFS(AA1301 &lt;= 15%, "Low Hike[11-15%]", AA1301 &lt;= 20%, "Moderate Hike[16-20%]", AA1301 &lt;= 25%,"High Hike[21-25%]")</f>
        <v>Moderate Hike[16-20%]</v>
      </c>
      <c r="AC1301" s="1">
        <v>3</v>
      </c>
      <c r="AD1301" s="1">
        <v>4</v>
      </c>
      <c r="AE1301" s="1">
        <v>80</v>
      </c>
      <c r="AF1301" s="1">
        <v>1</v>
      </c>
      <c r="AG1301" s="1">
        <v>12</v>
      </c>
      <c r="AH1301" s="9" t="str" cm="1">
        <f t="array" ref="AH1301">_xlfn.IFS(AG1301 &lt;= 5, "New[1-5]", AG1301 &lt;= 10, "Early Career[6-10]", AG1301 &lt;= 20, "Established[11-20]", AG1301 &lt;= 30, "Veteran[21-30]", AG1301 &lt;= 40, "Late Career[31-40]")</f>
        <v>Established[11-20]</v>
      </c>
      <c r="AI1301" s="1">
        <v>3</v>
      </c>
      <c r="AJ1301" s="1">
        <v>3</v>
      </c>
      <c r="AK1301" s="1">
        <v>5</v>
      </c>
      <c r="AL1301" s="9" t="str" cm="1">
        <f t="array" ref="AL1301">_xlfn.IFS(AK1301 &lt;= 5, "New[1-5]", AK1301 &lt;= 10, "Early Career[6-10]", AK1301 &lt;= 20, "Established[11-20]", AK1301 &lt;= 30, "Veteran[21-30]", AK1301 &lt;= 40, "Late Career[31-40]")</f>
        <v>New[1-5]</v>
      </c>
      <c r="AM1301" s="1">
        <v>3</v>
      </c>
      <c r="AN1301" s="9" t="str" cm="1">
        <f t="array" ref="AN1301">_xlfn.IFS(AM1301 &lt;= 3, "New to Role[1-3]", AM1301 &lt;= 7, "Settled[4-7]", AM1301 &lt;= 12, "Experienced[[8-12]", AM1301 &lt;= 18, "Long Tenured[13-18]")</f>
        <v>New to Role[1-3]</v>
      </c>
      <c r="AO1301" s="1">
        <v>0</v>
      </c>
      <c r="AP1301" s="9" t="str" cm="1">
        <f t="array" ref="AP1301">_xlfn.IFS(AO1301 &lt;= 3, "Recently[1-3]", AO1301 &lt;= 6, "Due Soon[4-6]", AO1301 &lt;= 10, "Overdue[7-10]", AO1301 &lt;= 15, "Long Overdue[11-15]")</f>
        <v>Recently[1-3]</v>
      </c>
      <c r="AQ1301" s="9" t="str" cm="1">
        <f t="array" ref="AQ1301">_xlfn.IFS(AR1301 &lt;= 3, "New Relationship[1-3]", AR1301 &lt;= 7, "Established Relationship[4-7]", AR1301 &lt;= 12, "Long Term Relationship[8-12]", AR1301 &lt;= 17, "Very Long Term Relationship[13-17]")</f>
        <v>New Relationship[1-3]</v>
      </c>
      <c r="AR1301" s="1">
        <v>3</v>
      </c>
    </row>
    <row r="1302" spans="1:44" x14ac:dyDescent="0.25">
      <c r="A1302" s="1">
        <v>34</v>
      </c>
      <c r="B1302" s="8" t="str" cm="1">
        <f t="array" ref="B1302">_xlfn.IFS(A1302 &lt;= 25, "[18-25]", A1302 &lt;= 35, "[26-35]", A1302 &lt;=45, "[36-45]", A1302 &lt;= 60, "[46- 60]")</f>
        <v>[26-35]</v>
      </c>
      <c r="C1302" s="3" t="s">
        <v>43</v>
      </c>
      <c r="D1302">
        <f t="shared" si="20"/>
        <v>0</v>
      </c>
      <c r="E1302" t="s">
        <v>36</v>
      </c>
      <c r="F1302" s="1">
        <v>810</v>
      </c>
      <c r="G1302" s="3" t="s">
        <v>37</v>
      </c>
      <c r="H1302" s="1">
        <v>8</v>
      </c>
      <c r="I1302" s="9" t="str" cm="1">
        <f t="array" ref="I1302">_xlfn.IFS(H1302 &lt;= 2, "[1-2] very close", H1302 &lt;= 10, "[3-10] close", H1302 &lt;= 20, "[11-20] moderate", H1302 &lt;= 30, "[21-30] far")</f>
        <v>[3-10] close</v>
      </c>
      <c r="J1302" s="1">
        <v>2</v>
      </c>
      <c r="K1302" s="3" t="s">
        <v>60</v>
      </c>
      <c r="L1302" s="1">
        <v>1</v>
      </c>
      <c r="M1302" s="1">
        <v>1823</v>
      </c>
      <c r="N1302" s="1">
        <v>2</v>
      </c>
      <c r="O1302" s="3" t="s">
        <v>46</v>
      </c>
      <c r="P1302" s="1">
        <v>92</v>
      </c>
      <c r="Q1302" s="1">
        <v>4</v>
      </c>
      <c r="R1302" s="1">
        <v>2</v>
      </c>
      <c r="S1302" s="3" t="s">
        <v>40</v>
      </c>
      <c r="T1302" s="1">
        <v>3</v>
      </c>
      <c r="U1302" s="3" t="s">
        <v>48</v>
      </c>
      <c r="V1302" s="4">
        <v>6799</v>
      </c>
      <c r="W1302" s="1">
        <v>22128</v>
      </c>
      <c r="X1302" s="1">
        <v>1</v>
      </c>
      <c r="Y1302" s="3" t="s">
        <v>42</v>
      </c>
      <c r="Z1302" s="3" t="s">
        <v>43</v>
      </c>
      <c r="AA1302" s="5">
        <v>0.21</v>
      </c>
      <c r="AB1302" s="10" t="str" cm="1">
        <f t="array" ref="AB1302">_xlfn.IFS(AA1302 &lt;= 15%, "Low Hike[11-15%]", AA1302 &lt;= 20%, "Moderate Hike[16-20%]", AA1302 &lt;= 25%,"High Hike[21-25%]")</f>
        <v>High Hike[21-25%]</v>
      </c>
      <c r="AC1302" s="1">
        <v>4</v>
      </c>
      <c r="AD1302" s="1">
        <v>3</v>
      </c>
      <c r="AE1302" s="1">
        <v>80</v>
      </c>
      <c r="AF1302" s="1">
        <v>2</v>
      </c>
      <c r="AG1302" s="1">
        <v>10</v>
      </c>
      <c r="AH1302" s="9" t="str" cm="1">
        <f t="array" ref="AH1302">_xlfn.IFS(AG1302 &lt;= 5, "New[1-5]", AG1302 &lt;= 10, "Early Career[6-10]", AG1302 &lt;= 20, "Established[11-20]", AG1302 &lt;= 30, "Veteran[21-30]", AG1302 &lt;= 40, "Late Career[31-40]")</f>
        <v>Early Career[6-10]</v>
      </c>
      <c r="AI1302" s="1">
        <v>5</v>
      </c>
      <c r="AJ1302" s="1">
        <v>3</v>
      </c>
      <c r="AK1302" s="1">
        <v>10</v>
      </c>
      <c r="AL1302" s="9" t="str" cm="1">
        <f t="array" ref="AL1302">_xlfn.IFS(AK1302 &lt;= 5, "New[1-5]", AK1302 &lt;= 10, "Early Career[6-10]", AK1302 &lt;= 20, "Established[11-20]", AK1302 &lt;= 30, "Veteran[21-30]", AK1302 &lt;= 40, "Late Career[31-40]")</f>
        <v>Early Career[6-10]</v>
      </c>
      <c r="AM1302" s="1">
        <v>8</v>
      </c>
      <c r="AN1302" s="9" t="str" cm="1">
        <f t="array" ref="AN1302">_xlfn.IFS(AM1302 &lt;= 3, "New to Role[1-3]", AM1302 &lt;= 7, "Settled[4-7]", AM1302 &lt;= 12, "Experienced[[8-12]", AM1302 &lt;= 18, "Long Tenured[13-18]")</f>
        <v>Experienced[[8-12]</v>
      </c>
      <c r="AO1302" s="1">
        <v>4</v>
      </c>
      <c r="AP1302" s="9" t="str" cm="1">
        <f t="array" ref="AP1302">_xlfn.IFS(AO1302 &lt;= 3, "Recently[1-3]", AO1302 &lt;= 6, "Due Soon[4-6]", AO1302 &lt;= 10, "Overdue[7-10]", AO1302 &lt;= 15, "Long Overdue[11-15]")</f>
        <v>Due Soon[4-6]</v>
      </c>
      <c r="AQ1302" s="9" t="str" cm="1">
        <f t="array" ref="AQ1302">_xlfn.IFS(AR1302 &lt;= 3, "New Relationship[1-3]", AR1302 &lt;= 7, "Established Relationship[4-7]", AR1302 &lt;= 12, "Long Term Relationship[8-12]", AR1302 &lt;= 17, "Very Long Term Relationship[13-17]")</f>
        <v>Long Term Relationship[8-12]</v>
      </c>
      <c r="AR1302" s="1">
        <v>8</v>
      </c>
    </row>
    <row r="1303" spans="1:44" x14ac:dyDescent="0.25">
      <c r="A1303" s="1">
        <v>58</v>
      </c>
      <c r="B1303" s="8" t="str" cm="1">
        <f t="array" ref="B1303">_xlfn.IFS(A1303 &lt;= 25, "[18-25]", A1303 &lt;= 35, "[26-35]", A1303 &lt;=45, "[36-45]", A1303 &lt;= 60, "[46- 60]")</f>
        <v>[46- 60]</v>
      </c>
      <c r="C1303" s="3" t="s">
        <v>43</v>
      </c>
      <c r="D1303">
        <f t="shared" si="20"/>
        <v>0</v>
      </c>
      <c r="E1303" t="s">
        <v>62</v>
      </c>
      <c r="F1303" s="1">
        <v>350</v>
      </c>
      <c r="G1303" s="3" t="s">
        <v>37</v>
      </c>
      <c r="H1303" s="1">
        <v>2</v>
      </c>
      <c r="I1303" s="9" t="str" cm="1">
        <f t="array" ref="I1303">_xlfn.IFS(H1303 &lt;= 2, "[1-2] very close", H1303 &lt;= 10, "[3-10] close", H1303 &lt;= 20, "[11-20] moderate", H1303 &lt;= 30, "[21-30] far")</f>
        <v>[1-2] very close</v>
      </c>
      <c r="J1303" s="1">
        <v>3</v>
      </c>
      <c r="K1303" s="3" t="s">
        <v>51</v>
      </c>
      <c r="L1303" s="1">
        <v>1</v>
      </c>
      <c r="M1303" s="1">
        <v>1824</v>
      </c>
      <c r="N1303" s="1">
        <v>2</v>
      </c>
      <c r="O1303" s="3" t="s">
        <v>46</v>
      </c>
      <c r="P1303" s="1">
        <v>52</v>
      </c>
      <c r="Q1303" s="1">
        <v>3</v>
      </c>
      <c r="R1303" s="1">
        <v>4</v>
      </c>
      <c r="S1303" s="3" t="s">
        <v>56</v>
      </c>
      <c r="T1303" s="1">
        <v>2</v>
      </c>
      <c r="U1303" s="3" t="s">
        <v>52</v>
      </c>
      <c r="V1303" s="4">
        <v>16291</v>
      </c>
      <c r="W1303" s="1">
        <v>22577</v>
      </c>
      <c r="X1303" s="1">
        <v>4</v>
      </c>
      <c r="Y1303" s="3" t="s">
        <v>42</v>
      </c>
      <c r="Z1303" s="3" t="s">
        <v>43</v>
      </c>
      <c r="AA1303" s="5">
        <v>0.22</v>
      </c>
      <c r="AB1303" s="10" t="str" cm="1">
        <f t="array" ref="AB1303">_xlfn.IFS(AA1303 &lt;= 15%, "Low Hike[11-15%]", AA1303 &lt;= 20%, "Moderate Hike[16-20%]", AA1303 &lt;= 25%,"High Hike[21-25%]")</f>
        <v>High Hike[21-25%]</v>
      </c>
      <c r="AC1303" s="1">
        <v>4</v>
      </c>
      <c r="AD1303" s="1">
        <v>4</v>
      </c>
      <c r="AE1303" s="1">
        <v>80</v>
      </c>
      <c r="AF1303" s="1">
        <v>1</v>
      </c>
      <c r="AG1303" s="1">
        <v>37</v>
      </c>
      <c r="AH1303" s="9" t="str" cm="1">
        <f t="array" ref="AH1303">_xlfn.IFS(AG1303 &lt;= 5, "New[1-5]", AG1303 &lt;= 10, "Early Career[6-10]", AG1303 &lt;= 20, "Established[11-20]", AG1303 &lt;= 30, "Veteran[21-30]", AG1303 &lt;= 40, "Late Career[31-40]")</f>
        <v>Late Career[31-40]</v>
      </c>
      <c r="AI1303" s="1">
        <v>0</v>
      </c>
      <c r="AJ1303" s="1">
        <v>2</v>
      </c>
      <c r="AK1303" s="1">
        <v>16</v>
      </c>
      <c r="AL1303" s="9" t="str" cm="1">
        <f t="array" ref="AL1303">_xlfn.IFS(AK1303 &lt;= 5, "New[1-5]", AK1303 &lt;= 10, "Early Career[6-10]", AK1303 &lt;= 20, "Established[11-20]", AK1303 &lt;= 30, "Veteran[21-30]", AK1303 &lt;= 40, "Late Career[31-40]")</f>
        <v>Established[11-20]</v>
      </c>
      <c r="AM1303" s="1">
        <v>9</v>
      </c>
      <c r="AN1303" s="9" t="str" cm="1">
        <f t="array" ref="AN1303">_xlfn.IFS(AM1303 &lt;= 3, "New to Role[1-3]", AM1303 &lt;= 7, "Settled[4-7]", AM1303 &lt;= 12, "Experienced[[8-12]", AM1303 &lt;= 18, "Long Tenured[13-18]")</f>
        <v>Experienced[[8-12]</v>
      </c>
      <c r="AO1303" s="1">
        <v>14</v>
      </c>
      <c r="AP1303" s="9" t="str" cm="1">
        <f t="array" ref="AP1303">_xlfn.IFS(AO1303 &lt;= 3, "Recently[1-3]", AO1303 &lt;= 6, "Due Soon[4-6]", AO1303 &lt;= 10, "Overdue[7-10]", AO1303 &lt;= 15, "Long Overdue[11-15]")</f>
        <v>Long Overdue[11-15]</v>
      </c>
      <c r="AQ1303" s="9" t="str" cm="1">
        <f t="array" ref="AQ1303">_xlfn.IFS(AR1303 &lt;= 3, "New Relationship[1-3]", AR1303 &lt;= 7, "Established Relationship[4-7]", AR1303 &lt;= 12, "Long Term Relationship[8-12]", AR1303 &lt;= 17, "Very Long Term Relationship[13-17]")</f>
        <v>Very Long Term Relationship[13-17]</v>
      </c>
      <c r="AR1303" s="1">
        <v>14</v>
      </c>
    </row>
    <row r="1304" spans="1:44" x14ac:dyDescent="0.25">
      <c r="A1304" s="1">
        <v>35</v>
      </c>
      <c r="B1304" s="8" t="str" cm="1">
        <f t="array" ref="B1304">_xlfn.IFS(A1304 &lt;= 25, "[18-25]", A1304 &lt;= 35, "[26-35]", A1304 &lt;=45, "[36-45]", A1304 &lt;= 60, "[46- 60]")</f>
        <v>[26-35]</v>
      </c>
      <c r="C1304" s="3" t="s">
        <v>43</v>
      </c>
      <c r="D1304">
        <f t="shared" si="20"/>
        <v>0</v>
      </c>
      <c r="E1304" t="s">
        <v>36</v>
      </c>
      <c r="F1304" s="1">
        <v>185</v>
      </c>
      <c r="G1304" s="3" t="s">
        <v>45</v>
      </c>
      <c r="H1304" s="1">
        <v>23</v>
      </c>
      <c r="I1304" s="9" t="str" cm="1">
        <f t="array" ref="I1304">_xlfn.IFS(H1304 &lt;= 2, "[1-2] very close", H1304 &lt;= 10, "[3-10] close", H1304 &lt;= 20, "[11-20] moderate", H1304 &lt;= 30, "[21-30] far")</f>
        <v>[21-30] far</v>
      </c>
      <c r="J1304" s="1">
        <v>4</v>
      </c>
      <c r="K1304" s="3" t="s">
        <v>51</v>
      </c>
      <c r="L1304" s="1">
        <v>1</v>
      </c>
      <c r="M1304" s="1">
        <v>1826</v>
      </c>
      <c r="N1304" s="1">
        <v>2</v>
      </c>
      <c r="O1304" s="3" t="s">
        <v>46</v>
      </c>
      <c r="P1304" s="1">
        <v>91</v>
      </c>
      <c r="Q1304" s="1">
        <v>1</v>
      </c>
      <c r="R1304" s="1">
        <v>1</v>
      </c>
      <c r="S1304" s="3" t="s">
        <v>50</v>
      </c>
      <c r="T1304" s="1">
        <v>3</v>
      </c>
      <c r="U1304" s="3" t="s">
        <v>48</v>
      </c>
      <c r="V1304" s="4">
        <v>2705</v>
      </c>
      <c r="W1304" s="1">
        <v>9696</v>
      </c>
      <c r="X1304" s="1">
        <v>0</v>
      </c>
      <c r="Y1304" s="3" t="s">
        <v>42</v>
      </c>
      <c r="Z1304" s="3" t="s">
        <v>43</v>
      </c>
      <c r="AA1304" s="5">
        <v>0.16</v>
      </c>
      <c r="AB1304" s="10" t="str" cm="1">
        <f t="array" ref="AB1304">_xlfn.IFS(AA1304 &lt;= 15%, "Low Hike[11-15%]", AA1304 &lt;= 20%, "Moderate Hike[16-20%]", AA1304 &lt;= 25%,"High Hike[21-25%]")</f>
        <v>Moderate Hike[16-20%]</v>
      </c>
      <c r="AC1304" s="1">
        <v>3</v>
      </c>
      <c r="AD1304" s="1">
        <v>2</v>
      </c>
      <c r="AE1304" s="1">
        <v>80</v>
      </c>
      <c r="AF1304" s="1">
        <v>1</v>
      </c>
      <c r="AG1304" s="1">
        <v>6</v>
      </c>
      <c r="AH1304" s="9" t="str" cm="1">
        <f t="array" ref="AH1304">_xlfn.IFS(AG1304 &lt;= 5, "New[1-5]", AG1304 &lt;= 10, "Early Career[6-10]", AG1304 &lt;= 20, "Established[11-20]", AG1304 &lt;= 30, "Veteran[21-30]", AG1304 &lt;= 40, "Late Career[31-40]")</f>
        <v>Early Career[6-10]</v>
      </c>
      <c r="AI1304" s="1">
        <v>2</v>
      </c>
      <c r="AJ1304" s="1">
        <v>4</v>
      </c>
      <c r="AK1304" s="1">
        <v>5</v>
      </c>
      <c r="AL1304" s="9" t="str" cm="1">
        <f t="array" ref="AL1304">_xlfn.IFS(AK1304 &lt;= 5, "New[1-5]", AK1304 &lt;= 10, "Early Career[6-10]", AK1304 &lt;= 20, "Established[11-20]", AK1304 &lt;= 30, "Veteran[21-30]", AK1304 &lt;= 40, "Late Career[31-40]")</f>
        <v>New[1-5]</v>
      </c>
      <c r="AM1304" s="1">
        <v>4</v>
      </c>
      <c r="AN1304" s="9" t="str" cm="1">
        <f t="array" ref="AN1304">_xlfn.IFS(AM1304 &lt;= 3, "New to Role[1-3]", AM1304 &lt;= 7, "Settled[4-7]", AM1304 &lt;= 12, "Experienced[[8-12]", AM1304 &lt;= 18, "Long Tenured[13-18]")</f>
        <v>Settled[4-7]</v>
      </c>
      <c r="AO1304" s="1">
        <v>0</v>
      </c>
      <c r="AP1304" s="9" t="str" cm="1">
        <f t="array" ref="AP1304">_xlfn.IFS(AO1304 &lt;= 3, "Recently[1-3]", AO1304 &lt;= 6, "Due Soon[4-6]", AO1304 &lt;= 10, "Overdue[7-10]", AO1304 &lt;= 15, "Long Overdue[11-15]")</f>
        <v>Recently[1-3]</v>
      </c>
      <c r="AQ1304" s="9" t="str" cm="1">
        <f t="array" ref="AQ1304">_xlfn.IFS(AR1304 &lt;= 3, "New Relationship[1-3]", AR1304 &lt;= 7, "Established Relationship[4-7]", AR1304 &lt;= 12, "Long Term Relationship[8-12]", AR1304 &lt;= 17, "Very Long Term Relationship[13-17]")</f>
        <v>New Relationship[1-3]</v>
      </c>
      <c r="AR1304" s="1">
        <v>3</v>
      </c>
    </row>
    <row r="1305" spans="1:44" x14ac:dyDescent="0.25">
      <c r="A1305" s="1">
        <v>47</v>
      </c>
      <c r="B1305" s="8" t="str" cm="1">
        <f t="array" ref="B1305">_xlfn.IFS(A1305 &lt;= 25, "[18-25]", A1305 &lt;= 35, "[26-35]", A1305 &lt;=45, "[36-45]", A1305 &lt;= 60, "[46- 60]")</f>
        <v>[46- 60]</v>
      </c>
      <c r="C1305" s="3" t="s">
        <v>43</v>
      </c>
      <c r="D1305">
        <f t="shared" si="20"/>
        <v>0</v>
      </c>
      <c r="E1305" t="s">
        <v>36</v>
      </c>
      <c r="F1305" s="1">
        <v>1001</v>
      </c>
      <c r="G1305" s="3" t="s">
        <v>45</v>
      </c>
      <c r="H1305" s="1">
        <v>4</v>
      </c>
      <c r="I1305" s="9" t="str" cm="1">
        <f t="array" ref="I1305">_xlfn.IFS(H1305 &lt;= 2, "[1-2] very close", H1305 &lt;= 10, "[3-10] close", H1305 &lt;= 20, "[11-20] moderate", H1305 &lt;= 30, "[21-30] far")</f>
        <v>[3-10] close</v>
      </c>
      <c r="J1305" s="1">
        <v>3</v>
      </c>
      <c r="K1305" s="3" t="s">
        <v>38</v>
      </c>
      <c r="L1305" s="1">
        <v>1</v>
      </c>
      <c r="M1305" s="1">
        <v>1827</v>
      </c>
      <c r="N1305" s="1">
        <v>3</v>
      </c>
      <c r="O1305" s="3" t="s">
        <v>39</v>
      </c>
      <c r="P1305" s="1">
        <v>92</v>
      </c>
      <c r="Q1305" s="1">
        <v>2</v>
      </c>
      <c r="R1305" s="1">
        <v>3</v>
      </c>
      <c r="S1305" s="3" t="s">
        <v>53</v>
      </c>
      <c r="T1305" s="1">
        <v>2</v>
      </c>
      <c r="U1305" s="3" t="s">
        <v>52</v>
      </c>
      <c r="V1305" s="4">
        <v>10333</v>
      </c>
      <c r="W1305" s="1">
        <v>19271</v>
      </c>
      <c r="X1305" s="1">
        <v>8</v>
      </c>
      <c r="Y1305" s="3" t="s">
        <v>42</v>
      </c>
      <c r="Z1305" s="3" t="s">
        <v>35</v>
      </c>
      <c r="AA1305" s="5">
        <v>0.12</v>
      </c>
      <c r="AB1305" s="10" t="str" cm="1">
        <f t="array" ref="AB1305">_xlfn.IFS(AA1305 &lt;= 15%, "Low Hike[11-15%]", AA1305 &lt;= 20%, "Moderate Hike[16-20%]", AA1305 &lt;= 25%,"High Hike[21-25%]")</f>
        <v>Low Hike[11-15%]</v>
      </c>
      <c r="AC1305" s="1">
        <v>3</v>
      </c>
      <c r="AD1305" s="1">
        <v>3</v>
      </c>
      <c r="AE1305" s="1">
        <v>80</v>
      </c>
      <c r="AF1305" s="1">
        <v>1</v>
      </c>
      <c r="AG1305" s="1">
        <v>28</v>
      </c>
      <c r="AH1305" s="9" t="str" cm="1">
        <f t="array" ref="AH1305">_xlfn.IFS(AG1305 &lt;= 5, "New[1-5]", AG1305 &lt;= 10, "Early Career[6-10]", AG1305 &lt;= 20, "Established[11-20]", AG1305 &lt;= 30, "Veteran[21-30]", AG1305 &lt;= 40, "Late Career[31-40]")</f>
        <v>Veteran[21-30]</v>
      </c>
      <c r="AI1305" s="1">
        <v>4</v>
      </c>
      <c r="AJ1305" s="1">
        <v>3</v>
      </c>
      <c r="AK1305" s="1">
        <v>22</v>
      </c>
      <c r="AL1305" s="9" t="str" cm="1">
        <f t="array" ref="AL1305">_xlfn.IFS(AK1305 &lt;= 5, "New[1-5]", AK1305 &lt;= 10, "Early Career[6-10]", AK1305 &lt;= 20, "Established[11-20]", AK1305 &lt;= 30, "Veteran[21-30]", AK1305 &lt;= 40, "Late Career[31-40]")</f>
        <v>Veteran[21-30]</v>
      </c>
      <c r="AM1305" s="1">
        <v>11</v>
      </c>
      <c r="AN1305" s="9" t="str" cm="1">
        <f t="array" ref="AN1305">_xlfn.IFS(AM1305 &lt;= 3, "New to Role[1-3]", AM1305 &lt;= 7, "Settled[4-7]", AM1305 &lt;= 12, "Experienced[[8-12]", AM1305 &lt;= 18, "Long Tenured[13-18]")</f>
        <v>Experienced[[8-12]</v>
      </c>
      <c r="AO1305" s="1">
        <v>14</v>
      </c>
      <c r="AP1305" s="9" t="str" cm="1">
        <f t="array" ref="AP1305">_xlfn.IFS(AO1305 &lt;= 3, "Recently[1-3]", AO1305 &lt;= 6, "Due Soon[4-6]", AO1305 &lt;= 10, "Overdue[7-10]", AO1305 &lt;= 15, "Long Overdue[11-15]")</f>
        <v>Long Overdue[11-15]</v>
      </c>
      <c r="AQ1305" s="9" t="str" cm="1">
        <f t="array" ref="AQ1305">_xlfn.IFS(AR1305 &lt;= 3, "New Relationship[1-3]", AR1305 &lt;= 7, "Established Relationship[4-7]", AR1305 &lt;= 12, "Long Term Relationship[8-12]", AR1305 &lt;= 17, "Very Long Term Relationship[13-17]")</f>
        <v>Long Term Relationship[8-12]</v>
      </c>
      <c r="AR1305" s="1">
        <v>10</v>
      </c>
    </row>
    <row r="1306" spans="1:44" x14ac:dyDescent="0.25">
      <c r="A1306" s="1">
        <v>40</v>
      </c>
      <c r="B1306" s="8" t="str" cm="1">
        <f t="array" ref="B1306">_xlfn.IFS(A1306 &lt;= 25, "[18-25]", A1306 &lt;= 35, "[26-35]", A1306 &lt;=45, "[36-45]", A1306 &lt;= 60, "[46- 60]")</f>
        <v>[36-45]</v>
      </c>
      <c r="C1306" s="3" t="s">
        <v>43</v>
      </c>
      <c r="D1306">
        <f t="shared" si="20"/>
        <v>0</v>
      </c>
      <c r="E1306" t="s">
        <v>36</v>
      </c>
      <c r="F1306" s="1">
        <v>750</v>
      </c>
      <c r="G1306" s="3" t="s">
        <v>45</v>
      </c>
      <c r="H1306" s="1">
        <v>12</v>
      </c>
      <c r="I1306" s="9" t="str" cm="1">
        <f t="array" ref="I1306">_xlfn.IFS(H1306 &lt;= 2, "[1-2] very close", H1306 &lt;= 10, "[3-10] close", H1306 &lt;= 20, "[11-20] moderate", H1306 &lt;= 30, "[21-30] far")</f>
        <v>[11-20] moderate</v>
      </c>
      <c r="J1306" s="1">
        <v>3</v>
      </c>
      <c r="K1306" s="3" t="s">
        <v>38</v>
      </c>
      <c r="L1306" s="1">
        <v>1</v>
      </c>
      <c r="M1306" s="1">
        <v>1829</v>
      </c>
      <c r="N1306" s="1">
        <v>2</v>
      </c>
      <c r="O1306" s="3" t="s">
        <v>39</v>
      </c>
      <c r="P1306" s="1">
        <v>47</v>
      </c>
      <c r="Q1306" s="1">
        <v>3</v>
      </c>
      <c r="R1306" s="1">
        <v>2</v>
      </c>
      <c r="S1306" s="3" t="s">
        <v>54</v>
      </c>
      <c r="T1306" s="1">
        <v>1</v>
      </c>
      <c r="U1306" s="3" t="s">
        <v>52</v>
      </c>
      <c r="V1306" s="4">
        <v>4448</v>
      </c>
      <c r="W1306" s="1">
        <v>10748</v>
      </c>
      <c r="X1306" s="1">
        <v>2</v>
      </c>
      <c r="Y1306" s="3" t="s">
        <v>42</v>
      </c>
      <c r="Z1306" s="3" t="s">
        <v>43</v>
      </c>
      <c r="AA1306" s="5">
        <v>0.12</v>
      </c>
      <c r="AB1306" s="10" t="str" cm="1">
        <f t="array" ref="AB1306">_xlfn.IFS(AA1306 &lt;= 15%, "Low Hike[11-15%]", AA1306 &lt;= 20%, "Moderate Hike[16-20%]", AA1306 &lt;= 25%,"High Hike[21-25%]")</f>
        <v>Low Hike[11-15%]</v>
      </c>
      <c r="AC1306" s="1">
        <v>3</v>
      </c>
      <c r="AD1306" s="1">
        <v>2</v>
      </c>
      <c r="AE1306" s="1">
        <v>80</v>
      </c>
      <c r="AF1306" s="1">
        <v>1</v>
      </c>
      <c r="AG1306" s="1">
        <v>15</v>
      </c>
      <c r="AH1306" s="9" t="str" cm="1">
        <f t="array" ref="AH1306">_xlfn.IFS(AG1306 &lt;= 5, "New[1-5]", AG1306 &lt;= 10, "Early Career[6-10]", AG1306 &lt;= 20, "Established[11-20]", AG1306 &lt;= 30, "Veteran[21-30]", AG1306 &lt;= 40, "Late Career[31-40]")</f>
        <v>Established[11-20]</v>
      </c>
      <c r="AI1306" s="1">
        <v>3</v>
      </c>
      <c r="AJ1306" s="1">
        <v>3</v>
      </c>
      <c r="AK1306" s="1">
        <v>7</v>
      </c>
      <c r="AL1306" s="9" t="str" cm="1">
        <f t="array" ref="AL1306">_xlfn.IFS(AK1306 &lt;= 5, "New[1-5]", AK1306 &lt;= 10, "Early Career[6-10]", AK1306 &lt;= 20, "Established[11-20]", AK1306 &lt;= 30, "Veteran[21-30]", AK1306 &lt;= 40, "Late Career[31-40]")</f>
        <v>Early Career[6-10]</v>
      </c>
      <c r="AM1306" s="1">
        <v>4</v>
      </c>
      <c r="AN1306" s="9" t="str" cm="1">
        <f t="array" ref="AN1306">_xlfn.IFS(AM1306 &lt;= 3, "New to Role[1-3]", AM1306 &lt;= 7, "Settled[4-7]", AM1306 &lt;= 12, "Experienced[[8-12]", AM1306 &lt;= 18, "Long Tenured[13-18]")</f>
        <v>Settled[4-7]</v>
      </c>
      <c r="AO1306" s="1">
        <v>7</v>
      </c>
      <c r="AP1306" s="9" t="str" cm="1">
        <f t="array" ref="AP1306">_xlfn.IFS(AO1306 &lt;= 3, "Recently[1-3]", AO1306 &lt;= 6, "Due Soon[4-6]", AO1306 &lt;= 10, "Overdue[7-10]", AO1306 &lt;= 15, "Long Overdue[11-15]")</f>
        <v>Overdue[7-10]</v>
      </c>
      <c r="AQ1306" s="9" t="str" cm="1">
        <f t="array" ref="AQ1306">_xlfn.IFS(AR1306 &lt;= 3, "New Relationship[1-3]", AR1306 &lt;= 7, "Established Relationship[4-7]", AR1306 &lt;= 12, "Long Term Relationship[8-12]", AR1306 &lt;= 17, "Very Long Term Relationship[13-17]")</f>
        <v>Established Relationship[4-7]</v>
      </c>
      <c r="AR1306" s="1">
        <v>7</v>
      </c>
    </row>
    <row r="1307" spans="1:44" x14ac:dyDescent="0.25">
      <c r="A1307" s="1">
        <v>54</v>
      </c>
      <c r="B1307" s="8" t="str" cm="1">
        <f t="array" ref="B1307">_xlfn.IFS(A1307 &lt;= 25, "[18-25]", A1307 &lt;= 35, "[26-35]", A1307 &lt;=45, "[36-45]", A1307 &lt;= 60, "[46- 60]")</f>
        <v>[46- 60]</v>
      </c>
      <c r="C1307" s="3" t="s">
        <v>43</v>
      </c>
      <c r="D1307">
        <f t="shared" si="20"/>
        <v>0</v>
      </c>
      <c r="E1307" t="s">
        <v>36</v>
      </c>
      <c r="F1307" s="1">
        <v>431</v>
      </c>
      <c r="G1307" s="3" t="s">
        <v>45</v>
      </c>
      <c r="H1307" s="1">
        <v>7</v>
      </c>
      <c r="I1307" s="9" t="str" cm="1">
        <f t="array" ref="I1307">_xlfn.IFS(H1307 &lt;= 2, "[1-2] very close", H1307 &lt;= 10, "[3-10] close", H1307 &lt;= 20, "[11-20] moderate", H1307 &lt;= 30, "[21-30] far")</f>
        <v>[3-10] close</v>
      </c>
      <c r="J1307" s="1">
        <v>4</v>
      </c>
      <c r="K1307" s="3" t="s">
        <v>51</v>
      </c>
      <c r="L1307" s="1">
        <v>1</v>
      </c>
      <c r="M1307" s="1">
        <v>1830</v>
      </c>
      <c r="N1307" s="1">
        <v>4</v>
      </c>
      <c r="O1307" s="3" t="s">
        <v>39</v>
      </c>
      <c r="P1307" s="1">
        <v>68</v>
      </c>
      <c r="Q1307" s="1">
        <v>3</v>
      </c>
      <c r="R1307" s="1">
        <v>2</v>
      </c>
      <c r="S1307" s="3" t="s">
        <v>47</v>
      </c>
      <c r="T1307" s="1">
        <v>4</v>
      </c>
      <c r="U1307" s="3" t="s">
        <v>48</v>
      </c>
      <c r="V1307" s="4">
        <v>6854</v>
      </c>
      <c r="W1307" s="1">
        <v>15696</v>
      </c>
      <c r="X1307" s="1">
        <v>4</v>
      </c>
      <c r="Y1307" s="3" t="s">
        <v>42</v>
      </c>
      <c r="Z1307" s="3" t="s">
        <v>43</v>
      </c>
      <c r="AA1307" s="5">
        <v>0.15</v>
      </c>
      <c r="AB1307" s="10" t="str" cm="1">
        <f t="array" ref="AB1307">_xlfn.IFS(AA1307 &lt;= 15%, "Low Hike[11-15%]", AA1307 &lt;= 20%, "Moderate Hike[16-20%]", AA1307 &lt;= 25%,"High Hike[21-25%]")</f>
        <v>Low Hike[11-15%]</v>
      </c>
      <c r="AC1307" s="1">
        <v>3</v>
      </c>
      <c r="AD1307" s="1">
        <v>2</v>
      </c>
      <c r="AE1307" s="1">
        <v>80</v>
      </c>
      <c r="AF1307" s="1">
        <v>1</v>
      </c>
      <c r="AG1307" s="1">
        <v>14</v>
      </c>
      <c r="AH1307" s="9" t="str" cm="1">
        <f t="array" ref="AH1307">_xlfn.IFS(AG1307 &lt;= 5, "New[1-5]", AG1307 &lt;= 10, "Early Career[6-10]", AG1307 &lt;= 20, "Established[11-20]", AG1307 &lt;= 30, "Veteran[21-30]", AG1307 &lt;= 40, "Late Career[31-40]")</f>
        <v>Established[11-20]</v>
      </c>
      <c r="AI1307" s="1">
        <v>2</v>
      </c>
      <c r="AJ1307" s="1">
        <v>2</v>
      </c>
      <c r="AK1307" s="1">
        <v>7</v>
      </c>
      <c r="AL1307" s="9" t="str" cm="1">
        <f t="array" ref="AL1307">_xlfn.IFS(AK1307 &lt;= 5, "New[1-5]", AK1307 &lt;= 10, "Early Career[6-10]", AK1307 &lt;= 20, "Established[11-20]", AK1307 &lt;= 30, "Veteran[21-30]", AK1307 &lt;= 40, "Late Career[31-40]")</f>
        <v>Early Career[6-10]</v>
      </c>
      <c r="AM1307" s="1">
        <v>1</v>
      </c>
      <c r="AN1307" s="9" t="str" cm="1">
        <f t="array" ref="AN1307">_xlfn.IFS(AM1307 &lt;= 3, "New to Role[1-3]", AM1307 &lt;= 7, "Settled[4-7]", AM1307 &lt;= 12, "Experienced[[8-12]", AM1307 &lt;= 18, "Long Tenured[13-18]")</f>
        <v>New to Role[1-3]</v>
      </c>
      <c r="AO1307" s="1">
        <v>1</v>
      </c>
      <c r="AP1307" s="9" t="str" cm="1">
        <f t="array" ref="AP1307">_xlfn.IFS(AO1307 &lt;= 3, "Recently[1-3]", AO1307 &lt;= 6, "Due Soon[4-6]", AO1307 &lt;= 10, "Overdue[7-10]", AO1307 &lt;= 15, "Long Overdue[11-15]")</f>
        <v>Recently[1-3]</v>
      </c>
      <c r="AQ1307" s="9" t="str" cm="1">
        <f t="array" ref="AQ1307">_xlfn.IFS(AR1307 &lt;= 3, "New Relationship[1-3]", AR1307 &lt;= 7, "Established Relationship[4-7]", AR1307 &lt;= 12, "Long Term Relationship[8-12]", AR1307 &lt;= 17, "Very Long Term Relationship[13-17]")</f>
        <v>Established Relationship[4-7]</v>
      </c>
      <c r="AR1307" s="1">
        <v>7</v>
      </c>
    </row>
    <row r="1308" spans="1:44" x14ac:dyDescent="0.25">
      <c r="A1308" s="1">
        <v>31</v>
      </c>
      <c r="B1308" s="8" t="str" cm="1">
        <f t="array" ref="B1308">_xlfn.IFS(A1308 &lt;= 25, "[18-25]", A1308 &lt;= 35, "[26-35]", A1308 &lt;=45, "[36-45]", A1308 &lt;= 60, "[46- 60]")</f>
        <v>[26-35]</v>
      </c>
      <c r="C1308" s="3" t="s">
        <v>43</v>
      </c>
      <c r="D1308">
        <f t="shared" si="20"/>
        <v>0</v>
      </c>
      <c r="E1308" t="s">
        <v>44</v>
      </c>
      <c r="F1308" s="1">
        <v>1125</v>
      </c>
      <c r="G1308" s="3" t="s">
        <v>37</v>
      </c>
      <c r="H1308" s="1">
        <v>7</v>
      </c>
      <c r="I1308" s="9" t="str" cm="1">
        <f t="array" ref="I1308">_xlfn.IFS(H1308 &lt;= 2, "[1-2] very close", H1308 &lt;= 10, "[3-10] close", H1308 &lt;= 20, "[11-20] moderate", H1308 &lt;= 30, "[21-30] far")</f>
        <v>[3-10] close</v>
      </c>
      <c r="J1308" s="1">
        <v>4</v>
      </c>
      <c r="K1308" s="3" t="s">
        <v>59</v>
      </c>
      <c r="L1308" s="1">
        <v>1</v>
      </c>
      <c r="M1308" s="1">
        <v>1833</v>
      </c>
      <c r="N1308" s="1">
        <v>1</v>
      </c>
      <c r="O1308" s="3" t="s">
        <v>39</v>
      </c>
      <c r="P1308" s="1">
        <v>68</v>
      </c>
      <c r="Q1308" s="1">
        <v>3</v>
      </c>
      <c r="R1308" s="1">
        <v>3</v>
      </c>
      <c r="S1308" s="3" t="s">
        <v>40</v>
      </c>
      <c r="T1308" s="1">
        <v>1</v>
      </c>
      <c r="U1308" s="3" t="s">
        <v>48</v>
      </c>
      <c r="V1308" s="4">
        <v>9637</v>
      </c>
      <c r="W1308" s="1">
        <v>8277</v>
      </c>
      <c r="X1308" s="1">
        <v>2</v>
      </c>
      <c r="Y1308" s="3" t="s">
        <v>42</v>
      </c>
      <c r="Z1308" s="3" t="s">
        <v>43</v>
      </c>
      <c r="AA1308" s="5">
        <v>0.14000000000000001</v>
      </c>
      <c r="AB1308" s="10" t="str" cm="1">
        <f t="array" ref="AB1308">_xlfn.IFS(AA1308 &lt;= 15%, "Low Hike[11-15%]", AA1308 &lt;= 20%, "Moderate Hike[16-20%]", AA1308 &lt;= 25%,"High Hike[21-25%]")</f>
        <v>Low Hike[11-15%]</v>
      </c>
      <c r="AC1308" s="1">
        <v>3</v>
      </c>
      <c r="AD1308" s="1">
        <v>4</v>
      </c>
      <c r="AE1308" s="1">
        <v>80</v>
      </c>
      <c r="AF1308" s="1">
        <v>2</v>
      </c>
      <c r="AG1308" s="1">
        <v>9</v>
      </c>
      <c r="AH1308" s="9" t="str" cm="1">
        <f t="array" ref="AH1308">_xlfn.IFS(AG1308 &lt;= 5, "New[1-5]", AG1308 &lt;= 10, "Early Career[6-10]", AG1308 &lt;= 20, "Established[11-20]", AG1308 &lt;= 30, "Veteran[21-30]", AG1308 &lt;= 40, "Late Career[31-40]")</f>
        <v>Early Career[6-10]</v>
      </c>
      <c r="AI1308" s="1">
        <v>3</v>
      </c>
      <c r="AJ1308" s="1">
        <v>3</v>
      </c>
      <c r="AK1308" s="1">
        <v>3</v>
      </c>
      <c r="AL1308" s="9" t="str" cm="1">
        <f t="array" ref="AL1308">_xlfn.IFS(AK1308 &lt;= 5, "New[1-5]", AK1308 &lt;= 10, "Early Career[6-10]", AK1308 &lt;= 20, "Established[11-20]", AK1308 &lt;= 30, "Veteran[21-30]", AK1308 &lt;= 40, "Late Career[31-40]")</f>
        <v>New[1-5]</v>
      </c>
      <c r="AM1308" s="1">
        <v>2</v>
      </c>
      <c r="AN1308" s="9" t="str" cm="1">
        <f t="array" ref="AN1308">_xlfn.IFS(AM1308 &lt;= 3, "New to Role[1-3]", AM1308 &lt;= 7, "Settled[4-7]", AM1308 &lt;= 12, "Experienced[[8-12]", AM1308 &lt;= 18, "Long Tenured[13-18]")</f>
        <v>New to Role[1-3]</v>
      </c>
      <c r="AO1308" s="1">
        <v>2</v>
      </c>
      <c r="AP1308" s="9" t="str" cm="1">
        <f t="array" ref="AP1308">_xlfn.IFS(AO1308 &lt;= 3, "Recently[1-3]", AO1308 &lt;= 6, "Due Soon[4-6]", AO1308 &lt;= 10, "Overdue[7-10]", AO1308 &lt;= 15, "Long Overdue[11-15]")</f>
        <v>Recently[1-3]</v>
      </c>
      <c r="AQ1308" s="9" t="str" cm="1">
        <f t="array" ref="AQ1308">_xlfn.IFS(AR1308 &lt;= 3, "New Relationship[1-3]", AR1308 &lt;= 7, "Established Relationship[4-7]", AR1308 &lt;= 12, "Long Term Relationship[8-12]", AR1308 &lt;= 17, "Very Long Term Relationship[13-17]")</f>
        <v>New Relationship[1-3]</v>
      </c>
      <c r="AR1308" s="1">
        <v>2</v>
      </c>
    </row>
    <row r="1309" spans="1:44" x14ac:dyDescent="0.25">
      <c r="A1309" s="1">
        <v>28</v>
      </c>
      <c r="B1309" s="8" t="str" cm="1">
        <f t="array" ref="B1309">_xlfn.IFS(A1309 &lt;= 25, "[18-25]", A1309 &lt;= 35, "[26-35]", A1309 &lt;=45, "[36-45]", A1309 &lt;= 60, "[46- 60]")</f>
        <v>[26-35]</v>
      </c>
      <c r="C1309" s="3" t="s">
        <v>43</v>
      </c>
      <c r="D1309">
        <f t="shared" si="20"/>
        <v>0</v>
      </c>
      <c r="E1309" t="s">
        <v>36</v>
      </c>
      <c r="F1309" s="1">
        <v>1217</v>
      </c>
      <c r="G1309" s="3" t="s">
        <v>45</v>
      </c>
      <c r="H1309" s="1">
        <v>1</v>
      </c>
      <c r="I1309" s="9" t="str" cm="1">
        <f t="array" ref="I1309">_xlfn.IFS(H1309 &lt;= 2, "[1-2] very close", H1309 &lt;= 10, "[3-10] close", H1309 &lt;= 20, "[11-20] moderate", H1309 &lt;= 30, "[21-30] far")</f>
        <v>[1-2] very close</v>
      </c>
      <c r="J1309" s="1">
        <v>3</v>
      </c>
      <c r="K1309" s="3" t="s">
        <v>51</v>
      </c>
      <c r="L1309" s="1">
        <v>1</v>
      </c>
      <c r="M1309" s="1">
        <v>1834</v>
      </c>
      <c r="N1309" s="1">
        <v>3</v>
      </c>
      <c r="O1309" s="3" t="s">
        <v>39</v>
      </c>
      <c r="P1309" s="1">
        <v>67</v>
      </c>
      <c r="Q1309" s="1">
        <v>3</v>
      </c>
      <c r="R1309" s="1">
        <v>1</v>
      </c>
      <c r="S1309" s="3" t="s">
        <v>47</v>
      </c>
      <c r="T1309" s="1">
        <v>1</v>
      </c>
      <c r="U1309" s="3" t="s">
        <v>48</v>
      </c>
      <c r="V1309" s="4">
        <v>3591</v>
      </c>
      <c r="W1309" s="1">
        <v>12719</v>
      </c>
      <c r="X1309" s="1">
        <v>1</v>
      </c>
      <c r="Y1309" s="3" t="s">
        <v>42</v>
      </c>
      <c r="Z1309" s="3" t="s">
        <v>43</v>
      </c>
      <c r="AA1309" s="5">
        <v>0.25</v>
      </c>
      <c r="AB1309" s="10" t="str" cm="1">
        <f t="array" ref="AB1309">_xlfn.IFS(AA1309 &lt;= 15%, "Low Hike[11-15%]", AA1309 &lt;= 20%, "Moderate Hike[16-20%]", AA1309 &lt;= 25%,"High Hike[21-25%]")</f>
        <v>High Hike[21-25%]</v>
      </c>
      <c r="AC1309" s="1">
        <v>4</v>
      </c>
      <c r="AD1309" s="1">
        <v>3</v>
      </c>
      <c r="AE1309" s="1">
        <v>80</v>
      </c>
      <c r="AF1309" s="1">
        <v>1</v>
      </c>
      <c r="AG1309" s="1">
        <v>3</v>
      </c>
      <c r="AH1309" s="9" t="str" cm="1">
        <f t="array" ref="AH1309">_xlfn.IFS(AG1309 &lt;= 5, "New[1-5]", AG1309 &lt;= 10, "Early Career[6-10]", AG1309 &lt;= 20, "Established[11-20]", AG1309 &lt;= 30, "Veteran[21-30]", AG1309 &lt;= 40, "Late Career[31-40]")</f>
        <v>New[1-5]</v>
      </c>
      <c r="AI1309" s="1">
        <v>3</v>
      </c>
      <c r="AJ1309" s="1">
        <v>3</v>
      </c>
      <c r="AK1309" s="1">
        <v>3</v>
      </c>
      <c r="AL1309" s="9" t="str" cm="1">
        <f t="array" ref="AL1309">_xlfn.IFS(AK1309 &lt;= 5, "New[1-5]", AK1309 &lt;= 10, "Early Career[6-10]", AK1309 &lt;= 20, "Established[11-20]", AK1309 &lt;= 30, "Veteran[21-30]", AK1309 &lt;= 40, "Late Career[31-40]")</f>
        <v>New[1-5]</v>
      </c>
      <c r="AM1309" s="1">
        <v>2</v>
      </c>
      <c r="AN1309" s="9" t="str" cm="1">
        <f t="array" ref="AN1309">_xlfn.IFS(AM1309 &lt;= 3, "New to Role[1-3]", AM1309 &lt;= 7, "Settled[4-7]", AM1309 &lt;= 12, "Experienced[[8-12]", AM1309 &lt;= 18, "Long Tenured[13-18]")</f>
        <v>New to Role[1-3]</v>
      </c>
      <c r="AO1309" s="1">
        <v>1</v>
      </c>
      <c r="AP1309" s="9" t="str" cm="1">
        <f t="array" ref="AP1309">_xlfn.IFS(AO1309 &lt;= 3, "Recently[1-3]", AO1309 &lt;= 6, "Due Soon[4-6]", AO1309 &lt;= 10, "Overdue[7-10]", AO1309 &lt;= 15, "Long Overdue[11-15]")</f>
        <v>Recently[1-3]</v>
      </c>
      <c r="AQ1309" s="9" t="str" cm="1">
        <f t="array" ref="AQ1309">_xlfn.IFS(AR1309 &lt;= 3, "New Relationship[1-3]", AR1309 &lt;= 7, "Established Relationship[4-7]", AR1309 &lt;= 12, "Long Term Relationship[8-12]", AR1309 &lt;= 17, "Very Long Term Relationship[13-17]")</f>
        <v>New Relationship[1-3]</v>
      </c>
      <c r="AR1309" s="1">
        <v>2</v>
      </c>
    </row>
    <row r="1310" spans="1:44" x14ac:dyDescent="0.25">
      <c r="A1310" s="1">
        <v>38</v>
      </c>
      <c r="B1310" s="8" t="str" cm="1">
        <f t="array" ref="B1310">_xlfn.IFS(A1310 &lt;= 25, "[18-25]", A1310 &lt;= 35, "[26-35]", A1310 &lt;=45, "[36-45]", A1310 &lt;= 60, "[46- 60]")</f>
        <v>[36-45]</v>
      </c>
      <c r="C1310" s="3" t="s">
        <v>43</v>
      </c>
      <c r="D1310">
        <f t="shared" si="20"/>
        <v>0</v>
      </c>
      <c r="E1310" t="s">
        <v>36</v>
      </c>
      <c r="F1310" s="1">
        <v>723</v>
      </c>
      <c r="G1310" s="3" t="s">
        <v>37</v>
      </c>
      <c r="H1310" s="1">
        <v>2</v>
      </c>
      <c r="I1310" s="9" t="str" cm="1">
        <f t="array" ref="I1310">_xlfn.IFS(H1310 &lt;= 2, "[1-2] very close", H1310 &lt;= 10, "[3-10] close", H1310 &lt;= 20, "[11-20] moderate", H1310 &lt;= 30, "[21-30] far")</f>
        <v>[1-2] very close</v>
      </c>
      <c r="J1310" s="1">
        <v>4</v>
      </c>
      <c r="K1310" s="3" t="s">
        <v>59</v>
      </c>
      <c r="L1310" s="1">
        <v>1</v>
      </c>
      <c r="M1310" s="1">
        <v>1835</v>
      </c>
      <c r="N1310" s="1">
        <v>2</v>
      </c>
      <c r="O1310" s="3" t="s">
        <v>39</v>
      </c>
      <c r="P1310" s="1">
        <v>77</v>
      </c>
      <c r="Q1310" s="1">
        <v>1</v>
      </c>
      <c r="R1310" s="1">
        <v>2</v>
      </c>
      <c r="S1310" s="3" t="s">
        <v>57</v>
      </c>
      <c r="T1310" s="1">
        <v>4</v>
      </c>
      <c r="U1310" s="3" t="s">
        <v>48</v>
      </c>
      <c r="V1310" s="4">
        <v>5405</v>
      </c>
      <c r="W1310" s="1">
        <v>4244</v>
      </c>
      <c r="X1310" s="1">
        <v>2</v>
      </c>
      <c r="Y1310" s="3" t="s">
        <v>42</v>
      </c>
      <c r="Z1310" s="3" t="s">
        <v>35</v>
      </c>
      <c r="AA1310" s="5">
        <v>0.2</v>
      </c>
      <c r="AB1310" s="10" t="str" cm="1">
        <f t="array" ref="AB1310">_xlfn.IFS(AA1310 &lt;= 15%, "Low Hike[11-15%]", AA1310 &lt;= 20%, "Moderate Hike[16-20%]", AA1310 &lt;= 25%,"High Hike[21-25%]")</f>
        <v>Moderate Hike[16-20%]</v>
      </c>
      <c r="AC1310" s="1">
        <v>4</v>
      </c>
      <c r="AD1310" s="1">
        <v>1</v>
      </c>
      <c r="AE1310" s="1">
        <v>80</v>
      </c>
      <c r="AF1310" s="1">
        <v>2</v>
      </c>
      <c r="AG1310" s="1">
        <v>20</v>
      </c>
      <c r="AH1310" s="9" t="str" cm="1">
        <f t="array" ref="AH1310">_xlfn.IFS(AG1310 &lt;= 5, "New[1-5]", AG1310 &lt;= 10, "Early Career[6-10]", AG1310 &lt;= 20, "Established[11-20]", AG1310 &lt;= 30, "Veteran[21-30]", AG1310 &lt;= 40, "Late Career[31-40]")</f>
        <v>Established[11-20]</v>
      </c>
      <c r="AI1310" s="1">
        <v>4</v>
      </c>
      <c r="AJ1310" s="1">
        <v>2</v>
      </c>
      <c r="AK1310" s="1">
        <v>4</v>
      </c>
      <c r="AL1310" s="9" t="str" cm="1">
        <f t="array" ref="AL1310">_xlfn.IFS(AK1310 &lt;= 5, "New[1-5]", AK1310 &lt;= 10, "Early Career[6-10]", AK1310 &lt;= 20, "Established[11-20]", AK1310 &lt;= 30, "Veteran[21-30]", AK1310 &lt;= 40, "Late Career[31-40]")</f>
        <v>New[1-5]</v>
      </c>
      <c r="AM1310" s="1">
        <v>2</v>
      </c>
      <c r="AN1310" s="9" t="str" cm="1">
        <f t="array" ref="AN1310">_xlfn.IFS(AM1310 &lt;= 3, "New to Role[1-3]", AM1310 &lt;= 7, "Settled[4-7]", AM1310 &lt;= 12, "Experienced[[8-12]", AM1310 &lt;= 18, "Long Tenured[13-18]")</f>
        <v>New to Role[1-3]</v>
      </c>
      <c r="AO1310" s="1">
        <v>0</v>
      </c>
      <c r="AP1310" s="9" t="str" cm="1">
        <f t="array" ref="AP1310">_xlfn.IFS(AO1310 &lt;= 3, "Recently[1-3]", AO1310 &lt;= 6, "Due Soon[4-6]", AO1310 &lt;= 10, "Overdue[7-10]", AO1310 &lt;= 15, "Long Overdue[11-15]")</f>
        <v>Recently[1-3]</v>
      </c>
      <c r="AQ1310" s="9" t="str" cm="1">
        <f t="array" ref="AQ1310">_xlfn.IFS(AR1310 &lt;= 3, "New Relationship[1-3]", AR1310 &lt;= 7, "Established Relationship[4-7]", AR1310 &lt;= 12, "Long Term Relationship[8-12]", AR1310 &lt;= 17, "Very Long Term Relationship[13-17]")</f>
        <v>New Relationship[1-3]</v>
      </c>
      <c r="AR1310" s="1">
        <v>3</v>
      </c>
    </row>
    <row r="1311" spans="1:44" x14ac:dyDescent="0.25">
      <c r="A1311" s="1">
        <v>26</v>
      </c>
      <c r="B1311" s="8" t="str" cm="1">
        <f t="array" ref="B1311">_xlfn.IFS(A1311 &lt;= 25, "[18-25]", A1311 &lt;= 35, "[26-35]", A1311 &lt;=45, "[36-45]", A1311 &lt;= 60, "[46- 60]")</f>
        <v>[26-35]</v>
      </c>
      <c r="C1311" s="3" t="s">
        <v>43</v>
      </c>
      <c r="D1311">
        <f t="shared" si="20"/>
        <v>0</v>
      </c>
      <c r="E1311" t="s">
        <v>36</v>
      </c>
      <c r="F1311" s="1">
        <v>572</v>
      </c>
      <c r="G1311" s="3" t="s">
        <v>37</v>
      </c>
      <c r="H1311" s="1">
        <v>10</v>
      </c>
      <c r="I1311" s="9" t="str" cm="1">
        <f t="array" ref="I1311">_xlfn.IFS(H1311 &lt;= 2, "[1-2] very close", H1311 &lt;= 10, "[3-10] close", H1311 &lt;= 20, "[11-20] moderate", H1311 &lt;= 30, "[21-30] far")</f>
        <v>[3-10] close</v>
      </c>
      <c r="J1311" s="1">
        <v>3</v>
      </c>
      <c r="K1311" s="3" t="s">
        <v>51</v>
      </c>
      <c r="L1311" s="1">
        <v>1</v>
      </c>
      <c r="M1311" s="1">
        <v>1836</v>
      </c>
      <c r="N1311" s="1">
        <v>3</v>
      </c>
      <c r="O1311" s="3" t="s">
        <v>46</v>
      </c>
      <c r="P1311" s="1">
        <v>46</v>
      </c>
      <c r="Q1311" s="1">
        <v>3</v>
      </c>
      <c r="R1311" s="1">
        <v>2</v>
      </c>
      <c r="S1311" s="3" t="s">
        <v>40</v>
      </c>
      <c r="T1311" s="1">
        <v>4</v>
      </c>
      <c r="U1311" s="3" t="s">
        <v>41</v>
      </c>
      <c r="V1311" s="4">
        <v>4684</v>
      </c>
      <c r="W1311" s="1">
        <v>9125</v>
      </c>
      <c r="X1311" s="1">
        <v>1</v>
      </c>
      <c r="Y1311" s="3" t="s">
        <v>42</v>
      </c>
      <c r="Z1311" s="3" t="s">
        <v>43</v>
      </c>
      <c r="AA1311" s="5">
        <v>0.13</v>
      </c>
      <c r="AB1311" s="10" t="str" cm="1">
        <f t="array" ref="AB1311">_xlfn.IFS(AA1311 &lt;= 15%, "Low Hike[11-15%]", AA1311 &lt;= 20%, "Moderate Hike[16-20%]", AA1311 &lt;= 25%,"High Hike[21-25%]")</f>
        <v>Low Hike[11-15%]</v>
      </c>
      <c r="AC1311" s="1">
        <v>3</v>
      </c>
      <c r="AD1311" s="1">
        <v>1</v>
      </c>
      <c r="AE1311" s="1">
        <v>80</v>
      </c>
      <c r="AF1311" s="1">
        <v>0</v>
      </c>
      <c r="AG1311" s="1">
        <v>5</v>
      </c>
      <c r="AH1311" s="9" t="str" cm="1">
        <f t="array" ref="AH1311">_xlfn.IFS(AG1311 &lt;= 5, "New[1-5]", AG1311 &lt;= 10, "Early Career[6-10]", AG1311 &lt;= 20, "Established[11-20]", AG1311 &lt;= 30, "Veteran[21-30]", AG1311 &lt;= 40, "Late Career[31-40]")</f>
        <v>New[1-5]</v>
      </c>
      <c r="AI1311" s="1">
        <v>4</v>
      </c>
      <c r="AJ1311" s="1">
        <v>3</v>
      </c>
      <c r="AK1311" s="1">
        <v>5</v>
      </c>
      <c r="AL1311" s="9" t="str" cm="1">
        <f t="array" ref="AL1311">_xlfn.IFS(AK1311 &lt;= 5, "New[1-5]", AK1311 &lt;= 10, "Early Career[6-10]", AK1311 &lt;= 20, "Established[11-20]", AK1311 &lt;= 30, "Veteran[21-30]", AK1311 &lt;= 40, "Late Career[31-40]")</f>
        <v>New[1-5]</v>
      </c>
      <c r="AM1311" s="1">
        <v>3</v>
      </c>
      <c r="AN1311" s="9" t="str" cm="1">
        <f t="array" ref="AN1311">_xlfn.IFS(AM1311 &lt;= 3, "New to Role[1-3]", AM1311 &lt;= 7, "Settled[4-7]", AM1311 &lt;= 12, "Experienced[[8-12]", AM1311 &lt;= 18, "Long Tenured[13-18]")</f>
        <v>New to Role[1-3]</v>
      </c>
      <c r="AO1311" s="1">
        <v>1</v>
      </c>
      <c r="AP1311" s="9" t="str" cm="1">
        <f t="array" ref="AP1311">_xlfn.IFS(AO1311 &lt;= 3, "Recently[1-3]", AO1311 &lt;= 6, "Due Soon[4-6]", AO1311 &lt;= 10, "Overdue[7-10]", AO1311 &lt;= 15, "Long Overdue[11-15]")</f>
        <v>Recently[1-3]</v>
      </c>
      <c r="AQ1311" s="9" t="str" cm="1">
        <f t="array" ref="AQ1311">_xlfn.IFS(AR1311 &lt;= 3, "New Relationship[1-3]", AR1311 &lt;= 7, "Established Relationship[4-7]", AR1311 &lt;= 12, "Long Term Relationship[8-12]", AR1311 &lt;= 17, "Very Long Term Relationship[13-17]")</f>
        <v>New Relationship[1-3]</v>
      </c>
      <c r="AR1311" s="1">
        <v>2</v>
      </c>
    </row>
    <row r="1312" spans="1:44" x14ac:dyDescent="0.25">
      <c r="A1312" s="1">
        <v>58</v>
      </c>
      <c r="B1312" s="8" t="str" cm="1">
        <f t="array" ref="B1312">_xlfn.IFS(A1312 &lt;= 25, "[18-25]", A1312 &lt;= 35, "[26-35]", A1312 &lt;=45, "[36-45]", A1312 &lt;= 60, "[46- 60]")</f>
        <v>[46- 60]</v>
      </c>
      <c r="C1312" s="3" t="s">
        <v>43</v>
      </c>
      <c r="D1312">
        <f t="shared" si="20"/>
        <v>0</v>
      </c>
      <c r="E1312" t="s">
        <v>44</v>
      </c>
      <c r="F1312" s="1">
        <v>1216</v>
      </c>
      <c r="G1312" s="3" t="s">
        <v>45</v>
      </c>
      <c r="H1312" s="1">
        <v>15</v>
      </c>
      <c r="I1312" s="9" t="str" cm="1">
        <f t="array" ref="I1312">_xlfn.IFS(H1312 &lt;= 2, "[1-2] very close", H1312 &lt;= 10, "[3-10] close", H1312 &lt;= 20, "[11-20] moderate", H1312 &lt;= 30, "[21-30] far")</f>
        <v>[11-20] moderate</v>
      </c>
      <c r="J1312" s="1">
        <v>4</v>
      </c>
      <c r="K1312" s="3" t="s">
        <v>38</v>
      </c>
      <c r="L1312" s="1">
        <v>1</v>
      </c>
      <c r="M1312" s="1">
        <v>1837</v>
      </c>
      <c r="N1312" s="1">
        <v>1</v>
      </c>
      <c r="O1312" s="3" t="s">
        <v>46</v>
      </c>
      <c r="P1312" s="1">
        <v>87</v>
      </c>
      <c r="Q1312" s="1">
        <v>3</v>
      </c>
      <c r="R1312" s="1">
        <v>4</v>
      </c>
      <c r="S1312" s="3" t="s">
        <v>58</v>
      </c>
      <c r="T1312" s="1">
        <v>3</v>
      </c>
      <c r="U1312" s="3" t="s">
        <v>48</v>
      </c>
      <c r="V1312" s="4">
        <v>15787</v>
      </c>
      <c r="W1312" s="1">
        <v>21624</v>
      </c>
      <c r="X1312" s="1">
        <v>2</v>
      </c>
      <c r="Y1312" s="3" t="s">
        <v>42</v>
      </c>
      <c r="Z1312" s="3" t="s">
        <v>35</v>
      </c>
      <c r="AA1312" s="5">
        <v>0.14000000000000001</v>
      </c>
      <c r="AB1312" s="10" t="str" cm="1">
        <f t="array" ref="AB1312">_xlfn.IFS(AA1312 &lt;= 15%, "Low Hike[11-15%]", AA1312 &lt;= 20%, "Moderate Hike[16-20%]", AA1312 &lt;= 25%,"High Hike[21-25%]")</f>
        <v>Low Hike[11-15%]</v>
      </c>
      <c r="AC1312" s="1">
        <v>3</v>
      </c>
      <c r="AD1312" s="1">
        <v>2</v>
      </c>
      <c r="AE1312" s="1">
        <v>80</v>
      </c>
      <c r="AF1312" s="1">
        <v>0</v>
      </c>
      <c r="AG1312" s="1">
        <v>23</v>
      </c>
      <c r="AH1312" s="9" t="str" cm="1">
        <f t="array" ref="AH1312">_xlfn.IFS(AG1312 &lt;= 5, "New[1-5]", AG1312 &lt;= 10, "Early Career[6-10]", AG1312 &lt;= 20, "Established[11-20]", AG1312 &lt;= 30, "Veteran[21-30]", AG1312 &lt;= 40, "Late Career[31-40]")</f>
        <v>Veteran[21-30]</v>
      </c>
      <c r="AI1312" s="1">
        <v>3</v>
      </c>
      <c r="AJ1312" s="1">
        <v>3</v>
      </c>
      <c r="AK1312" s="1">
        <v>2</v>
      </c>
      <c r="AL1312" s="9" t="str" cm="1">
        <f t="array" ref="AL1312">_xlfn.IFS(AK1312 &lt;= 5, "New[1-5]", AK1312 &lt;= 10, "Early Career[6-10]", AK1312 &lt;= 20, "Established[11-20]", AK1312 &lt;= 30, "Veteran[21-30]", AK1312 &lt;= 40, "Late Career[31-40]")</f>
        <v>New[1-5]</v>
      </c>
      <c r="AM1312" s="1">
        <v>2</v>
      </c>
      <c r="AN1312" s="9" t="str" cm="1">
        <f t="array" ref="AN1312">_xlfn.IFS(AM1312 &lt;= 3, "New to Role[1-3]", AM1312 &lt;= 7, "Settled[4-7]", AM1312 &lt;= 12, "Experienced[[8-12]", AM1312 &lt;= 18, "Long Tenured[13-18]")</f>
        <v>New to Role[1-3]</v>
      </c>
      <c r="AO1312" s="1">
        <v>2</v>
      </c>
      <c r="AP1312" s="9" t="str" cm="1">
        <f t="array" ref="AP1312">_xlfn.IFS(AO1312 &lt;= 3, "Recently[1-3]", AO1312 &lt;= 6, "Due Soon[4-6]", AO1312 &lt;= 10, "Overdue[7-10]", AO1312 &lt;= 15, "Long Overdue[11-15]")</f>
        <v>Recently[1-3]</v>
      </c>
      <c r="AQ1312" s="9" t="str" cm="1">
        <f t="array" ref="AQ1312">_xlfn.IFS(AR1312 &lt;= 3, "New Relationship[1-3]", AR1312 &lt;= 7, "Established Relationship[4-7]", AR1312 &lt;= 12, "Long Term Relationship[8-12]", AR1312 &lt;= 17, "Very Long Term Relationship[13-17]")</f>
        <v>New Relationship[1-3]</v>
      </c>
      <c r="AR1312" s="1">
        <v>2</v>
      </c>
    </row>
    <row r="1313" spans="1:44" x14ac:dyDescent="0.25">
      <c r="A1313" s="1">
        <v>18</v>
      </c>
      <c r="B1313" s="8" t="str" cm="1">
        <f t="array" ref="B1313">_xlfn.IFS(A1313 &lt;= 25, "[18-25]", A1313 &lt;= 35, "[26-35]", A1313 &lt;=45, "[36-45]", A1313 &lt;= 60, "[46- 60]")</f>
        <v>[18-25]</v>
      </c>
      <c r="C1313" s="3" t="s">
        <v>43</v>
      </c>
      <c r="D1313">
        <f t="shared" si="20"/>
        <v>0</v>
      </c>
      <c r="E1313" t="s">
        <v>62</v>
      </c>
      <c r="F1313" s="1">
        <v>1431</v>
      </c>
      <c r="G1313" s="3" t="s">
        <v>45</v>
      </c>
      <c r="H1313" s="1">
        <v>14</v>
      </c>
      <c r="I1313" s="9" t="str" cm="1">
        <f t="array" ref="I1313">_xlfn.IFS(H1313 &lt;= 2, "[1-2] very close", H1313 &lt;= 10, "[3-10] close", H1313 &lt;= 20, "[11-20] moderate", H1313 &lt;= 30, "[21-30] far")</f>
        <v>[11-20] moderate</v>
      </c>
      <c r="J1313" s="1">
        <v>3</v>
      </c>
      <c r="K1313" s="3" t="s">
        <v>51</v>
      </c>
      <c r="L1313" s="1">
        <v>1</v>
      </c>
      <c r="M1313" s="1">
        <v>1839</v>
      </c>
      <c r="N1313" s="1">
        <v>2</v>
      </c>
      <c r="O1313" s="3" t="s">
        <v>39</v>
      </c>
      <c r="P1313" s="1">
        <v>33</v>
      </c>
      <c r="Q1313" s="1">
        <v>3</v>
      </c>
      <c r="R1313" s="1">
        <v>1</v>
      </c>
      <c r="S1313" s="3" t="s">
        <v>47</v>
      </c>
      <c r="T1313" s="1">
        <v>3</v>
      </c>
      <c r="U1313" s="3" t="s">
        <v>41</v>
      </c>
      <c r="V1313" s="4">
        <v>1514</v>
      </c>
      <c r="W1313" s="1">
        <v>8018</v>
      </c>
      <c r="X1313" s="1">
        <v>1</v>
      </c>
      <c r="Y1313" s="3" t="s">
        <v>42</v>
      </c>
      <c r="Z1313" s="3" t="s">
        <v>43</v>
      </c>
      <c r="AA1313" s="5">
        <v>0.16</v>
      </c>
      <c r="AB1313" s="10" t="str" cm="1">
        <f t="array" ref="AB1313">_xlfn.IFS(AA1313 &lt;= 15%, "Low Hike[11-15%]", AA1313 &lt;= 20%, "Moderate Hike[16-20%]", AA1313 &lt;= 25%,"High Hike[21-25%]")</f>
        <v>Moderate Hike[16-20%]</v>
      </c>
      <c r="AC1313" s="1">
        <v>3</v>
      </c>
      <c r="AD1313" s="1">
        <v>3</v>
      </c>
      <c r="AE1313" s="1">
        <v>80</v>
      </c>
      <c r="AF1313" s="1">
        <v>0</v>
      </c>
      <c r="AG1313" s="1">
        <v>0</v>
      </c>
      <c r="AH1313" s="9" t="str" cm="1">
        <f t="array" ref="AH1313">_xlfn.IFS(AG1313 &lt;= 5, "New[1-5]", AG1313 &lt;= 10, "Early Career[6-10]", AG1313 &lt;= 20, "Established[11-20]", AG1313 &lt;= 30, "Veteran[21-30]", AG1313 &lt;= 40, "Late Career[31-40]")</f>
        <v>New[1-5]</v>
      </c>
      <c r="AI1313" s="1">
        <v>4</v>
      </c>
      <c r="AJ1313" s="1">
        <v>1</v>
      </c>
      <c r="AK1313" s="1">
        <v>0</v>
      </c>
      <c r="AL1313" s="9" t="str" cm="1">
        <f t="array" ref="AL1313">_xlfn.IFS(AK1313 &lt;= 5, "New[1-5]", AK1313 &lt;= 10, "Early Career[6-10]", AK1313 &lt;= 20, "Established[11-20]", AK1313 &lt;= 30, "Veteran[21-30]", AK1313 &lt;= 40, "Late Career[31-40]")</f>
        <v>New[1-5]</v>
      </c>
      <c r="AM1313" s="1">
        <v>0</v>
      </c>
      <c r="AN1313" s="9" t="str" cm="1">
        <f t="array" ref="AN1313">_xlfn.IFS(AM1313 &lt;= 3, "New to Role[1-3]", AM1313 &lt;= 7, "Settled[4-7]", AM1313 &lt;= 12, "Experienced[[8-12]", AM1313 &lt;= 18, "Long Tenured[13-18]")</f>
        <v>New to Role[1-3]</v>
      </c>
      <c r="AO1313" s="1">
        <v>0</v>
      </c>
      <c r="AP1313" s="9" t="str" cm="1">
        <f t="array" ref="AP1313">_xlfn.IFS(AO1313 &lt;= 3, "Recently[1-3]", AO1313 &lt;= 6, "Due Soon[4-6]", AO1313 &lt;= 10, "Overdue[7-10]", AO1313 &lt;= 15, "Long Overdue[11-15]")</f>
        <v>Recently[1-3]</v>
      </c>
      <c r="AQ1313" s="9" t="str" cm="1">
        <f t="array" ref="AQ1313">_xlfn.IFS(AR1313 &lt;= 3, "New Relationship[1-3]", AR1313 &lt;= 7, "Established Relationship[4-7]", AR1313 &lt;= 12, "Long Term Relationship[8-12]", AR1313 &lt;= 17, "Very Long Term Relationship[13-17]")</f>
        <v>New Relationship[1-3]</v>
      </c>
      <c r="AR1313" s="1">
        <v>0</v>
      </c>
    </row>
    <row r="1314" spans="1:44" x14ac:dyDescent="0.25">
      <c r="A1314" s="1">
        <v>31</v>
      </c>
      <c r="B1314" s="8" t="str" cm="1">
        <f t="array" ref="B1314">_xlfn.IFS(A1314 &lt;= 25, "[18-25]", A1314 &lt;= 35, "[26-35]", A1314 &lt;=45, "[36-45]", A1314 &lt;= 60, "[46- 60]")</f>
        <v>[26-35]</v>
      </c>
      <c r="C1314" s="3" t="s">
        <v>35</v>
      </c>
      <c r="D1314">
        <f t="shared" si="20"/>
        <v>1</v>
      </c>
      <c r="E1314" t="s">
        <v>36</v>
      </c>
      <c r="F1314" s="1">
        <v>359</v>
      </c>
      <c r="G1314" s="3" t="s">
        <v>61</v>
      </c>
      <c r="H1314" s="1">
        <v>18</v>
      </c>
      <c r="I1314" s="9" t="str" cm="1">
        <f t="array" ref="I1314">_xlfn.IFS(H1314 &lt;= 2, "[1-2] very close", H1314 &lt;= 10, "[3-10] close", H1314 &lt;= 20, "[11-20] moderate", H1314 &lt;= 30, "[21-30] far")</f>
        <v>[11-20] moderate</v>
      </c>
      <c r="J1314" s="1">
        <v>5</v>
      </c>
      <c r="K1314" s="3" t="s">
        <v>61</v>
      </c>
      <c r="L1314" s="1">
        <v>1</v>
      </c>
      <c r="M1314" s="1">
        <v>1842</v>
      </c>
      <c r="N1314" s="1">
        <v>4</v>
      </c>
      <c r="O1314" s="3" t="s">
        <v>46</v>
      </c>
      <c r="P1314" s="1">
        <v>89</v>
      </c>
      <c r="Q1314" s="1">
        <v>4</v>
      </c>
      <c r="R1314" s="1">
        <v>1</v>
      </c>
      <c r="S1314" s="3" t="s">
        <v>61</v>
      </c>
      <c r="T1314" s="1">
        <v>1</v>
      </c>
      <c r="U1314" s="3" t="s">
        <v>48</v>
      </c>
      <c r="V1314" s="4">
        <v>2956</v>
      </c>
      <c r="W1314" s="1">
        <v>21495</v>
      </c>
      <c r="X1314" s="1">
        <v>0</v>
      </c>
      <c r="Y1314" s="3" t="s">
        <v>42</v>
      </c>
      <c r="Z1314" s="3" t="s">
        <v>43</v>
      </c>
      <c r="AA1314" s="5">
        <v>0.17</v>
      </c>
      <c r="AB1314" s="10" t="str" cm="1">
        <f t="array" ref="AB1314">_xlfn.IFS(AA1314 &lt;= 15%, "Low Hike[11-15%]", AA1314 &lt;= 20%, "Moderate Hike[16-20%]", AA1314 &lt;= 25%,"High Hike[21-25%]")</f>
        <v>Moderate Hike[16-20%]</v>
      </c>
      <c r="AC1314" s="1">
        <v>3</v>
      </c>
      <c r="AD1314" s="1">
        <v>3</v>
      </c>
      <c r="AE1314" s="1">
        <v>80</v>
      </c>
      <c r="AF1314" s="1">
        <v>0</v>
      </c>
      <c r="AG1314" s="1">
        <v>2</v>
      </c>
      <c r="AH1314" s="9" t="str" cm="1">
        <f t="array" ref="AH1314">_xlfn.IFS(AG1314 &lt;= 5, "New[1-5]", AG1314 &lt;= 10, "Early Career[6-10]", AG1314 &lt;= 20, "Established[11-20]", AG1314 &lt;= 30, "Veteran[21-30]", AG1314 &lt;= 40, "Late Career[31-40]")</f>
        <v>New[1-5]</v>
      </c>
      <c r="AI1314" s="1">
        <v>4</v>
      </c>
      <c r="AJ1314" s="1">
        <v>3</v>
      </c>
      <c r="AK1314" s="1">
        <v>1</v>
      </c>
      <c r="AL1314" s="9" t="str" cm="1">
        <f t="array" ref="AL1314">_xlfn.IFS(AK1314 &lt;= 5, "New[1-5]", AK1314 &lt;= 10, "Early Career[6-10]", AK1314 &lt;= 20, "Established[11-20]", AK1314 &lt;= 30, "Veteran[21-30]", AK1314 &lt;= 40, "Late Career[31-40]")</f>
        <v>New[1-5]</v>
      </c>
      <c r="AM1314" s="1">
        <v>0</v>
      </c>
      <c r="AN1314" s="9" t="str" cm="1">
        <f t="array" ref="AN1314">_xlfn.IFS(AM1314 &lt;= 3, "New to Role[1-3]", AM1314 &lt;= 7, "Settled[4-7]", AM1314 &lt;= 12, "Experienced[[8-12]", AM1314 &lt;= 18, "Long Tenured[13-18]")</f>
        <v>New to Role[1-3]</v>
      </c>
      <c r="AO1314" s="1">
        <v>0</v>
      </c>
      <c r="AP1314" s="9" t="str" cm="1">
        <f t="array" ref="AP1314">_xlfn.IFS(AO1314 &lt;= 3, "Recently[1-3]", AO1314 &lt;= 6, "Due Soon[4-6]", AO1314 &lt;= 10, "Overdue[7-10]", AO1314 &lt;= 15, "Long Overdue[11-15]")</f>
        <v>Recently[1-3]</v>
      </c>
      <c r="AQ1314" s="9" t="str" cm="1">
        <f t="array" ref="AQ1314">_xlfn.IFS(AR1314 &lt;= 3, "New Relationship[1-3]", AR1314 &lt;= 7, "Established Relationship[4-7]", AR1314 &lt;= 12, "Long Term Relationship[8-12]", AR1314 &lt;= 17, "Very Long Term Relationship[13-17]")</f>
        <v>New Relationship[1-3]</v>
      </c>
      <c r="AR1314" s="1">
        <v>0</v>
      </c>
    </row>
    <row r="1315" spans="1:44" x14ac:dyDescent="0.25">
      <c r="A1315" s="1">
        <v>29</v>
      </c>
      <c r="B1315" s="8" t="str" cm="1">
        <f t="array" ref="B1315">_xlfn.IFS(A1315 &lt;= 25, "[18-25]", A1315 &lt;= 35, "[26-35]", A1315 &lt;=45, "[36-45]", A1315 &lt;= 60, "[46- 60]")</f>
        <v>[26-35]</v>
      </c>
      <c r="C1315" s="3" t="s">
        <v>35</v>
      </c>
      <c r="D1315">
        <f t="shared" si="20"/>
        <v>1</v>
      </c>
      <c r="E1315" t="s">
        <v>36</v>
      </c>
      <c r="F1315" s="1">
        <v>350</v>
      </c>
      <c r="G1315" s="3" t="s">
        <v>61</v>
      </c>
      <c r="H1315" s="1">
        <v>13</v>
      </c>
      <c r="I1315" s="9" t="str" cm="1">
        <f t="array" ref="I1315">_xlfn.IFS(H1315 &lt;= 2, "[1-2] very close", H1315 &lt;= 10, "[3-10] close", H1315 &lt;= 20, "[11-20] moderate", H1315 &lt;= 30, "[21-30] far")</f>
        <v>[11-20] moderate</v>
      </c>
      <c r="J1315" s="1">
        <v>3</v>
      </c>
      <c r="K1315" s="3" t="s">
        <v>61</v>
      </c>
      <c r="L1315" s="1">
        <v>1</v>
      </c>
      <c r="M1315" s="1">
        <v>1844</v>
      </c>
      <c r="N1315" s="1">
        <v>1</v>
      </c>
      <c r="O1315" s="3" t="s">
        <v>46</v>
      </c>
      <c r="P1315" s="1">
        <v>56</v>
      </c>
      <c r="Q1315" s="1">
        <v>2</v>
      </c>
      <c r="R1315" s="1">
        <v>1</v>
      </c>
      <c r="S1315" s="3" t="s">
        <v>61</v>
      </c>
      <c r="T1315" s="1">
        <v>1</v>
      </c>
      <c r="U1315" s="3" t="s">
        <v>52</v>
      </c>
      <c r="V1315" s="4">
        <v>2335</v>
      </c>
      <c r="W1315" s="1">
        <v>3157</v>
      </c>
      <c r="X1315" s="1">
        <v>4</v>
      </c>
      <c r="Y1315" s="3" t="s">
        <v>42</v>
      </c>
      <c r="Z1315" s="3" t="s">
        <v>35</v>
      </c>
      <c r="AA1315" s="5">
        <v>0.15</v>
      </c>
      <c r="AB1315" s="10" t="str" cm="1">
        <f t="array" ref="AB1315">_xlfn.IFS(AA1315 &lt;= 15%, "Low Hike[11-15%]", AA1315 &lt;= 20%, "Moderate Hike[16-20%]", AA1315 &lt;= 25%,"High Hike[21-25%]")</f>
        <v>Low Hike[11-15%]</v>
      </c>
      <c r="AC1315" s="1">
        <v>3</v>
      </c>
      <c r="AD1315" s="1">
        <v>4</v>
      </c>
      <c r="AE1315" s="1">
        <v>80</v>
      </c>
      <c r="AF1315" s="1">
        <v>3</v>
      </c>
      <c r="AG1315" s="1">
        <v>4</v>
      </c>
      <c r="AH1315" s="9" t="str" cm="1">
        <f t="array" ref="AH1315">_xlfn.IFS(AG1315 &lt;= 5, "New[1-5]", AG1315 &lt;= 10, "Early Career[6-10]", AG1315 &lt;= 20, "Established[11-20]", AG1315 &lt;= 30, "Veteran[21-30]", AG1315 &lt;= 40, "Late Career[31-40]")</f>
        <v>New[1-5]</v>
      </c>
      <c r="AI1315" s="1">
        <v>3</v>
      </c>
      <c r="AJ1315" s="1">
        <v>3</v>
      </c>
      <c r="AK1315" s="1">
        <v>2</v>
      </c>
      <c r="AL1315" s="9" t="str" cm="1">
        <f t="array" ref="AL1315">_xlfn.IFS(AK1315 &lt;= 5, "New[1-5]", AK1315 &lt;= 10, "Early Career[6-10]", AK1315 &lt;= 20, "Established[11-20]", AK1315 &lt;= 30, "Veteran[21-30]", AK1315 &lt;= 40, "Late Career[31-40]")</f>
        <v>New[1-5]</v>
      </c>
      <c r="AM1315" s="1">
        <v>2</v>
      </c>
      <c r="AN1315" s="9" t="str" cm="1">
        <f t="array" ref="AN1315">_xlfn.IFS(AM1315 &lt;= 3, "New to Role[1-3]", AM1315 &lt;= 7, "Settled[4-7]", AM1315 &lt;= 12, "Experienced[[8-12]", AM1315 &lt;= 18, "Long Tenured[13-18]")</f>
        <v>New to Role[1-3]</v>
      </c>
      <c r="AO1315" s="1">
        <v>2</v>
      </c>
      <c r="AP1315" s="9" t="str" cm="1">
        <f t="array" ref="AP1315">_xlfn.IFS(AO1315 &lt;= 3, "Recently[1-3]", AO1315 &lt;= 6, "Due Soon[4-6]", AO1315 &lt;= 10, "Overdue[7-10]", AO1315 &lt;= 15, "Long Overdue[11-15]")</f>
        <v>Recently[1-3]</v>
      </c>
      <c r="AQ1315" s="9" t="str" cm="1">
        <f t="array" ref="AQ1315">_xlfn.IFS(AR1315 &lt;= 3, "New Relationship[1-3]", AR1315 &lt;= 7, "Established Relationship[4-7]", AR1315 &lt;= 12, "Long Term Relationship[8-12]", AR1315 &lt;= 17, "Very Long Term Relationship[13-17]")</f>
        <v>New Relationship[1-3]</v>
      </c>
      <c r="AR1315" s="1">
        <v>0</v>
      </c>
    </row>
    <row r="1316" spans="1:44" x14ac:dyDescent="0.25">
      <c r="A1316" s="1">
        <v>45</v>
      </c>
      <c r="B1316" s="8" t="str" cm="1">
        <f t="array" ref="B1316">_xlfn.IFS(A1316 &lt;= 25, "[18-25]", A1316 &lt;= 35, "[26-35]", A1316 &lt;=45, "[36-45]", A1316 &lt;= 60, "[46- 60]")</f>
        <v>[36-45]</v>
      </c>
      <c r="C1316" s="3" t="s">
        <v>43</v>
      </c>
      <c r="D1316">
        <f t="shared" si="20"/>
        <v>0</v>
      </c>
      <c r="E1316" t="s">
        <v>62</v>
      </c>
      <c r="F1316" s="1">
        <v>589</v>
      </c>
      <c r="G1316" s="3" t="s">
        <v>37</v>
      </c>
      <c r="H1316" s="1">
        <v>2</v>
      </c>
      <c r="I1316" s="9" t="str" cm="1">
        <f t="array" ref="I1316">_xlfn.IFS(H1316 &lt;= 2, "[1-2] very close", H1316 &lt;= 10, "[3-10] close", H1316 &lt;= 20, "[11-20] moderate", H1316 &lt;= 30, "[21-30] far")</f>
        <v>[1-2] very close</v>
      </c>
      <c r="J1316" s="1">
        <v>4</v>
      </c>
      <c r="K1316" s="3" t="s">
        <v>38</v>
      </c>
      <c r="L1316" s="1">
        <v>1</v>
      </c>
      <c r="M1316" s="1">
        <v>1845</v>
      </c>
      <c r="N1316" s="1">
        <v>3</v>
      </c>
      <c r="O1316" s="3" t="s">
        <v>39</v>
      </c>
      <c r="P1316" s="1">
        <v>67</v>
      </c>
      <c r="Q1316" s="1">
        <v>3</v>
      </c>
      <c r="R1316" s="1">
        <v>2</v>
      </c>
      <c r="S1316" s="3" t="s">
        <v>40</v>
      </c>
      <c r="T1316" s="1">
        <v>3</v>
      </c>
      <c r="U1316" s="3" t="s">
        <v>48</v>
      </c>
      <c r="V1316" s="4">
        <v>5154</v>
      </c>
      <c r="W1316" s="1">
        <v>19665</v>
      </c>
      <c r="X1316" s="1">
        <v>4</v>
      </c>
      <c r="Y1316" s="3" t="s">
        <v>42</v>
      </c>
      <c r="Z1316" s="3" t="s">
        <v>43</v>
      </c>
      <c r="AA1316" s="5">
        <v>0.22</v>
      </c>
      <c r="AB1316" s="10" t="str" cm="1">
        <f t="array" ref="AB1316">_xlfn.IFS(AA1316 &lt;= 15%, "Low Hike[11-15%]", AA1316 &lt;= 20%, "Moderate Hike[16-20%]", AA1316 &lt;= 25%,"High Hike[21-25%]")</f>
        <v>High Hike[21-25%]</v>
      </c>
      <c r="AC1316" s="1">
        <v>4</v>
      </c>
      <c r="AD1316" s="1">
        <v>2</v>
      </c>
      <c r="AE1316" s="1">
        <v>80</v>
      </c>
      <c r="AF1316" s="1">
        <v>2</v>
      </c>
      <c r="AG1316" s="1">
        <v>10</v>
      </c>
      <c r="AH1316" s="9" t="str" cm="1">
        <f t="array" ref="AH1316">_xlfn.IFS(AG1316 &lt;= 5, "New[1-5]", AG1316 &lt;= 10, "Early Career[6-10]", AG1316 &lt;= 20, "Established[11-20]", AG1316 &lt;= 30, "Veteran[21-30]", AG1316 &lt;= 40, "Late Career[31-40]")</f>
        <v>Early Career[6-10]</v>
      </c>
      <c r="AI1316" s="1">
        <v>3</v>
      </c>
      <c r="AJ1316" s="1">
        <v>4</v>
      </c>
      <c r="AK1316" s="1">
        <v>8</v>
      </c>
      <c r="AL1316" s="9" t="str" cm="1">
        <f t="array" ref="AL1316">_xlfn.IFS(AK1316 &lt;= 5, "New[1-5]", AK1316 &lt;= 10, "Early Career[6-10]", AK1316 &lt;= 20, "Established[11-20]", AK1316 &lt;= 30, "Veteran[21-30]", AK1316 &lt;= 40, "Late Career[31-40]")</f>
        <v>Early Career[6-10]</v>
      </c>
      <c r="AM1316" s="1">
        <v>7</v>
      </c>
      <c r="AN1316" s="9" t="str" cm="1">
        <f t="array" ref="AN1316">_xlfn.IFS(AM1316 &lt;= 3, "New to Role[1-3]", AM1316 &lt;= 7, "Settled[4-7]", AM1316 &lt;= 12, "Experienced[[8-12]", AM1316 &lt;= 18, "Long Tenured[13-18]")</f>
        <v>Settled[4-7]</v>
      </c>
      <c r="AO1316" s="1">
        <v>5</v>
      </c>
      <c r="AP1316" s="9" t="str" cm="1">
        <f t="array" ref="AP1316">_xlfn.IFS(AO1316 &lt;= 3, "Recently[1-3]", AO1316 &lt;= 6, "Due Soon[4-6]", AO1316 &lt;= 10, "Overdue[7-10]", AO1316 &lt;= 15, "Long Overdue[11-15]")</f>
        <v>Due Soon[4-6]</v>
      </c>
      <c r="AQ1316" s="9" t="str" cm="1">
        <f t="array" ref="AQ1316">_xlfn.IFS(AR1316 &lt;= 3, "New Relationship[1-3]", AR1316 &lt;= 7, "Established Relationship[4-7]", AR1316 &lt;= 12, "Long Term Relationship[8-12]", AR1316 &lt;= 17, "Very Long Term Relationship[13-17]")</f>
        <v>Established Relationship[4-7]</v>
      </c>
      <c r="AR1316" s="1">
        <v>7</v>
      </c>
    </row>
    <row r="1317" spans="1:44" x14ac:dyDescent="0.25">
      <c r="A1317" s="1">
        <v>36</v>
      </c>
      <c r="B1317" s="8" t="str" cm="1">
        <f t="array" ref="B1317">_xlfn.IFS(A1317 &lt;= 25, "[18-25]", A1317 &lt;= 35, "[26-35]", A1317 &lt;=45, "[36-45]", A1317 &lt;= 60, "[46- 60]")</f>
        <v>[36-45]</v>
      </c>
      <c r="C1317" s="3" t="s">
        <v>43</v>
      </c>
      <c r="D1317">
        <f t="shared" si="20"/>
        <v>0</v>
      </c>
      <c r="E1317" t="s">
        <v>36</v>
      </c>
      <c r="F1317" s="1">
        <v>430</v>
      </c>
      <c r="G1317" s="3" t="s">
        <v>45</v>
      </c>
      <c r="H1317" s="1">
        <v>2</v>
      </c>
      <c r="I1317" s="9" t="str" cm="1">
        <f t="array" ref="I1317">_xlfn.IFS(H1317 &lt;= 2, "[1-2] very close", H1317 &lt;= 10, "[3-10] close", H1317 &lt;= 20, "[11-20] moderate", H1317 &lt;= 30, "[21-30] far")</f>
        <v>[1-2] very close</v>
      </c>
      <c r="J1317" s="1">
        <v>4</v>
      </c>
      <c r="K1317" s="3" t="s">
        <v>49</v>
      </c>
      <c r="L1317" s="1">
        <v>1</v>
      </c>
      <c r="M1317" s="1">
        <v>1847</v>
      </c>
      <c r="N1317" s="1">
        <v>4</v>
      </c>
      <c r="O1317" s="3" t="s">
        <v>39</v>
      </c>
      <c r="P1317" s="1">
        <v>73</v>
      </c>
      <c r="Q1317" s="1">
        <v>3</v>
      </c>
      <c r="R1317" s="1">
        <v>2</v>
      </c>
      <c r="S1317" s="3" t="s">
        <v>47</v>
      </c>
      <c r="T1317" s="1">
        <v>2</v>
      </c>
      <c r="U1317" s="3" t="s">
        <v>48</v>
      </c>
      <c r="V1317" s="4">
        <v>6962</v>
      </c>
      <c r="W1317" s="1">
        <v>19573</v>
      </c>
      <c r="X1317" s="1">
        <v>4</v>
      </c>
      <c r="Y1317" s="3" t="s">
        <v>42</v>
      </c>
      <c r="Z1317" s="3" t="s">
        <v>35</v>
      </c>
      <c r="AA1317" s="5">
        <v>0.22</v>
      </c>
      <c r="AB1317" s="10" t="str" cm="1">
        <f t="array" ref="AB1317">_xlfn.IFS(AA1317 &lt;= 15%, "Low Hike[11-15%]", AA1317 &lt;= 20%, "Moderate Hike[16-20%]", AA1317 &lt;= 25%,"High Hike[21-25%]")</f>
        <v>High Hike[21-25%]</v>
      </c>
      <c r="AC1317" s="1">
        <v>4</v>
      </c>
      <c r="AD1317" s="1">
        <v>4</v>
      </c>
      <c r="AE1317" s="1">
        <v>80</v>
      </c>
      <c r="AF1317" s="1">
        <v>1</v>
      </c>
      <c r="AG1317" s="1">
        <v>15</v>
      </c>
      <c r="AH1317" s="9" t="str" cm="1">
        <f t="array" ref="AH1317">_xlfn.IFS(AG1317 &lt;= 5, "New[1-5]", AG1317 &lt;= 10, "Early Career[6-10]", AG1317 &lt;= 20, "Established[11-20]", AG1317 &lt;= 30, "Veteran[21-30]", AG1317 &lt;= 40, "Late Career[31-40]")</f>
        <v>Established[11-20]</v>
      </c>
      <c r="AI1317" s="1">
        <v>2</v>
      </c>
      <c r="AJ1317" s="1">
        <v>3</v>
      </c>
      <c r="AK1317" s="1">
        <v>1</v>
      </c>
      <c r="AL1317" s="9" t="str" cm="1">
        <f t="array" ref="AL1317">_xlfn.IFS(AK1317 &lt;= 5, "New[1-5]", AK1317 &lt;= 10, "Early Career[6-10]", AK1317 &lt;= 20, "Established[11-20]", AK1317 &lt;= 30, "Veteran[21-30]", AK1317 &lt;= 40, "Late Career[31-40]")</f>
        <v>New[1-5]</v>
      </c>
      <c r="AM1317" s="1">
        <v>0</v>
      </c>
      <c r="AN1317" s="9" t="str" cm="1">
        <f t="array" ref="AN1317">_xlfn.IFS(AM1317 &lt;= 3, "New to Role[1-3]", AM1317 &lt;= 7, "Settled[4-7]", AM1317 &lt;= 12, "Experienced[[8-12]", AM1317 &lt;= 18, "Long Tenured[13-18]")</f>
        <v>New to Role[1-3]</v>
      </c>
      <c r="AO1317" s="1">
        <v>0</v>
      </c>
      <c r="AP1317" s="9" t="str" cm="1">
        <f t="array" ref="AP1317">_xlfn.IFS(AO1317 &lt;= 3, "Recently[1-3]", AO1317 &lt;= 6, "Due Soon[4-6]", AO1317 &lt;= 10, "Overdue[7-10]", AO1317 &lt;= 15, "Long Overdue[11-15]")</f>
        <v>Recently[1-3]</v>
      </c>
      <c r="AQ1317" s="9" t="str" cm="1">
        <f t="array" ref="AQ1317">_xlfn.IFS(AR1317 &lt;= 3, "New Relationship[1-3]", AR1317 &lt;= 7, "Established Relationship[4-7]", AR1317 &lt;= 12, "Long Term Relationship[8-12]", AR1317 &lt;= 17, "Very Long Term Relationship[13-17]")</f>
        <v>New Relationship[1-3]</v>
      </c>
      <c r="AR1317" s="1">
        <v>0</v>
      </c>
    </row>
    <row r="1318" spans="1:44" x14ac:dyDescent="0.25">
      <c r="A1318" s="1">
        <v>43</v>
      </c>
      <c r="B1318" s="8" t="str" cm="1">
        <f t="array" ref="B1318">_xlfn.IFS(A1318 &lt;= 25, "[18-25]", A1318 &lt;= 35, "[26-35]", A1318 &lt;=45, "[36-45]", A1318 &lt;= 60, "[46- 60]")</f>
        <v>[36-45]</v>
      </c>
      <c r="C1318" s="3" t="s">
        <v>43</v>
      </c>
      <c r="D1318">
        <f t="shared" si="20"/>
        <v>0</v>
      </c>
      <c r="E1318" t="s">
        <v>44</v>
      </c>
      <c r="F1318" s="1">
        <v>1422</v>
      </c>
      <c r="G1318" s="3" t="s">
        <v>37</v>
      </c>
      <c r="H1318" s="1">
        <v>2</v>
      </c>
      <c r="I1318" s="9" t="str" cm="1">
        <f t="array" ref="I1318">_xlfn.IFS(H1318 &lt;= 2, "[1-2] very close", H1318 &lt;= 10, "[3-10] close", H1318 &lt;= 20, "[11-20] moderate", H1318 &lt;= 30, "[21-30] far")</f>
        <v>[1-2] very close</v>
      </c>
      <c r="J1318" s="1">
        <v>4</v>
      </c>
      <c r="K1318" s="3" t="s">
        <v>38</v>
      </c>
      <c r="L1318" s="1">
        <v>1</v>
      </c>
      <c r="M1318" s="1">
        <v>1849</v>
      </c>
      <c r="N1318" s="1">
        <v>1</v>
      </c>
      <c r="O1318" s="3" t="s">
        <v>46</v>
      </c>
      <c r="P1318" s="1">
        <v>92</v>
      </c>
      <c r="Q1318" s="1">
        <v>3</v>
      </c>
      <c r="R1318" s="1">
        <v>2</v>
      </c>
      <c r="S1318" s="3" t="s">
        <v>40</v>
      </c>
      <c r="T1318" s="1">
        <v>4</v>
      </c>
      <c r="U1318" s="3" t="s">
        <v>48</v>
      </c>
      <c r="V1318" s="4">
        <v>5675</v>
      </c>
      <c r="W1318" s="1">
        <v>19246</v>
      </c>
      <c r="X1318" s="1">
        <v>1</v>
      </c>
      <c r="Y1318" s="3" t="s">
        <v>42</v>
      </c>
      <c r="Z1318" s="3" t="s">
        <v>43</v>
      </c>
      <c r="AA1318" s="5">
        <v>0.2</v>
      </c>
      <c r="AB1318" s="10" t="str" cm="1">
        <f t="array" ref="AB1318">_xlfn.IFS(AA1318 &lt;= 15%, "Low Hike[11-15%]", AA1318 &lt;= 20%, "Moderate Hike[16-20%]", AA1318 &lt;= 25%,"High Hike[21-25%]")</f>
        <v>Moderate Hike[16-20%]</v>
      </c>
      <c r="AC1318" s="1">
        <v>4</v>
      </c>
      <c r="AD1318" s="1">
        <v>3</v>
      </c>
      <c r="AE1318" s="1">
        <v>80</v>
      </c>
      <c r="AF1318" s="1">
        <v>1</v>
      </c>
      <c r="AG1318" s="1">
        <v>7</v>
      </c>
      <c r="AH1318" s="9" t="str" cm="1">
        <f t="array" ref="AH1318">_xlfn.IFS(AG1318 &lt;= 5, "New[1-5]", AG1318 &lt;= 10, "Early Career[6-10]", AG1318 &lt;= 20, "Established[11-20]", AG1318 &lt;= 30, "Veteran[21-30]", AG1318 &lt;= 40, "Late Career[31-40]")</f>
        <v>Early Career[6-10]</v>
      </c>
      <c r="AI1318" s="1">
        <v>5</v>
      </c>
      <c r="AJ1318" s="1">
        <v>3</v>
      </c>
      <c r="AK1318" s="1">
        <v>7</v>
      </c>
      <c r="AL1318" s="9" t="str" cm="1">
        <f t="array" ref="AL1318">_xlfn.IFS(AK1318 &lt;= 5, "New[1-5]", AK1318 &lt;= 10, "Early Career[6-10]", AK1318 &lt;= 20, "Established[11-20]", AK1318 &lt;= 30, "Veteran[21-30]", AK1318 &lt;= 40, "Late Career[31-40]")</f>
        <v>Early Career[6-10]</v>
      </c>
      <c r="AM1318" s="1">
        <v>7</v>
      </c>
      <c r="AN1318" s="9" t="str" cm="1">
        <f t="array" ref="AN1318">_xlfn.IFS(AM1318 &lt;= 3, "New to Role[1-3]", AM1318 &lt;= 7, "Settled[4-7]", AM1318 &lt;= 12, "Experienced[[8-12]", AM1318 &lt;= 18, "Long Tenured[13-18]")</f>
        <v>Settled[4-7]</v>
      </c>
      <c r="AO1318" s="1">
        <v>7</v>
      </c>
      <c r="AP1318" s="9" t="str" cm="1">
        <f t="array" ref="AP1318">_xlfn.IFS(AO1318 &lt;= 3, "Recently[1-3]", AO1318 &lt;= 6, "Due Soon[4-6]", AO1318 &lt;= 10, "Overdue[7-10]", AO1318 &lt;= 15, "Long Overdue[11-15]")</f>
        <v>Overdue[7-10]</v>
      </c>
      <c r="AQ1318" s="9" t="str" cm="1">
        <f t="array" ref="AQ1318">_xlfn.IFS(AR1318 &lt;= 3, "New Relationship[1-3]", AR1318 &lt;= 7, "Established Relationship[4-7]", AR1318 &lt;= 12, "Long Term Relationship[8-12]", AR1318 &lt;= 17, "Very Long Term Relationship[13-17]")</f>
        <v>Established Relationship[4-7]</v>
      </c>
      <c r="AR1318" s="1">
        <v>7</v>
      </c>
    </row>
    <row r="1319" spans="1:44" x14ac:dyDescent="0.25">
      <c r="A1319" s="1">
        <v>27</v>
      </c>
      <c r="B1319" s="8" t="str" cm="1">
        <f t="array" ref="B1319">_xlfn.IFS(A1319 &lt;= 25, "[18-25]", A1319 &lt;= 35, "[26-35]", A1319 &lt;=45, "[36-45]", A1319 &lt;= 60, "[46- 60]")</f>
        <v>[26-35]</v>
      </c>
      <c r="C1319" s="3" t="s">
        <v>43</v>
      </c>
      <c r="D1319">
        <f t="shared" si="20"/>
        <v>0</v>
      </c>
      <c r="E1319" t="s">
        <v>44</v>
      </c>
      <c r="F1319" s="1">
        <v>1297</v>
      </c>
      <c r="G1319" s="3" t="s">
        <v>45</v>
      </c>
      <c r="H1319" s="1">
        <v>5</v>
      </c>
      <c r="I1319" s="9" t="str" cm="1">
        <f t="array" ref="I1319">_xlfn.IFS(H1319 &lt;= 2, "[1-2] very close", H1319 &lt;= 10, "[3-10] close", H1319 &lt;= 20, "[11-20] moderate", H1319 &lt;= 30, "[21-30] far")</f>
        <v>[3-10] close</v>
      </c>
      <c r="J1319" s="1">
        <v>2</v>
      </c>
      <c r="K1319" s="3" t="s">
        <v>38</v>
      </c>
      <c r="L1319" s="1">
        <v>1</v>
      </c>
      <c r="M1319" s="1">
        <v>1850</v>
      </c>
      <c r="N1319" s="1">
        <v>4</v>
      </c>
      <c r="O1319" s="3" t="s">
        <v>39</v>
      </c>
      <c r="P1319" s="1">
        <v>53</v>
      </c>
      <c r="Q1319" s="1">
        <v>3</v>
      </c>
      <c r="R1319" s="1">
        <v>1</v>
      </c>
      <c r="S1319" s="3" t="s">
        <v>50</v>
      </c>
      <c r="T1319" s="1">
        <v>4</v>
      </c>
      <c r="U1319" s="3" t="s">
        <v>41</v>
      </c>
      <c r="V1319" s="4">
        <v>2379</v>
      </c>
      <c r="W1319" s="1">
        <v>19826</v>
      </c>
      <c r="X1319" s="1">
        <v>0</v>
      </c>
      <c r="Y1319" s="3" t="s">
        <v>42</v>
      </c>
      <c r="Z1319" s="3" t="s">
        <v>35</v>
      </c>
      <c r="AA1319" s="5">
        <v>0.14000000000000001</v>
      </c>
      <c r="AB1319" s="10" t="str" cm="1">
        <f t="array" ref="AB1319">_xlfn.IFS(AA1319 &lt;= 15%, "Low Hike[11-15%]", AA1319 &lt;= 20%, "Moderate Hike[16-20%]", AA1319 &lt;= 25%,"High Hike[21-25%]")</f>
        <v>Low Hike[11-15%]</v>
      </c>
      <c r="AC1319" s="1">
        <v>3</v>
      </c>
      <c r="AD1319" s="1">
        <v>3</v>
      </c>
      <c r="AE1319" s="1">
        <v>80</v>
      </c>
      <c r="AF1319" s="1">
        <v>0</v>
      </c>
      <c r="AG1319" s="1">
        <v>6</v>
      </c>
      <c r="AH1319" s="9" t="str" cm="1">
        <f t="array" ref="AH1319">_xlfn.IFS(AG1319 &lt;= 5, "New[1-5]", AG1319 &lt;= 10, "Early Career[6-10]", AG1319 &lt;= 20, "Established[11-20]", AG1319 &lt;= 30, "Veteran[21-30]", AG1319 &lt;= 40, "Late Career[31-40]")</f>
        <v>Early Career[6-10]</v>
      </c>
      <c r="AI1319" s="1">
        <v>3</v>
      </c>
      <c r="AJ1319" s="1">
        <v>2</v>
      </c>
      <c r="AK1319" s="1">
        <v>5</v>
      </c>
      <c r="AL1319" s="9" t="str" cm="1">
        <f t="array" ref="AL1319">_xlfn.IFS(AK1319 &lt;= 5, "New[1-5]", AK1319 &lt;= 10, "Early Career[6-10]", AK1319 &lt;= 20, "Established[11-20]", AK1319 &lt;= 30, "Veteran[21-30]", AK1319 &lt;= 40, "Late Career[31-40]")</f>
        <v>New[1-5]</v>
      </c>
      <c r="AM1319" s="1">
        <v>4</v>
      </c>
      <c r="AN1319" s="9" t="str" cm="1">
        <f t="array" ref="AN1319">_xlfn.IFS(AM1319 &lt;= 3, "New to Role[1-3]", AM1319 &lt;= 7, "Settled[4-7]", AM1319 &lt;= 12, "Experienced[[8-12]", AM1319 &lt;= 18, "Long Tenured[13-18]")</f>
        <v>Settled[4-7]</v>
      </c>
      <c r="AO1319" s="1">
        <v>0</v>
      </c>
      <c r="AP1319" s="9" t="str" cm="1">
        <f t="array" ref="AP1319">_xlfn.IFS(AO1319 &lt;= 3, "Recently[1-3]", AO1319 &lt;= 6, "Due Soon[4-6]", AO1319 &lt;= 10, "Overdue[7-10]", AO1319 &lt;= 15, "Long Overdue[11-15]")</f>
        <v>Recently[1-3]</v>
      </c>
      <c r="AQ1319" s="9" t="str" cm="1">
        <f t="array" ref="AQ1319">_xlfn.IFS(AR1319 &lt;= 3, "New Relationship[1-3]", AR1319 &lt;= 7, "Established Relationship[4-7]", AR1319 &lt;= 12, "Long Term Relationship[8-12]", AR1319 &lt;= 17, "Very Long Term Relationship[13-17]")</f>
        <v>New Relationship[1-3]</v>
      </c>
      <c r="AR1319" s="1">
        <v>2</v>
      </c>
    </row>
    <row r="1320" spans="1:44" x14ac:dyDescent="0.25">
      <c r="A1320" s="1">
        <v>29</v>
      </c>
      <c r="B1320" s="8" t="str" cm="1">
        <f t="array" ref="B1320">_xlfn.IFS(A1320 &lt;= 25, "[18-25]", A1320 &lt;= 35, "[26-35]", A1320 &lt;=45, "[36-45]", A1320 &lt;= 60, "[46- 60]")</f>
        <v>[26-35]</v>
      </c>
      <c r="C1320" s="3" t="s">
        <v>43</v>
      </c>
      <c r="D1320">
        <f t="shared" si="20"/>
        <v>0</v>
      </c>
      <c r="E1320" t="s">
        <v>44</v>
      </c>
      <c r="F1320" s="1">
        <v>574</v>
      </c>
      <c r="G1320" s="3" t="s">
        <v>45</v>
      </c>
      <c r="H1320" s="1">
        <v>20</v>
      </c>
      <c r="I1320" s="9" t="str" cm="1">
        <f t="array" ref="I1320">_xlfn.IFS(H1320 &lt;= 2, "[1-2] very close", H1320 &lt;= 10, "[3-10] close", H1320 &lt;= 20, "[11-20] moderate", H1320 &lt;= 30, "[21-30] far")</f>
        <v>[11-20] moderate</v>
      </c>
      <c r="J1320" s="1">
        <v>1</v>
      </c>
      <c r="K1320" s="3" t="s">
        <v>51</v>
      </c>
      <c r="L1320" s="1">
        <v>1</v>
      </c>
      <c r="M1320" s="1">
        <v>1852</v>
      </c>
      <c r="N1320" s="1">
        <v>4</v>
      </c>
      <c r="O1320" s="3" t="s">
        <v>46</v>
      </c>
      <c r="P1320" s="1">
        <v>40</v>
      </c>
      <c r="Q1320" s="1">
        <v>3</v>
      </c>
      <c r="R1320" s="1">
        <v>1</v>
      </c>
      <c r="S1320" s="3" t="s">
        <v>50</v>
      </c>
      <c r="T1320" s="1">
        <v>4</v>
      </c>
      <c r="U1320" s="3" t="s">
        <v>48</v>
      </c>
      <c r="V1320" s="4">
        <v>3812</v>
      </c>
      <c r="W1320" s="1">
        <v>7003</v>
      </c>
      <c r="X1320" s="1">
        <v>1</v>
      </c>
      <c r="Y1320" s="3" t="s">
        <v>42</v>
      </c>
      <c r="Z1320" s="3" t="s">
        <v>43</v>
      </c>
      <c r="AA1320" s="5">
        <v>0.13</v>
      </c>
      <c r="AB1320" s="10" t="str" cm="1">
        <f t="array" ref="AB1320">_xlfn.IFS(AA1320 &lt;= 15%, "Low Hike[11-15%]", AA1320 &lt;= 20%, "Moderate Hike[16-20%]", AA1320 &lt;= 25%,"High Hike[21-25%]")</f>
        <v>Low Hike[11-15%]</v>
      </c>
      <c r="AC1320" s="1">
        <v>3</v>
      </c>
      <c r="AD1320" s="1">
        <v>2</v>
      </c>
      <c r="AE1320" s="1">
        <v>80</v>
      </c>
      <c r="AF1320" s="1">
        <v>0</v>
      </c>
      <c r="AG1320" s="1">
        <v>11</v>
      </c>
      <c r="AH1320" s="9" t="str" cm="1">
        <f t="array" ref="AH1320">_xlfn.IFS(AG1320 &lt;= 5, "New[1-5]", AG1320 &lt;= 10, "Early Career[6-10]", AG1320 &lt;= 20, "Established[11-20]", AG1320 &lt;= 30, "Veteran[21-30]", AG1320 &lt;= 40, "Late Career[31-40]")</f>
        <v>Established[11-20]</v>
      </c>
      <c r="AI1320" s="1">
        <v>3</v>
      </c>
      <c r="AJ1320" s="1">
        <v>4</v>
      </c>
      <c r="AK1320" s="1">
        <v>11</v>
      </c>
      <c r="AL1320" s="9" t="str" cm="1">
        <f t="array" ref="AL1320">_xlfn.IFS(AK1320 &lt;= 5, "New[1-5]", AK1320 &lt;= 10, "Early Career[6-10]", AK1320 &lt;= 20, "Established[11-20]", AK1320 &lt;= 30, "Veteran[21-30]", AK1320 &lt;= 40, "Late Career[31-40]")</f>
        <v>Established[11-20]</v>
      </c>
      <c r="AM1320" s="1">
        <v>8</v>
      </c>
      <c r="AN1320" s="9" t="str" cm="1">
        <f t="array" ref="AN1320">_xlfn.IFS(AM1320 &lt;= 3, "New to Role[1-3]", AM1320 &lt;= 7, "Settled[4-7]", AM1320 &lt;= 12, "Experienced[[8-12]", AM1320 &lt;= 18, "Long Tenured[13-18]")</f>
        <v>Experienced[[8-12]</v>
      </c>
      <c r="AO1320" s="1">
        <v>3</v>
      </c>
      <c r="AP1320" s="9" t="str" cm="1">
        <f t="array" ref="AP1320">_xlfn.IFS(AO1320 &lt;= 3, "Recently[1-3]", AO1320 &lt;= 6, "Due Soon[4-6]", AO1320 &lt;= 10, "Overdue[7-10]", AO1320 &lt;= 15, "Long Overdue[11-15]")</f>
        <v>Recently[1-3]</v>
      </c>
      <c r="AQ1320" s="9" t="str" cm="1">
        <f t="array" ref="AQ1320">_xlfn.IFS(AR1320 &lt;= 3, "New Relationship[1-3]", AR1320 &lt;= 7, "Established Relationship[4-7]", AR1320 &lt;= 12, "Long Term Relationship[8-12]", AR1320 &lt;= 17, "Very Long Term Relationship[13-17]")</f>
        <v>Long Term Relationship[8-12]</v>
      </c>
      <c r="AR1320" s="1">
        <v>10</v>
      </c>
    </row>
    <row r="1321" spans="1:44" x14ac:dyDescent="0.25">
      <c r="A1321" s="1">
        <v>32</v>
      </c>
      <c r="B1321" s="8" t="str" cm="1">
        <f t="array" ref="B1321">_xlfn.IFS(A1321 &lt;= 25, "[18-25]", A1321 &lt;= 35, "[26-35]", A1321 &lt;=45, "[36-45]", A1321 &lt;= 60, "[46- 60]")</f>
        <v>[26-35]</v>
      </c>
      <c r="C1321" s="3" t="s">
        <v>43</v>
      </c>
      <c r="D1321">
        <f t="shared" si="20"/>
        <v>0</v>
      </c>
      <c r="E1321" t="s">
        <v>44</v>
      </c>
      <c r="F1321" s="1">
        <v>1318</v>
      </c>
      <c r="G1321" s="3" t="s">
        <v>37</v>
      </c>
      <c r="H1321" s="1">
        <v>10</v>
      </c>
      <c r="I1321" s="9" t="str" cm="1">
        <f t="array" ref="I1321">_xlfn.IFS(H1321 &lt;= 2, "[1-2] very close", H1321 &lt;= 10, "[3-10] close", H1321 &lt;= 20, "[11-20] moderate", H1321 &lt;= 30, "[21-30] far")</f>
        <v>[3-10] close</v>
      </c>
      <c r="J1321" s="1">
        <v>4</v>
      </c>
      <c r="K1321" s="3" t="s">
        <v>59</v>
      </c>
      <c r="L1321" s="1">
        <v>1</v>
      </c>
      <c r="M1321" s="1">
        <v>1853</v>
      </c>
      <c r="N1321" s="1">
        <v>4</v>
      </c>
      <c r="O1321" s="3" t="s">
        <v>46</v>
      </c>
      <c r="P1321" s="1">
        <v>79</v>
      </c>
      <c r="Q1321" s="1">
        <v>3</v>
      </c>
      <c r="R1321" s="1">
        <v>2</v>
      </c>
      <c r="S1321" s="3" t="s">
        <v>40</v>
      </c>
      <c r="T1321" s="1">
        <v>4</v>
      </c>
      <c r="U1321" s="3" t="s">
        <v>41</v>
      </c>
      <c r="V1321" s="4">
        <v>4648</v>
      </c>
      <c r="W1321" s="1">
        <v>26075</v>
      </c>
      <c r="X1321" s="1">
        <v>8</v>
      </c>
      <c r="Y1321" s="3" t="s">
        <v>42</v>
      </c>
      <c r="Z1321" s="3" t="s">
        <v>43</v>
      </c>
      <c r="AA1321" s="5">
        <v>0.13</v>
      </c>
      <c r="AB1321" s="10" t="str" cm="1">
        <f t="array" ref="AB1321">_xlfn.IFS(AA1321 &lt;= 15%, "Low Hike[11-15%]", AA1321 &lt;= 20%, "Moderate Hike[16-20%]", AA1321 &lt;= 25%,"High Hike[21-25%]")</f>
        <v>Low Hike[11-15%]</v>
      </c>
      <c r="AC1321" s="1">
        <v>3</v>
      </c>
      <c r="AD1321" s="1">
        <v>3</v>
      </c>
      <c r="AE1321" s="1">
        <v>80</v>
      </c>
      <c r="AF1321" s="1">
        <v>0</v>
      </c>
      <c r="AG1321" s="1">
        <v>4</v>
      </c>
      <c r="AH1321" s="9" t="str" cm="1">
        <f t="array" ref="AH1321">_xlfn.IFS(AG1321 &lt;= 5, "New[1-5]", AG1321 &lt;= 10, "Early Career[6-10]", AG1321 &lt;= 20, "Established[11-20]", AG1321 &lt;= 30, "Veteran[21-30]", AG1321 &lt;= 40, "Late Career[31-40]")</f>
        <v>New[1-5]</v>
      </c>
      <c r="AI1321" s="1">
        <v>2</v>
      </c>
      <c r="AJ1321" s="1">
        <v>4</v>
      </c>
      <c r="AK1321" s="1">
        <v>0</v>
      </c>
      <c r="AL1321" s="9" t="str" cm="1">
        <f t="array" ref="AL1321">_xlfn.IFS(AK1321 &lt;= 5, "New[1-5]", AK1321 &lt;= 10, "Early Career[6-10]", AK1321 &lt;= 20, "Established[11-20]", AK1321 &lt;= 30, "Veteran[21-30]", AK1321 &lt;= 40, "Late Career[31-40]")</f>
        <v>New[1-5]</v>
      </c>
      <c r="AM1321" s="1">
        <v>0</v>
      </c>
      <c r="AN1321" s="9" t="str" cm="1">
        <f t="array" ref="AN1321">_xlfn.IFS(AM1321 &lt;= 3, "New to Role[1-3]", AM1321 &lt;= 7, "Settled[4-7]", AM1321 &lt;= 12, "Experienced[[8-12]", AM1321 &lt;= 18, "Long Tenured[13-18]")</f>
        <v>New to Role[1-3]</v>
      </c>
      <c r="AO1321" s="1">
        <v>0</v>
      </c>
      <c r="AP1321" s="9" t="str" cm="1">
        <f t="array" ref="AP1321">_xlfn.IFS(AO1321 &lt;= 3, "Recently[1-3]", AO1321 &lt;= 6, "Due Soon[4-6]", AO1321 &lt;= 10, "Overdue[7-10]", AO1321 &lt;= 15, "Long Overdue[11-15]")</f>
        <v>Recently[1-3]</v>
      </c>
      <c r="AQ1321" s="9" t="str" cm="1">
        <f t="array" ref="AQ1321">_xlfn.IFS(AR1321 &lt;= 3, "New Relationship[1-3]", AR1321 &lt;= 7, "Established Relationship[4-7]", AR1321 &lt;= 12, "Long Term Relationship[8-12]", AR1321 &lt;= 17, "Very Long Term Relationship[13-17]")</f>
        <v>New Relationship[1-3]</v>
      </c>
      <c r="AR1321" s="1">
        <v>0</v>
      </c>
    </row>
    <row r="1322" spans="1:44" x14ac:dyDescent="0.25">
      <c r="A1322" s="1">
        <v>42</v>
      </c>
      <c r="B1322" s="8" t="str" cm="1">
        <f t="array" ref="B1322">_xlfn.IFS(A1322 &lt;= 25, "[18-25]", A1322 &lt;= 35, "[26-35]", A1322 &lt;=45, "[36-45]", A1322 &lt;= 60, "[46- 60]")</f>
        <v>[36-45]</v>
      </c>
      <c r="C1322" s="3" t="s">
        <v>43</v>
      </c>
      <c r="D1322">
        <f t="shared" si="20"/>
        <v>0</v>
      </c>
      <c r="E1322" t="s">
        <v>62</v>
      </c>
      <c r="F1322" s="1">
        <v>355</v>
      </c>
      <c r="G1322" s="3" t="s">
        <v>45</v>
      </c>
      <c r="H1322" s="1">
        <v>10</v>
      </c>
      <c r="I1322" s="9" t="str" cm="1">
        <f t="array" ref="I1322">_xlfn.IFS(H1322 &lt;= 2, "[1-2] very close", H1322 &lt;= 10, "[3-10] close", H1322 &lt;= 20, "[11-20] moderate", H1322 &lt;= 30, "[21-30] far")</f>
        <v>[3-10] close</v>
      </c>
      <c r="J1322" s="1">
        <v>4</v>
      </c>
      <c r="K1322" s="3" t="s">
        <v>60</v>
      </c>
      <c r="L1322" s="1">
        <v>1</v>
      </c>
      <c r="M1322" s="1">
        <v>1854</v>
      </c>
      <c r="N1322" s="1">
        <v>3</v>
      </c>
      <c r="O1322" s="3" t="s">
        <v>46</v>
      </c>
      <c r="P1322" s="1">
        <v>38</v>
      </c>
      <c r="Q1322" s="1">
        <v>3</v>
      </c>
      <c r="R1322" s="1">
        <v>1</v>
      </c>
      <c r="S1322" s="3" t="s">
        <v>47</v>
      </c>
      <c r="T1322" s="1">
        <v>3</v>
      </c>
      <c r="U1322" s="3" t="s">
        <v>48</v>
      </c>
      <c r="V1322" s="4">
        <v>2936</v>
      </c>
      <c r="W1322" s="1">
        <v>6161</v>
      </c>
      <c r="X1322" s="1">
        <v>3</v>
      </c>
      <c r="Y1322" s="3" t="s">
        <v>42</v>
      </c>
      <c r="Z1322" s="3" t="s">
        <v>43</v>
      </c>
      <c r="AA1322" s="5">
        <v>0.22</v>
      </c>
      <c r="AB1322" s="10" t="str" cm="1">
        <f t="array" ref="AB1322">_xlfn.IFS(AA1322 &lt;= 15%, "Low Hike[11-15%]", AA1322 &lt;= 20%, "Moderate Hike[16-20%]", AA1322 &lt;= 25%,"High Hike[21-25%]")</f>
        <v>High Hike[21-25%]</v>
      </c>
      <c r="AC1322" s="1">
        <v>4</v>
      </c>
      <c r="AD1322" s="1">
        <v>2</v>
      </c>
      <c r="AE1322" s="1">
        <v>80</v>
      </c>
      <c r="AF1322" s="1">
        <v>2</v>
      </c>
      <c r="AG1322" s="1">
        <v>10</v>
      </c>
      <c r="AH1322" s="9" t="str" cm="1">
        <f t="array" ref="AH1322">_xlfn.IFS(AG1322 &lt;= 5, "New[1-5]", AG1322 &lt;= 10, "Early Career[6-10]", AG1322 &lt;= 20, "Established[11-20]", AG1322 &lt;= 30, "Veteran[21-30]", AG1322 &lt;= 40, "Late Career[31-40]")</f>
        <v>Early Career[6-10]</v>
      </c>
      <c r="AI1322" s="1">
        <v>1</v>
      </c>
      <c r="AJ1322" s="1">
        <v>2</v>
      </c>
      <c r="AK1322" s="1">
        <v>6</v>
      </c>
      <c r="AL1322" s="9" t="str" cm="1">
        <f t="array" ref="AL1322">_xlfn.IFS(AK1322 &lt;= 5, "New[1-5]", AK1322 &lt;= 10, "Early Career[6-10]", AK1322 &lt;= 20, "Established[11-20]", AK1322 &lt;= 30, "Veteran[21-30]", AK1322 &lt;= 40, "Late Career[31-40]")</f>
        <v>Early Career[6-10]</v>
      </c>
      <c r="AM1322" s="1">
        <v>3</v>
      </c>
      <c r="AN1322" s="9" t="str" cm="1">
        <f t="array" ref="AN1322">_xlfn.IFS(AM1322 &lt;= 3, "New to Role[1-3]", AM1322 &lt;= 7, "Settled[4-7]", AM1322 &lt;= 12, "Experienced[[8-12]", AM1322 &lt;= 18, "Long Tenured[13-18]")</f>
        <v>New to Role[1-3]</v>
      </c>
      <c r="AO1322" s="1">
        <v>3</v>
      </c>
      <c r="AP1322" s="9" t="str" cm="1">
        <f t="array" ref="AP1322">_xlfn.IFS(AO1322 &lt;= 3, "Recently[1-3]", AO1322 &lt;= 6, "Due Soon[4-6]", AO1322 &lt;= 10, "Overdue[7-10]", AO1322 &lt;= 15, "Long Overdue[11-15]")</f>
        <v>Recently[1-3]</v>
      </c>
      <c r="AQ1322" s="9" t="str" cm="1">
        <f t="array" ref="AQ1322">_xlfn.IFS(AR1322 &lt;= 3, "New Relationship[1-3]", AR1322 &lt;= 7, "Established Relationship[4-7]", AR1322 &lt;= 12, "Long Term Relationship[8-12]", AR1322 &lt;= 17, "Very Long Term Relationship[13-17]")</f>
        <v>New Relationship[1-3]</v>
      </c>
      <c r="AR1322" s="1">
        <v>3</v>
      </c>
    </row>
    <row r="1323" spans="1:44" x14ac:dyDescent="0.25">
      <c r="A1323" s="1">
        <v>47</v>
      </c>
      <c r="B1323" s="8" t="str" cm="1">
        <f t="array" ref="B1323">_xlfn.IFS(A1323 &lt;= 25, "[18-25]", A1323 &lt;= 35, "[26-35]", A1323 &lt;=45, "[36-45]", A1323 &lt;= 60, "[46- 60]")</f>
        <v>[46- 60]</v>
      </c>
      <c r="C1323" s="3" t="s">
        <v>43</v>
      </c>
      <c r="D1323">
        <f t="shared" si="20"/>
        <v>0</v>
      </c>
      <c r="E1323" t="s">
        <v>36</v>
      </c>
      <c r="F1323" s="1">
        <v>207</v>
      </c>
      <c r="G1323" s="3" t="s">
        <v>45</v>
      </c>
      <c r="H1323" s="1">
        <v>9</v>
      </c>
      <c r="I1323" s="9" t="str" cm="1">
        <f t="array" ref="I1323">_xlfn.IFS(H1323 &lt;= 2, "[1-2] very close", H1323 &lt;= 10, "[3-10] close", H1323 &lt;= 20, "[11-20] moderate", H1323 &lt;= 30, "[21-30] far")</f>
        <v>[3-10] close</v>
      </c>
      <c r="J1323" s="1">
        <v>4</v>
      </c>
      <c r="K1323" s="3" t="s">
        <v>38</v>
      </c>
      <c r="L1323" s="1">
        <v>1</v>
      </c>
      <c r="M1323" s="1">
        <v>1856</v>
      </c>
      <c r="N1323" s="1">
        <v>2</v>
      </c>
      <c r="O1323" s="3" t="s">
        <v>39</v>
      </c>
      <c r="P1323" s="1">
        <v>64</v>
      </c>
      <c r="Q1323" s="1">
        <v>3</v>
      </c>
      <c r="R1323" s="1">
        <v>1</v>
      </c>
      <c r="S1323" s="3" t="s">
        <v>50</v>
      </c>
      <c r="T1323" s="1">
        <v>3</v>
      </c>
      <c r="U1323" s="3" t="s">
        <v>41</v>
      </c>
      <c r="V1323" s="4">
        <v>2105</v>
      </c>
      <c r="W1323" s="1">
        <v>5411</v>
      </c>
      <c r="X1323" s="1">
        <v>4</v>
      </c>
      <c r="Y1323" s="3" t="s">
        <v>42</v>
      </c>
      <c r="Z1323" s="3" t="s">
        <v>43</v>
      </c>
      <c r="AA1323" s="5">
        <v>0.12</v>
      </c>
      <c r="AB1323" s="10" t="str" cm="1">
        <f t="array" ref="AB1323">_xlfn.IFS(AA1323 &lt;= 15%, "Low Hike[11-15%]", AA1323 &lt;= 20%, "Moderate Hike[16-20%]", AA1323 &lt;= 25%,"High Hike[21-25%]")</f>
        <v>Low Hike[11-15%]</v>
      </c>
      <c r="AC1323" s="1">
        <v>3</v>
      </c>
      <c r="AD1323" s="1">
        <v>3</v>
      </c>
      <c r="AE1323" s="1">
        <v>80</v>
      </c>
      <c r="AF1323" s="1">
        <v>0</v>
      </c>
      <c r="AG1323" s="1">
        <v>7</v>
      </c>
      <c r="AH1323" s="9" t="str" cm="1">
        <f t="array" ref="AH1323">_xlfn.IFS(AG1323 &lt;= 5, "New[1-5]", AG1323 &lt;= 10, "Early Career[6-10]", AG1323 &lt;= 20, "Established[11-20]", AG1323 &lt;= 30, "Veteran[21-30]", AG1323 &lt;= 40, "Late Career[31-40]")</f>
        <v>Early Career[6-10]</v>
      </c>
      <c r="AI1323" s="1">
        <v>2</v>
      </c>
      <c r="AJ1323" s="1">
        <v>3</v>
      </c>
      <c r="AK1323" s="1">
        <v>2</v>
      </c>
      <c r="AL1323" s="9" t="str" cm="1">
        <f t="array" ref="AL1323">_xlfn.IFS(AK1323 &lt;= 5, "New[1-5]", AK1323 &lt;= 10, "Early Career[6-10]", AK1323 &lt;= 20, "Established[11-20]", AK1323 &lt;= 30, "Veteran[21-30]", AK1323 &lt;= 40, "Late Career[31-40]")</f>
        <v>New[1-5]</v>
      </c>
      <c r="AM1323" s="1">
        <v>2</v>
      </c>
      <c r="AN1323" s="9" t="str" cm="1">
        <f t="array" ref="AN1323">_xlfn.IFS(AM1323 &lt;= 3, "New to Role[1-3]", AM1323 &lt;= 7, "Settled[4-7]", AM1323 &lt;= 12, "Experienced[[8-12]", AM1323 &lt;= 18, "Long Tenured[13-18]")</f>
        <v>New to Role[1-3]</v>
      </c>
      <c r="AO1323" s="1">
        <v>2</v>
      </c>
      <c r="AP1323" s="9" t="str" cm="1">
        <f t="array" ref="AP1323">_xlfn.IFS(AO1323 &lt;= 3, "Recently[1-3]", AO1323 &lt;= 6, "Due Soon[4-6]", AO1323 &lt;= 10, "Overdue[7-10]", AO1323 &lt;= 15, "Long Overdue[11-15]")</f>
        <v>Recently[1-3]</v>
      </c>
      <c r="AQ1323" s="9" t="str" cm="1">
        <f t="array" ref="AQ1323">_xlfn.IFS(AR1323 &lt;= 3, "New Relationship[1-3]", AR1323 &lt;= 7, "Established Relationship[4-7]", AR1323 &lt;= 12, "Long Term Relationship[8-12]", AR1323 &lt;= 17, "Very Long Term Relationship[13-17]")</f>
        <v>New Relationship[1-3]</v>
      </c>
      <c r="AR1323" s="1">
        <v>0</v>
      </c>
    </row>
    <row r="1324" spans="1:44" x14ac:dyDescent="0.25">
      <c r="A1324" s="1">
        <v>46</v>
      </c>
      <c r="B1324" s="8" t="str" cm="1">
        <f t="array" ref="B1324">_xlfn.IFS(A1324 &lt;= 25, "[18-25]", A1324 &lt;= 35, "[26-35]", A1324 &lt;=45, "[36-45]", A1324 &lt;= 60, "[46- 60]")</f>
        <v>[46- 60]</v>
      </c>
      <c r="C1324" s="3" t="s">
        <v>43</v>
      </c>
      <c r="D1324">
        <f t="shared" si="20"/>
        <v>0</v>
      </c>
      <c r="E1324" t="s">
        <v>36</v>
      </c>
      <c r="F1324" s="1">
        <v>706</v>
      </c>
      <c r="G1324" s="3" t="s">
        <v>45</v>
      </c>
      <c r="H1324" s="1">
        <v>2</v>
      </c>
      <c r="I1324" s="9" t="str" cm="1">
        <f t="array" ref="I1324">_xlfn.IFS(H1324 &lt;= 2, "[1-2] very close", H1324 &lt;= 10, "[3-10] close", H1324 &lt;= 20, "[11-20] moderate", H1324 &lt;= 30, "[21-30] far")</f>
        <v>[1-2] very close</v>
      </c>
      <c r="J1324" s="1">
        <v>2</v>
      </c>
      <c r="K1324" s="3" t="s">
        <v>38</v>
      </c>
      <c r="L1324" s="1">
        <v>1</v>
      </c>
      <c r="M1324" s="1">
        <v>1857</v>
      </c>
      <c r="N1324" s="1">
        <v>4</v>
      </c>
      <c r="O1324" s="3" t="s">
        <v>46</v>
      </c>
      <c r="P1324" s="1">
        <v>82</v>
      </c>
      <c r="Q1324" s="1">
        <v>3</v>
      </c>
      <c r="R1324" s="1">
        <v>3</v>
      </c>
      <c r="S1324" s="3" t="s">
        <v>53</v>
      </c>
      <c r="T1324" s="1">
        <v>4</v>
      </c>
      <c r="U1324" s="3" t="s">
        <v>52</v>
      </c>
      <c r="V1324" s="4">
        <v>8578</v>
      </c>
      <c r="W1324" s="1">
        <v>19989</v>
      </c>
      <c r="X1324" s="1">
        <v>3</v>
      </c>
      <c r="Y1324" s="3" t="s">
        <v>42</v>
      </c>
      <c r="Z1324" s="3" t="s">
        <v>43</v>
      </c>
      <c r="AA1324" s="5">
        <v>0.14000000000000001</v>
      </c>
      <c r="AB1324" s="10" t="str" cm="1">
        <f t="array" ref="AB1324">_xlfn.IFS(AA1324 &lt;= 15%, "Low Hike[11-15%]", AA1324 &lt;= 20%, "Moderate Hike[16-20%]", AA1324 &lt;= 25%,"High Hike[21-25%]")</f>
        <v>Low Hike[11-15%]</v>
      </c>
      <c r="AC1324" s="1">
        <v>3</v>
      </c>
      <c r="AD1324" s="1">
        <v>3</v>
      </c>
      <c r="AE1324" s="1">
        <v>80</v>
      </c>
      <c r="AF1324" s="1">
        <v>1</v>
      </c>
      <c r="AG1324" s="1">
        <v>12</v>
      </c>
      <c r="AH1324" s="9" t="str" cm="1">
        <f t="array" ref="AH1324">_xlfn.IFS(AG1324 &lt;= 5, "New[1-5]", AG1324 &lt;= 10, "Early Career[6-10]", AG1324 &lt;= 20, "Established[11-20]", AG1324 &lt;= 30, "Veteran[21-30]", AG1324 &lt;= 40, "Late Career[31-40]")</f>
        <v>Established[11-20]</v>
      </c>
      <c r="AI1324" s="1">
        <v>4</v>
      </c>
      <c r="AJ1324" s="1">
        <v>2</v>
      </c>
      <c r="AK1324" s="1">
        <v>9</v>
      </c>
      <c r="AL1324" s="9" t="str" cm="1">
        <f t="array" ref="AL1324">_xlfn.IFS(AK1324 &lt;= 5, "New[1-5]", AK1324 &lt;= 10, "Early Career[6-10]", AK1324 &lt;= 20, "Established[11-20]", AK1324 &lt;= 30, "Veteran[21-30]", AK1324 &lt;= 40, "Late Career[31-40]")</f>
        <v>Early Career[6-10]</v>
      </c>
      <c r="AM1324" s="1">
        <v>8</v>
      </c>
      <c r="AN1324" s="9" t="str" cm="1">
        <f t="array" ref="AN1324">_xlfn.IFS(AM1324 &lt;= 3, "New to Role[1-3]", AM1324 &lt;= 7, "Settled[4-7]", AM1324 &lt;= 12, "Experienced[[8-12]", AM1324 &lt;= 18, "Long Tenured[13-18]")</f>
        <v>Experienced[[8-12]</v>
      </c>
      <c r="AO1324" s="1">
        <v>4</v>
      </c>
      <c r="AP1324" s="9" t="str" cm="1">
        <f t="array" ref="AP1324">_xlfn.IFS(AO1324 &lt;= 3, "Recently[1-3]", AO1324 &lt;= 6, "Due Soon[4-6]", AO1324 &lt;= 10, "Overdue[7-10]", AO1324 &lt;= 15, "Long Overdue[11-15]")</f>
        <v>Due Soon[4-6]</v>
      </c>
      <c r="AQ1324" s="9" t="str" cm="1">
        <f t="array" ref="AQ1324">_xlfn.IFS(AR1324 &lt;= 3, "New Relationship[1-3]", AR1324 &lt;= 7, "Established Relationship[4-7]", AR1324 &lt;= 12, "Long Term Relationship[8-12]", AR1324 &lt;= 17, "Very Long Term Relationship[13-17]")</f>
        <v>Established Relationship[4-7]</v>
      </c>
      <c r="AR1324" s="1">
        <v>7</v>
      </c>
    </row>
    <row r="1325" spans="1:44" x14ac:dyDescent="0.25">
      <c r="A1325" s="1">
        <v>28</v>
      </c>
      <c r="B1325" s="8" t="str" cm="1">
        <f t="array" ref="B1325">_xlfn.IFS(A1325 &lt;= 25, "[18-25]", A1325 &lt;= 35, "[26-35]", A1325 &lt;=45, "[36-45]", A1325 &lt;= 60, "[46- 60]")</f>
        <v>[26-35]</v>
      </c>
      <c r="C1325" s="3" t="s">
        <v>43</v>
      </c>
      <c r="D1325">
        <f t="shared" si="20"/>
        <v>0</v>
      </c>
      <c r="E1325" t="s">
        <v>62</v>
      </c>
      <c r="F1325" s="1">
        <v>280</v>
      </c>
      <c r="G1325" s="3" t="s">
        <v>61</v>
      </c>
      <c r="H1325" s="1">
        <v>1</v>
      </c>
      <c r="I1325" s="9" t="str" cm="1">
        <f t="array" ref="I1325">_xlfn.IFS(H1325 &lt;= 2, "[1-2] very close", H1325 &lt;= 10, "[3-10] close", H1325 &lt;= 20, "[11-20] moderate", H1325 &lt;= 30, "[21-30] far")</f>
        <v>[1-2] very close</v>
      </c>
      <c r="J1325" s="1">
        <v>2</v>
      </c>
      <c r="K1325" s="3" t="s">
        <v>38</v>
      </c>
      <c r="L1325" s="1">
        <v>1</v>
      </c>
      <c r="M1325" s="1">
        <v>1858</v>
      </c>
      <c r="N1325" s="1">
        <v>3</v>
      </c>
      <c r="O1325" s="3" t="s">
        <v>46</v>
      </c>
      <c r="P1325" s="1">
        <v>43</v>
      </c>
      <c r="Q1325" s="1">
        <v>3</v>
      </c>
      <c r="R1325" s="1">
        <v>1</v>
      </c>
      <c r="S1325" s="3" t="s">
        <v>61</v>
      </c>
      <c r="T1325" s="1">
        <v>4</v>
      </c>
      <c r="U1325" s="3" t="s">
        <v>52</v>
      </c>
      <c r="V1325" s="4">
        <v>2706</v>
      </c>
      <c r="W1325" s="1">
        <v>10494</v>
      </c>
      <c r="X1325" s="1">
        <v>1</v>
      </c>
      <c r="Y1325" s="3" t="s">
        <v>42</v>
      </c>
      <c r="Z1325" s="3" t="s">
        <v>43</v>
      </c>
      <c r="AA1325" s="5">
        <v>0.15</v>
      </c>
      <c r="AB1325" s="10" t="str" cm="1">
        <f t="array" ref="AB1325">_xlfn.IFS(AA1325 &lt;= 15%, "Low Hike[11-15%]", AA1325 &lt;= 20%, "Moderate Hike[16-20%]", AA1325 &lt;= 25%,"High Hike[21-25%]")</f>
        <v>Low Hike[11-15%]</v>
      </c>
      <c r="AC1325" s="1">
        <v>3</v>
      </c>
      <c r="AD1325" s="1">
        <v>2</v>
      </c>
      <c r="AE1325" s="1">
        <v>80</v>
      </c>
      <c r="AF1325" s="1">
        <v>1</v>
      </c>
      <c r="AG1325" s="1">
        <v>3</v>
      </c>
      <c r="AH1325" s="9" t="str" cm="1">
        <f t="array" ref="AH1325">_xlfn.IFS(AG1325 &lt;= 5, "New[1-5]", AG1325 &lt;= 10, "Early Career[6-10]", AG1325 &lt;= 20, "Established[11-20]", AG1325 &lt;= 30, "Veteran[21-30]", AG1325 &lt;= 40, "Late Career[31-40]")</f>
        <v>New[1-5]</v>
      </c>
      <c r="AI1325" s="1">
        <v>2</v>
      </c>
      <c r="AJ1325" s="1">
        <v>3</v>
      </c>
      <c r="AK1325" s="1">
        <v>3</v>
      </c>
      <c r="AL1325" s="9" t="str" cm="1">
        <f t="array" ref="AL1325">_xlfn.IFS(AK1325 &lt;= 5, "New[1-5]", AK1325 &lt;= 10, "Early Career[6-10]", AK1325 &lt;= 20, "Established[11-20]", AK1325 &lt;= 30, "Veteran[21-30]", AK1325 &lt;= 40, "Late Career[31-40]")</f>
        <v>New[1-5]</v>
      </c>
      <c r="AM1325" s="1">
        <v>2</v>
      </c>
      <c r="AN1325" s="9" t="str" cm="1">
        <f t="array" ref="AN1325">_xlfn.IFS(AM1325 &lt;= 3, "New to Role[1-3]", AM1325 &lt;= 7, "Settled[4-7]", AM1325 &lt;= 12, "Experienced[[8-12]", AM1325 &lt;= 18, "Long Tenured[13-18]")</f>
        <v>New to Role[1-3]</v>
      </c>
      <c r="AO1325" s="1">
        <v>2</v>
      </c>
      <c r="AP1325" s="9" t="str" cm="1">
        <f t="array" ref="AP1325">_xlfn.IFS(AO1325 &lt;= 3, "Recently[1-3]", AO1325 &lt;= 6, "Due Soon[4-6]", AO1325 &lt;= 10, "Overdue[7-10]", AO1325 &lt;= 15, "Long Overdue[11-15]")</f>
        <v>Recently[1-3]</v>
      </c>
      <c r="AQ1325" s="9" t="str" cm="1">
        <f t="array" ref="AQ1325">_xlfn.IFS(AR1325 &lt;= 3, "New Relationship[1-3]", AR1325 &lt;= 7, "Established Relationship[4-7]", AR1325 &lt;= 12, "Long Term Relationship[8-12]", AR1325 &lt;= 17, "Very Long Term Relationship[13-17]")</f>
        <v>New Relationship[1-3]</v>
      </c>
      <c r="AR1325" s="1">
        <v>2</v>
      </c>
    </row>
    <row r="1326" spans="1:44" x14ac:dyDescent="0.25">
      <c r="A1326" s="1">
        <v>29</v>
      </c>
      <c r="B1326" s="8" t="str" cm="1">
        <f t="array" ref="B1326">_xlfn.IFS(A1326 &lt;= 25, "[18-25]", A1326 &lt;= 35, "[26-35]", A1326 &lt;=45, "[36-45]", A1326 &lt;= 60, "[46- 60]")</f>
        <v>[26-35]</v>
      </c>
      <c r="C1326" s="3" t="s">
        <v>43</v>
      </c>
      <c r="D1326">
        <f t="shared" si="20"/>
        <v>0</v>
      </c>
      <c r="E1326" t="s">
        <v>36</v>
      </c>
      <c r="F1326" s="1">
        <v>726</v>
      </c>
      <c r="G1326" s="3" t="s">
        <v>45</v>
      </c>
      <c r="H1326" s="1">
        <v>29</v>
      </c>
      <c r="I1326" s="9" t="str" cm="1">
        <f t="array" ref="I1326">_xlfn.IFS(H1326 &lt;= 2, "[1-2] very close", H1326 &lt;= 10, "[3-10] close", H1326 &lt;= 20, "[11-20] moderate", H1326 &lt;= 30, "[21-30] far")</f>
        <v>[21-30] far</v>
      </c>
      <c r="J1326" s="1">
        <v>1</v>
      </c>
      <c r="K1326" s="3" t="s">
        <v>38</v>
      </c>
      <c r="L1326" s="1">
        <v>1</v>
      </c>
      <c r="M1326" s="1">
        <v>1859</v>
      </c>
      <c r="N1326" s="1">
        <v>4</v>
      </c>
      <c r="O1326" s="3" t="s">
        <v>46</v>
      </c>
      <c r="P1326" s="1">
        <v>93</v>
      </c>
      <c r="Q1326" s="1">
        <v>1</v>
      </c>
      <c r="R1326" s="1">
        <v>2</v>
      </c>
      <c r="S1326" s="3" t="s">
        <v>54</v>
      </c>
      <c r="T1326" s="1">
        <v>3</v>
      </c>
      <c r="U1326" s="3" t="s">
        <v>52</v>
      </c>
      <c r="V1326" s="4">
        <v>6384</v>
      </c>
      <c r="W1326" s="1">
        <v>21143</v>
      </c>
      <c r="X1326" s="1">
        <v>8</v>
      </c>
      <c r="Y1326" s="3" t="s">
        <v>42</v>
      </c>
      <c r="Z1326" s="3" t="s">
        <v>43</v>
      </c>
      <c r="AA1326" s="5">
        <v>0.17</v>
      </c>
      <c r="AB1326" s="10" t="str" cm="1">
        <f t="array" ref="AB1326">_xlfn.IFS(AA1326 &lt;= 15%, "Low Hike[11-15%]", AA1326 &lt;= 20%, "Moderate Hike[16-20%]", AA1326 &lt;= 25%,"High Hike[21-25%]")</f>
        <v>Moderate Hike[16-20%]</v>
      </c>
      <c r="AC1326" s="1">
        <v>3</v>
      </c>
      <c r="AD1326" s="1">
        <v>4</v>
      </c>
      <c r="AE1326" s="1">
        <v>80</v>
      </c>
      <c r="AF1326" s="1">
        <v>2</v>
      </c>
      <c r="AG1326" s="1">
        <v>11</v>
      </c>
      <c r="AH1326" s="9" t="str" cm="1">
        <f t="array" ref="AH1326">_xlfn.IFS(AG1326 &lt;= 5, "New[1-5]", AG1326 &lt;= 10, "Early Career[6-10]", AG1326 &lt;= 20, "Established[11-20]", AG1326 &lt;= 30, "Veteran[21-30]", AG1326 &lt;= 40, "Late Career[31-40]")</f>
        <v>Established[11-20]</v>
      </c>
      <c r="AI1326" s="1">
        <v>3</v>
      </c>
      <c r="AJ1326" s="1">
        <v>3</v>
      </c>
      <c r="AK1326" s="1">
        <v>7</v>
      </c>
      <c r="AL1326" s="9" t="str" cm="1">
        <f t="array" ref="AL1326">_xlfn.IFS(AK1326 &lt;= 5, "New[1-5]", AK1326 &lt;= 10, "Early Career[6-10]", AK1326 &lt;= 20, "Established[11-20]", AK1326 &lt;= 30, "Veteran[21-30]", AK1326 &lt;= 40, "Late Career[31-40]")</f>
        <v>Early Career[6-10]</v>
      </c>
      <c r="AM1326" s="1">
        <v>0</v>
      </c>
      <c r="AN1326" s="9" t="str" cm="1">
        <f t="array" ref="AN1326">_xlfn.IFS(AM1326 &lt;= 3, "New to Role[1-3]", AM1326 &lt;= 7, "Settled[4-7]", AM1326 &lt;= 12, "Experienced[[8-12]", AM1326 &lt;= 18, "Long Tenured[13-18]")</f>
        <v>New to Role[1-3]</v>
      </c>
      <c r="AO1326" s="1">
        <v>1</v>
      </c>
      <c r="AP1326" s="9" t="str" cm="1">
        <f t="array" ref="AP1326">_xlfn.IFS(AO1326 &lt;= 3, "Recently[1-3]", AO1326 &lt;= 6, "Due Soon[4-6]", AO1326 &lt;= 10, "Overdue[7-10]", AO1326 &lt;= 15, "Long Overdue[11-15]")</f>
        <v>Recently[1-3]</v>
      </c>
      <c r="AQ1326" s="9" t="str" cm="1">
        <f t="array" ref="AQ1326">_xlfn.IFS(AR1326 &lt;= 3, "New Relationship[1-3]", AR1326 &lt;= 7, "Established Relationship[4-7]", AR1326 &lt;= 12, "Long Term Relationship[8-12]", AR1326 &lt;= 17, "Very Long Term Relationship[13-17]")</f>
        <v>Established Relationship[4-7]</v>
      </c>
      <c r="AR1326" s="1">
        <v>6</v>
      </c>
    </row>
    <row r="1327" spans="1:44" x14ac:dyDescent="0.25">
      <c r="A1327" s="1">
        <v>42</v>
      </c>
      <c r="B1327" s="8" t="str" cm="1">
        <f t="array" ref="B1327">_xlfn.IFS(A1327 &lt;= 25, "[18-25]", A1327 &lt;= 35, "[26-35]", A1327 &lt;=45, "[36-45]", A1327 &lt;= 60, "[46- 60]")</f>
        <v>[36-45]</v>
      </c>
      <c r="C1327" s="3" t="s">
        <v>43</v>
      </c>
      <c r="D1327">
        <f t="shared" si="20"/>
        <v>0</v>
      </c>
      <c r="E1327" t="s">
        <v>36</v>
      </c>
      <c r="F1327" s="1">
        <v>1142</v>
      </c>
      <c r="G1327" s="3" t="s">
        <v>45</v>
      </c>
      <c r="H1327" s="1">
        <v>8</v>
      </c>
      <c r="I1327" s="9" t="str" cm="1">
        <f t="array" ref="I1327">_xlfn.IFS(H1327 &lt;= 2, "[1-2] very close", H1327 &lt;= 10, "[3-10] close", H1327 &lt;= 20, "[11-20] moderate", H1327 &lt;= 30, "[21-30] far")</f>
        <v>[3-10] close</v>
      </c>
      <c r="J1327" s="1">
        <v>3</v>
      </c>
      <c r="K1327" s="3" t="s">
        <v>38</v>
      </c>
      <c r="L1327" s="1">
        <v>1</v>
      </c>
      <c r="M1327" s="1">
        <v>1860</v>
      </c>
      <c r="N1327" s="1">
        <v>4</v>
      </c>
      <c r="O1327" s="3" t="s">
        <v>46</v>
      </c>
      <c r="P1327" s="1">
        <v>81</v>
      </c>
      <c r="Q1327" s="1">
        <v>3</v>
      </c>
      <c r="R1327" s="1">
        <v>1</v>
      </c>
      <c r="S1327" s="3" t="s">
        <v>50</v>
      </c>
      <c r="T1327" s="1">
        <v>3</v>
      </c>
      <c r="U1327" s="3" t="s">
        <v>41</v>
      </c>
      <c r="V1327" s="4">
        <v>3968</v>
      </c>
      <c r="W1327" s="1">
        <v>13624</v>
      </c>
      <c r="X1327" s="1">
        <v>4</v>
      </c>
      <c r="Y1327" s="3" t="s">
        <v>42</v>
      </c>
      <c r="Z1327" s="3" t="s">
        <v>43</v>
      </c>
      <c r="AA1327" s="5">
        <v>0.13</v>
      </c>
      <c r="AB1327" s="10" t="str" cm="1">
        <f t="array" ref="AB1327">_xlfn.IFS(AA1327 &lt;= 15%, "Low Hike[11-15%]", AA1327 &lt;= 20%, "Moderate Hike[16-20%]", AA1327 &lt;= 25%,"High Hike[21-25%]")</f>
        <v>Low Hike[11-15%]</v>
      </c>
      <c r="AC1327" s="1">
        <v>3</v>
      </c>
      <c r="AD1327" s="1">
        <v>4</v>
      </c>
      <c r="AE1327" s="1">
        <v>80</v>
      </c>
      <c r="AF1327" s="1">
        <v>0</v>
      </c>
      <c r="AG1327" s="1">
        <v>8</v>
      </c>
      <c r="AH1327" s="9" t="str" cm="1">
        <f t="array" ref="AH1327">_xlfn.IFS(AG1327 &lt;= 5, "New[1-5]", AG1327 &lt;= 10, "Early Career[6-10]", AG1327 &lt;= 20, "Established[11-20]", AG1327 &lt;= 30, "Veteran[21-30]", AG1327 &lt;= 40, "Late Career[31-40]")</f>
        <v>Early Career[6-10]</v>
      </c>
      <c r="AI1327" s="1">
        <v>3</v>
      </c>
      <c r="AJ1327" s="1">
        <v>3</v>
      </c>
      <c r="AK1327" s="1">
        <v>0</v>
      </c>
      <c r="AL1327" s="9" t="str" cm="1">
        <f t="array" ref="AL1327">_xlfn.IFS(AK1327 &lt;= 5, "New[1-5]", AK1327 &lt;= 10, "Early Career[6-10]", AK1327 &lt;= 20, "Established[11-20]", AK1327 &lt;= 30, "Veteran[21-30]", AK1327 &lt;= 40, "Late Career[31-40]")</f>
        <v>New[1-5]</v>
      </c>
      <c r="AM1327" s="1">
        <v>0</v>
      </c>
      <c r="AN1327" s="9" t="str" cm="1">
        <f t="array" ref="AN1327">_xlfn.IFS(AM1327 &lt;= 3, "New to Role[1-3]", AM1327 &lt;= 7, "Settled[4-7]", AM1327 &lt;= 12, "Experienced[[8-12]", AM1327 &lt;= 18, "Long Tenured[13-18]")</f>
        <v>New to Role[1-3]</v>
      </c>
      <c r="AO1327" s="1">
        <v>0</v>
      </c>
      <c r="AP1327" s="9" t="str" cm="1">
        <f t="array" ref="AP1327">_xlfn.IFS(AO1327 &lt;= 3, "Recently[1-3]", AO1327 &lt;= 6, "Due Soon[4-6]", AO1327 &lt;= 10, "Overdue[7-10]", AO1327 &lt;= 15, "Long Overdue[11-15]")</f>
        <v>Recently[1-3]</v>
      </c>
      <c r="AQ1327" s="9" t="str" cm="1">
        <f t="array" ref="AQ1327">_xlfn.IFS(AR1327 &lt;= 3, "New Relationship[1-3]", AR1327 &lt;= 7, "Established Relationship[4-7]", AR1327 &lt;= 12, "Long Term Relationship[8-12]", AR1327 &lt;= 17, "Very Long Term Relationship[13-17]")</f>
        <v>New Relationship[1-3]</v>
      </c>
      <c r="AR1327" s="1">
        <v>0</v>
      </c>
    </row>
    <row r="1328" spans="1:44" x14ac:dyDescent="0.25">
      <c r="A1328" s="1">
        <v>32</v>
      </c>
      <c r="B1328" s="8" t="str" cm="1">
        <f t="array" ref="B1328">_xlfn.IFS(A1328 &lt;= 25, "[18-25]", A1328 &lt;= 35, "[26-35]", A1328 &lt;=45, "[36-45]", A1328 &lt;= 60, "[46- 60]")</f>
        <v>[26-35]</v>
      </c>
      <c r="C1328" s="3" t="s">
        <v>35</v>
      </c>
      <c r="D1328">
        <f t="shared" si="20"/>
        <v>1</v>
      </c>
      <c r="E1328" t="s">
        <v>36</v>
      </c>
      <c r="F1328" s="1">
        <v>414</v>
      </c>
      <c r="G1328" s="3" t="s">
        <v>37</v>
      </c>
      <c r="H1328" s="1">
        <v>2</v>
      </c>
      <c r="I1328" s="9" t="str" cm="1">
        <f t="array" ref="I1328">_xlfn.IFS(H1328 &lt;= 2, "[1-2] very close", H1328 &lt;= 10, "[3-10] close", H1328 &lt;= 20, "[11-20] moderate", H1328 &lt;= 30, "[21-30] far")</f>
        <v>[1-2] very close</v>
      </c>
      <c r="J1328" s="1">
        <v>4</v>
      </c>
      <c r="K1328" s="3" t="s">
        <v>59</v>
      </c>
      <c r="L1328" s="1">
        <v>1</v>
      </c>
      <c r="M1328" s="1">
        <v>1862</v>
      </c>
      <c r="N1328" s="1">
        <v>3</v>
      </c>
      <c r="O1328" s="3" t="s">
        <v>46</v>
      </c>
      <c r="P1328" s="1">
        <v>82</v>
      </c>
      <c r="Q1328" s="1">
        <v>2</v>
      </c>
      <c r="R1328" s="1">
        <v>2</v>
      </c>
      <c r="S1328" s="3" t="s">
        <v>40</v>
      </c>
      <c r="T1328" s="1">
        <v>2</v>
      </c>
      <c r="U1328" s="3" t="s">
        <v>41</v>
      </c>
      <c r="V1328" s="4">
        <v>9907</v>
      </c>
      <c r="W1328" s="1">
        <v>26186</v>
      </c>
      <c r="X1328" s="1">
        <v>7</v>
      </c>
      <c r="Y1328" s="3" t="s">
        <v>42</v>
      </c>
      <c r="Z1328" s="3" t="s">
        <v>35</v>
      </c>
      <c r="AA1328" s="5">
        <v>0.12</v>
      </c>
      <c r="AB1328" s="10" t="str" cm="1">
        <f t="array" ref="AB1328">_xlfn.IFS(AA1328 &lt;= 15%, "Low Hike[11-15%]", AA1328 &lt;= 20%, "Moderate Hike[16-20%]", AA1328 &lt;= 25%,"High Hike[21-25%]")</f>
        <v>Low Hike[11-15%]</v>
      </c>
      <c r="AC1328" s="1">
        <v>3</v>
      </c>
      <c r="AD1328" s="1">
        <v>3</v>
      </c>
      <c r="AE1328" s="1">
        <v>80</v>
      </c>
      <c r="AF1328" s="1">
        <v>0</v>
      </c>
      <c r="AG1328" s="1">
        <v>7</v>
      </c>
      <c r="AH1328" s="9" t="str" cm="1">
        <f t="array" ref="AH1328">_xlfn.IFS(AG1328 &lt;= 5, "New[1-5]", AG1328 &lt;= 10, "Early Career[6-10]", AG1328 &lt;= 20, "Established[11-20]", AG1328 &lt;= 30, "Veteran[21-30]", AG1328 &lt;= 40, "Late Career[31-40]")</f>
        <v>Early Career[6-10]</v>
      </c>
      <c r="AI1328" s="1">
        <v>3</v>
      </c>
      <c r="AJ1328" s="1">
        <v>2</v>
      </c>
      <c r="AK1328" s="1">
        <v>2</v>
      </c>
      <c r="AL1328" s="9" t="str" cm="1">
        <f t="array" ref="AL1328">_xlfn.IFS(AK1328 &lt;= 5, "New[1-5]", AK1328 &lt;= 10, "Early Career[6-10]", AK1328 &lt;= 20, "Established[11-20]", AK1328 &lt;= 30, "Veteran[21-30]", AK1328 &lt;= 40, "Late Career[31-40]")</f>
        <v>New[1-5]</v>
      </c>
      <c r="AM1328" s="1">
        <v>2</v>
      </c>
      <c r="AN1328" s="9" t="str" cm="1">
        <f t="array" ref="AN1328">_xlfn.IFS(AM1328 &lt;= 3, "New to Role[1-3]", AM1328 &lt;= 7, "Settled[4-7]", AM1328 &lt;= 12, "Experienced[[8-12]", AM1328 &lt;= 18, "Long Tenured[13-18]")</f>
        <v>New to Role[1-3]</v>
      </c>
      <c r="AO1328" s="1">
        <v>2</v>
      </c>
      <c r="AP1328" s="9" t="str" cm="1">
        <f t="array" ref="AP1328">_xlfn.IFS(AO1328 &lt;= 3, "Recently[1-3]", AO1328 &lt;= 6, "Due Soon[4-6]", AO1328 &lt;= 10, "Overdue[7-10]", AO1328 &lt;= 15, "Long Overdue[11-15]")</f>
        <v>Recently[1-3]</v>
      </c>
      <c r="AQ1328" s="9" t="str" cm="1">
        <f t="array" ref="AQ1328">_xlfn.IFS(AR1328 &lt;= 3, "New Relationship[1-3]", AR1328 &lt;= 7, "Established Relationship[4-7]", AR1328 &lt;= 12, "Long Term Relationship[8-12]", AR1328 &lt;= 17, "Very Long Term Relationship[13-17]")</f>
        <v>New Relationship[1-3]</v>
      </c>
      <c r="AR1328" s="1">
        <v>2</v>
      </c>
    </row>
    <row r="1329" spans="1:44" x14ac:dyDescent="0.25">
      <c r="A1329" s="1">
        <v>46</v>
      </c>
      <c r="B1329" s="8" t="str" cm="1">
        <f t="array" ref="B1329">_xlfn.IFS(A1329 &lt;= 25, "[18-25]", A1329 &lt;= 35, "[26-35]", A1329 &lt;=45, "[36-45]", A1329 &lt;= 60, "[46- 60]")</f>
        <v>[46- 60]</v>
      </c>
      <c r="C1329" s="3" t="s">
        <v>43</v>
      </c>
      <c r="D1329">
        <f t="shared" si="20"/>
        <v>0</v>
      </c>
      <c r="E1329" t="s">
        <v>36</v>
      </c>
      <c r="F1329" s="1">
        <v>1319</v>
      </c>
      <c r="G1329" s="3" t="s">
        <v>37</v>
      </c>
      <c r="H1329" s="1">
        <v>3</v>
      </c>
      <c r="I1329" s="9" t="str" cm="1">
        <f t="array" ref="I1329">_xlfn.IFS(H1329 &lt;= 2, "[1-2] very close", H1329 &lt;= 10, "[3-10] close", H1329 &lt;= 20, "[11-20] moderate", H1329 &lt;= 30, "[21-30] far")</f>
        <v>[3-10] close</v>
      </c>
      <c r="J1329" s="1">
        <v>3</v>
      </c>
      <c r="K1329" s="3" t="s">
        <v>60</v>
      </c>
      <c r="L1329" s="1">
        <v>1</v>
      </c>
      <c r="M1329" s="1">
        <v>1863</v>
      </c>
      <c r="N1329" s="1">
        <v>1</v>
      </c>
      <c r="O1329" s="3" t="s">
        <v>39</v>
      </c>
      <c r="P1329" s="1">
        <v>45</v>
      </c>
      <c r="Q1329" s="1">
        <v>4</v>
      </c>
      <c r="R1329" s="1">
        <v>4</v>
      </c>
      <c r="S1329" s="3" t="s">
        <v>40</v>
      </c>
      <c r="T1329" s="1">
        <v>1</v>
      </c>
      <c r="U1329" s="3" t="s">
        <v>52</v>
      </c>
      <c r="V1329" s="4">
        <v>13225</v>
      </c>
      <c r="W1329" s="1">
        <v>7739</v>
      </c>
      <c r="X1329" s="1">
        <v>2</v>
      </c>
      <c r="Y1329" s="3" t="s">
        <v>42</v>
      </c>
      <c r="Z1329" s="3" t="s">
        <v>43</v>
      </c>
      <c r="AA1329" s="5">
        <v>0.12</v>
      </c>
      <c r="AB1329" s="10" t="str" cm="1">
        <f t="array" ref="AB1329">_xlfn.IFS(AA1329 &lt;= 15%, "Low Hike[11-15%]", AA1329 &lt;= 20%, "Moderate Hike[16-20%]", AA1329 &lt;= 25%,"High Hike[21-25%]")</f>
        <v>Low Hike[11-15%]</v>
      </c>
      <c r="AC1329" s="1">
        <v>3</v>
      </c>
      <c r="AD1329" s="1">
        <v>4</v>
      </c>
      <c r="AE1329" s="1">
        <v>80</v>
      </c>
      <c r="AF1329" s="1">
        <v>1</v>
      </c>
      <c r="AG1329" s="1">
        <v>25</v>
      </c>
      <c r="AH1329" s="9" t="str" cm="1">
        <f t="array" ref="AH1329">_xlfn.IFS(AG1329 &lt;= 5, "New[1-5]", AG1329 &lt;= 10, "Early Career[6-10]", AG1329 &lt;= 20, "Established[11-20]", AG1329 &lt;= 30, "Veteran[21-30]", AG1329 &lt;= 40, "Late Career[31-40]")</f>
        <v>Veteran[21-30]</v>
      </c>
      <c r="AI1329" s="1">
        <v>5</v>
      </c>
      <c r="AJ1329" s="1">
        <v>3</v>
      </c>
      <c r="AK1329" s="1">
        <v>19</v>
      </c>
      <c r="AL1329" s="9" t="str" cm="1">
        <f t="array" ref="AL1329">_xlfn.IFS(AK1329 &lt;= 5, "New[1-5]", AK1329 &lt;= 10, "Early Career[6-10]", AK1329 &lt;= 20, "Established[11-20]", AK1329 &lt;= 30, "Veteran[21-30]", AK1329 &lt;= 40, "Late Career[31-40]")</f>
        <v>Established[11-20]</v>
      </c>
      <c r="AM1329" s="1">
        <v>17</v>
      </c>
      <c r="AN1329" s="9" t="str" cm="1">
        <f t="array" ref="AN1329">_xlfn.IFS(AM1329 &lt;= 3, "New to Role[1-3]", AM1329 &lt;= 7, "Settled[4-7]", AM1329 &lt;= 12, "Experienced[[8-12]", AM1329 &lt;= 18, "Long Tenured[13-18]")</f>
        <v>Long Tenured[13-18]</v>
      </c>
      <c r="AO1329" s="1">
        <v>2</v>
      </c>
      <c r="AP1329" s="9" t="str" cm="1">
        <f t="array" ref="AP1329">_xlfn.IFS(AO1329 &lt;= 3, "Recently[1-3]", AO1329 &lt;= 6, "Due Soon[4-6]", AO1329 &lt;= 10, "Overdue[7-10]", AO1329 &lt;= 15, "Long Overdue[11-15]")</f>
        <v>Recently[1-3]</v>
      </c>
      <c r="AQ1329" s="9" t="str" cm="1">
        <f t="array" ref="AQ1329">_xlfn.IFS(AR1329 &lt;= 3, "New Relationship[1-3]", AR1329 &lt;= 7, "Established Relationship[4-7]", AR1329 &lt;= 12, "Long Term Relationship[8-12]", AR1329 &lt;= 17, "Very Long Term Relationship[13-17]")</f>
        <v>Long Term Relationship[8-12]</v>
      </c>
      <c r="AR1329" s="1">
        <v>8</v>
      </c>
    </row>
    <row r="1330" spans="1:44" x14ac:dyDescent="0.25">
      <c r="A1330" s="1">
        <v>27</v>
      </c>
      <c r="B1330" s="8" t="str" cm="1">
        <f t="array" ref="B1330">_xlfn.IFS(A1330 &lt;= 25, "[18-25]", A1330 &lt;= 35, "[26-35]", A1330 &lt;=45, "[36-45]", A1330 &lt;= 60, "[46- 60]")</f>
        <v>[26-35]</v>
      </c>
      <c r="C1330" s="3" t="s">
        <v>43</v>
      </c>
      <c r="D1330">
        <f t="shared" si="20"/>
        <v>0</v>
      </c>
      <c r="E1330" t="s">
        <v>36</v>
      </c>
      <c r="F1330" s="1">
        <v>728</v>
      </c>
      <c r="G1330" s="3" t="s">
        <v>37</v>
      </c>
      <c r="H1330" s="1">
        <v>23</v>
      </c>
      <c r="I1330" s="9" t="str" cm="1">
        <f t="array" ref="I1330">_xlfn.IFS(H1330 &lt;= 2, "[1-2] very close", H1330 &lt;= 10, "[3-10] close", H1330 &lt;= 20, "[11-20] moderate", H1330 &lt;= 30, "[21-30] far")</f>
        <v>[21-30] far</v>
      </c>
      <c r="J1330" s="1">
        <v>1</v>
      </c>
      <c r="K1330" s="3" t="s">
        <v>51</v>
      </c>
      <c r="L1330" s="1">
        <v>1</v>
      </c>
      <c r="M1330" s="1">
        <v>1864</v>
      </c>
      <c r="N1330" s="1">
        <v>2</v>
      </c>
      <c r="O1330" s="3" t="s">
        <v>39</v>
      </c>
      <c r="P1330" s="1">
        <v>36</v>
      </c>
      <c r="Q1330" s="1">
        <v>2</v>
      </c>
      <c r="R1330" s="1">
        <v>2</v>
      </c>
      <c r="S1330" s="3" t="s">
        <v>57</v>
      </c>
      <c r="T1330" s="1">
        <v>3</v>
      </c>
      <c r="U1330" s="3" t="s">
        <v>48</v>
      </c>
      <c r="V1330" s="4">
        <v>3540</v>
      </c>
      <c r="W1330" s="1">
        <v>7018</v>
      </c>
      <c r="X1330" s="1">
        <v>1</v>
      </c>
      <c r="Y1330" s="3" t="s">
        <v>42</v>
      </c>
      <c r="Z1330" s="3" t="s">
        <v>43</v>
      </c>
      <c r="AA1330" s="5">
        <v>0.21</v>
      </c>
      <c r="AB1330" s="10" t="str" cm="1">
        <f t="array" ref="AB1330">_xlfn.IFS(AA1330 &lt;= 15%, "Low Hike[11-15%]", AA1330 &lt;= 20%, "Moderate Hike[16-20%]", AA1330 &lt;= 25%,"High Hike[21-25%]")</f>
        <v>High Hike[21-25%]</v>
      </c>
      <c r="AC1330" s="1">
        <v>4</v>
      </c>
      <c r="AD1330" s="1">
        <v>4</v>
      </c>
      <c r="AE1330" s="1">
        <v>80</v>
      </c>
      <c r="AF1330" s="1">
        <v>1</v>
      </c>
      <c r="AG1330" s="1">
        <v>9</v>
      </c>
      <c r="AH1330" s="9" t="str" cm="1">
        <f t="array" ref="AH1330">_xlfn.IFS(AG1330 &lt;= 5, "New[1-5]", AG1330 &lt;= 10, "Early Career[6-10]", AG1330 &lt;= 20, "Established[11-20]", AG1330 &lt;= 30, "Veteran[21-30]", AG1330 &lt;= 40, "Late Career[31-40]")</f>
        <v>Early Career[6-10]</v>
      </c>
      <c r="AI1330" s="1">
        <v>5</v>
      </c>
      <c r="AJ1330" s="1">
        <v>3</v>
      </c>
      <c r="AK1330" s="1">
        <v>9</v>
      </c>
      <c r="AL1330" s="9" t="str" cm="1">
        <f t="array" ref="AL1330">_xlfn.IFS(AK1330 &lt;= 5, "New[1-5]", AK1330 &lt;= 10, "Early Career[6-10]", AK1330 &lt;= 20, "Established[11-20]", AK1330 &lt;= 30, "Veteran[21-30]", AK1330 &lt;= 40, "Late Career[31-40]")</f>
        <v>Early Career[6-10]</v>
      </c>
      <c r="AM1330" s="1">
        <v>8</v>
      </c>
      <c r="AN1330" s="9" t="str" cm="1">
        <f t="array" ref="AN1330">_xlfn.IFS(AM1330 &lt;= 3, "New to Role[1-3]", AM1330 &lt;= 7, "Settled[4-7]", AM1330 &lt;= 12, "Experienced[[8-12]", AM1330 &lt;= 18, "Long Tenured[13-18]")</f>
        <v>Experienced[[8-12]</v>
      </c>
      <c r="AO1330" s="1">
        <v>5</v>
      </c>
      <c r="AP1330" s="9" t="str" cm="1">
        <f t="array" ref="AP1330">_xlfn.IFS(AO1330 &lt;= 3, "Recently[1-3]", AO1330 &lt;= 6, "Due Soon[4-6]", AO1330 &lt;= 10, "Overdue[7-10]", AO1330 &lt;= 15, "Long Overdue[11-15]")</f>
        <v>Due Soon[4-6]</v>
      </c>
      <c r="AQ1330" s="9" t="str" cm="1">
        <f t="array" ref="AQ1330">_xlfn.IFS(AR1330 &lt;= 3, "New Relationship[1-3]", AR1330 &lt;= 7, "Established Relationship[4-7]", AR1330 &lt;= 12, "Long Term Relationship[8-12]", AR1330 &lt;= 17, "Very Long Term Relationship[13-17]")</f>
        <v>Long Term Relationship[8-12]</v>
      </c>
      <c r="AR1330" s="1">
        <v>8</v>
      </c>
    </row>
    <row r="1331" spans="1:44" x14ac:dyDescent="0.25">
      <c r="A1331" s="1">
        <v>29</v>
      </c>
      <c r="B1331" s="8" t="str" cm="1">
        <f t="array" ref="B1331">_xlfn.IFS(A1331 &lt;= 25, "[18-25]", A1331 &lt;= 35, "[26-35]", A1331 &lt;=45, "[36-45]", A1331 &lt;= 60, "[46- 60]")</f>
        <v>[26-35]</v>
      </c>
      <c r="C1331" s="3" t="s">
        <v>43</v>
      </c>
      <c r="D1331">
        <f t="shared" si="20"/>
        <v>0</v>
      </c>
      <c r="E1331" t="s">
        <v>36</v>
      </c>
      <c r="F1331" s="1">
        <v>352</v>
      </c>
      <c r="G1331" s="3" t="s">
        <v>61</v>
      </c>
      <c r="H1331" s="1">
        <v>6</v>
      </c>
      <c r="I1331" s="9" t="str" cm="1">
        <f t="array" ref="I1331">_xlfn.IFS(H1331 &lt;= 2, "[1-2] very close", H1331 &lt;= 10, "[3-10] close", H1331 &lt;= 20, "[11-20] moderate", H1331 &lt;= 30, "[21-30] far")</f>
        <v>[3-10] close</v>
      </c>
      <c r="J1331" s="1">
        <v>1</v>
      </c>
      <c r="K1331" s="3" t="s">
        <v>51</v>
      </c>
      <c r="L1331" s="1">
        <v>1</v>
      </c>
      <c r="M1331" s="1">
        <v>1865</v>
      </c>
      <c r="N1331" s="1">
        <v>4</v>
      </c>
      <c r="O1331" s="3" t="s">
        <v>46</v>
      </c>
      <c r="P1331" s="1">
        <v>87</v>
      </c>
      <c r="Q1331" s="1">
        <v>2</v>
      </c>
      <c r="R1331" s="1">
        <v>1</v>
      </c>
      <c r="S1331" s="3" t="s">
        <v>61</v>
      </c>
      <c r="T1331" s="1">
        <v>2</v>
      </c>
      <c r="U1331" s="3" t="s">
        <v>48</v>
      </c>
      <c r="V1331" s="4">
        <v>2804</v>
      </c>
      <c r="W1331" s="1">
        <v>15434</v>
      </c>
      <c r="X1331" s="1">
        <v>1</v>
      </c>
      <c r="Y1331" s="3" t="s">
        <v>42</v>
      </c>
      <c r="Z1331" s="3" t="s">
        <v>43</v>
      </c>
      <c r="AA1331" s="5">
        <v>0.11</v>
      </c>
      <c r="AB1331" s="10" t="str" cm="1">
        <f t="array" ref="AB1331">_xlfn.IFS(AA1331 &lt;= 15%, "Low Hike[11-15%]", AA1331 &lt;= 20%, "Moderate Hike[16-20%]", AA1331 &lt;= 25%,"High Hike[21-25%]")</f>
        <v>Low Hike[11-15%]</v>
      </c>
      <c r="AC1331" s="1">
        <v>3</v>
      </c>
      <c r="AD1331" s="1">
        <v>4</v>
      </c>
      <c r="AE1331" s="1">
        <v>80</v>
      </c>
      <c r="AF1331" s="1">
        <v>0</v>
      </c>
      <c r="AG1331" s="1">
        <v>1</v>
      </c>
      <c r="AH1331" s="9" t="str" cm="1">
        <f t="array" ref="AH1331">_xlfn.IFS(AG1331 &lt;= 5, "New[1-5]", AG1331 &lt;= 10, "Early Career[6-10]", AG1331 &lt;= 20, "Established[11-20]", AG1331 &lt;= 30, "Veteran[21-30]", AG1331 &lt;= 40, "Late Career[31-40]")</f>
        <v>New[1-5]</v>
      </c>
      <c r="AI1331" s="1">
        <v>3</v>
      </c>
      <c r="AJ1331" s="1">
        <v>3</v>
      </c>
      <c r="AK1331" s="1">
        <v>1</v>
      </c>
      <c r="AL1331" s="9" t="str" cm="1">
        <f t="array" ref="AL1331">_xlfn.IFS(AK1331 &lt;= 5, "New[1-5]", AK1331 &lt;= 10, "Early Career[6-10]", AK1331 &lt;= 20, "Established[11-20]", AK1331 &lt;= 30, "Veteran[21-30]", AK1331 &lt;= 40, "Late Career[31-40]")</f>
        <v>New[1-5]</v>
      </c>
      <c r="AM1331" s="1">
        <v>0</v>
      </c>
      <c r="AN1331" s="9" t="str" cm="1">
        <f t="array" ref="AN1331">_xlfn.IFS(AM1331 &lt;= 3, "New to Role[1-3]", AM1331 &lt;= 7, "Settled[4-7]", AM1331 &lt;= 12, "Experienced[[8-12]", AM1331 &lt;= 18, "Long Tenured[13-18]")</f>
        <v>New to Role[1-3]</v>
      </c>
      <c r="AO1331" s="1">
        <v>0</v>
      </c>
      <c r="AP1331" s="9" t="str" cm="1">
        <f t="array" ref="AP1331">_xlfn.IFS(AO1331 &lt;= 3, "Recently[1-3]", AO1331 &lt;= 6, "Due Soon[4-6]", AO1331 &lt;= 10, "Overdue[7-10]", AO1331 &lt;= 15, "Long Overdue[11-15]")</f>
        <v>Recently[1-3]</v>
      </c>
      <c r="AQ1331" s="9" t="str" cm="1">
        <f t="array" ref="AQ1331">_xlfn.IFS(AR1331 &lt;= 3, "New Relationship[1-3]", AR1331 &lt;= 7, "Established Relationship[4-7]", AR1331 &lt;= 12, "Long Term Relationship[8-12]", AR1331 &lt;= 17, "Very Long Term Relationship[13-17]")</f>
        <v>New Relationship[1-3]</v>
      </c>
      <c r="AR1331" s="1">
        <v>0</v>
      </c>
    </row>
    <row r="1332" spans="1:44" x14ac:dyDescent="0.25">
      <c r="A1332" s="1">
        <v>43</v>
      </c>
      <c r="B1332" s="8" t="str" cm="1">
        <f t="array" ref="B1332">_xlfn.IFS(A1332 &lt;= 25, "[18-25]", A1332 &lt;= 35, "[26-35]", A1332 &lt;=45, "[36-45]", A1332 &lt;= 60, "[46- 60]")</f>
        <v>[36-45]</v>
      </c>
      <c r="C1332" s="3" t="s">
        <v>43</v>
      </c>
      <c r="D1332">
        <f t="shared" si="20"/>
        <v>0</v>
      </c>
      <c r="E1332" t="s">
        <v>36</v>
      </c>
      <c r="F1332" s="1">
        <v>823</v>
      </c>
      <c r="G1332" s="3" t="s">
        <v>45</v>
      </c>
      <c r="H1332" s="1">
        <v>6</v>
      </c>
      <c r="I1332" s="9" t="str" cm="1">
        <f t="array" ref="I1332">_xlfn.IFS(H1332 &lt;= 2, "[1-2] very close", H1332 &lt;= 10, "[3-10] close", H1332 &lt;= 20, "[11-20] moderate", H1332 &lt;= 30, "[21-30] far")</f>
        <v>[3-10] close</v>
      </c>
      <c r="J1332" s="1">
        <v>3</v>
      </c>
      <c r="K1332" s="3" t="s">
        <v>51</v>
      </c>
      <c r="L1332" s="1">
        <v>1</v>
      </c>
      <c r="M1332" s="1">
        <v>1866</v>
      </c>
      <c r="N1332" s="1">
        <v>1</v>
      </c>
      <c r="O1332" s="3" t="s">
        <v>39</v>
      </c>
      <c r="P1332" s="1">
        <v>81</v>
      </c>
      <c r="Q1332" s="1">
        <v>2</v>
      </c>
      <c r="R1332" s="1">
        <v>5</v>
      </c>
      <c r="S1332" s="3" t="s">
        <v>56</v>
      </c>
      <c r="T1332" s="1">
        <v>3</v>
      </c>
      <c r="U1332" s="3" t="s">
        <v>48</v>
      </c>
      <c r="V1332" s="4">
        <v>19392</v>
      </c>
      <c r="W1332" s="1">
        <v>22539</v>
      </c>
      <c r="X1332" s="1">
        <v>7</v>
      </c>
      <c r="Y1332" s="3" t="s">
        <v>42</v>
      </c>
      <c r="Z1332" s="3" t="s">
        <v>43</v>
      </c>
      <c r="AA1332" s="5">
        <v>0.13</v>
      </c>
      <c r="AB1332" s="10" t="str" cm="1">
        <f t="array" ref="AB1332">_xlfn.IFS(AA1332 &lt;= 15%, "Low Hike[11-15%]", AA1332 &lt;= 20%, "Moderate Hike[16-20%]", AA1332 &lt;= 25%,"High Hike[21-25%]")</f>
        <v>Low Hike[11-15%]</v>
      </c>
      <c r="AC1332" s="1">
        <v>3</v>
      </c>
      <c r="AD1332" s="1">
        <v>4</v>
      </c>
      <c r="AE1332" s="1">
        <v>80</v>
      </c>
      <c r="AF1332" s="1">
        <v>0</v>
      </c>
      <c r="AG1332" s="1">
        <v>21</v>
      </c>
      <c r="AH1332" s="9" t="str" cm="1">
        <f t="array" ref="AH1332">_xlfn.IFS(AG1332 &lt;= 5, "New[1-5]", AG1332 &lt;= 10, "Early Career[6-10]", AG1332 &lt;= 20, "Established[11-20]", AG1332 &lt;= 30, "Veteran[21-30]", AG1332 &lt;= 40, "Late Career[31-40]")</f>
        <v>Veteran[21-30]</v>
      </c>
      <c r="AI1332" s="1">
        <v>2</v>
      </c>
      <c r="AJ1332" s="1">
        <v>3</v>
      </c>
      <c r="AK1332" s="1">
        <v>16</v>
      </c>
      <c r="AL1332" s="9" t="str" cm="1">
        <f t="array" ref="AL1332">_xlfn.IFS(AK1332 &lt;= 5, "New[1-5]", AK1332 &lt;= 10, "Early Career[6-10]", AK1332 &lt;= 20, "Established[11-20]", AK1332 &lt;= 30, "Veteran[21-30]", AK1332 &lt;= 40, "Late Career[31-40]")</f>
        <v>Established[11-20]</v>
      </c>
      <c r="AM1332" s="1">
        <v>12</v>
      </c>
      <c r="AN1332" s="9" t="str" cm="1">
        <f t="array" ref="AN1332">_xlfn.IFS(AM1332 &lt;= 3, "New to Role[1-3]", AM1332 &lt;= 7, "Settled[4-7]", AM1332 &lt;= 12, "Experienced[[8-12]", AM1332 &lt;= 18, "Long Tenured[13-18]")</f>
        <v>Experienced[[8-12]</v>
      </c>
      <c r="AO1332" s="1">
        <v>6</v>
      </c>
      <c r="AP1332" s="9" t="str" cm="1">
        <f t="array" ref="AP1332">_xlfn.IFS(AO1332 &lt;= 3, "Recently[1-3]", AO1332 &lt;= 6, "Due Soon[4-6]", AO1332 &lt;= 10, "Overdue[7-10]", AO1332 &lt;= 15, "Long Overdue[11-15]")</f>
        <v>Due Soon[4-6]</v>
      </c>
      <c r="AQ1332" s="9" t="str" cm="1">
        <f t="array" ref="AQ1332">_xlfn.IFS(AR1332 &lt;= 3, "New Relationship[1-3]", AR1332 &lt;= 7, "Established Relationship[4-7]", AR1332 &lt;= 12, "Long Term Relationship[8-12]", AR1332 &lt;= 17, "Very Long Term Relationship[13-17]")</f>
        <v>Very Long Term Relationship[13-17]</v>
      </c>
      <c r="AR1332" s="1">
        <v>14</v>
      </c>
    </row>
    <row r="1333" spans="1:44" x14ac:dyDescent="0.25">
      <c r="A1333" s="1">
        <v>48</v>
      </c>
      <c r="B1333" s="8" t="str" cm="1">
        <f t="array" ref="B1333">_xlfn.IFS(A1333 &lt;= 25, "[18-25]", A1333 &lt;= 35, "[26-35]", A1333 &lt;=45, "[36-45]", A1333 &lt;= 60, "[46- 60]")</f>
        <v>[46- 60]</v>
      </c>
      <c r="C1333" s="3" t="s">
        <v>43</v>
      </c>
      <c r="D1333">
        <f t="shared" si="20"/>
        <v>0</v>
      </c>
      <c r="E1333" t="s">
        <v>36</v>
      </c>
      <c r="F1333" s="1">
        <v>1224</v>
      </c>
      <c r="G1333" s="3" t="s">
        <v>45</v>
      </c>
      <c r="H1333" s="1">
        <v>10</v>
      </c>
      <c r="I1333" s="9" t="str" cm="1">
        <f t="array" ref="I1333">_xlfn.IFS(H1333 &lt;= 2, "[1-2] very close", H1333 &lt;= 10, "[3-10] close", H1333 &lt;= 20, "[11-20] moderate", H1333 &lt;= 30, "[21-30] far")</f>
        <v>[3-10] close</v>
      </c>
      <c r="J1333" s="1">
        <v>3</v>
      </c>
      <c r="K1333" s="3" t="s">
        <v>38</v>
      </c>
      <c r="L1333" s="1">
        <v>1</v>
      </c>
      <c r="M1333" s="1">
        <v>1867</v>
      </c>
      <c r="N1333" s="1">
        <v>4</v>
      </c>
      <c r="O1333" s="3" t="s">
        <v>46</v>
      </c>
      <c r="P1333" s="1">
        <v>91</v>
      </c>
      <c r="Q1333" s="1">
        <v>2</v>
      </c>
      <c r="R1333" s="1">
        <v>5</v>
      </c>
      <c r="S1333" s="3" t="s">
        <v>58</v>
      </c>
      <c r="T1333" s="1">
        <v>2</v>
      </c>
      <c r="U1333" s="3" t="s">
        <v>48</v>
      </c>
      <c r="V1333" s="4">
        <v>19665</v>
      </c>
      <c r="W1333" s="1">
        <v>13583</v>
      </c>
      <c r="X1333" s="1">
        <v>4</v>
      </c>
      <c r="Y1333" s="3" t="s">
        <v>42</v>
      </c>
      <c r="Z1333" s="3" t="s">
        <v>43</v>
      </c>
      <c r="AA1333" s="5">
        <v>0.12</v>
      </c>
      <c r="AB1333" s="10" t="str" cm="1">
        <f t="array" ref="AB1333">_xlfn.IFS(AA1333 &lt;= 15%, "Low Hike[11-15%]", AA1333 &lt;= 20%, "Moderate Hike[16-20%]", AA1333 &lt;= 25%,"High Hike[21-25%]")</f>
        <v>Low Hike[11-15%]</v>
      </c>
      <c r="AC1333" s="1">
        <v>3</v>
      </c>
      <c r="AD1333" s="1">
        <v>4</v>
      </c>
      <c r="AE1333" s="1">
        <v>80</v>
      </c>
      <c r="AF1333" s="1">
        <v>0</v>
      </c>
      <c r="AG1333" s="1">
        <v>29</v>
      </c>
      <c r="AH1333" s="9" t="str" cm="1">
        <f t="array" ref="AH1333">_xlfn.IFS(AG1333 &lt;= 5, "New[1-5]", AG1333 &lt;= 10, "Early Career[6-10]", AG1333 &lt;= 20, "Established[11-20]", AG1333 &lt;= 30, "Veteran[21-30]", AG1333 &lt;= 40, "Late Career[31-40]")</f>
        <v>Veteran[21-30]</v>
      </c>
      <c r="AI1333" s="1">
        <v>3</v>
      </c>
      <c r="AJ1333" s="1">
        <v>3</v>
      </c>
      <c r="AK1333" s="1">
        <v>22</v>
      </c>
      <c r="AL1333" s="9" t="str" cm="1">
        <f t="array" ref="AL1333">_xlfn.IFS(AK1333 &lt;= 5, "New[1-5]", AK1333 &lt;= 10, "Early Career[6-10]", AK1333 &lt;= 20, "Established[11-20]", AK1333 &lt;= 30, "Veteran[21-30]", AK1333 &lt;= 40, "Late Career[31-40]")</f>
        <v>Veteran[21-30]</v>
      </c>
      <c r="AM1333" s="1">
        <v>10</v>
      </c>
      <c r="AN1333" s="9" t="str" cm="1">
        <f t="array" ref="AN1333">_xlfn.IFS(AM1333 &lt;= 3, "New to Role[1-3]", AM1333 &lt;= 7, "Settled[4-7]", AM1333 &lt;= 12, "Experienced[[8-12]", AM1333 &lt;= 18, "Long Tenured[13-18]")</f>
        <v>Experienced[[8-12]</v>
      </c>
      <c r="AO1333" s="1">
        <v>12</v>
      </c>
      <c r="AP1333" s="9" t="str" cm="1">
        <f t="array" ref="AP1333">_xlfn.IFS(AO1333 &lt;= 3, "Recently[1-3]", AO1333 &lt;= 6, "Due Soon[4-6]", AO1333 &lt;= 10, "Overdue[7-10]", AO1333 &lt;= 15, "Long Overdue[11-15]")</f>
        <v>Long Overdue[11-15]</v>
      </c>
      <c r="AQ1333" s="9" t="str" cm="1">
        <f t="array" ref="AQ1333">_xlfn.IFS(AR1333 &lt;= 3, "New Relationship[1-3]", AR1333 &lt;= 7, "Established Relationship[4-7]", AR1333 &lt;= 12, "Long Term Relationship[8-12]", AR1333 &lt;= 17, "Very Long Term Relationship[13-17]")</f>
        <v>Long Term Relationship[8-12]</v>
      </c>
      <c r="AR1333" s="1">
        <v>9</v>
      </c>
    </row>
    <row r="1334" spans="1:44" x14ac:dyDescent="0.25">
      <c r="A1334" s="1">
        <v>29</v>
      </c>
      <c r="B1334" s="8" t="str" cm="1">
        <f t="array" ref="B1334">_xlfn.IFS(A1334 &lt;= 25, "[18-25]", A1334 &lt;= 35, "[26-35]", A1334 &lt;=45, "[36-45]", A1334 &lt;= 60, "[46- 60]")</f>
        <v>[26-35]</v>
      </c>
      <c r="C1334" s="3" t="s">
        <v>35</v>
      </c>
      <c r="D1334">
        <f t="shared" si="20"/>
        <v>1</v>
      </c>
      <c r="E1334" t="s">
        <v>44</v>
      </c>
      <c r="F1334" s="1">
        <v>459</v>
      </c>
      <c r="G1334" s="3" t="s">
        <v>45</v>
      </c>
      <c r="H1334" s="1">
        <v>24</v>
      </c>
      <c r="I1334" s="9" t="str" cm="1">
        <f t="array" ref="I1334">_xlfn.IFS(H1334 &lt;= 2, "[1-2] very close", H1334 &lt;= 10, "[3-10] close", H1334 &lt;= 20, "[11-20] moderate", H1334 &lt;= 30, "[21-30] far")</f>
        <v>[21-30] far</v>
      </c>
      <c r="J1334" s="1">
        <v>2</v>
      </c>
      <c r="K1334" s="3" t="s">
        <v>38</v>
      </c>
      <c r="L1334" s="1">
        <v>1</v>
      </c>
      <c r="M1334" s="1">
        <v>1868</v>
      </c>
      <c r="N1334" s="1">
        <v>4</v>
      </c>
      <c r="O1334" s="3" t="s">
        <v>46</v>
      </c>
      <c r="P1334" s="1">
        <v>73</v>
      </c>
      <c r="Q1334" s="1">
        <v>2</v>
      </c>
      <c r="R1334" s="1">
        <v>1</v>
      </c>
      <c r="S1334" s="3" t="s">
        <v>47</v>
      </c>
      <c r="T1334" s="1">
        <v>4</v>
      </c>
      <c r="U1334" s="3" t="s">
        <v>41</v>
      </c>
      <c r="V1334" s="4">
        <v>2439</v>
      </c>
      <c r="W1334" s="1">
        <v>14753</v>
      </c>
      <c r="X1334" s="1">
        <v>1</v>
      </c>
      <c r="Y1334" s="3" t="s">
        <v>42</v>
      </c>
      <c r="Z1334" s="3" t="s">
        <v>35</v>
      </c>
      <c r="AA1334" s="5">
        <v>0.24</v>
      </c>
      <c r="AB1334" s="10" t="str" cm="1">
        <f t="array" ref="AB1334">_xlfn.IFS(AA1334 &lt;= 15%, "Low Hike[11-15%]", AA1334 &lt;= 20%, "Moderate Hike[16-20%]", AA1334 &lt;= 25%,"High Hike[21-25%]")</f>
        <v>High Hike[21-25%]</v>
      </c>
      <c r="AC1334" s="1">
        <v>4</v>
      </c>
      <c r="AD1334" s="1">
        <v>2</v>
      </c>
      <c r="AE1334" s="1">
        <v>80</v>
      </c>
      <c r="AF1334" s="1">
        <v>0</v>
      </c>
      <c r="AG1334" s="1">
        <v>1</v>
      </c>
      <c r="AH1334" s="9" t="str" cm="1">
        <f t="array" ref="AH1334">_xlfn.IFS(AG1334 &lt;= 5, "New[1-5]", AG1334 &lt;= 10, "Early Career[6-10]", AG1334 &lt;= 20, "Established[11-20]", AG1334 &lt;= 30, "Veteran[21-30]", AG1334 &lt;= 40, "Late Career[31-40]")</f>
        <v>New[1-5]</v>
      </c>
      <c r="AI1334" s="1">
        <v>3</v>
      </c>
      <c r="AJ1334" s="1">
        <v>2</v>
      </c>
      <c r="AK1334" s="1">
        <v>1</v>
      </c>
      <c r="AL1334" s="9" t="str" cm="1">
        <f t="array" ref="AL1334">_xlfn.IFS(AK1334 &lt;= 5, "New[1-5]", AK1334 &lt;= 10, "Early Career[6-10]", AK1334 &lt;= 20, "Established[11-20]", AK1334 &lt;= 30, "Veteran[21-30]", AK1334 &lt;= 40, "Late Career[31-40]")</f>
        <v>New[1-5]</v>
      </c>
      <c r="AM1334" s="1">
        <v>0</v>
      </c>
      <c r="AN1334" s="9" t="str" cm="1">
        <f t="array" ref="AN1334">_xlfn.IFS(AM1334 &lt;= 3, "New to Role[1-3]", AM1334 &lt;= 7, "Settled[4-7]", AM1334 &lt;= 12, "Experienced[[8-12]", AM1334 &lt;= 18, "Long Tenured[13-18]")</f>
        <v>New to Role[1-3]</v>
      </c>
      <c r="AO1334" s="1">
        <v>1</v>
      </c>
      <c r="AP1334" s="9" t="str" cm="1">
        <f t="array" ref="AP1334">_xlfn.IFS(AO1334 &lt;= 3, "Recently[1-3]", AO1334 &lt;= 6, "Due Soon[4-6]", AO1334 &lt;= 10, "Overdue[7-10]", AO1334 &lt;= 15, "Long Overdue[11-15]")</f>
        <v>Recently[1-3]</v>
      </c>
      <c r="AQ1334" s="9" t="str" cm="1">
        <f t="array" ref="AQ1334">_xlfn.IFS(AR1334 &lt;= 3, "New Relationship[1-3]", AR1334 &lt;= 7, "Established Relationship[4-7]", AR1334 &lt;= 12, "Long Term Relationship[8-12]", AR1334 &lt;= 17, "Very Long Term Relationship[13-17]")</f>
        <v>New Relationship[1-3]</v>
      </c>
      <c r="AR1334" s="1">
        <v>0</v>
      </c>
    </row>
    <row r="1335" spans="1:44" x14ac:dyDescent="0.25">
      <c r="A1335" s="1">
        <v>46</v>
      </c>
      <c r="B1335" s="8" t="str" cm="1">
        <f t="array" ref="B1335">_xlfn.IFS(A1335 &lt;= 25, "[18-25]", A1335 &lt;= 35, "[26-35]", A1335 &lt;=45, "[36-45]", A1335 &lt;= 60, "[46- 60]")</f>
        <v>[46- 60]</v>
      </c>
      <c r="C1335" s="3" t="s">
        <v>35</v>
      </c>
      <c r="D1335">
        <f t="shared" si="20"/>
        <v>1</v>
      </c>
      <c r="E1335" t="s">
        <v>36</v>
      </c>
      <c r="F1335" s="1">
        <v>1254</v>
      </c>
      <c r="G1335" s="3" t="s">
        <v>37</v>
      </c>
      <c r="H1335" s="1">
        <v>10</v>
      </c>
      <c r="I1335" s="9" t="str" cm="1">
        <f t="array" ref="I1335">_xlfn.IFS(H1335 &lt;= 2, "[1-2] very close", H1335 &lt;= 10, "[3-10] close", H1335 &lt;= 20, "[11-20] moderate", H1335 &lt;= 30, "[21-30] far")</f>
        <v>[3-10] close</v>
      </c>
      <c r="J1335" s="1">
        <v>3</v>
      </c>
      <c r="K1335" s="3" t="s">
        <v>38</v>
      </c>
      <c r="L1335" s="1">
        <v>1</v>
      </c>
      <c r="M1335" s="1">
        <v>1869</v>
      </c>
      <c r="N1335" s="1">
        <v>3</v>
      </c>
      <c r="O1335" s="3" t="s">
        <v>39</v>
      </c>
      <c r="P1335" s="1">
        <v>64</v>
      </c>
      <c r="Q1335" s="1">
        <v>3</v>
      </c>
      <c r="R1335" s="1">
        <v>3</v>
      </c>
      <c r="S1335" s="3" t="s">
        <v>40</v>
      </c>
      <c r="T1335" s="1">
        <v>2</v>
      </c>
      <c r="U1335" s="3" t="s">
        <v>48</v>
      </c>
      <c r="V1335" s="4">
        <v>7314</v>
      </c>
      <c r="W1335" s="1">
        <v>14011</v>
      </c>
      <c r="X1335" s="1">
        <v>5</v>
      </c>
      <c r="Y1335" s="3" t="s">
        <v>42</v>
      </c>
      <c r="Z1335" s="3" t="s">
        <v>43</v>
      </c>
      <c r="AA1335" s="5">
        <v>0.21</v>
      </c>
      <c r="AB1335" s="10" t="str" cm="1">
        <f t="array" ref="AB1335">_xlfn.IFS(AA1335 &lt;= 15%, "Low Hike[11-15%]", AA1335 &lt;= 20%, "Moderate Hike[16-20%]", AA1335 &lt;= 25%,"High Hike[21-25%]")</f>
        <v>High Hike[21-25%]</v>
      </c>
      <c r="AC1335" s="1">
        <v>4</v>
      </c>
      <c r="AD1335" s="1">
        <v>3</v>
      </c>
      <c r="AE1335" s="1">
        <v>80</v>
      </c>
      <c r="AF1335" s="1">
        <v>3</v>
      </c>
      <c r="AG1335" s="1">
        <v>14</v>
      </c>
      <c r="AH1335" s="9" t="str" cm="1">
        <f t="array" ref="AH1335">_xlfn.IFS(AG1335 &lt;= 5, "New[1-5]", AG1335 &lt;= 10, "Early Career[6-10]", AG1335 &lt;= 20, "Established[11-20]", AG1335 &lt;= 30, "Veteran[21-30]", AG1335 &lt;= 40, "Late Career[31-40]")</f>
        <v>Established[11-20]</v>
      </c>
      <c r="AI1335" s="1">
        <v>2</v>
      </c>
      <c r="AJ1335" s="1">
        <v>3</v>
      </c>
      <c r="AK1335" s="1">
        <v>8</v>
      </c>
      <c r="AL1335" s="9" t="str" cm="1">
        <f t="array" ref="AL1335">_xlfn.IFS(AK1335 &lt;= 5, "New[1-5]", AK1335 &lt;= 10, "Early Career[6-10]", AK1335 &lt;= 20, "Established[11-20]", AK1335 &lt;= 30, "Veteran[21-30]", AK1335 &lt;= 40, "Late Career[31-40]")</f>
        <v>Early Career[6-10]</v>
      </c>
      <c r="AM1335" s="1">
        <v>7</v>
      </c>
      <c r="AN1335" s="9" t="str" cm="1">
        <f t="array" ref="AN1335">_xlfn.IFS(AM1335 &lt;= 3, "New to Role[1-3]", AM1335 &lt;= 7, "Settled[4-7]", AM1335 &lt;= 12, "Experienced[[8-12]", AM1335 &lt;= 18, "Long Tenured[13-18]")</f>
        <v>Settled[4-7]</v>
      </c>
      <c r="AO1335" s="1">
        <v>0</v>
      </c>
      <c r="AP1335" s="9" t="str" cm="1">
        <f t="array" ref="AP1335">_xlfn.IFS(AO1335 &lt;= 3, "Recently[1-3]", AO1335 &lt;= 6, "Due Soon[4-6]", AO1335 &lt;= 10, "Overdue[7-10]", AO1335 &lt;= 15, "Long Overdue[11-15]")</f>
        <v>Recently[1-3]</v>
      </c>
      <c r="AQ1335" s="9" t="str" cm="1">
        <f t="array" ref="AQ1335">_xlfn.IFS(AR1335 &lt;= 3, "New Relationship[1-3]", AR1335 &lt;= 7, "Established Relationship[4-7]", AR1335 &lt;= 12, "Long Term Relationship[8-12]", AR1335 &lt;= 17, "Very Long Term Relationship[13-17]")</f>
        <v>Established Relationship[4-7]</v>
      </c>
      <c r="AR1335" s="1">
        <v>7</v>
      </c>
    </row>
    <row r="1336" spans="1:44" x14ac:dyDescent="0.25">
      <c r="A1336" s="1">
        <v>27</v>
      </c>
      <c r="B1336" s="8" t="str" cm="1">
        <f t="array" ref="B1336">_xlfn.IFS(A1336 &lt;= 25, "[18-25]", A1336 &lt;= 35, "[26-35]", A1336 &lt;=45, "[36-45]", A1336 &lt;= 60, "[46- 60]")</f>
        <v>[26-35]</v>
      </c>
      <c r="C1336" s="3" t="s">
        <v>43</v>
      </c>
      <c r="D1336">
        <f t="shared" si="20"/>
        <v>0</v>
      </c>
      <c r="E1336" t="s">
        <v>44</v>
      </c>
      <c r="F1336" s="1">
        <v>1131</v>
      </c>
      <c r="G1336" s="3" t="s">
        <v>45</v>
      </c>
      <c r="H1336" s="1">
        <v>15</v>
      </c>
      <c r="I1336" s="9" t="str" cm="1">
        <f t="array" ref="I1336">_xlfn.IFS(H1336 &lt;= 2, "[1-2] very close", H1336 &lt;= 10, "[3-10] close", H1336 &lt;= 20, "[11-20] moderate", H1336 &lt;= 30, "[21-30] far")</f>
        <v>[11-20] moderate</v>
      </c>
      <c r="J1336" s="1">
        <v>3</v>
      </c>
      <c r="K1336" s="3" t="s">
        <v>38</v>
      </c>
      <c r="L1336" s="1">
        <v>1</v>
      </c>
      <c r="M1336" s="1">
        <v>1870</v>
      </c>
      <c r="N1336" s="1">
        <v>4</v>
      </c>
      <c r="O1336" s="3" t="s">
        <v>39</v>
      </c>
      <c r="P1336" s="1">
        <v>77</v>
      </c>
      <c r="Q1336" s="1">
        <v>2</v>
      </c>
      <c r="R1336" s="1">
        <v>1</v>
      </c>
      <c r="S1336" s="3" t="s">
        <v>47</v>
      </c>
      <c r="T1336" s="1">
        <v>1</v>
      </c>
      <c r="U1336" s="3" t="s">
        <v>48</v>
      </c>
      <c r="V1336" s="4">
        <v>4774</v>
      </c>
      <c r="W1336" s="1">
        <v>23844</v>
      </c>
      <c r="X1336" s="1">
        <v>0</v>
      </c>
      <c r="Y1336" s="3" t="s">
        <v>42</v>
      </c>
      <c r="Z1336" s="3" t="s">
        <v>43</v>
      </c>
      <c r="AA1336" s="5">
        <v>0.19</v>
      </c>
      <c r="AB1336" s="10" t="str" cm="1">
        <f t="array" ref="AB1336">_xlfn.IFS(AA1336 &lt;= 15%, "Low Hike[11-15%]", AA1336 &lt;= 20%, "Moderate Hike[16-20%]", AA1336 &lt;= 25%,"High Hike[21-25%]")</f>
        <v>Moderate Hike[16-20%]</v>
      </c>
      <c r="AC1336" s="1">
        <v>3</v>
      </c>
      <c r="AD1336" s="1">
        <v>4</v>
      </c>
      <c r="AE1336" s="1">
        <v>80</v>
      </c>
      <c r="AF1336" s="1">
        <v>1</v>
      </c>
      <c r="AG1336" s="1">
        <v>8</v>
      </c>
      <c r="AH1336" s="9" t="str" cm="1">
        <f t="array" ref="AH1336">_xlfn.IFS(AG1336 &lt;= 5, "New[1-5]", AG1336 &lt;= 10, "Early Career[6-10]", AG1336 &lt;= 20, "Established[11-20]", AG1336 &lt;= 30, "Veteran[21-30]", AG1336 &lt;= 40, "Late Career[31-40]")</f>
        <v>Early Career[6-10]</v>
      </c>
      <c r="AI1336" s="1">
        <v>2</v>
      </c>
      <c r="AJ1336" s="1">
        <v>2</v>
      </c>
      <c r="AK1336" s="1">
        <v>7</v>
      </c>
      <c r="AL1336" s="9" t="str" cm="1">
        <f t="array" ref="AL1336">_xlfn.IFS(AK1336 &lt;= 5, "New[1-5]", AK1336 &lt;= 10, "Early Career[6-10]", AK1336 &lt;= 20, "Established[11-20]", AK1336 &lt;= 30, "Veteran[21-30]", AK1336 &lt;= 40, "Late Career[31-40]")</f>
        <v>Early Career[6-10]</v>
      </c>
      <c r="AM1336" s="1">
        <v>6</v>
      </c>
      <c r="AN1336" s="9" t="str" cm="1">
        <f t="array" ref="AN1336">_xlfn.IFS(AM1336 &lt;= 3, "New to Role[1-3]", AM1336 &lt;= 7, "Settled[4-7]", AM1336 &lt;= 12, "Experienced[[8-12]", AM1336 &lt;= 18, "Long Tenured[13-18]")</f>
        <v>Settled[4-7]</v>
      </c>
      <c r="AO1336" s="1">
        <v>7</v>
      </c>
      <c r="AP1336" s="9" t="str" cm="1">
        <f t="array" ref="AP1336">_xlfn.IFS(AO1336 &lt;= 3, "Recently[1-3]", AO1336 &lt;= 6, "Due Soon[4-6]", AO1336 &lt;= 10, "Overdue[7-10]", AO1336 &lt;= 15, "Long Overdue[11-15]")</f>
        <v>Overdue[7-10]</v>
      </c>
      <c r="AQ1336" s="9" t="str" cm="1">
        <f t="array" ref="AQ1336">_xlfn.IFS(AR1336 &lt;= 3, "New Relationship[1-3]", AR1336 &lt;= 7, "Established Relationship[4-7]", AR1336 &lt;= 12, "Long Term Relationship[8-12]", AR1336 &lt;= 17, "Very Long Term Relationship[13-17]")</f>
        <v>New Relationship[1-3]</v>
      </c>
      <c r="AR1336" s="1">
        <v>3</v>
      </c>
    </row>
    <row r="1337" spans="1:44" x14ac:dyDescent="0.25">
      <c r="A1337" s="1">
        <v>39</v>
      </c>
      <c r="B1337" s="8" t="str" cm="1">
        <f t="array" ref="B1337">_xlfn.IFS(A1337 &lt;= 25, "[18-25]", A1337 &lt;= 35, "[26-35]", A1337 &lt;=45, "[36-45]", A1337 &lt;= 60, "[46- 60]")</f>
        <v>[36-45]</v>
      </c>
      <c r="C1337" s="3" t="s">
        <v>43</v>
      </c>
      <c r="D1337">
        <f t="shared" si="20"/>
        <v>0</v>
      </c>
      <c r="E1337" t="s">
        <v>36</v>
      </c>
      <c r="F1337" s="1">
        <v>835</v>
      </c>
      <c r="G1337" s="3" t="s">
        <v>45</v>
      </c>
      <c r="H1337" s="1">
        <v>19</v>
      </c>
      <c r="I1337" s="9" t="str" cm="1">
        <f t="array" ref="I1337">_xlfn.IFS(H1337 &lt;= 2, "[1-2] very close", H1337 &lt;= 10, "[3-10] close", H1337 &lt;= 20, "[11-20] moderate", H1337 &lt;= 30, "[21-30] far")</f>
        <v>[11-20] moderate</v>
      </c>
      <c r="J1337" s="1">
        <v>4</v>
      </c>
      <c r="K1337" s="3" t="s">
        <v>49</v>
      </c>
      <c r="L1337" s="1">
        <v>1</v>
      </c>
      <c r="M1337" s="1">
        <v>1871</v>
      </c>
      <c r="N1337" s="1">
        <v>4</v>
      </c>
      <c r="O1337" s="3" t="s">
        <v>46</v>
      </c>
      <c r="P1337" s="1">
        <v>41</v>
      </c>
      <c r="Q1337" s="1">
        <v>3</v>
      </c>
      <c r="R1337" s="1">
        <v>2</v>
      </c>
      <c r="S1337" s="3" t="s">
        <v>47</v>
      </c>
      <c r="T1337" s="1">
        <v>4</v>
      </c>
      <c r="U1337" s="3" t="s">
        <v>52</v>
      </c>
      <c r="V1337" s="4">
        <v>3902</v>
      </c>
      <c r="W1337" s="1">
        <v>5141</v>
      </c>
      <c r="X1337" s="1">
        <v>8</v>
      </c>
      <c r="Y1337" s="3" t="s">
        <v>42</v>
      </c>
      <c r="Z1337" s="3" t="s">
        <v>43</v>
      </c>
      <c r="AA1337" s="5">
        <v>0.14000000000000001</v>
      </c>
      <c r="AB1337" s="10" t="str" cm="1">
        <f t="array" ref="AB1337">_xlfn.IFS(AA1337 &lt;= 15%, "Low Hike[11-15%]", AA1337 &lt;= 20%, "Moderate Hike[16-20%]", AA1337 &lt;= 25%,"High Hike[21-25%]")</f>
        <v>Low Hike[11-15%]</v>
      </c>
      <c r="AC1337" s="1">
        <v>3</v>
      </c>
      <c r="AD1337" s="1">
        <v>2</v>
      </c>
      <c r="AE1337" s="1">
        <v>80</v>
      </c>
      <c r="AF1337" s="1">
        <v>3</v>
      </c>
      <c r="AG1337" s="1">
        <v>7</v>
      </c>
      <c r="AH1337" s="9" t="str" cm="1">
        <f t="array" ref="AH1337">_xlfn.IFS(AG1337 &lt;= 5, "New[1-5]", AG1337 &lt;= 10, "Early Career[6-10]", AG1337 &lt;= 20, "Established[11-20]", AG1337 &lt;= 30, "Veteran[21-30]", AG1337 &lt;= 40, "Late Career[31-40]")</f>
        <v>Early Career[6-10]</v>
      </c>
      <c r="AI1337" s="1">
        <v>2</v>
      </c>
      <c r="AJ1337" s="1">
        <v>3</v>
      </c>
      <c r="AK1337" s="1">
        <v>2</v>
      </c>
      <c r="AL1337" s="9" t="str" cm="1">
        <f t="array" ref="AL1337">_xlfn.IFS(AK1337 &lt;= 5, "New[1-5]", AK1337 &lt;= 10, "Early Career[6-10]", AK1337 &lt;= 20, "Established[11-20]", AK1337 &lt;= 30, "Veteran[21-30]", AK1337 &lt;= 40, "Late Career[31-40]")</f>
        <v>New[1-5]</v>
      </c>
      <c r="AM1337" s="1">
        <v>2</v>
      </c>
      <c r="AN1337" s="9" t="str" cm="1">
        <f t="array" ref="AN1337">_xlfn.IFS(AM1337 &lt;= 3, "New to Role[1-3]", AM1337 &lt;= 7, "Settled[4-7]", AM1337 &lt;= 12, "Experienced[[8-12]", AM1337 &lt;= 18, "Long Tenured[13-18]")</f>
        <v>New to Role[1-3]</v>
      </c>
      <c r="AO1337" s="1">
        <v>2</v>
      </c>
      <c r="AP1337" s="9" t="str" cm="1">
        <f t="array" ref="AP1337">_xlfn.IFS(AO1337 &lt;= 3, "Recently[1-3]", AO1337 &lt;= 6, "Due Soon[4-6]", AO1337 &lt;= 10, "Overdue[7-10]", AO1337 &lt;= 15, "Long Overdue[11-15]")</f>
        <v>Recently[1-3]</v>
      </c>
      <c r="AQ1337" s="9" t="str" cm="1">
        <f t="array" ref="AQ1337">_xlfn.IFS(AR1337 &lt;= 3, "New Relationship[1-3]", AR1337 &lt;= 7, "Established Relationship[4-7]", AR1337 &lt;= 12, "Long Term Relationship[8-12]", AR1337 &lt;= 17, "Very Long Term Relationship[13-17]")</f>
        <v>New Relationship[1-3]</v>
      </c>
      <c r="AR1337" s="1">
        <v>2</v>
      </c>
    </row>
    <row r="1338" spans="1:44" x14ac:dyDescent="0.25">
      <c r="A1338" s="1">
        <v>55</v>
      </c>
      <c r="B1338" s="8" t="str" cm="1">
        <f t="array" ref="B1338">_xlfn.IFS(A1338 &lt;= 25, "[18-25]", A1338 &lt;= 35, "[26-35]", A1338 &lt;=45, "[36-45]", A1338 &lt;= 60, "[46- 60]")</f>
        <v>[46- 60]</v>
      </c>
      <c r="C1338" s="3" t="s">
        <v>43</v>
      </c>
      <c r="D1338">
        <f t="shared" si="20"/>
        <v>0</v>
      </c>
      <c r="E1338" t="s">
        <v>36</v>
      </c>
      <c r="F1338" s="1">
        <v>836</v>
      </c>
      <c r="G1338" s="3" t="s">
        <v>45</v>
      </c>
      <c r="H1338" s="1">
        <v>2</v>
      </c>
      <c r="I1338" s="9" t="str" cm="1">
        <f t="array" ref="I1338">_xlfn.IFS(H1338 &lt;= 2, "[1-2] very close", H1338 &lt;= 10, "[3-10] close", H1338 &lt;= 20, "[11-20] moderate", H1338 &lt;= 30, "[21-30] far")</f>
        <v>[1-2] very close</v>
      </c>
      <c r="J1338" s="1">
        <v>4</v>
      </c>
      <c r="K1338" s="3" t="s">
        <v>60</v>
      </c>
      <c r="L1338" s="1">
        <v>1</v>
      </c>
      <c r="M1338" s="1">
        <v>1873</v>
      </c>
      <c r="N1338" s="1">
        <v>2</v>
      </c>
      <c r="O1338" s="3" t="s">
        <v>46</v>
      </c>
      <c r="P1338" s="1">
        <v>98</v>
      </c>
      <c r="Q1338" s="1">
        <v>2</v>
      </c>
      <c r="R1338" s="1">
        <v>1</v>
      </c>
      <c r="S1338" s="3" t="s">
        <v>47</v>
      </c>
      <c r="T1338" s="1">
        <v>4</v>
      </c>
      <c r="U1338" s="3" t="s">
        <v>48</v>
      </c>
      <c r="V1338" s="4">
        <v>2662</v>
      </c>
      <c r="W1338" s="1">
        <v>7975</v>
      </c>
      <c r="X1338" s="1">
        <v>8</v>
      </c>
      <c r="Y1338" s="3" t="s">
        <v>42</v>
      </c>
      <c r="Z1338" s="3" t="s">
        <v>43</v>
      </c>
      <c r="AA1338" s="5">
        <v>0.2</v>
      </c>
      <c r="AB1338" s="10" t="str" cm="1">
        <f t="array" ref="AB1338">_xlfn.IFS(AA1338 &lt;= 15%, "Low Hike[11-15%]", AA1338 &lt;= 20%, "Moderate Hike[16-20%]", AA1338 &lt;= 25%,"High Hike[21-25%]")</f>
        <v>Moderate Hike[16-20%]</v>
      </c>
      <c r="AC1338" s="1">
        <v>4</v>
      </c>
      <c r="AD1338" s="1">
        <v>2</v>
      </c>
      <c r="AE1338" s="1">
        <v>80</v>
      </c>
      <c r="AF1338" s="1">
        <v>1</v>
      </c>
      <c r="AG1338" s="1">
        <v>19</v>
      </c>
      <c r="AH1338" s="9" t="str" cm="1">
        <f t="array" ref="AH1338">_xlfn.IFS(AG1338 &lt;= 5, "New[1-5]", AG1338 &lt;= 10, "Early Career[6-10]", AG1338 &lt;= 20, "Established[11-20]", AG1338 &lt;= 30, "Veteran[21-30]", AG1338 &lt;= 40, "Late Career[31-40]")</f>
        <v>Established[11-20]</v>
      </c>
      <c r="AI1338" s="1">
        <v>2</v>
      </c>
      <c r="AJ1338" s="1">
        <v>4</v>
      </c>
      <c r="AK1338" s="1">
        <v>5</v>
      </c>
      <c r="AL1338" s="9" t="str" cm="1">
        <f t="array" ref="AL1338">_xlfn.IFS(AK1338 &lt;= 5, "New[1-5]", AK1338 &lt;= 10, "Early Career[6-10]", AK1338 &lt;= 20, "Established[11-20]", AK1338 &lt;= 30, "Veteran[21-30]", AK1338 &lt;= 40, "Late Career[31-40]")</f>
        <v>New[1-5]</v>
      </c>
      <c r="AM1338" s="1">
        <v>2</v>
      </c>
      <c r="AN1338" s="9" t="str" cm="1">
        <f t="array" ref="AN1338">_xlfn.IFS(AM1338 &lt;= 3, "New to Role[1-3]", AM1338 &lt;= 7, "Settled[4-7]", AM1338 &lt;= 12, "Experienced[[8-12]", AM1338 &lt;= 18, "Long Tenured[13-18]")</f>
        <v>New to Role[1-3]</v>
      </c>
      <c r="AO1338" s="1">
        <v>0</v>
      </c>
      <c r="AP1338" s="9" t="str" cm="1">
        <f t="array" ref="AP1338">_xlfn.IFS(AO1338 &lt;= 3, "Recently[1-3]", AO1338 &lt;= 6, "Due Soon[4-6]", AO1338 &lt;= 10, "Overdue[7-10]", AO1338 &lt;= 15, "Long Overdue[11-15]")</f>
        <v>Recently[1-3]</v>
      </c>
      <c r="AQ1338" s="9" t="str" cm="1">
        <f t="array" ref="AQ1338">_xlfn.IFS(AR1338 &lt;= 3, "New Relationship[1-3]", AR1338 &lt;= 7, "Established Relationship[4-7]", AR1338 &lt;= 12, "Long Term Relationship[8-12]", AR1338 &lt;= 17, "Very Long Term Relationship[13-17]")</f>
        <v>Established Relationship[4-7]</v>
      </c>
      <c r="AR1338" s="1">
        <v>4</v>
      </c>
    </row>
    <row r="1339" spans="1:44" x14ac:dyDescent="0.25">
      <c r="A1339" s="1">
        <v>28</v>
      </c>
      <c r="B1339" s="8" t="str" cm="1">
        <f t="array" ref="B1339">_xlfn.IFS(A1339 &lt;= 25, "[18-25]", A1339 &lt;= 35, "[26-35]", A1339 &lt;=45, "[36-45]", A1339 &lt;= 60, "[46- 60]")</f>
        <v>[26-35]</v>
      </c>
      <c r="C1339" s="3" t="s">
        <v>43</v>
      </c>
      <c r="D1339">
        <f t="shared" si="20"/>
        <v>0</v>
      </c>
      <c r="E1339" t="s">
        <v>36</v>
      </c>
      <c r="F1339" s="1">
        <v>1172</v>
      </c>
      <c r="G1339" s="3" t="s">
        <v>37</v>
      </c>
      <c r="H1339" s="1">
        <v>3</v>
      </c>
      <c r="I1339" s="9" t="str" cm="1">
        <f t="array" ref="I1339">_xlfn.IFS(H1339 &lt;= 2, "[1-2] very close", H1339 &lt;= 10, "[3-10] close", H1339 &lt;= 20, "[11-20] moderate", H1339 &lt;= 30, "[21-30] far")</f>
        <v>[3-10] close</v>
      </c>
      <c r="J1339" s="1">
        <v>3</v>
      </c>
      <c r="K1339" s="3" t="s">
        <v>51</v>
      </c>
      <c r="L1339" s="1">
        <v>1</v>
      </c>
      <c r="M1339" s="1">
        <v>1875</v>
      </c>
      <c r="N1339" s="1">
        <v>2</v>
      </c>
      <c r="O1339" s="3" t="s">
        <v>39</v>
      </c>
      <c r="P1339" s="1">
        <v>78</v>
      </c>
      <c r="Q1339" s="1">
        <v>3</v>
      </c>
      <c r="R1339" s="1">
        <v>1</v>
      </c>
      <c r="S1339" s="3" t="s">
        <v>57</v>
      </c>
      <c r="T1339" s="1">
        <v>2</v>
      </c>
      <c r="U1339" s="3" t="s">
        <v>48</v>
      </c>
      <c r="V1339" s="4">
        <v>2856</v>
      </c>
      <c r="W1339" s="1">
        <v>3692</v>
      </c>
      <c r="X1339" s="1">
        <v>1</v>
      </c>
      <c r="Y1339" s="3" t="s">
        <v>42</v>
      </c>
      <c r="Z1339" s="3" t="s">
        <v>43</v>
      </c>
      <c r="AA1339" s="5">
        <v>0.19</v>
      </c>
      <c r="AB1339" s="10" t="str" cm="1">
        <f t="array" ref="AB1339">_xlfn.IFS(AA1339 &lt;= 15%, "Low Hike[11-15%]", AA1339 &lt;= 20%, "Moderate Hike[16-20%]", AA1339 &lt;= 25%,"High Hike[21-25%]")</f>
        <v>Moderate Hike[16-20%]</v>
      </c>
      <c r="AC1339" s="1">
        <v>3</v>
      </c>
      <c r="AD1339" s="1">
        <v>4</v>
      </c>
      <c r="AE1339" s="1">
        <v>80</v>
      </c>
      <c r="AF1339" s="1">
        <v>1</v>
      </c>
      <c r="AG1339" s="1">
        <v>1</v>
      </c>
      <c r="AH1339" s="9" t="str" cm="1">
        <f t="array" ref="AH1339">_xlfn.IFS(AG1339 &lt;= 5, "New[1-5]", AG1339 &lt;= 10, "Early Career[6-10]", AG1339 &lt;= 20, "Established[11-20]", AG1339 &lt;= 30, "Veteran[21-30]", AG1339 &lt;= 40, "Late Career[31-40]")</f>
        <v>New[1-5]</v>
      </c>
      <c r="AI1339" s="1">
        <v>3</v>
      </c>
      <c r="AJ1339" s="1">
        <v>3</v>
      </c>
      <c r="AK1339" s="1">
        <v>1</v>
      </c>
      <c r="AL1339" s="9" t="str" cm="1">
        <f t="array" ref="AL1339">_xlfn.IFS(AK1339 &lt;= 5, "New[1-5]", AK1339 &lt;= 10, "Early Career[6-10]", AK1339 &lt;= 20, "Established[11-20]", AK1339 &lt;= 30, "Veteran[21-30]", AK1339 &lt;= 40, "Late Career[31-40]")</f>
        <v>New[1-5]</v>
      </c>
      <c r="AM1339" s="1">
        <v>0</v>
      </c>
      <c r="AN1339" s="9" t="str" cm="1">
        <f t="array" ref="AN1339">_xlfn.IFS(AM1339 &lt;= 3, "New to Role[1-3]", AM1339 &lt;= 7, "Settled[4-7]", AM1339 &lt;= 12, "Experienced[[8-12]", AM1339 &lt;= 18, "Long Tenured[13-18]")</f>
        <v>New to Role[1-3]</v>
      </c>
      <c r="AO1339" s="1">
        <v>0</v>
      </c>
      <c r="AP1339" s="9" t="str" cm="1">
        <f t="array" ref="AP1339">_xlfn.IFS(AO1339 &lt;= 3, "Recently[1-3]", AO1339 &lt;= 6, "Due Soon[4-6]", AO1339 &lt;= 10, "Overdue[7-10]", AO1339 &lt;= 15, "Long Overdue[11-15]")</f>
        <v>Recently[1-3]</v>
      </c>
      <c r="AQ1339" s="9" t="str" cm="1">
        <f t="array" ref="AQ1339">_xlfn.IFS(AR1339 &lt;= 3, "New Relationship[1-3]", AR1339 &lt;= 7, "Established Relationship[4-7]", AR1339 &lt;= 12, "Long Term Relationship[8-12]", AR1339 &lt;= 17, "Very Long Term Relationship[13-17]")</f>
        <v>New Relationship[1-3]</v>
      </c>
      <c r="AR1339" s="1">
        <v>0</v>
      </c>
    </row>
    <row r="1340" spans="1:44" x14ac:dyDescent="0.25">
      <c r="A1340" s="1">
        <v>30</v>
      </c>
      <c r="B1340" s="8" t="str" cm="1">
        <f t="array" ref="B1340">_xlfn.IFS(A1340 &lt;= 25, "[18-25]", A1340 &lt;= 35, "[26-35]", A1340 &lt;=45, "[36-45]", A1340 &lt;= 60, "[46- 60]")</f>
        <v>[26-35]</v>
      </c>
      <c r="C1340" s="3" t="s">
        <v>35</v>
      </c>
      <c r="D1340">
        <f t="shared" si="20"/>
        <v>1</v>
      </c>
      <c r="E1340" t="s">
        <v>36</v>
      </c>
      <c r="F1340" s="1">
        <v>945</v>
      </c>
      <c r="G1340" s="3" t="s">
        <v>37</v>
      </c>
      <c r="H1340" s="1">
        <v>9</v>
      </c>
      <c r="I1340" s="9" t="str" cm="1">
        <f t="array" ref="I1340">_xlfn.IFS(H1340 &lt;= 2, "[1-2] very close", H1340 &lt;= 10, "[3-10] close", H1340 &lt;= 20, "[11-20] moderate", H1340 &lt;= 30, "[21-30] far")</f>
        <v>[3-10] close</v>
      </c>
      <c r="J1340" s="1">
        <v>3</v>
      </c>
      <c r="K1340" s="3" t="s">
        <v>51</v>
      </c>
      <c r="L1340" s="1">
        <v>1</v>
      </c>
      <c r="M1340" s="1">
        <v>1876</v>
      </c>
      <c r="N1340" s="1">
        <v>2</v>
      </c>
      <c r="O1340" s="3" t="s">
        <v>46</v>
      </c>
      <c r="P1340" s="1">
        <v>89</v>
      </c>
      <c r="Q1340" s="1">
        <v>3</v>
      </c>
      <c r="R1340" s="1">
        <v>1</v>
      </c>
      <c r="S1340" s="3" t="s">
        <v>57</v>
      </c>
      <c r="T1340" s="1">
        <v>4</v>
      </c>
      <c r="U1340" s="3" t="s">
        <v>41</v>
      </c>
      <c r="V1340" s="4">
        <v>1081</v>
      </c>
      <c r="W1340" s="1">
        <v>16019</v>
      </c>
      <c r="X1340" s="1">
        <v>1</v>
      </c>
      <c r="Y1340" s="3" t="s">
        <v>42</v>
      </c>
      <c r="Z1340" s="3" t="s">
        <v>43</v>
      </c>
      <c r="AA1340" s="5">
        <v>0.13</v>
      </c>
      <c r="AB1340" s="10" t="str" cm="1">
        <f t="array" ref="AB1340">_xlfn.IFS(AA1340 &lt;= 15%, "Low Hike[11-15%]", AA1340 &lt;= 20%, "Moderate Hike[16-20%]", AA1340 &lt;= 25%,"High Hike[21-25%]")</f>
        <v>Low Hike[11-15%]</v>
      </c>
      <c r="AC1340" s="1">
        <v>3</v>
      </c>
      <c r="AD1340" s="1">
        <v>3</v>
      </c>
      <c r="AE1340" s="1">
        <v>80</v>
      </c>
      <c r="AF1340" s="1">
        <v>0</v>
      </c>
      <c r="AG1340" s="1">
        <v>1</v>
      </c>
      <c r="AH1340" s="9" t="str" cm="1">
        <f t="array" ref="AH1340">_xlfn.IFS(AG1340 &lt;= 5, "New[1-5]", AG1340 &lt;= 10, "Early Career[6-10]", AG1340 &lt;= 20, "Established[11-20]", AG1340 &lt;= 30, "Veteran[21-30]", AG1340 &lt;= 40, "Late Career[31-40]")</f>
        <v>New[1-5]</v>
      </c>
      <c r="AI1340" s="1">
        <v>3</v>
      </c>
      <c r="AJ1340" s="1">
        <v>2</v>
      </c>
      <c r="AK1340" s="1">
        <v>1</v>
      </c>
      <c r="AL1340" s="9" t="str" cm="1">
        <f t="array" ref="AL1340">_xlfn.IFS(AK1340 &lt;= 5, "New[1-5]", AK1340 &lt;= 10, "Early Career[6-10]", AK1340 &lt;= 20, "Established[11-20]", AK1340 &lt;= 30, "Veteran[21-30]", AK1340 &lt;= 40, "Late Career[31-40]")</f>
        <v>New[1-5]</v>
      </c>
      <c r="AM1340" s="1">
        <v>0</v>
      </c>
      <c r="AN1340" s="9" t="str" cm="1">
        <f t="array" ref="AN1340">_xlfn.IFS(AM1340 &lt;= 3, "New to Role[1-3]", AM1340 &lt;= 7, "Settled[4-7]", AM1340 &lt;= 12, "Experienced[[8-12]", AM1340 &lt;= 18, "Long Tenured[13-18]")</f>
        <v>New to Role[1-3]</v>
      </c>
      <c r="AO1340" s="1">
        <v>0</v>
      </c>
      <c r="AP1340" s="9" t="str" cm="1">
        <f t="array" ref="AP1340">_xlfn.IFS(AO1340 &lt;= 3, "Recently[1-3]", AO1340 &lt;= 6, "Due Soon[4-6]", AO1340 &lt;= 10, "Overdue[7-10]", AO1340 &lt;= 15, "Long Overdue[11-15]")</f>
        <v>Recently[1-3]</v>
      </c>
      <c r="AQ1340" s="9" t="str" cm="1">
        <f t="array" ref="AQ1340">_xlfn.IFS(AR1340 &lt;= 3, "New Relationship[1-3]", AR1340 &lt;= 7, "Established Relationship[4-7]", AR1340 &lt;= 12, "Long Term Relationship[8-12]", AR1340 &lt;= 17, "Very Long Term Relationship[13-17]")</f>
        <v>New Relationship[1-3]</v>
      </c>
      <c r="AR1340" s="1">
        <v>0</v>
      </c>
    </row>
    <row r="1341" spans="1:44" x14ac:dyDescent="0.25">
      <c r="A1341" s="1">
        <v>22</v>
      </c>
      <c r="B1341" s="8" t="str" cm="1">
        <f t="array" ref="B1341">_xlfn.IFS(A1341 &lt;= 25, "[18-25]", A1341 &lt;= 35, "[26-35]", A1341 &lt;=45, "[36-45]", A1341 &lt;= 60, "[46- 60]")</f>
        <v>[18-25]</v>
      </c>
      <c r="C1341" s="3" t="s">
        <v>35</v>
      </c>
      <c r="D1341">
        <f t="shared" si="20"/>
        <v>1</v>
      </c>
      <c r="E1341" t="s">
        <v>36</v>
      </c>
      <c r="F1341" s="1">
        <v>391</v>
      </c>
      <c r="G1341" s="3" t="s">
        <v>45</v>
      </c>
      <c r="H1341" s="1">
        <v>7</v>
      </c>
      <c r="I1341" s="9" t="str" cm="1">
        <f t="array" ref="I1341">_xlfn.IFS(H1341 &lt;= 2, "[1-2] very close", H1341 &lt;= 10, "[3-10] close", H1341 &lt;= 20, "[11-20] moderate", H1341 &lt;= 30, "[21-30] far")</f>
        <v>[3-10] close</v>
      </c>
      <c r="J1341" s="1">
        <v>1</v>
      </c>
      <c r="K1341" s="3" t="s">
        <v>38</v>
      </c>
      <c r="L1341" s="1">
        <v>1</v>
      </c>
      <c r="M1341" s="1">
        <v>1878</v>
      </c>
      <c r="N1341" s="1">
        <v>4</v>
      </c>
      <c r="O1341" s="3" t="s">
        <v>46</v>
      </c>
      <c r="P1341" s="1">
        <v>75</v>
      </c>
      <c r="Q1341" s="1">
        <v>3</v>
      </c>
      <c r="R1341" s="1">
        <v>1</v>
      </c>
      <c r="S1341" s="3" t="s">
        <v>47</v>
      </c>
      <c r="T1341" s="1">
        <v>2</v>
      </c>
      <c r="U1341" s="3" t="s">
        <v>41</v>
      </c>
      <c r="V1341" s="4">
        <v>2472</v>
      </c>
      <c r="W1341" s="1">
        <v>26092</v>
      </c>
      <c r="X1341" s="1">
        <v>1</v>
      </c>
      <c r="Y1341" s="3" t="s">
        <v>42</v>
      </c>
      <c r="Z1341" s="3" t="s">
        <v>35</v>
      </c>
      <c r="AA1341" s="5">
        <v>0.23</v>
      </c>
      <c r="AB1341" s="10" t="str" cm="1">
        <f t="array" ref="AB1341">_xlfn.IFS(AA1341 &lt;= 15%, "Low Hike[11-15%]", AA1341 &lt;= 20%, "Moderate Hike[16-20%]", AA1341 &lt;= 25%,"High Hike[21-25%]")</f>
        <v>High Hike[21-25%]</v>
      </c>
      <c r="AC1341" s="1">
        <v>4</v>
      </c>
      <c r="AD1341" s="1">
        <v>1</v>
      </c>
      <c r="AE1341" s="1">
        <v>80</v>
      </c>
      <c r="AF1341" s="1">
        <v>0</v>
      </c>
      <c r="AG1341" s="1">
        <v>1</v>
      </c>
      <c r="AH1341" s="9" t="str" cm="1">
        <f t="array" ref="AH1341">_xlfn.IFS(AG1341 &lt;= 5, "New[1-5]", AG1341 &lt;= 10, "Early Career[6-10]", AG1341 &lt;= 20, "Established[11-20]", AG1341 &lt;= 30, "Veteran[21-30]", AG1341 &lt;= 40, "Late Career[31-40]")</f>
        <v>New[1-5]</v>
      </c>
      <c r="AI1341" s="1">
        <v>2</v>
      </c>
      <c r="AJ1341" s="1">
        <v>3</v>
      </c>
      <c r="AK1341" s="1">
        <v>1</v>
      </c>
      <c r="AL1341" s="9" t="str" cm="1">
        <f t="array" ref="AL1341">_xlfn.IFS(AK1341 &lt;= 5, "New[1-5]", AK1341 &lt;= 10, "Early Career[6-10]", AK1341 &lt;= 20, "Established[11-20]", AK1341 &lt;= 30, "Veteran[21-30]", AK1341 &lt;= 40, "Late Career[31-40]")</f>
        <v>New[1-5]</v>
      </c>
      <c r="AM1341" s="1">
        <v>0</v>
      </c>
      <c r="AN1341" s="9" t="str" cm="1">
        <f t="array" ref="AN1341">_xlfn.IFS(AM1341 &lt;= 3, "New to Role[1-3]", AM1341 &lt;= 7, "Settled[4-7]", AM1341 &lt;= 12, "Experienced[[8-12]", AM1341 &lt;= 18, "Long Tenured[13-18]")</f>
        <v>New to Role[1-3]</v>
      </c>
      <c r="AO1341" s="1">
        <v>0</v>
      </c>
      <c r="AP1341" s="9" t="str" cm="1">
        <f t="array" ref="AP1341">_xlfn.IFS(AO1341 &lt;= 3, "Recently[1-3]", AO1341 &lt;= 6, "Due Soon[4-6]", AO1341 &lt;= 10, "Overdue[7-10]", AO1341 &lt;= 15, "Long Overdue[11-15]")</f>
        <v>Recently[1-3]</v>
      </c>
      <c r="AQ1341" s="9" t="str" cm="1">
        <f t="array" ref="AQ1341">_xlfn.IFS(AR1341 &lt;= 3, "New Relationship[1-3]", AR1341 &lt;= 7, "Established Relationship[4-7]", AR1341 &lt;= 12, "Long Term Relationship[8-12]", AR1341 &lt;= 17, "Very Long Term Relationship[13-17]")</f>
        <v>New Relationship[1-3]</v>
      </c>
      <c r="AR1341" s="1">
        <v>0</v>
      </c>
    </row>
    <row r="1342" spans="1:44" x14ac:dyDescent="0.25">
      <c r="A1342" s="1">
        <v>36</v>
      </c>
      <c r="B1342" s="8" t="str" cm="1">
        <f t="array" ref="B1342">_xlfn.IFS(A1342 &lt;= 25, "[18-25]", A1342 &lt;= 35, "[26-35]", A1342 &lt;=45, "[36-45]", A1342 &lt;= 60, "[46- 60]")</f>
        <v>[36-45]</v>
      </c>
      <c r="C1342" s="3" t="s">
        <v>43</v>
      </c>
      <c r="D1342">
        <f t="shared" si="20"/>
        <v>0</v>
      </c>
      <c r="E1342" t="s">
        <v>36</v>
      </c>
      <c r="F1342" s="1">
        <v>1266</v>
      </c>
      <c r="G1342" s="3" t="s">
        <v>37</v>
      </c>
      <c r="H1342" s="1">
        <v>10</v>
      </c>
      <c r="I1342" s="9" t="str" cm="1">
        <f t="array" ref="I1342">_xlfn.IFS(H1342 &lt;= 2, "[1-2] very close", H1342 &lt;= 10, "[3-10] close", H1342 &lt;= 20, "[11-20] moderate", H1342 &lt;= 30, "[21-30] far")</f>
        <v>[3-10] close</v>
      </c>
      <c r="J1342" s="1">
        <v>4</v>
      </c>
      <c r="K1342" s="3" t="s">
        <v>60</v>
      </c>
      <c r="L1342" s="1">
        <v>1</v>
      </c>
      <c r="M1342" s="1">
        <v>1880</v>
      </c>
      <c r="N1342" s="1">
        <v>2</v>
      </c>
      <c r="O1342" s="3" t="s">
        <v>39</v>
      </c>
      <c r="P1342" s="1">
        <v>63</v>
      </c>
      <c r="Q1342" s="1">
        <v>2</v>
      </c>
      <c r="R1342" s="1">
        <v>2</v>
      </c>
      <c r="S1342" s="3" t="s">
        <v>40</v>
      </c>
      <c r="T1342" s="1">
        <v>3</v>
      </c>
      <c r="U1342" s="3" t="s">
        <v>48</v>
      </c>
      <c r="V1342" s="4">
        <v>5673</v>
      </c>
      <c r="W1342" s="1">
        <v>6060</v>
      </c>
      <c r="X1342" s="1">
        <v>1</v>
      </c>
      <c r="Y1342" s="3" t="s">
        <v>42</v>
      </c>
      <c r="Z1342" s="3" t="s">
        <v>35</v>
      </c>
      <c r="AA1342" s="5">
        <v>0.13</v>
      </c>
      <c r="AB1342" s="10" t="str" cm="1">
        <f t="array" ref="AB1342">_xlfn.IFS(AA1342 &lt;= 15%, "Low Hike[11-15%]", AA1342 &lt;= 20%, "Moderate Hike[16-20%]", AA1342 &lt;= 25%,"High Hike[21-25%]")</f>
        <v>Low Hike[11-15%]</v>
      </c>
      <c r="AC1342" s="1">
        <v>3</v>
      </c>
      <c r="AD1342" s="1">
        <v>1</v>
      </c>
      <c r="AE1342" s="1">
        <v>80</v>
      </c>
      <c r="AF1342" s="1">
        <v>1</v>
      </c>
      <c r="AG1342" s="1">
        <v>10</v>
      </c>
      <c r="AH1342" s="9" t="str" cm="1">
        <f t="array" ref="AH1342">_xlfn.IFS(AG1342 &lt;= 5, "New[1-5]", AG1342 &lt;= 10, "Early Career[6-10]", AG1342 &lt;= 20, "Established[11-20]", AG1342 &lt;= 30, "Veteran[21-30]", AG1342 &lt;= 40, "Late Career[31-40]")</f>
        <v>Early Career[6-10]</v>
      </c>
      <c r="AI1342" s="1">
        <v>4</v>
      </c>
      <c r="AJ1342" s="1">
        <v>3</v>
      </c>
      <c r="AK1342" s="1">
        <v>10</v>
      </c>
      <c r="AL1342" s="9" t="str" cm="1">
        <f t="array" ref="AL1342">_xlfn.IFS(AK1342 &lt;= 5, "New[1-5]", AK1342 &lt;= 10, "Early Career[6-10]", AK1342 &lt;= 20, "Established[11-20]", AK1342 &lt;= 30, "Veteran[21-30]", AK1342 &lt;= 40, "Late Career[31-40]")</f>
        <v>Early Career[6-10]</v>
      </c>
      <c r="AM1342" s="1">
        <v>9</v>
      </c>
      <c r="AN1342" s="9" t="str" cm="1">
        <f t="array" ref="AN1342">_xlfn.IFS(AM1342 &lt;= 3, "New to Role[1-3]", AM1342 &lt;= 7, "Settled[4-7]", AM1342 &lt;= 12, "Experienced[[8-12]", AM1342 &lt;= 18, "Long Tenured[13-18]")</f>
        <v>Experienced[[8-12]</v>
      </c>
      <c r="AO1342" s="1">
        <v>1</v>
      </c>
      <c r="AP1342" s="9" t="str" cm="1">
        <f t="array" ref="AP1342">_xlfn.IFS(AO1342 &lt;= 3, "Recently[1-3]", AO1342 &lt;= 6, "Due Soon[4-6]", AO1342 &lt;= 10, "Overdue[7-10]", AO1342 &lt;= 15, "Long Overdue[11-15]")</f>
        <v>Recently[1-3]</v>
      </c>
      <c r="AQ1342" s="9" t="str" cm="1">
        <f t="array" ref="AQ1342">_xlfn.IFS(AR1342 &lt;= 3, "New Relationship[1-3]", AR1342 &lt;= 7, "Established Relationship[4-7]", AR1342 &lt;= 12, "Long Term Relationship[8-12]", AR1342 &lt;= 17, "Very Long Term Relationship[13-17]")</f>
        <v>Established Relationship[4-7]</v>
      </c>
      <c r="AR1342" s="1">
        <v>7</v>
      </c>
    </row>
    <row r="1343" spans="1:44" x14ac:dyDescent="0.25">
      <c r="A1343" s="1">
        <v>31</v>
      </c>
      <c r="B1343" s="8" t="str" cm="1">
        <f t="array" ref="B1343">_xlfn.IFS(A1343 &lt;= 25, "[18-25]", A1343 &lt;= 35, "[26-35]", A1343 &lt;=45, "[36-45]", A1343 &lt;= 60, "[46- 60]")</f>
        <v>[26-35]</v>
      </c>
      <c r="C1343" s="3" t="s">
        <v>43</v>
      </c>
      <c r="D1343">
        <f t="shared" si="20"/>
        <v>0</v>
      </c>
      <c r="E1343" t="s">
        <v>36</v>
      </c>
      <c r="F1343" s="1">
        <v>311</v>
      </c>
      <c r="G1343" s="3" t="s">
        <v>45</v>
      </c>
      <c r="H1343" s="1">
        <v>20</v>
      </c>
      <c r="I1343" s="9" t="str" cm="1">
        <f t="array" ref="I1343">_xlfn.IFS(H1343 &lt;= 2, "[1-2] very close", H1343 &lt;= 10, "[3-10] close", H1343 &lt;= 20, "[11-20] moderate", H1343 &lt;= 30, "[21-30] far")</f>
        <v>[11-20] moderate</v>
      </c>
      <c r="J1343" s="1">
        <v>3</v>
      </c>
      <c r="K1343" s="3" t="s">
        <v>38</v>
      </c>
      <c r="L1343" s="1">
        <v>1</v>
      </c>
      <c r="M1343" s="1">
        <v>1881</v>
      </c>
      <c r="N1343" s="1">
        <v>2</v>
      </c>
      <c r="O1343" s="3" t="s">
        <v>46</v>
      </c>
      <c r="P1343" s="1">
        <v>89</v>
      </c>
      <c r="Q1343" s="1">
        <v>3</v>
      </c>
      <c r="R1343" s="1">
        <v>2</v>
      </c>
      <c r="S1343" s="3" t="s">
        <v>50</v>
      </c>
      <c r="T1343" s="1">
        <v>3</v>
      </c>
      <c r="U1343" s="3" t="s">
        <v>52</v>
      </c>
      <c r="V1343" s="4">
        <v>4197</v>
      </c>
      <c r="W1343" s="1">
        <v>18624</v>
      </c>
      <c r="X1343" s="1">
        <v>1</v>
      </c>
      <c r="Y1343" s="3" t="s">
        <v>42</v>
      </c>
      <c r="Z1343" s="3" t="s">
        <v>43</v>
      </c>
      <c r="AA1343" s="5">
        <v>0.11</v>
      </c>
      <c r="AB1343" s="10" t="str" cm="1">
        <f t="array" ref="AB1343">_xlfn.IFS(AA1343 &lt;= 15%, "Low Hike[11-15%]", AA1343 &lt;= 20%, "Moderate Hike[16-20%]", AA1343 &lt;= 25%,"High Hike[21-25%]")</f>
        <v>Low Hike[11-15%]</v>
      </c>
      <c r="AC1343" s="1">
        <v>3</v>
      </c>
      <c r="AD1343" s="1">
        <v>1</v>
      </c>
      <c r="AE1343" s="1">
        <v>80</v>
      </c>
      <c r="AF1343" s="1">
        <v>1</v>
      </c>
      <c r="AG1343" s="1">
        <v>10</v>
      </c>
      <c r="AH1343" s="9" t="str" cm="1">
        <f t="array" ref="AH1343">_xlfn.IFS(AG1343 &lt;= 5, "New[1-5]", AG1343 &lt;= 10, "Early Career[6-10]", AG1343 &lt;= 20, "Established[11-20]", AG1343 &lt;= 30, "Veteran[21-30]", AG1343 &lt;= 40, "Late Career[31-40]")</f>
        <v>Early Career[6-10]</v>
      </c>
      <c r="AI1343" s="1">
        <v>2</v>
      </c>
      <c r="AJ1343" s="1">
        <v>3</v>
      </c>
      <c r="AK1343" s="1">
        <v>10</v>
      </c>
      <c r="AL1343" s="9" t="str" cm="1">
        <f t="array" ref="AL1343">_xlfn.IFS(AK1343 &lt;= 5, "New[1-5]", AK1343 &lt;= 10, "Early Career[6-10]", AK1343 &lt;= 20, "Established[11-20]", AK1343 &lt;= 30, "Veteran[21-30]", AK1343 &lt;= 40, "Late Career[31-40]")</f>
        <v>Early Career[6-10]</v>
      </c>
      <c r="AM1343" s="1">
        <v>8</v>
      </c>
      <c r="AN1343" s="9" t="str" cm="1">
        <f t="array" ref="AN1343">_xlfn.IFS(AM1343 &lt;= 3, "New to Role[1-3]", AM1343 &lt;= 7, "Settled[4-7]", AM1343 &lt;= 12, "Experienced[[8-12]", AM1343 &lt;= 18, "Long Tenured[13-18]")</f>
        <v>Experienced[[8-12]</v>
      </c>
      <c r="AO1343" s="1">
        <v>0</v>
      </c>
      <c r="AP1343" s="9" t="str" cm="1">
        <f t="array" ref="AP1343">_xlfn.IFS(AO1343 &lt;= 3, "Recently[1-3]", AO1343 &lt;= 6, "Due Soon[4-6]", AO1343 &lt;= 10, "Overdue[7-10]", AO1343 &lt;= 15, "Long Overdue[11-15]")</f>
        <v>Recently[1-3]</v>
      </c>
      <c r="AQ1343" s="9" t="str" cm="1">
        <f t="array" ref="AQ1343">_xlfn.IFS(AR1343 &lt;= 3, "New Relationship[1-3]", AR1343 &lt;= 7, "Established Relationship[4-7]", AR1343 &lt;= 12, "Long Term Relationship[8-12]", AR1343 &lt;= 17, "Very Long Term Relationship[13-17]")</f>
        <v>New Relationship[1-3]</v>
      </c>
      <c r="AR1343" s="1">
        <v>2</v>
      </c>
    </row>
    <row r="1344" spans="1:44" x14ac:dyDescent="0.25">
      <c r="A1344" s="1">
        <v>34</v>
      </c>
      <c r="B1344" s="8" t="str" cm="1">
        <f t="array" ref="B1344">_xlfn.IFS(A1344 &lt;= 25, "[18-25]", A1344 &lt;= 35, "[26-35]", A1344 &lt;=45, "[36-45]", A1344 &lt;= 60, "[46- 60]")</f>
        <v>[26-35]</v>
      </c>
      <c r="C1344" s="3" t="s">
        <v>43</v>
      </c>
      <c r="D1344">
        <f t="shared" si="20"/>
        <v>0</v>
      </c>
      <c r="E1344" t="s">
        <v>36</v>
      </c>
      <c r="F1344" s="1">
        <v>1480</v>
      </c>
      <c r="G1344" s="3" t="s">
        <v>37</v>
      </c>
      <c r="H1344" s="1">
        <v>4</v>
      </c>
      <c r="I1344" s="9" t="str" cm="1">
        <f t="array" ref="I1344">_xlfn.IFS(H1344 &lt;= 2, "[1-2] very close", H1344 &lt;= 10, "[3-10] close", H1344 &lt;= 20, "[11-20] moderate", H1344 &lt;= 30, "[21-30] far")</f>
        <v>[3-10] close</v>
      </c>
      <c r="J1344" s="1">
        <v>3</v>
      </c>
      <c r="K1344" s="3" t="s">
        <v>38</v>
      </c>
      <c r="L1344" s="1">
        <v>1</v>
      </c>
      <c r="M1344" s="1">
        <v>1882</v>
      </c>
      <c r="N1344" s="1">
        <v>3</v>
      </c>
      <c r="O1344" s="3" t="s">
        <v>46</v>
      </c>
      <c r="P1344" s="1">
        <v>64</v>
      </c>
      <c r="Q1344" s="1">
        <v>3</v>
      </c>
      <c r="R1344" s="1">
        <v>3</v>
      </c>
      <c r="S1344" s="3" t="s">
        <v>40</v>
      </c>
      <c r="T1344" s="1">
        <v>4</v>
      </c>
      <c r="U1344" s="3" t="s">
        <v>48</v>
      </c>
      <c r="V1344" s="4">
        <v>9713</v>
      </c>
      <c r="W1344" s="1">
        <v>24444</v>
      </c>
      <c r="X1344" s="1">
        <v>2</v>
      </c>
      <c r="Y1344" s="3" t="s">
        <v>42</v>
      </c>
      <c r="Z1344" s="3" t="s">
        <v>35</v>
      </c>
      <c r="AA1344" s="5">
        <v>0.13</v>
      </c>
      <c r="AB1344" s="10" t="str" cm="1">
        <f t="array" ref="AB1344">_xlfn.IFS(AA1344 &lt;= 15%, "Low Hike[11-15%]", AA1344 &lt;= 20%, "Moderate Hike[16-20%]", AA1344 &lt;= 25%,"High Hike[21-25%]")</f>
        <v>Low Hike[11-15%]</v>
      </c>
      <c r="AC1344" s="1">
        <v>3</v>
      </c>
      <c r="AD1344" s="1">
        <v>4</v>
      </c>
      <c r="AE1344" s="1">
        <v>80</v>
      </c>
      <c r="AF1344" s="1">
        <v>3</v>
      </c>
      <c r="AG1344" s="1">
        <v>9</v>
      </c>
      <c r="AH1344" s="9" t="str" cm="1">
        <f t="array" ref="AH1344">_xlfn.IFS(AG1344 &lt;= 5, "New[1-5]", AG1344 &lt;= 10, "Early Career[6-10]", AG1344 &lt;= 20, "Established[11-20]", AG1344 &lt;= 30, "Veteran[21-30]", AG1344 &lt;= 40, "Late Career[31-40]")</f>
        <v>Early Career[6-10]</v>
      </c>
      <c r="AI1344" s="1">
        <v>3</v>
      </c>
      <c r="AJ1344" s="1">
        <v>3</v>
      </c>
      <c r="AK1344" s="1">
        <v>5</v>
      </c>
      <c r="AL1344" s="9" t="str" cm="1">
        <f t="array" ref="AL1344">_xlfn.IFS(AK1344 &lt;= 5, "New[1-5]", AK1344 &lt;= 10, "Early Career[6-10]", AK1344 &lt;= 20, "Established[11-20]", AK1344 &lt;= 30, "Veteran[21-30]", AK1344 &lt;= 40, "Late Career[31-40]")</f>
        <v>New[1-5]</v>
      </c>
      <c r="AM1344" s="1">
        <v>3</v>
      </c>
      <c r="AN1344" s="9" t="str" cm="1">
        <f t="array" ref="AN1344">_xlfn.IFS(AM1344 &lt;= 3, "New to Role[1-3]", AM1344 &lt;= 7, "Settled[4-7]", AM1344 &lt;= 12, "Experienced[[8-12]", AM1344 &lt;= 18, "Long Tenured[13-18]")</f>
        <v>New to Role[1-3]</v>
      </c>
      <c r="AO1344" s="1">
        <v>1</v>
      </c>
      <c r="AP1344" s="9" t="str" cm="1">
        <f t="array" ref="AP1344">_xlfn.IFS(AO1344 &lt;= 3, "Recently[1-3]", AO1344 &lt;= 6, "Due Soon[4-6]", AO1344 &lt;= 10, "Overdue[7-10]", AO1344 &lt;= 15, "Long Overdue[11-15]")</f>
        <v>Recently[1-3]</v>
      </c>
      <c r="AQ1344" s="9" t="str" cm="1">
        <f t="array" ref="AQ1344">_xlfn.IFS(AR1344 &lt;= 3, "New Relationship[1-3]", AR1344 &lt;= 7, "Established Relationship[4-7]", AR1344 &lt;= 12, "Long Term Relationship[8-12]", AR1344 &lt;= 17, "Very Long Term Relationship[13-17]")</f>
        <v>New Relationship[1-3]</v>
      </c>
      <c r="AR1344" s="1">
        <v>0</v>
      </c>
    </row>
    <row r="1345" spans="1:44" x14ac:dyDescent="0.25">
      <c r="A1345" s="1">
        <v>29</v>
      </c>
      <c r="B1345" s="8" t="str" cm="1">
        <f t="array" ref="B1345">_xlfn.IFS(A1345 &lt;= 25, "[18-25]", A1345 &lt;= 35, "[26-35]", A1345 &lt;=45, "[36-45]", A1345 &lt;= 60, "[46- 60]")</f>
        <v>[26-35]</v>
      </c>
      <c r="C1345" s="3" t="s">
        <v>43</v>
      </c>
      <c r="D1345">
        <f t="shared" si="20"/>
        <v>0</v>
      </c>
      <c r="E1345" t="s">
        <v>36</v>
      </c>
      <c r="F1345" s="1">
        <v>592</v>
      </c>
      <c r="G1345" s="3" t="s">
        <v>45</v>
      </c>
      <c r="H1345" s="1">
        <v>7</v>
      </c>
      <c r="I1345" s="9" t="str" cm="1">
        <f t="array" ref="I1345">_xlfn.IFS(H1345 &lt;= 2, "[1-2] very close", H1345 &lt;= 10, "[3-10] close", H1345 &lt;= 20, "[11-20] moderate", H1345 &lt;= 30, "[21-30] far")</f>
        <v>[3-10] close</v>
      </c>
      <c r="J1345" s="1">
        <v>3</v>
      </c>
      <c r="K1345" s="3" t="s">
        <v>38</v>
      </c>
      <c r="L1345" s="1">
        <v>1</v>
      </c>
      <c r="M1345" s="1">
        <v>1883</v>
      </c>
      <c r="N1345" s="1">
        <v>4</v>
      </c>
      <c r="O1345" s="3" t="s">
        <v>46</v>
      </c>
      <c r="P1345" s="1">
        <v>59</v>
      </c>
      <c r="Q1345" s="1">
        <v>3</v>
      </c>
      <c r="R1345" s="1">
        <v>1</v>
      </c>
      <c r="S1345" s="3" t="s">
        <v>50</v>
      </c>
      <c r="T1345" s="1">
        <v>1</v>
      </c>
      <c r="U1345" s="3" t="s">
        <v>41</v>
      </c>
      <c r="V1345" s="4">
        <v>2062</v>
      </c>
      <c r="W1345" s="1">
        <v>19384</v>
      </c>
      <c r="X1345" s="1">
        <v>3</v>
      </c>
      <c r="Y1345" s="3" t="s">
        <v>42</v>
      </c>
      <c r="Z1345" s="3" t="s">
        <v>43</v>
      </c>
      <c r="AA1345" s="5">
        <v>0.14000000000000001</v>
      </c>
      <c r="AB1345" s="10" t="str" cm="1">
        <f t="array" ref="AB1345">_xlfn.IFS(AA1345 &lt;= 15%, "Low Hike[11-15%]", AA1345 &lt;= 20%, "Moderate Hike[16-20%]", AA1345 &lt;= 25%,"High Hike[21-25%]")</f>
        <v>Low Hike[11-15%]</v>
      </c>
      <c r="AC1345" s="1">
        <v>3</v>
      </c>
      <c r="AD1345" s="1">
        <v>2</v>
      </c>
      <c r="AE1345" s="1">
        <v>80</v>
      </c>
      <c r="AF1345" s="1">
        <v>0</v>
      </c>
      <c r="AG1345" s="1">
        <v>11</v>
      </c>
      <c r="AH1345" s="9" t="str" cm="1">
        <f t="array" ref="AH1345">_xlfn.IFS(AG1345 &lt;= 5, "New[1-5]", AG1345 &lt;= 10, "Early Career[6-10]", AG1345 &lt;= 20, "Established[11-20]", AG1345 &lt;= 30, "Veteran[21-30]", AG1345 &lt;= 40, "Late Career[31-40]")</f>
        <v>Established[11-20]</v>
      </c>
      <c r="AI1345" s="1">
        <v>2</v>
      </c>
      <c r="AJ1345" s="1">
        <v>3</v>
      </c>
      <c r="AK1345" s="1">
        <v>3</v>
      </c>
      <c r="AL1345" s="9" t="str" cm="1">
        <f t="array" ref="AL1345">_xlfn.IFS(AK1345 &lt;= 5, "New[1-5]", AK1345 &lt;= 10, "Early Career[6-10]", AK1345 &lt;= 20, "Established[11-20]", AK1345 &lt;= 30, "Veteran[21-30]", AK1345 &lt;= 40, "Late Career[31-40]")</f>
        <v>New[1-5]</v>
      </c>
      <c r="AM1345" s="1">
        <v>2</v>
      </c>
      <c r="AN1345" s="9" t="str" cm="1">
        <f t="array" ref="AN1345">_xlfn.IFS(AM1345 &lt;= 3, "New to Role[1-3]", AM1345 &lt;= 7, "Settled[4-7]", AM1345 &lt;= 12, "Experienced[[8-12]", AM1345 &lt;= 18, "Long Tenured[13-18]")</f>
        <v>New to Role[1-3]</v>
      </c>
      <c r="AO1345" s="1">
        <v>1</v>
      </c>
      <c r="AP1345" s="9" t="str" cm="1">
        <f t="array" ref="AP1345">_xlfn.IFS(AO1345 &lt;= 3, "Recently[1-3]", AO1345 &lt;= 6, "Due Soon[4-6]", AO1345 &lt;= 10, "Overdue[7-10]", AO1345 &lt;= 15, "Long Overdue[11-15]")</f>
        <v>Recently[1-3]</v>
      </c>
      <c r="AQ1345" s="9" t="str" cm="1">
        <f t="array" ref="AQ1345">_xlfn.IFS(AR1345 &lt;= 3, "New Relationship[1-3]", AR1345 &lt;= 7, "Established Relationship[4-7]", AR1345 &lt;= 12, "Long Term Relationship[8-12]", AR1345 &lt;= 17, "Very Long Term Relationship[13-17]")</f>
        <v>New Relationship[1-3]</v>
      </c>
      <c r="AR1345" s="1">
        <v>2</v>
      </c>
    </row>
    <row r="1346" spans="1:44" x14ac:dyDescent="0.25">
      <c r="A1346" s="1">
        <v>37</v>
      </c>
      <c r="B1346" s="8" t="str" cm="1">
        <f t="array" ref="B1346">_xlfn.IFS(A1346 &lt;= 25, "[18-25]", A1346 &lt;= 35, "[26-35]", A1346 &lt;=45, "[36-45]", A1346 &lt;= 60, "[46- 60]")</f>
        <v>[36-45]</v>
      </c>
      <c r="C1346" s="3" t="s">
        <v>43</v>
      </c>
      <c r="D1346">
        <f t="shared" ref="D1346:D1409" si="21">IF(C1346 = "Yes",1, 0)</f>
        <v>0</v>
      </c>
      <c r="E1346" t="s">
        <v>36</v>
      </c>
      <c r="F1346" s="1">
        <v>783</v>
      </c>
      <c r="G1346" s="3" t="s">
        <v>45</v>
      </c>
      <c r="H1346" s="1">
        <v>7</v>
      </c>
      <c r="I1346" s="9" t="str" cm="1">
        <f t="array" ref="I1346">_xlfn.IFS(H1346 &lt;= 2, "[1-2] very close", H1346 &lt;= 10, "[3-10] close", H1346 &lt;= 20, "[11-20] moderate", H1346 &lt;= 30, "[21-30] far")</f>
        <v>[3-10] close</v>
      </c>
      <c r="J1346" s="1">
        <v>4</v>
      </c>
      <c r="K1346" s="3" t="s">
        <v>51</v>
      </c>
      <c r="L1346" s="1">
        <v>1</v>
      </c>
      <c r="M1346" s="1">
        <v>1885</v>
      </c>
      <c r="N1346" s="1">
        <v>4</v>
      </c>
      <c r="O1346" s="3" t="s">
        <v>46</v>
      </c>
      <c r="P1346" s="1">
        <v>78</v>
      </c>
      <c r="Q1346" s="1">
        <v>3</v>
      </c>
      <c r="R1346" s="1">
        <v>2</v>
      </c>
      <c r="S1346" s="3" t="s">
        <v>47</v>
      </c>
      <c r="T1346" s="1">
        <v>1</v>
      </c>
      <c r="U1346" s="3" t="s">
        <v>48</v>
      </c>
      <c r="V1346" s="4">
        <v>4284</v>
      </c>
      <c r="W1346" s="1">
        <v>13588</v>
      </c>
      <c r="X1346" s="1">
        <v>5</v>
      </c>
      <c r="Y1346" s="3" t="s">
        <v>42</v>
      </c>
      <c r="Z1346" s="3" t="s">
        <v>35</v>
      </c>
      <c r="AA1346" s="5">
        <v>0.22</v>
      </c>
      <c r="AB1346" s="10" t="str" cm="1">
        <f t="array" ref="AB1346">_xlfn.IFS(AA1346 &lt;= 15%, "Low Hike[11-15%]", AA1346 &lt;= 20%, "Moderate Hike[16-20%]", AA1346 &lt;= 25%,"High Hike[21-25%]")</f>
        <v>High Hike[21-25%]</v>
      </c>
      <c r="AC1346" s="1">
        <v>4</v>
      </c>
      <c r="AD1346" s="1">
        <v>3</v>
      </c>
      <c r="AE1346" s="1">
        <v>80</v>
      </c>
      <c r="AF1346" s="1">
        <v>1</v>
      </c>
      <c r="AG1346" s="1">
        <v>16</v>
      </c>
      <c r="AH1346" s="9" t="str" cm="1">
        <f t="array" ref="AH1346">_xlfn.IFS(AG1346 &lt;= 5, "New[1-5]", AG1346 &lt;= 10, "Early Career[6-10]", AG1346 &lt;= 20, "Established[11-20]", AG1346 &lt;= 30, "Veteran[21-30]", AG1346 &lt;= 40, "Late Career[31-40]")</f>
        <v>Established[11-20]</v>
      </c>
      <c r="AI1346" s="1">
        <v>2</v>
      </c>
      <c r="AJ1346" s="1">
        <v>3</v>
      </c>
      <c r="AK1346" s="1">
        <v>5</v>
      </c>
      <c r="AL1346" s="9" t="str" cm="1">
        <f t="array" ref="AL1346">_xlfn.IFS(AK1346 &lt;= 5, "New[1-5]", AK1346 &lt;= 10, "Early Career[6-10]", AK1346 &lt;= 20, "Established[11-20]", AK1346 &lt;= 30, "Veteran[21-30]", AK1346 &lt;= 40, "Late Career[31-40]")</f>
        <v>New[1-5]</v>
      </c>
      <c r="AM1346" s="1">
        <v>3</v>
      </c>
      <c r="AN1346" s="9" t="str" cm="1">
        <f t="array" ref="AN1346">_xlfn.IFS(AM1346 &lt;= 3, "New to Role[1-3]", AM1346 &lt;= 7, "Settled[4-7]", AM1346 &lt;= 12, "Experienced[[8-12]", AM1346 &lt;= 18, "Long Tenured[13-18]")</f>
        <v>New to Role[1-3]</v>
      </c>
      <c r="AO1346" s="1">
        <v>0</v>
      </c>
      <c r="AP1346" s="9" t="str" cm="1">
        <f t="array" ref="AP1346">_xlfn.IFS(AO1346 &lt;= 3, "Recently[1-3]", AO1346 &lt;= 6, "Due Soon[4-6]", AO1346 &lt;= 10, "Overdue[7-10]", AO1346 &lt;= 15, "Long Overdue[11-15]")</f>
        <v>Recently[1-3]</v>
      </c>
      <c r="AQ1346" s="9" t="str" cm="1">
        <f t="array" ref="AQ1346">_xlfn.IFS(AR1346 &lt;= 3, "New Relationship[1-3]", AR1346 &lt;= 7, "Established Relationship[4-7]", AR1346 &lt;= 12, "Long Term Relationship[8-12]", AR1346 &lt;= 17, "Very Long Term Relationship[13-17]")</f>
        <v>Established Relationship[4-7]</v>
      </c>
      <c r="AR1346" s="1">
        <v>4</v>
      </c>
    </row>
    <row r="1347" spans="1:44" x14ac:dyDescent="0.25">
      <c r="A1347" s="1">
        <v>35</v>
      </c>
      <c r="B1347" s="8" t="str" cm="1">
        <f t="array" ref="B1347">_xlfn.IFS(A1347 &lt;= 25, "[18-25]", A1347 &lt;= 35, "[26-35]", A1347 &lt;=45, "[36-45]", A1347 &lt;= 60, "[46- 60]")</f>
        <v>[26-35]</v>
      </c>
      <c r="C1347" s="3" t="s">
        <v>43</v>
      </c>
      <c r="D1347">
        <f t="shared" si="21"/>
        <v>0</v>
      </c>
      <c r="E1347" t="s">
        <v>36</v>
      </c>
      <c r="F1347" s="1">
        <v>219</v>
      </c>
      <c r="G1347" s="3" t="s">
        <v>45</v>
      </c>
      <c r="H1347" s="1">
        <v>16</v>
      </c>
      <c r="I1347" s="9" t="str" cm="1">
        <f t="array" ref="I1347">_xlfn.IFS(H1347 &lt;= 2, "[1-2] very close", H1347 &lt;= 10, "[3-10] close", H1347 &lt;= 20, "[11-20] moderate", H1347 &lt;= 30, "[21-30] far")</f>
        <v>[11-20] moderate</v>
      </c>
      <c r="J1347" s="1">
        <v>2</v>
      </c>
      <c r="K1347" s="3" t="s">
        <v>49</v>
      </c>
      <c r="L1347" s="1">
        <v>1</v>
      </c>
      <c r="M1347" s="1">
        <v>1886</v>
      </c>
      <c r="N1347" s="1">
        <v>4</v>
      </c>
      <c r="O1347" s="3" t="s">
        <v>39</v>
      </c>
      <c r="P1347" s="1">
        <v>44</v>
      </c>
      <c r="Q1347" s="1">
        <v>2</v>
      </c>
      <c r="R1347" s="1">
        <v>2</v>
      </c>
      <c r="S1347" s="3" t="s">
        <v>53</v>
      </c>
      <c r="T1347" s="1">
        <v>2</v>
      </c>
      <c r="U1347" s="3" t="s">
        <v>48</v>
      </c>
      <c r="V1347" s="4">
        <v>4788</v>
      </c>
      <c r="W1347" s="1">
        <v>25388</v>
      </c>
      <c r="X1347" s="1">
        <v>0</v>
      </c>
      <c r="Y1347" s="3" t="s">
        <v>42</v>
      </c>
      <c r="Z1347" s="3" t="s">
        <v>35</v>
      </c>
      <c r="AA1347" s="5">
        <v>0.11</v>
      </c>
      <c r="AB1347" s="10" t="str" cm="1">
        <f t="array" ref="AB1347">_xlfn.IFS(AA1347 &lt;= 15%, "Low Hike[11-15%]", AA1347 &lt;= 20%, "Moderate Hike[16-20%]", AA1347 &lt;= 25%,"High Hike[21-25%]")</f>
        <v>Low Hike[11-15%]</v>
      </c>
      <c r="AC1347" s="1">
        <v>3</v>
      </c>
      <c r="AD1347" s="1">
        <v>4</v>
      </c>
      <c r="AE1347" s="1">
        <v>80</v>
      </c>
      <c r="AF1347" s="1">
        <v>0</v>
      </c>
      <c r="AG1347" s="1">
        <v>4</v>
      </c>
      <c r="AH1347" s="9" t="str" cm="1">
        <f t="array" ref="AH1347">_xlfn.IFS(AG1347 &lt;= 5, "New[1-5]", AG1347 &lt;= 10, "Early Career[6-10]", AG1347 &lt;= 20, "Established[11-20]", AG1347 &lt;= 30, "Veteran[21-30]", AG1347 &lt;= 40, "Late Career[31-40]")</f>
        <v>New[1-5]</v>
      </c>
      <c r="AI1347" s="1">
        <v>2</v>
      </c>
      <c r="AJ1347" s="1">
        <v>3</v>
      </c>
      <c r="AK1347" s="1">
        <v>3</v>
      </c>
      <c r="AL1347" s="9" t="str" cm="1">
        <f t="array" ref="AL1347">_xlfn.IFS(AK1347 &lt;= 5, "New[1-5]", AK1347 &lt;= 10, "Early Career[6-10]", AK1347 &lt;= 20, "Established[11-20]", AK1347 &lt;= 30, "Veteran[21-30]", AK1347 &lt;= 40, "Late Career[31-40]")</f>
        <v>New[1-5]</v>
      </c>
      <c r="AM1347" s="1">
        <v>2</v>
      </c>
      <c r="AN1347" s="9" t="str" cm="1">
        <f t="array" ref="AN1347">_xlfn.IFS(AM1347 &lt;= 3, "New to Role[1-3]", AM1347 &lt;= 7, "Settled[4-7]", AM1347 &lt;= 12, "Experienced[[8-12]", AM1347 &lt;= 18, "Long Tenured[13-18]")</f>
        <v>New to Role[1-3]</v>
      </c>
      <c r="AO1347" s="1">
        <v>0</v>
      </c>
      <c r="AP1347" s="9" t="str" cm="1">
        <f t="array" ref="AP1347">_xlfn.IFS(AO1347 &lt;= 3, "Recently[1-3]", AO1347 &lt;= 6, "Due Soon[4-6]", AO1347 &lt;= 10, "Overdue[7-10]", AO1347 &lt;= 15, "Long Overdue[11-15]")</f>
        <v>Recently[1-3]</v>
      </c>
      <c r="AQ1347" s="9" t="str" cm="1">
        <f t="array" ref="AQ1347">_xlfn.IFS(AR1347 &lt;= 3, "New Relationship[1-3]", AR1347 &lt;= 7, "Established Relationship[4-7]", AR1347 &lt;= 12, "Long Term Relationship[8-12]", AR1347 &lt;= 17, "Very Long Term Relationship[13-17]")</f>
        <v>New Relationship[1-3]</v>
      </c>
      <c r="AR1347" s="1">
        <v>2</v>
      </c>
    </row>
    <row r="1348" spans="1:44" x14ac:dyDescent="0.25">
      <c r="A1348" s="1">
        <v>45</v>
      </c>
      <c r="B1348" s="8" t="str" cm="1">
        <f t="array" ref="B1348">_xlfn.IFS(A1348 &lt;= 25, "[18-25]", A1348 &lt;= 35, "[26-35]", A1348 &lt;=45, "[36-45]", A1348 &lt;= 60, "[46- 60]")</f>
        <v>[36-45]</v>
      </c>
      <c r="C1348" s="3" t="s">
        <v>43</v>
      </c>
      <c r="D1348">
        <f t="shared" si="21"/>
        <v>0</v>
      </c>
      <c r="E1348" t="s">
        <v>36</v>
      </c>
      <c r="F1348" s="1">
        <v>556</v>
      </c>
      <c r="G1348" s="3" t="s">
        <v>45</v>
      </c>
      <c r="H1348" s="1">
        <v>25</v>
      </c>
      <c r="I1348" s="9" t="str" cm="1">
        <f t="array" ref="I1348">_xlfn.IFS(H1348 &lt;= 2, "[1-2] very close", H1348 &lt;= 10, "[3-10] close", H1348 &lt;= 20, "[11-20] moderate", H1348 &lt;= 30, "[21-30] far")</f>
        <v>[21-30] far</v>
      </c>
      <c r="J1348" s="1">
        <v>2</v>
      </c>
      <c r="K1348" s="3" t="s">
        <v>38</v>
      </c>
      <c r="L1348" s="1">
        <v>1</v>
      </c>
      <c r="M1348" s="1">
        <v>1888</v>
      </c>
      <c r="N1348" s="1">
        <v>2</v>
      </c>
      <c r="O1348" s="3" t="s">
        <v>39</v>
      </c>
      <c r="P1348" s="1">
        <v>93</v>
      </c>
      <c r="Q1348" s="1">
        <v>2</v>
      </c>
      <c r="R1348" s="1">
        <v>2</v>
      </c>
      <c r="S1348" s="3" t="s">
        <v>53</v>
      </c>
      <c r="T1348" s="1">
        <v>4</v>
      </c>
      <c r="U1348" s="3" t="s">
        <v>48</v>
      </c>
      <c r="V1348" s="4">
        <v>5906</v>
      </c>
      <c r="W1348" s="1">
        <v>23888</v>
      </c>
      <c r="X1348" s="1">
        <v>0</v>
      </c>
      <c r="Y1348" s="3" t="s">
        <v>42</v>
      </c>
      <c r="Z1348" s="3" t="s">
        <v>43</v>
      </c>
      <c r="AA1348" s="5">
        <v>0.13</v>
      </c>
      <c r="AB1348" s="10" t="str" cm="1">
        <f t="array" ref="AB1348">_xlfn.IFS(AA1348 &lt;= 15%, "Low Hike[11-15%]", AA1348 &lt;= 20%, "Moderate Hike[16-20%]", AA1348 &lt;= 25%,"High Hike[21-25%]")</f>
        <v>Low Hike[11-15%]</v>
      </c>
      <c r="AC1348" s="1">
        <v>3</v>
      </c>
      <c r="AD1348" s="1">
        <v>4</v>
      </c>
      <c r="AE1348" s="1">
        <v>80</v>
      </c>
      <c r="AF1348" s="1">
        <v>2</v>
      </c>
      <c r="AG1348" s="1">
        <v>10</v>
      </c>
      <c r="AH1348" s="9" t="str" cm="1">
        <f t="array" ref="AH1348">_xlfn.IFS(AG1348 &lt;= 5, "New[1-5]", AG1348 &lt;= 10, "Early Career[6-10]", AG1348 &lt;= 20, "Established[11-20]", AG1348 &lt;= 30, "Veteran[21-30]", AG1348 &lt;= 40, "Late Career[31-40]")</f>
        <v>Early Career[6-10]</v>
      </c>
      <c r="AI1348" s="1">
        <v>2</v>
      </c>
      <c r="AJ1348" s="1">
        <v>2</v>
      </c>
      <c r="AK1348" s="1">
        <v>9</v>
      </c>
      <c r="AL1348" s="9" t="str" cm="1">
        <f t="array" ref="AL1348">_xlfn.IFS(AK1348 &lt;= 5, "New[1-5]", AK1348 &lt;= 10, "Early Career[6-10]", AK1348 &lt;= 20, "Established[11-20]", AK1348 &lt;= 30, "Veteran[21-30]", AK1348 &lt;= 40, "Late Career[31-40]")</f>
        <v>Early Career[6-10]</v>
      </c>
      <c r="AM1348" s="1">
        <v>8</v>
      </c>
      <c r="AN1348" s="9" t="str" cm="1">
        <f t="array" ref="AN1348">_xlfn.IFS(AM1348 &lt;= 3, "New to Role[1-3]", AM1348 &lt;= 7, "Settled[4-7]", AM1348 &lt;= 12, "Experienced[[8-12]", AM1348 &lt;= 18, "Long Tenured[13-18]")</f>
        <v>Experienced[[8-12]</v>
      </c>
      <c r="AO1348" s="1">
        <v>3</v>
      </c>
      <c r="AP1348" s="9" t="str" cm="1">
        <f t="array" ref="AP1348">_xlfn.IFS(AO1348 &lt;= 3, "Recently[1-3]", AO1348 &lt;= 6, "Due Soon[4-6]", AO1348 &lt;= 10, "Overdue[7-10]", AO1348 &lt;= 15, "Long Overdue[11-15]")</f>
        <v>Recently[1-3]</v>
      </c>
      <c r="AQ1348" s="9" t="str" cm="1">
        <f t="array" ref="AQ1348">_xlfn.IFS(AR1348 &lt;= 3, "New Relationship[1-3]", AR1348 &lt;= 7, "Established Relationship[4-7]", AR1348 &lt;= 12, "Long Term Relationship[8-12]", AR1348 &lt;= 17, "Very Long Term Relationship[13-17]")</f>
        <v>Long Term Relationship[8-12]</v>
      </c>
      <c r="AR1348" s="1">
        <v>8</v>
      </c>
    </row>
    <row r="1349" spans="1:44" x14ac:dyDescent="0.25">
      <c r="A1349" s="1">
        <v>36</v>
      </c>
      <c r="B1349" s="8" t="str" cm="1">
        <f t="array" ref="B1349">_xlfn.IFS(A1349 &lt;= 25, "[18-25]", A1349 &lt;= 35, "[26-35]", A1349 &lt;=45, "[36-45]", A1349 &lt;= 60, "[46- 60]")</f>
        <v>[36-45]</v>
      </c>
      <c r="C1349" s="3" t="s">
        <v>43</v>
      </c>
      <c r="D1349">
        <f t="shared" si="21"/>
        <v>0</v>
      </c>
      <c r="E1349" t="s">
        <v>44</v>
      </c>
      <c r="F1349" s="1">
        <v>1213</v>
      </c>
      <c r="G1349" s="3" t="s">
        <v>61</v>
      </c>
      <c r="H1349" s="1">
        <v>2</v>
      </c>
      <c r="I1349" s="9" t="str" cm="1">
        <f t="array" ref="I1349">_xlfn.IFS(H1349 &lt;= 2, "[1-2] very close", H1349 &lt;= 10, "[3-10] close", H1349 &lt;= 20, "[11-20] moderate", H1349 &lt;= 30, "[21-30] far")</f>
        <v>[1-2] very close</v>
      </c>
      <c r="J1349" s="1">
        <v>1</v>
      </c>
      <c r="K1349" s="3" t="s">
        <v>61</v>
      </c>
      <c r="L1349" s="1">
        <v>1</v>
      </c>
      <c r="M1349" s="1">
        <v>1890</v>
      </c>
      <c r="N1349" s="1">
        <v>2</v>
      </c>
      <c r="O1349" s="3" t="s">
        <v>46</v>
      </c>
      <c r="P1349" s="1">
        <v>94</v>
      </c>
      <c r="Q1349" s="1">
        <v>2</v>
      </c>
      <c r="R1349" s="1">
        <v>2</v>
      </c>
      <c r="S1349" s="3" t="s">
        <v>61</v>
      </c>
      <c r="T1349" s="1">
        <v>4</v>
      </c>
      <c r="U1349" s="3" t="s">
        <v>41</v>
      </c>
      <c r="V1349" s="4">
        <v>3886</v>
      </c>
      <c r="W1349" s="1">
        <v>4223</v>
      </c>
      <c r="X1349" s="1">
        <v>1</v>
      </c>
      <c r="Y1349" s="3" t="s">
        <v>42</v>
      </c>
      <c r="Z1349" s="3" t="s">
        <v>43</v>
      </c>
      <c r="AA1349" s="5">
        <v>0.21</v>
      </c>
      <c r="AB1349" s="10" t="str" cm="1">
        <f t="array" ref="AB1349">_xlfn.IFS(AA1349 &lt;= 15%, "Low Hike[11-15%]", AA1349 &lt;= 20%, "Moderate Hike[16-20%]", AA1349 &lt;= 25%,"High Hike[21-25%]")</f>
        <v>High Hike[21-25%]</v>
      </c>
      <c r="AC1349" s="1">
        <v>4</v>
      </c>
      <c r="AD1349" s="1">
        <v>4</v>
      </c>
      <c r="AE1349" s="1">
        <v>80</v>
      </c>
      <c r="AF1349" s="1">
        <v>0</v>
      </c>
      <c r="AG1349" s="1">
        <v>10</v>
      </c>
      <c r="AH1349" s="9" t="str" cm="1">
        <f t="array" ref="AH1349">_xlfn.IFS(AG1349 &lt;= 5, "New[1-5]", AG1349 &lt;= 10, "Early Career[6-10]", AG1349 &lt;= 20, "Established[11-20]", AG1349 &lt;= 30, "Veteran[21-30]", AG1349 &lt;= 40, "Late Career[31-40]")</f>
        <v>Early Career[6-10]</v>
      </c>
      <c r="AI1349" s="1">
        <v>2</v>
      </c>
      <c r="AJ1349" s="1">
        <v>2</v>
      </c>
      <c r="AK1349" s="1">
        <v>10</v>
      </c>
      <c r="AL1349" s="9" t="str" cm="1">
        <f t="array" ref="AL1349">_xlfn.IFS(AK1349 &lt;= 5, "New[1-5]", AK1349 &lt;= 10, "Early Career[6-10]", AK1349 &lt;= 20, "Established[11-20]", AK1349 &lt;= 30, "Veteran[21-30]", AK1349 &lt;= 40, "Late Career[31-40]")</f>
        <v>Early Career[6-10]</v>
      </c>
      <c r="AM1349" s="1">
        <v>1</v>
      </c>
      <c r="AN1349" s="9" t="str" cm="1">
        <f t="array" ref="AN1349">_xlfn.IFS(AM1349 &lt;= 3, "New to Role[1-3]", AM1349 &lt;= 7, "Settled[4-7]", AM1349 &lt;= 12, "Experienced[[8-12]", AM1349 &lt;= 18, "Long Tenured[13-18]")</f>
        <v>New to Role[1-3]</v>
      </c>
      <c r="AO1349" s="1">
        <v>0</v>
      </c>
      <c r="AP1349" s="9" t="str" cm="1">
        <f t="array" ref="AP1349">_xlfn.IFS(AO1349 &lt;= 3, "Recently[1-3]", AO1349 &lt;= 6, "Due Soon[4-6]", AO1349 &lt;= 10, "Overdue[7-10]", AO1349 &lt;= 15, "Long Overdue[11-15]")</f>
        <v>Recently[1-3]</v>
      </c>
      <c r="AQ1349" s="9" t="str" cm="1">
        <f t="array" ref="AQ1349">_xlfn.IFS(AR1349 &lt;= 3, "New Relationship[1-3]", AR1349 &lt;= 7, "Established Relationship[4-7]", AR1349 &lt;= 12, "Long Term Relationship[8-12]", AR1349 &lt;= 17, "Very Long Term Relationship[13-17]")</f>
        <v>Long Term Relationship[8-12]</v>
      </c>
      <c r="AR1349" s="1">
        <v>8</v>
      </c>
    </row>
    <row r="1350" spans="1:44" x14ac:dyDescent="0.25">
      <c r="A1350" s="1">
        <v>40</v>
      </c>
      <c r="B1350" s="8" t="str" cm="1">
        <f t="array" ref="B1350">_xlfn.IFS(A1350 &lt;= 25, "[18-25]", A1350 &lt;= 35, "[26-35]", A1350 &lt;=45, "[36-45]", A1350 &lt;= 60, "[46- 60]")</f>
        <v>[36-45]</v>
      </c>
      <c r="C1350" s="3" t="s">
        <v>43</v>
      </c>
      <c r="D1350">
        <f t="shared" si="21"/>
        <v>0</v>
      </c>
      <c r="E1350" t="s">
        <v>36</v>
      </c>
      <c r="F1350" s="1">
        <v>1137</v>
      </c>
      <c r="G1350" s="3" t="s">
        <v>45</v>
      </c>
      <c r="H1350" s="1">
        <v>1</v>
      </c>
      <c r="I1350" s="9" t="str" cm="1">
        <f t="array" ref="I1350">_xlfn.IFS(H1350 &lt;= 2, "[1-2] very close", H1350 &lt;= 10, "[3-10] close", H1350 &lt;= 20, "[11-20] moderate", H1350 &lt;= 30, "[21-30] far")</f>
        <v>[1-2] very close</v>
      </c>
      <c r="J1350" s="1">
        <v>4</v>
      </c>
      <c r="K1350" s="3" t="s">
        <v>38</v>
      </c>
      <c r="L1350" s="1">
        <v>1</v>
      </c>
      <c r="M1350" s="1">
        <v>1892</v>
      </c>
      <c r="N1350" s="1">
        <v>1</v>
      </c>
      <c r="O1350" s="3" t="s">
        <v>46</v>
      </c>
      <c r="P1350" s="1">
        <v>98</v>
      </c>
      <c r="Q1350" s="1">
        <v>3</v>
      </c>
      <c r="R1350" s="1">
        <v>4</v>
      </c>
      <c r="S1350" s="3" t="s">
        <v>56</v>
      </c>
      <c r="T1350" s="1">
        <v>1</v>
      </c>
      <c r="U1350" s="3" t="s">
        <v>52</v>
      </c>
      <c r="V1350" s="4">
        <v>16823</v>
      </c>
      <c r="W1350" s="1">
        <v>18991</v>
      </c>
      <c r="X1350" s="1">
        <v>2</v>
      </c>
      <c r="Y1350" s="3" t="s">
        <v>42</v>
      </c>
      <c r="Z1350" s="3" t="s">
        <v>43</v>
      </c>
      <c r="AA1350" s="5">
        <v>0.11</v>
      </c>
      <c r="AB1350" s="10" t="str" cm="1">
        <f t="array" ref="AB1350">_xlfn.IFS(AA1350 &lt;= 15%, "Low Hike[11-15%]", AA1350 &lt;= 20%, "Moderate Hike[16-20%]", AA1350 &lt;= 25%,"High Hike[21-25%]")</f>
        <v>Low Hike[11-15%]</v>
      </c>
      <c r="AC1350" s="1">
        <v>3</v>
      </c>
      <c r="AD1350" s="1">
        <v>1</v>
      </c>
      <c r="AE1350" s="1">
        <v>80</v>
      </c>
      <c r="AF1350" s="1">
        <v>1</v>
      </c>
      <c r="AG1350" s="1">
        <v>22</v>
      </c>
      <c r="AH1350" s="9" t="str" cm="1">
        <f t="array" ref="AH1350">_xlfn.IFS(AG1350 &lt;= 5, "New[1-5]", AG1350 &lt;= 10, "Early Career[6-10]", AG1350 &lt;= 20, "Established[11-20]", AG1350 &lt;= 30, "Veteran[21-30]", AG1350 &lt;= 40, "Late Career[31-40]")</f>
        <v>Veteran[21-30]</v>
      </c>
      <c r="AI1350" s="1">
        <v>3</v>
      </c>
      <c r="AJ1350" s="1">
        <v>3</v>
      </c>
      <c r="AK1350" s="1">
        <v>19</v>
      </c>
      <c r="AL1350" s="9" t="str" cm="1">
        <f t="array" ref="AL1350">_xlfn.IFS(AK1350 &lt;= 5, "New[1-5]", AK1350 &lt;= 10, "Early Career[6-10]", AK1350 &lt;= 20, "Established[11-20]", AK1350 &lt;= 30, "Veteran[21-30]", AK1350 &lt;= 40, "Late Career[31-40]")</f>
        <v>Established[11-20]</v>
      </c>
      <c r="AM1350" s="1">
        <v>7</v>
      </c>
      <c r="AN1350" s="9" t="str" cm="1">
        <f t="array" ref="AN1350">_xlfn.IFS(AM1350 &lt;= 3, "New to Role[1-3]", AM1350 &lt;= 7, "Settled[4-7]", AM1350 &lt;= 12, "Experienced[[8-12]", AM1350 &lt;= 18, "Long Tenured[13-18]")</f>
        <v>Settled[4-7]</v>
      </c>
      <c r="AO1350" s="1">
        <v>11</v>
      </c>
      <c r="AP1350" s="9" t="str" cm="1">
        <f t="array" ref="AP1350">_xlfn.IFS(AO1350 &lt;= 3, "Recently[1-3]", AO1350 &lt;= 6, "Due Soon[4-6]", AO1350 &lt;= 10, "Overdue[7-10]", AO1350 &lt;= 15, "Long Overdue[11-15]")</f>
        <v>Long Overdue[11-15]</v>
      </c>
      <c r="AQ1350" s="9" t="str" cm="1">
        <f t="array" ref="AQ1350">_xlfn.IFS(AR1350 &lt;= 3, "New Relationship[1-3]", AR1350 &lt;= 7, "Established Relationship[4-7]", AR1350 &lt;= 12, "Long Term Relationship[8-12]", AR1350 &lt;= 17, "Very Long Term Relationship[13-17]")</f>
        <v>Very Long Term Relationship[13-17]</v>
      </c>
      <c r="AR1350" s="1">
        <v>16</v>
      </c>
    </row>
    <row r="1351" spans="1:44" x14ac:dyDescent="0.25">
      <c r="A1351" s="1">
        <v>26</v>
      </c>
      <c r="B1351" s="8" t="str" cm="1">
        <f t="array" ref="B1351">_xlfn.IFS(A1351 &lt;= 25, "[18-25]", A1351 &lt;= 35, "[26-35]", A1351 &lt;=45, "[36-45]", A1351 &lt;= 60, "[46- 60]")</f>
        <v>[26-35]</v>
      </c>
      <c r="C1351" s="3" t="s">
        <v>43</v>
      </c>
      <c r="D1351">
        <f t="shared" si="21"/>
        <v>0</v>
      </c>
      <c r="E1351" t="s">
        <v>36</v>
      </c>
      <c r="F1351" s="1">
        <v>482</v>
      </c>
      <c r="G1351" s="3" t="s">
        <v>45</v>
      </c>
      <c r="H1351" s="1">
        <v>1</v>
      </c>
      <c r="I1351" s="9" t="str" cm="1">
        <f t="array" ref="I1351">_xlfn.IFS(H1351 &lt;= 2, "[1-2] very close", H1351 &lt;= 10, "[3-10] close", H1351 &lt;= 20, "[11-20] moderate", H1351 &lt;= 30, "[21-30] far")</f>
        <v>[1-2] very close</v>
      </c>
      <c r="J1351" s="1">
        <v>2</v>
      </c>
      <c r="K1351" s="3" t="s">
        <v>38</v>
      </c>
      <c r="L1351" s="1">
        <v>1</v>
      </c>
      <c r="M1351" s="1">
        <v>1893</v>
      </c>
      <c r="N1351" s="1">
        <v>2</v>
      </c>
      <c r="O1351" s="3" t="s">
        <v>39</v>
      </c>
      <c r="P1351" s="1">
        <v>90</v>
      </c>
      <c r="Q1351" s="1">
        <v>2</v>
      </c>
      <c r="R1351" s="1">
        <v>1</v>
      </c>
      <c r="S1351" s="3" t="s">
        <v>47</v>
      </c>
      <c r="T1351" s="1">
        <v>3</v>
      </c>
      <c r="U1351" s="3" t="s">
        <v>48</v>
      </c>
      <c r="V1351" s="4">
        <v>2933</v>
      </c>
      <c r="W1351" s="1">
        <v>14908</v>
      </c>
      <c r="X1351" s="1">
        <v>1</v>
      </c>
      <c r="Y1351" s="3" t="s">
        <v>42</v>
      </c>
      <c r="Z1351" s="3" t="s">
        <v>35</v>
      </c>
      <c r="AA1351" s="5">
        <v>0.13</v>
      </c>
      <c r="AB1351" s="10" t="str" cm="1">
        <f t="array" ref="AB1351">_xlfn.IFS(AA1351 &lt;= 15%, "Low Hike[11-15%]", AA1351 &lt;= 20%, "Moderate Hike[16-20%]", AA1351 &lt;= 25%,"High Hike[21-25%]")</f>
        <v>Low Hike[11-15%]</v>
      </c>
      <c r="AC1351" s="1">
        <v>3</v>
      </c>
      <c r="AD1351" s="1">
        <v>3</v>
      </c>
      <c r="AE1351" s="1">
        <v>80</v>
      </c>
      <c r="AF1351" s="1">
        <v>1</v>
      </c>
      <c r="AG1351" s="1">
        <v>1</v>
      </c>
      <c r="AH1351" s="9" t="str" cm="1">
        <f t="array" ref="AH1351">_xlfn.IFS(AG1351 &lt;= 5, "New[1-5]", AG1351 &lt;= 10, "Early Career[6-10]", AG1351 &lt;= 20, "Established[11-20]", AG1351 &lt;= 30, "Veteran[21-30]", AG1351 &lt;= 40, "Late Career[31-40]")</f>
        <v>New[1-5]</v>
      </c>
      <c r="AI1351" s="1">
        <v>3</v>
      </c>
      <c r="AJ1351" s="1">
        <v>2</v>
      </c>
      <c r="AK1351" s="1">
        <v>1</v>
      </c>
      <c r="AL1351" s="9" t="str" cm="1">
        <f t="array" ref="AL1351">_xlfn.IFS(AK1351 &lt;= 5, "New[1-5]", AK1351 &lt;= 10, "Early Career[6-10]", AK1351 &lt;= 20, "Established[11-20]", AK1351 &lt;= 30, "Veteran[21-30]", AK1351 &lt;= 40, "Late Career[31-40]")</f>
        <v>New[1-5]</v>
      </c>
      <c r="AM1351" s="1">
        <v>0</v>
      </c>
      <c r="AN1351" s="9" t="str" cm="1">
        <f t="array" ref="AN1351">_xlfn.IFS(AM1351 &lt;= 3, "New to Role[1-3]", AM1351 &lt;= 7, "Settled[4-7]", AM1351 &lt;= 12, "Experienced[[8-12]", AM1351 &lt;= 18, "Long Tenured[13-18]")</f>
        <v>New to Role[1-3]</v>
      </c>
      <c r="AO1351" s="1">
        <v>1</v>
      </c>
      <c r="AP1351" s="9" t="str" cm="1">
        <f t="array" ref="AP1351">_xlfn.IFS(AO1351 &lt;= 3, "Recently[1-3]", AO1351 &lt;= 6, "Due Soon[4-6]", AO1351 &lt;= 10, "Overdue[7-10]", AO1351 &lt;= 15, "Long Overdue[11-15]")</f>
        <v>Recently[1-3]</v>
      </c>
      <c r="AQ1351" s="9" t="str" cm="1">
        <f t="array" ref="AQ1351">_xlfn.IFS(AR1351 &lt;= 3, "New Relationship[1-3]", AR1351 &lt;= 7, "Established Relationship[4-7]", AR1351 &lt;= 12, "Long Term Relationship[8-12]", AR1351 &lt;= 17, "Very Long Term Relationship[13-17]")</f>
        <v>New Relationship[1-3]</v>
      </c>
      <c r="AR1351" s="1">
        <v>0</v>
      </c>
    </row>
    <row r="1352" spans="1:44" x14ac:dyDescent="0.25">
      <c r="A1352" s="1">
        <v>27</v>
      </c>
      <c r="B1352" s="8" t="str" cm="1">
        <f t="array" ref="B1352">_xlfn.IFS(A1352 &lt;= 25, "[18-25]", A1352 &lt;= 35, "[26-35]", A1352 &lt;=45, "[36-45]", A1352 &lt;= 60, "[46- 60]")</f>
        <v>[26-35]</v>
      </c>
      <c r="C1352" s="3" t="s">
        <v>43</v>
      </c>
      <c r="D1352">
        <f t="shared" si="21"/>
        <v>0</v>
      </c>
      <c r="E1352" t="s">
        <v>36</v>
      </c>
      <c r="F1352" s="1">
        <v>511</v>
      </c>
      <c r="G1352" s="3" t="s">
        <v>37</v>
      </c>
      <c r="H1352" s="1">
        <v>2</v>
      </c>
      <c r="I1352" s="9" t="str" cm="1">
        <f t="array" ref="I1352">_xlfn.IFS(H1352 &lt;= 2, "[1-2] very close", H1352 &lt;= 10, "[3-10] close", H1352 &lt;= 20, "[11-20] moderate", H1352 &lt;= 30, "[21-30] far")</f>
        <v>[1-2] very close</v>
      </c>
      <c r="J1352" s="1">
        <v>2</v>
      </c>
      <c r="K1352" s="3" t="s">
        <v>51</v>
      </c>
      <c r="L1352" s="1">
        <v>1</v>
      </c>
      <c r="M1352" s="1">
        <v>1898</v>
      </c>
      <c r="N1352" s="1">
        <v>1</v>
      </c>
      <c r="O1352" s="3" t="s">
        <v>39</v>
      </c>
      <c r="P1352" s="1">
        <v>89</v>
      </c>
      <c r="Q1352" s="1">
        <v>4</v>
      </c>
      <c r="R1352" s="1">
        <v>2</v>
      </c>
      <c r="S1352" s="3" t="s">
        <v>40</v>
      </c>
      <c r="T1352" s="1">
        <v>3</v>
      </c>
      <c r="U1352" s="3" t="s">
        <v>41</v>
      </c>
      <c r="V1352" s="4">
        <v>6500</v>
      </c>
      <c r="W1352" s="1">
        <v>26997</v>
      </c>
      <c r="X1352" s="1">
        <v>0</v>
      </c>
      <c r="Y1352" s="3" t="s">
        <v>42</v>
      </c>
      <c r="Z1352" s="3" t="s">
        <v>43</v>
      </c>
      <c r="AA1352" s="5">
        <v>0.14000000000000001</v>
      </c>
      <c r="AB1352" s="10" t="str" cm="1">
        <f t="array" ref="AB1352">_xlfn.IFS(AA1352 &lt;= 15%, "Low Hike[11-15%]", AA1352 &lt;= 20%, "Moderate Hike[16-20%]", AA1352 &lt;= 25%,"High Hike[21-25%]")</f>
        <v>Low Hike[11-15%]</v>
      </c>
      <c r="AC1352" s="1">
        <v>3</v>
      </c>
      <c r="AD1352" s="1">
        <v>2</v>
      </c>
      <c r="AE1352" s="1">
        <v>80</v>
      </c>
      <c r="AF1352" s="1">
        <v>0</v>
      </c>
      <c r="AG1352" s="1">
        <v>9</v>
      </c>
      <c r="AH1352" s="9" t="str" cm="1">
        <f t="array" ref="AH1352">_xlfn.IFS(AG1352 &lt;= 5, "New[1-5]", AG1352 &lt;= 10, "Early Career[6-10]", AG1352 &lt;= 20, "Established[11-20]", AG1352 &lt;= 30, "Veteran[21-30]", AG1352 &lt;= 40, "Late Career[31-40]")</f>
        <v>Early Career[6-10]</v>
      </c>
      <c r="AI1352" s="1">
        <v>5</v>
      </c>
      <c r="AJ1352" s="1">
        <v>2</v>
      </c>
      <c r="AK1352" s="1">
        <v>8</v>
      </c>
      <c r="AL1352" s="9" t="str" cm="1">
        <f t="array" ref="AL1352">_xlfn.IFS(AK1352 &lt;= 5, "New[1-5]", AK1352 &lt;= 10, "Early Career[6-10]", AK1352 &lt;= 20, "Established[11-20]", AK1352 &lt;= 30, "Veteran[21-30]", AK1352 &lt;= 40, "Late Career[31-40]")</f>
        <v>Early Career[6-10]</v>
      </c>
      <c r="AM1352" s="1">
        <v>7</v>
      </c>
      <c r="AN1352" s="9" t="str" cm="1">
        <f t="array" ref="AN1352">_xlfn.IFS(AM1352 &lt;= 3, "New to Role[1-3]", AM1352 &lt;= 7, "Settled[4-7]", AM1352 &lt;= 12, "Experienced[[8-12]", AM1352 &lt;= 18, "Long Tenured[13-18]")</f>
        <v>Settled[4-7]</v>
      </c>
      <c r="AO1352" s="1">
        <v>0</v>
      </c>
      <c r="AP1352" s="9" t="str" cm="1">
        <f t="array" ref="AP1352">_xlfn.IFS(AO1352 &lt;= 3, "Recently[1-3]", AO1352 &lt;= 6, "Due Soon[4-6]", AO1352 &lt;= 10, "Overdue[7-10]", AO1352 &lt;= 15, "Long Overdue[11-15]")</f>
        <v>Recently[1-3]</v>
      </c>
      <c r="AQ1352" s="9" t="str" cm="1">
        <f t="array" ref="AQ1352">_xlfn.IFS(AR1352 &lt;= 3, "New Relationship[1-3]", AR1352 &lt;= 7, "Established Relationship[4-7]", AR1352 &lt;= 12, "Long Term Relationship[8-12]", AR1352 &lt;= 17, "Very Long Term Relationship[13-17]")</f>
        <v>Established Relationship[4-7]</v>
      </c>
      <c r="AR1352" s="1">
        <v>7</v>
      </c>
    </row>
    <row r="1353" spans="1:44" x14ac:dyDescent="0.25">
      <c r="A1353" s="1">
        <v>48</v>
      </c>
      <c r="B1353" s="8" t="str" cm="1">
        <f t="array" ref="B1353">_xlfn.IFS(A1353 &lt;= 25, "[18-25]", A1353 &lt;= 35, "[26-35]", A1353 &lt;=45, "[36-45]", A1353 &lt;= 60, "[46- 60]")</f>
        <v>[46- 60]</v>
      </c>
      <c r="C1353" s="3" t="s">
        <v>43</v>
      </c>
      <c r="D1353">
        <f t="shared" si="21"/>
        <v>0</v>
      </c>
      <c r="E1353" t="s">
        <v>44</v>
      </c>
      <c r="F1353" s="1">
        <v>117</v>
      </c>
      <c r="G1353" s="3" t="s">
        <v>45</v>
      </c>
      <c r="H1353" s="1">
        <v>22</v>
      </c>
      <c r="I1353" s="9" t="str" cm="1">
        <f t="array" ref="I1353">_xlfn.IFS(H1353 &lt;= 2, "[1-2] very close", H1353 &lt;= 10, "[3-10] close", H1353 &lt;= 20, "[11-20] moderate", H1353 &lt;= 30, "[21-30] far")</f>
        <v>[21-30] far</v>
      </c>
      <c r="J1353" s="1">
        <v>3</v>
      </c>
      <c r="K1353" s="3" t="s">
        <v>51</v>
      </c>
      <c r="L1353" s="1">
        <v>1</v>
      </c>
      <c r="M1353" s="1">
        <v>1900</v>
      </c>
      <c r="N1353" s="1">
        <v>4</v>
      </c>
      <c r="O1353" s="3" t="s">
        <v>39</v>
      </c>
      <c r="P1353" s="1">
        <v>58</v>
      </c>
      <c r="Q1353" s="1">
        <v>3</v>
      </c>
      <c r="R1353" s="1">
        <v>4</v>
      </c>
      <c r="S1353" s="3" t="s">
        <v>56</v>
      </c>
      <c r="T1353" s="1">
        <v>4</v>
      </c>
      <c r="U1353" s="3" t="s">
        <v>52</v>
      </c>
      <c r="V1353" s="4">
        <v>17174</v>
      </c>
      <c r="W1353" s="1">
        <v>2437</v>
      </c>
      <c r="X1353" s="1">
        <v>3</v>
      </c>
      <c r="Y1353" s="3" t="s">
        <v>42</v>
      </c>
      <c r="Z1353" s="3" t="s">
        <v>43</v>
      </c>
      <c r="AA1353" s="5">
        <v>0.11</v>
      </c>
      <c r="AB1353" s="10" t="str" cm="1">
        <f t="array" ref="AB1353">_xlfn.IFS(AA1353 &lt;= 15%, "Low Hike[11-15%]", AA1353 &lt;= 20%, "Moderate Hike[16-20%]", AA1353 &lt;= 25%,"High Hike[21-25%]")</f>
        <v>Low Hike[11-15%]</v>
      </c>
      <c r="AC1353" s="1">
        <v>3</v>
      </c>
      <c r="AD1353" s="1">
        <v>2</v>
      </c>
      <c r="AE1353" s="1">
        <v>80</v>
      </c>
      <c r="AF1353" s="1">
        <v>1</v>
      </c>
      <c r="AG1353" s="1">
        <v>24</v>
      </c>
      <c r="AH1353" s="9" t="str" cm="1">
        <f t="array" ref="AH1353">_xlfn.IFS(AG1353 &lt;= 5, "New[1-5]", AG1353 &lt;= 10, "Early Career[6-10]", AG1353 &lt;= 20, "Established[11-20]", AG1353 &lt;= 30, "Veteran[21-30]", AG1353 &lt;= 40, "Late Career[31-40]")</f>
        <v>Veteran[21-30]</v>
      </c>
      <c r="AI1353" s="1">
        <v>3</v>
      </c>
      <c r="AJ1353" s="1">
        <v>3</v>
      </c>
      <c r="AK1353" s="1">
        <v>22</v>
      </c>
      <c r="AL1353" s="9" t="str" cm="1">
        <f t="array" ref="AL1353">_xlfn.IFS(AK1353 &lt;= 5, "New[1-5]", AK1353 &lt;= 10, "Early Career[6-10]", AK1353 &lt;= 20, "Established[11-20]", AK1353 &lt;= 30, "Veteran[21-30]", AK1353 &lt;= 40, "Late Career[31-40]")</f>
        <v>Veteran[21-30]</v>
      </c>
      <c r="AM1353" s="1">
        <v>17</v>
      </c>
      <c r="AN1353" s="9" t="str" cm="1">
        <f t="array" ref="AN1353">_xlfn.IFS(AM1353 &lt;= 3, "New to Role[1-3]", AM1353 &lt;= 7, "Settled[4-7]", AM1353 &lt;= 12, "Experienced[[8-12]", AM1353 &lt;= 18, "Long Tenured[13-18]")</f>
        <v>Long Tenured[13-18]</v>
      </c>
      <c r="AO1353" s="1">
        <v>4</v>
      </c>
      <c r="AP1353" s="9" t="str" cm="1">
        <f t="array" ref="AP1353">_xlfn.IFS(AO1353 &lt;= 3, "Recently[1-3]", AO1353 &lt;= 6, "Due Soon[4-6]", AO1353 &lt;= 10, "Overdue[7-10]", AO1353 &lt;= 15, "Long Overdue[11-15]")</f>
        <v>Due Soon[4-6]</v>
      </c>
      <c r="AQ1353" s="9" t="str" cm="1">
        <f t="array" ref="AQ1353">_xlfn.IFS(AR1353 &lt;= 3, "New Relationship[1-3]", AR1353 &lt;= 7, "Established Relationship[4-7]", AR1353 &lt;= 12, "Long Term Relationship[8-12]", AR1353 &lt;= 17, "Very Long Term Relationship[13-17]")</f>
        <v>Established Relationship[4-7]</v>
      </c>
      <c r="AR1353" s="1">
        <v>7</v>
      </c>
    </row>
    <row r="1354" spans="1:44" x14ac:dyDescent="0.25">
      <c r="A1354" s="1">
        <v>44</v>
      </c>
      <c r="B1354" s="8" t="str" cm="1">
        <f t="array" ref="B1354">_xlfn.IFS(A1354 &lt;= 25, "[18-25]", A1354 &lt;= 35, "[26-35]", A1354 &lt;=45, "[36-45]", A1354 &lt;= 60, "[46- 60]")</f>
        <v>[36-45]</v>
      </c>
      <c r="C1354" s="3" t="s">
        <v>43</v>
      </c>
      <c r="D1354">
        <f t="shared" si="21"/>
        <v>0</v>
      </c>
      <c r="E1354" t="s">
        <v>36</v>
      </c>
      <c r="F1354" s="1">
        <v>170</v>
      </c>
      <c r="G1354" s="3" t="s">
        <v>45</v>
      </c>
      <c r="H1354" s="1">
        <v>1</v>
      </c>
      <c r="I1354" s="9" t="str" cm="1">
        <f t="array" ref="I1354">_xlfn.IFS(H1354 &lt;= 2, "[1-2] very close", H1354 &lt;= 10, "[3-10] close", H1354 &lt;= 20, "[11-20] moderate", H1354 &lt;= 30, "[21-30] far")</f>
        <v>[1-2] very close</v>
      </c>
      <c r="J1354" s="1">
        <v>4</v>
      </c>
      <c r="K1354" s="3" t="s">
        <v>38</v>
      </c>
      <c r="L1354" s="1">
        <v>1</v>
      </c>
      <c r="M1354" s="1">
        <v>1903</v>
      </c>
      <c r="N1354" s="1">
        <v>2</v>
      </c>
      <c r="O1354" s="3" t="s">
        <v>46</v>
      </c>
      <c r="P1354" s="1">
        <v>78</v>
      </c>
      <c r="Q1354" s="1">
        <v>4</v>
      </c>
      <c r="R1354" s="1">
        <v>2</v>
      </c>
      <c r="S1354" s="3" t="s">
        <v>54</v>
      </c>
      <c r="T1354" s="1">
        <v>1</v>
      </c>
      <c r="U1354" s="3" t="s">
        <v>48</v>
      </c>
      <c r="V1354" s="4">
        <v>5033</v>
      </c>
      <c r="W1354" s="1">
        <v>9364</v>
      </c>
      <c r="X1354" s="1">
        <v>2</v>
      </c>
      <c r="Y1354" s="3" t="s">
        <v>42</v>
      </c>
      <c r="Z1354" s="3" t="s">
        <v>43</v>
      </c>
      <c r="AA1354" s="5">
        <v>0.15</v>
      </c>
      <c r="AB1354" s="10" t="str" cm="1">
        <f t="array" ref="AB1354">_xlfn.IFS(AA1354 &lt;= 15%, "Low Hike[11-15%]", AA1354 &lt;= 20%, "Moderate Hike[16-20%]", AA1354 &lt;= 25%,"High Hike[21-25%]")</f>
        <v>Low Hike[11-15%]</v>
      </c>
      <c r="AC1354" s="1">
        <v>3</v>
      </c>
      <c r="AD1354" s="1">
        <v>4</v>
      </c>
      <c r="AE1354" s="1">
        <v>80</v>
      </c>
      <c r="AF1354" s="1">
        <v>1</v>
      </c>
      <c r="AG1354" s="1">
        <v>10</v>
      </c>
      <c r="AH1354" s="9" t="str" cm="1">
        <f t="array" ref="AH1354">_xlfn.IFS(AG1354 &lt;= 5, "New[1-5]", AG1354 &lt;= 10, "Early Career[6-10]", AG1354 &lt;= 20, "Established[11-20]", AG1354 &lt;= 30, "Veteran[21-30]", AG1354 &lt;= 40, "Late Career[31-40]")</f>
        <v>Early Career[6-10]</v>
      </c>
      <c r="AI1354" s="1">
        <v>5</v>
      </c>
      <c r="AJ1354" s="1">
        <v>3</v>
      </c>
      <c r="AK1354" s="1">
        <v>2</v>
      </c>
      <c r="AL1354" s="9" t="str" cm="1">
        <f t="array" ref="AL1354">_xlfn.IFS(AK1354 &lt;= 5, "New[1-5]", AK1354 &lt;= 10, "Early Career[6-10]", AK1354 &lt;= 20, "Established[11-20]", AK1354 &lt;= 30, "Veteran[21-30]", AK1354 &lt;= 40, "Late Career[31-40]")</f>
        <v>New[1-5]</v>
      </c>
      <c r="AM1354" s="1">
        <v>0</v>
      </c>
      <c r="AN1354" s="9" t="str" cm="1">
        <f t="array" ref="AN1354">_xlfn.IFS(AM1354 &lt;= 3, "New to Role[1-3]", AM1354 &lt;= 7, "Settled[4-7]", AM1354 &lt;= 12, "Experienced[[8-12]", AM1354 &lt;= 18, "Long Tenured[13-18]")</f>
        <v>New to Role[1-3]</v>
      </c>
      <c r="AO1354" s="1">
        <v>2</v>
      </c>
      <c r="AP1354" s="9" t="str" cm="1">
        <f t="array" ref="AP1354">_xlfn.IFS(AO1354 &lt;= 3, "Recently[1-3]", AO1354 &lt;= 6, "Due Soon[4-6]", AO1354 &lt;= 10, "Overdue[7-10]", AO1354 &lt;= 15, "Long Overdue[11-15]")</f>
        <v>Recently[1-3]</v>
      </c>
      <c r="AQ1354" s="9" t="str" cm="1">
        <f t="array" ref="AQ1354">_xlfn.IFS(AR1354 &lt;= 3, "New Relationship[1-3]", AR1354 &lt;= 7, "Established Relationship[4-7]", AR1354 &lt;= 12, "Long Term Relationship[8-12]", AR1354 &lt;= 17, "Very Long Term Relationship[13-17]")</f>
        <v>New Relationship[1-3]</v>
      </c>
      <c r="AR1354" s="1">
        <v>2</v>
      </c>
    </row>
    <row r="1355" spans="1:44" x14ac:dyDescent="0.25">
      <c r="A1355" s="1">
        <v>34</v>
      </c>
      <c r="B1355" s="8" t="str" cm="1">
        <f t="array" ref="B1355">_xlfn.IFS(A1355 &lt;= 25, "[18-25]", A1355 &lt;= 35, "[26-35]", A1355 &lt;=45, "[36-45]", A1355 &lt;= 60, "[46- 60]")</f>
        <v>[26-35]</v>
      </c>
      <c r="C1355" s="3" t="s">
        <v>35</v>
      </c>
      <c r="D1355">
        <f t="shared" si="21"/>
        <v>1</v>
      </c>
      <c r="E1355" t="s">
        <v>62</v>
      </c>
      <c r="F1355" s="1">
        <v>967</v>
      </c>
      <c r="G1355" s="3" t="s">
        <v>45</v>
      </c>
      <c r="H1355" s="1">
        <v>16</v>
      </c>
      <c r="I1355" s="9" t="str" cm="1">
        <f t="array" ref="I1355">_xlfn.IFS(H1355 &lt;= 2, "[1-2] very close", H1355 &lt;= 10, "[3-10] close", H1355 &lt;= 20, "[11-20] moderate", H1355 &lt;= 30, "[21-30] far")</f>
        <v>[11-20] moderate</v>
      </c>
      <c r="J1355" s="1">
        <v>4</v>
      </c>
      <c r="K1355" s="3" t="s">
        <v>60</v>
      </c>
      <c r="L1355" s="1">
        <v>1</v>
      </c>
      <c r="M1355" s="1">
        <v>1905</v>
      </c>
      <c r="N1355" s="1">
        <v>4</v>
      </c>
      <c r="O1355" s="3" t="s">
        <v>46</v>
      </c>
      <c r="P1355" s="1">
        <v>85</v>
      </c>
      <c r="Q1355" s="1">
        <v>1</v>
      </c>
      <c r="R1355" s="1">
        <v>1</v>
      </c>
      <c r="S1355" s="3" t="s">
        <v>47</v>
      </c>
      <c r="T1355" s="1">
        <v>1</v>
      </c>
      <c r="U1355" s="3" t="s">
        <v>48</v>
      </c>
      <c r="V1355" s="4">
        <v>2307</v>
      </c>
      <c r="W1355" s="1">
        <v>14460</v>
      </c>
      <c r="X1355" s="1">
        <v>1</v>
      </c>
      <c r="Y1355" s="3" t="s">
        <v>42</v>
      </c>
      <c r="Z1355" s="3" t="s">
        <v>35</v>
      </c>
      <c r="AA1355" s="5">
        <v>0.23</v>
      </c>
      <c r="AB1355" s="10" t="str" cm="1">
        <f t="array" ref="AB1355">_xlfn.IFS(AA1355 &lt;= 15%, "Low Hike[11-15%]", AA1355 &lt;= 20%, "Moderate Hike[16-20%]", AA1355 &lt;= 25%,"High Hike[21-25%]")</f>
        <v>High Hike[21-25%]</v>
      </c>
      <c r="AC1355" s="1">
        <v>4</v>
      </c>
      <c r="AD1355" s="1">
        <v>2</v>
      </c>
      <c r="AE1355" s="1">
        <v>80</v>
      </c>
      <c r="AF1355" s="1">
        <v>1</v>
      </c>
      <c r="AG1355" s="1">
        <v>5</v>
      </c>
      <c r="AH1355" s="9" t="str" cm="1">
        <f t="array" ref="AH1355">_xlfn.IFS(AG1355 &lt;= 5, "New[1-5]", AG1355 &lt;= 10, "Early Career[6-10]", AG1355 &lt;= 20, "Established[11-20]", AG1355 &lt;= 30, "Veteran[21-30]", AG1355 &lt;= 40, "Late Career[31-40]")</f>
        <v>New[1-5]</v>
      </c>
      <c r="AI1355" s="1">
        <v>2</v>
      </c>
      <c r="AJ1355" s="1">
        <v>3</v>
      </c>
      <c r="AK1355" s="1">
        <v>5</v>
      </c>
      <c r="AL1355" s="9" t="str" cm="1">
        <f t="array" ref="AL1355">_xlfn.IFS(AK1355 &lt;= 5, "New[1-5]", AK1355 &lt;= 10, "Early Career[6-10]", AK1355 &lt;= 20, "Established[11-20]", AK1355 &lt;= 30, "Veteran[21-30]", AK1355 &lt;= 40, "Late Career[31-40]")</f>
        <v>New[1-5]</v>
      </c>
      <c r="AM1355" s="1">
        <v>2</v>
      </c>
      <c r="AN1355" s="9" t="str" cm="1">
        <f t="array" ref="AN1355">_xlfn.IFS(AM1355 &lt;= 3, "New to Role[1-3]", AM1355 &lt;= 7, "Settled[4-7]", AM1355 &lt;= 12, "Experienced[[8-12]", AM1355 &lt;= 18, "Long Tenured[13-18]")</f>
        <v>New to Role[1-3]</v>
      </c>
      <c r="AO1355" s="1">
        <v>3</v>
      </c>
      <c r="AP1355" s="9" t="str" cm="1">
        <f t="array" ref="AP1355">_xlfn.IFS(AO1355 &lt;= 3, "Recently[1-3]", AO1355 &lt;= 6, "Due Soon[4-6]", AO1355 &lt;= 10, "Overdue[7-10]", AO1355 &lt;= 15, "Long Overdue[11-15]")</f>
        <v>Recently[1-3]</v>
      </c>
      <c r="AQ1355" s="9" t="str" cm="1">
        <f t="array" ref="AQ1355">_xlfn.IFS(AR1355 &lt;= 3, "New Relationship[1-3]", AR1355 &lt;= 7, "Established Relationship[4-7]", AR1355 &lt;= 12, "Long Term Relationship[8-12]", AR1355 &lt;= 17, "Very Long Term Relationship[13-17]")</f>
        <v>New Relationship[1-3]</v>
      </c>
      <c r="AR1355" s="1">
        <v>0</v>
      </c>
    </row>
    <row r="1356" spans="1:44" x14ac:dyDescent="0.25">
      <c r="A1356" s="1">
        <v>56</v>
      </c>
      <c r="B1356" s="8" t="str" cm="1">
        <f t="array" ref="B1356">_xlfn.IFS(A1356 &lt;= 25, "[18-25]", A1356 &lt;= 35, "[26-35]", A1356 &lt;=45, "[36-45]", A1356 &lt;= 60, "[46- 60]")</f>
        <v>[46- 60]</v>
      </c>
      <c r="C1356" s="3" t="s">
        <v>35</v>
      </c>
      <c r="D1356">
        <f t="shared" si="21"/>
        <v>1</v>
      </c>
      <c r="E1356" t="s">
        <v>36</v>
      </c>
      <c r="F1356" s="1">
        <v>1162</v>
      </c>
      <c r="G1356" s="3" t="s">
        <v>45</v>
      </c>
      <c r="H1356" s="1">
        <v>24</v>
      </c>
      <c r="I1356" s="9" t="str" cm="1">
        <f t="array" ref="I1356">_xlfn.IFS(H1356 &lt;= 2, "[1-2] very close", H1356 &lt;= 10, "[3-10] close", H1356 &lt;= 20, "[11-20] moderate", H1356 &lt;= 30, "[21-30] far")</f>
        <v>[21-30] far</v>
      </c>
      <c r="J1356" s="1">
        <v>2</v>
      </c>
      <c r="K1356" s="3" t="s">
        <v>38</v>
      </c>
      <c r="L1356" s="1">
        <v>1</v>
      </c>
      <c r="M1356" s="1">
        <v>1907</v>
      </c>
      <c r="N1356" s="1">
        <v>1</v>
      </c>
      <c r="O1356" s="3" t="s">
        <v>46</v>
      </c>
      <c r="P1356" s="1">
        <v>97</v>
      </c>
      <c r="Q1356" s="1">
        <v>3</v>
      </c>
      <c r="R1356" s="1">
        <v>1</v>
      </c>
      <c r="S1356" s="3" t="s">
        <v>50</v>
      </c>
      <c r="T1356" s="1">
        <v>4</v>
      </c>
      <c r="U1356" s="3" t="s">
        <v>41</v>
      </c>
      <c r="V1356" s="4">
        <v>2587</v>
      </c>
      <c r="W1356" s="1">
        <v>10261</v>
      </c>
      <c r="X1356" s="1">
        <v>1</v>
      </c>
      <c r="Y1356" s="3" t="s">
        <v>42</v>
      </c>
      <c r="Z1356" s="3" t="s">
        <v>43</v>
      </c>
      <c r="AA1356" s="5">
        <v>0.16</v>
      </c>
      <c r="AB1356" s="10" t="str" cm="1">
        <f t="array" ref="AB1356">_xlfn.IFS(AA1356 &lt;= 15%, "Low Hike[11-15%]", AA1356 &lt;= 20%, "Moderate Hike[16-20%]", AA1356 &lt;= 25%,"High Hike[21-25%]")</f>
        <v>Moderate Hike[16-20%]</v>
      </c>
      <c r="AC1356" s="1">
        <v>3</v>
      </c>
      <c r="AD1356" s="1">
        <v>4</v>
      </c>
      <c r="AE1356" s="1">
        <v>80</v>
      </c>
      <c r="AF1356" s="1">
        <v>0</v>
      </c>
      <c r="AG1356" s="1">
        <v>5</v>
      </c>
      <c r="AH1356" s="9" t="str" cm="1">
        <f t="array" ref="AH1356">_xlfn.IFS(AG1356 &lt;= 5, "New[1-5]", AG1356 &lt;= 10, "Early Career[6-10]", AG1356 &lt;= 20, "Established[11-20]", AG1356 &lt;= 30, "Veteran[21-30]", AG1356 &lt;= 40, "Late Career[31-40]")</f>
        <v>New[1-5]</v>
      </c>
      <c r="AI1356" s="1">
        <v>3</v>
      </c>
      <c r="AJ1356" s="1">
        <v>3</v>
      </c>
      <c r="AK1356" s="1">
        <v>4</v>
      </c>
      <c r="AL1356" s="9" t="str" cm="1">
        <f t="array" ref="AL1356">_xlfn.IFS(AK1356 &lt;= 5, "New[1-5]", AK1356 &lt;= 10, "Early Career[6-10]", AK1356 &lt;= 20, "Established[11-20]", AK1356 &lt;= 30, "Veteran[21-30]", AK1356 &lt;= 40, "Late Career[31-40]")</f>
        <v>New[1-5]</v>
      </c>
      <c r="AM1356" s="1">
        <v>2</v>
      </c>
      <c r="AN1356" s="9" t="str" cm="1">
        <f t="array" ref="AN1356">_xlfn.IFS(AM1356 &lt;= 3, "New to Role[1-3]", AM1356 &lt;= 7, "Settled[4-7]", AM1356 &lt;= 12, "Experienced[[8-12]", AM1356 &lt;= 18, "Long Tenured[13-18]")</f>
        <v>New to Role[1-3]</v>
      </c>
      <c r="AO1356" s="1">
        <v>1</v>
      </c>
      <c r="AP1356" s="9" t="str" cm="1">
        <f t="array" ref="AP1356">_xlfn.IFS(AO1356 &lt;= 3, "Recently[1-3]", AO1356 &lt;= 6, "Due Soon[4-6]", AO1356 &lt;= 10, "Overdue[7-10]", AO1356 &lt;= 15, "Long Overdue[11-15]")</f>
        <v>Recently[1-3]</v>
      </c>
      <c r="AQ1356" s="9" t="str" cm="1">
        <f t="array" ref="AQ1356">_xlfn.IFS(AR1356 &lt;= 3, "New Relationship[1-3]", AR1356 &lt;= 7, "Established Relationship[4-7]", AR1356 &lt;= 12, "Long Term Relationship[8-12]", AR1356 &lt;= 17, "Very Long Term Relationship[13-17]")</f>
        <v>New Relationship[1-3]</v>
      </c>
      <c r="AR1356" s="1">
        <v>0</v>
      </c>
    </row>
    <row r="1357" spans="1:44" x14ac:dyDescent="0.25">
      <c r="A1357" s="1">
        <v>36</v>
      </c>
      <c r="B1357" s="8" t="str" cm="1">
        <f t="array" ref="B1357">_xlfn.IFS(A1357 &lt;= 25, "[18-25]", A1357 &lt;= 35, "[26-35]", A1357 &lt;=45, "[36-45]", A1357 &lt;= 60, "[46- 60]")</f>
        <v>[36-45]</v>
      </c>
      <c r="C1357" s="3" t="s">
        <v>43</v>
      </c>
      <c r="D1357">
        <f t="shared" si="21"/>
        <v>0</v>
      </c>
      <c r="E1357" t="s">
        <v>36</v>
      </c>
      <c r="F1357" s="1">
        <v>335</v>
      </c>
      <c r="G1357" s="3" t="s">
        <v>37</v>
      </c>
      <c r="H1357" s="1">
        <v>17</v>
      </c>
      <c r="I1357" s="9" t="str" cm="1">
        <f t="array" ref="I1357">_xlfn.IFS(H1357 &lt;= 2, "[1-2] very close", H1357 &lt;= 10, "[3-10] close", H1357 &lt;= 20, "[11-20] moderate", H1357 &lt;= 30, "[21-30] far")</f>
        <v>[11-20] moderate</v>
      </c>
      <c r="J1357" s="1">
        <v>2</v>
      </c>
      <c r="K1357" s="3" t="s">
        <v>59</v>
      </c>
      <c r="L1357" s="1">
        <v>1</v>
      </c>
      <c r="M1357" s="1">
        <v>1908</v>
      </c>
      <c r="N1357" s="1">
        <v>3</v>
      </c>
      <c r="O1357" s="3" t="s">
        <v>46</v>
      </c>
      <c r="P1357" s="1">
        <v>33</v>
      </c>
      <c r="Q1357" s="1">
        <v>2</v>
      </c>
      <c r="R1357" s="1">
        <v>2</v>
      </c>
      <c r="S1357" s="3" t="s">
        <v>40</v>
      </c>
      <c r="T1357" s="1">
        <v>2</v>
      </c>
      <c r="U1357" s="3" t="s">
        <v>48</v>
      </c>
      <c r="V1357" s="4">
        <v>5507</v>
      </c>
      <c r="W1357" s="1">
        <v>16822</v>
      </c>
      <c r="X1357" s="1">
        <v>2</v>
      </c>
      <c r="Y1357" s="3" t="s">
        <v>42</v>
      </c>
      <c r="Z1357" s="3" t="s">
        <v>43</v>
      </c>
      <c r="AA1357" s="5">
        <v>0.16</v>
      </c>
      <c r="AB1357" s="10" t="str" cm="1">
        <f t="array" ref="AB1357">_xlfn.IFS(AA1357 &lt;= 15%, "Low Hike[11-15%]", AA1357 &lt;= 20%, "Moderate Hike[16-20%]", AA1357 &lt;= 25%,"High Hike[21-25%]")</f>
        <v>Moderate Hike[16-20%]</v>
      </c>
      <c r="AC1357" s="1">
        <v>3</v>
      </c>
      <c r="AD1357" s="1">
        <v>3</v>
      </c>
      <c r="AE1357" s="1">
        <v>80</v>
      </c>
      <c r="AF1357" s="1">
        <v>2</v>
      </c>
      <c r="AG1357" s="1">
        <v>12</v>
      </c>
      <c r="AH1357" s="9" t="str" cm="1">
        <f t="array" ref="AH1357">_xlfn.IFS(AG1357 &lt;= 5, "New[1-5]", AG1357 &lt;= 10, "Early Career[6-10]", AG1357 &lt;= 20, "Established[11-20]", AG1357 &lt;= 30, "Veteran[21-30]", AG1357 &lt;= 40, "Late Career[31-40]")</f>
        <v>Established[11-20]</v>
      </c>
      <c r="AI1357" s="1">
        <v>1</v>
      </c>
      <c r="AJ1357" s="1">
        <v>1</v>
      </c>
      <c r="AK1357" s="1">
        <v>4</v>
      </c>
      <c r="AL1357" s="9" t="str" cm="1">
        <f t="array" ref="AL1357">_xlfn.IFS(AK1357 &lt;= 5, "New[1-5]", AK1357 &lt;= 10, "Early Career[6-10]", AK1357 &lt;= 20, "Established[11-20]", AK1357 &lt;= 30, "Veteran[21-30]", AK1357 &lt;= 40, "Late Career[31-40]")</f>
        <v>New[1-5]</v>
      </c>
      <c r="AM1357" s="1">
        <v>2</v>
      </c>
      <c r="AN1357" s="9" t="str" cm="1">
        <f t="array" ref="AN1357">_xlfn.IFS(AM1357 &lt;= 3, "New to Role[1-3]", AM1357 &lt;= 7, "Settled[4-7]", AM1357 &lt;= 12, "Experienced[[8-12]", AM1357 &lt;= 18, "Long Tenured[13-18]")</f>
        <v>New to Role[1-3]</v>
      </c>
      <c r="AO1357" s="1">
        <v>1</v>
      </c>
      <c r="AP1357" s="9" t="str" cm="1">
        <f t="array" ref="AP1357">_xlfn.IFS(AO1357 &lt;= 3, "Recently[1-3]", AO1357 &lt;= 6, "Due Soon[4-6]", AO1357 &lt;= 10, "Overdue[7-10]", AO1357 &lt;= 15, "Long Overdue[11-15]")</f>
        <v>Recently[1-3]</v>
      </c>
      <c r="AQ1357" s="9" t="str" cm="1">
        <f t="array" ref="AQ1357">_xlfn.IFS(AR1357 &lt;= 3, "New Relationship[1-3]", AR1357 &lt;= 7, "Established Relationship[4-7]", AR1357 &lt;= 12, "Long Term Relationship[8-12]", AR1357 &lt;= 17, "Very Long Term Relationship[13-17]")</f>
        <v>New Relationship[1-3]</v>
      </c>
      <c r="AR1357" s="1">
        <v>3</v>
      </c>
    </row>
    <row r="1358" spans="1:44" x14ac:dyDescent="0.25">
      <c r="A1358" s="1">
        <v>41</v>
      </c>
      <c r="B1358" s="8" t="str" cm="1">
        <f t="array" ref="B1358">_xlfn.IFS(A1358 &lt;= 25, "[18-25]", A1358 &lt;= 35, "[26-35]", A1358 &lt;=45, "[36-45]", A1358 &lt;= 60, "[46- 60]")</f>
        <v>[36-45]</v>
      </c>
      <c r="C1358" s="3" t="s">
        <v>43</v>
      </c>
      <c r="D1358">
        <f t="shared" si="21"/>
        <v>0</v>
      </c>
      <c r="E1358" t="s">
        <v>36</v>
      </c>
      <c r="F1358" s="1">
        <v>337</v>
      </c>
      <c r="G1358" s="3" t="s">
        <v>37</v>
      </c>
      <c r="H1358" s="1">
        <v>8</v>
      </c>
      <c r="I1358" s="9" t="str" cm="1">
        <f t="array" ref="I1358">_xlfn.IFS(H1358 &lt;= 2, "[1-2] very close", H1358 &lt;= 10, "[3-10] close", H1358 &lt;= 20, "[11-20] moderate", H1358 &lt;= 30, "[21-30] far")</f>
        <v>[3-10] close</v>
      </c>
      <c r="J1358" s="1">
        <v>3</v>
      </c>
      <c r="K1358" s="3" t="s">
        <v>59</v>
      </c>
      <c r="L1358" s="1">
        <v>1</v>
      </c>
      <c r="M1358" s="1">
        <v>1909</v>
      </c>
      <c r="N1358" s="1">
        <v>3</v>
      </c>
      <c r="O1358" s="3" t="s">
        <v>39</v>
      </c>
      <c r="P1358" s="1">
        <v>54</v>
      </c>
      <c r="Q1358" s="1">
        <v>3</v>
      </c>
      <c r="R1358" s="1">
        <v>2</v>
      </c>
      <c r="S1358" s="3" t="s">
        <v>40</v>
      </c>
      <c r="T1358" s="1">
        <v>2</v>
      </c>
      <c r="U1358" s="3" t="s">
        <v>48</v>
      </c>
      <c r="V1358" s="4">
        <v>4393</v>
      </c>
      <c r="W1358" s="1">
        <v>26841</v>
      </c>
      <c r="X1358" s="1">
        <v>5</v>
      </c>
      <c r="Y1358" s="3" t="s">
        <v>42</v>
      </c>
      <c r="Z1358" s="3" t="s">
        <v>43</v>
      </c>
      <c r="AA1358" s="5">
        <v>0.21</v>
      </c>
      <c r="AB1358" s="10" t="str" cm="1">
        <f t="array" ref="AB1358">_xlfn.IFS(AA1358 &lt;= 15%, "Low Hike[11-15%]", AA1358 &lt;= 20%, "Moderate Hike[16-20%]", AA1358 &lt;= 25%,"High Hike[21-25%]")</f>
        <v>High Hike[21-25%]</v>
      </c>
      <c r="AC1358" s="1">
        <v>4</v>
      </c>
      <c r="AD1358" s="1">
        <v>3</v>
      </c>
      <c r="AE1358" s="1">
        <v>80</v>
      </c>
      <c r="AF1358" s="1">
        <v>1</v>
      </c>
      <c r="AG1358" s="1">
        <v>14</v>
      </c>
      <c r="AH1358" s="9" t="str" cm="1">
        <f t="array" ref="AH1358">_xlfn.IFS(AG1358 &lt;= 5, "New[1-5]", AG1358 &lt;= 10, "Early Career[6-10]", AG1358 &lt;= 20, "Established[11-20]", AG1358 &lt;= 30, "Veteran[21-30]", AG1358 &lt;= 40, "Late Career[31-40]")</f>
        <v>Established[11-20]</v>
      </c>
      <c r="AI1358" s="1">
        <v>3</v>
      </c>
      <c r="AJ1358" s="1">
        <v>3</v>
      </c>
      <c r="AK1358" s="1">
        <v>5</v>
      </c>
      <c r="AL1358" s="9" t="str" cm="1">
        <f t="array" ref="AL1358">_xlfn.IFS(AK1358 &lt;= 5, "New[1-5]", AK1358 &lt;= 10, "Early Career[6-10]", AK1358 &lt;= 20, "Established[11-20]", AK1358 &lt;= 30, "Veteran[21-30]", AK1358 &lt;= 40, "Late Career[31-40]")</f>
        <v>New[1-5]</v>
      </c>
      <c r="AM1358" s="1">
        <v>4</v>
      </c>
      <c r="AN1358" s="9" t="str" cm="1">
        <f t="array" ref="AN1358">_xlfn.IFS(AM1358 &lt;= 3, "New to Role[1-3]", AM1358 &lt;= 7, "Settled[4-7]", AM1358 &lt;= 12, "Experienced[[8-12]", AM1358 &lt;= 18, "Long Tenured[13-18]")</f>
        <v>Settled[4-7]</v>
      </c>
      <c r="AO1358" s="1">
        <v>1</v>
      </c>
      <c r="AP1358" s="9" t="str" cm="1">
        <f t="array" ref="AP1358">_xlfn.IFS(AO1358 &lt;= 3, "Recently[1-3]", AO1358 &lt;= 6, "Due Soon[4-6]", AO1358 &lt;= 10, "Overdue[7-10]", AO1358 &lt;= 15, "Long Overdue[11-15]")</f>
        <v>Recently[1-3]</v>
      </c>
      <c r="AQ1358" s="9" t="str" cm="1">
        <f t="array" ref="AQ1358">_xlfn.IFS(AR1358 &lt;= 3, "New Relationship[1-3]", AR1358 &lt;= 7, "Established Relationship[4-7]", AR1358 &lt;= 12, "Long Term Relationship[8-12]", AR1358 &lt;= 17, "Very Long Term Relationship[13-17]")</f>
        <v>Established Relationship[4-7]</v>
      </c>
      <c r="AR1358" s="1">
        <v>4</v>
      </c>
    </row>
    <row r="1359" spans="1:44" x14ac:dyDescent="0.25">
      <c r="A1359" s="1">
        <v>42</v>
      </c>
      <c r="B1359" s="8" t="str" cm="1">
        <f t="array" ref="B1359">_xlfn.IFS(A1359 &lt;= 25, "[18-25]", A1359 &lt;= 35, "[26-35]", A1359 &lt;=45, "[36-45]", A1359 &lt;= 60, "[46- 60]")</f>
        <v>[36-45]</v>
      </c>
      <c r="C1359" s="3" t="s">
        <v>43</v>
      </c>
      <c r="D1359">
        <f t="shared" si="21"/>
        <v>0</v>
      </c>
      <c r="E1359" t="s">
        <v>36</v>
      </c>
      <c r="F1359" s="1">
        <v>1396</v>
      </c>
      <c r="G1359" s="3" t="s">
        <v>45</v>
      </c>
      <c r="H1359" s="1">
        <v>6</v>
      </c>
      <c r="I1359" s="9" t="str" cm="1">
        <f t="array" ref="I1359">_xlfn.IFS(H1359 &lt;= 2, "[1-2] very close", H1359 &lt;= 10, "[3-10] close", H1359 &lt;= 20, "[11-20] moderate", H1359 &lt;= 30, "[21-30] far")</f>
        <v>[3-10] close</v>
      </c>
      <c r="J1359" s="1">
        <v>3</v>
      </c>
      <c r="K1359" s="3" t="s">
        <v>51</v>
      </c>
      <c r="L1359" s="1">
        <v>1</v>
      </c>
      <c r="M1359" s="1">
        <v>1911</v>
      </c>
      <c r="N1359" s="1">
        <v>3</v>
      </c>
      <c r="O1359" s="3" t="s">
        <v>46</v>
      </c>
      <c r="P1359" s="1">
        <v>83</v>
      </c>
      <c r="Q1359" s="1">
        <v>3</v>
      </c>
      <c r="R1359" s="1">
        <v>3</v>
      </c>
      <c r="S1359" s="3" t="s">
        <v>58</v>
      </c>
      <c r="T1359" s="1">
        <v>1</v>
      </c>
      <c r="U1359" s="3" t="s">
        <v>48</v>
      </c>
      <c r="V1359" s="4">
        <v>13348</v>
      </c>
      <c r="W1359" s="1">
        <v>14842</v>
      </c>
      <c r="X1359" s="1">
        <v>9</v>
      </c>
      <c r="Y1359" s="3" t="s">
        <v>42</v>
      </c>
      <c r="Z1359" s="3" t="s">
        <v>43</v>
      </c>
      <c r="AA1359" s="5">
        <v>0.13</v>
      </c>
      <c r="AB1359" s="10" t="str" cm="1">
        <f t="array" ref="AB1359">_xlfn.IFS(AA1359 &lt;= 15%, "Low Hike[11-15%]", AA1359 &lt;= 20%, "Moderate Hike[16-20%]", AA1359 &lt;= 25%,"High Hike[21-25%]")</f>
        <v>Low Hike[11-15%]</v>
      </c>
      <c r="AC1359" s="1">
        <v>3</v>
      </c>
      <c r="AD1359" s="1">
        <v>2</v>
      </c>
      <c r="AE1359" s="1">
        <v>80</v>
      </c>
      <c r="AF1359" s="1">
        <v>1</v>
      </c>
      <c r="AG1359" s="1">
        <v>18</v>
      </c>
      <c r="AH1359" s="9" t="str" cm="1">
        <f t="array" ref="AH1359">_xlfn.IFS(AG1359 &lt;= 5, "New[1-5]", AG1359 &lt;= 10, "Early Career[6-10]", AG1359 &lt;= 20, "Established[11-20]", AG1359 &lt;= 30, "Veteran[21-30]", AG1359 &lt;= 40, "Late Career[31-40]")</f>
        <v>Established[11-20]</v>
      </c>
      <c r="AI1359" s="1">
        <v>3</v>
      </c>
      <c r="AJ1359" s="1">
        <v>4</v>
      </c>
      <c r="AK1359" s="1">
        <v>13</v>
      </c>
      <c r="AL1359" s="9" t="str" cm="1">
        <f t="array" ref="AL1359">_xlfn.IFS(AK1359 &lt;= 5, "New[1-5]", AK1359 &lt;= 10, "Early Career[6-10]", AK1359 &lt;= 20, "Established[11-20]", AK1359 &lt;= 30, "Veteran[21-30]", AK1359 &lt;= 40, "Late Career[31-40]")</f>
        <v>Established[11-20]</v>
      </c>
      <c r="AM1359" s="1">
        <v>7</v>
      </c>
      <c r="AN1359" s="9" t="str" cm="1">
        <f t="array" ref="AN1359">_xlfn.IFS(AM1359 &lt;= 3, "New to Role[1-3]", AM1359 &lt;= 7, "Settled[4-7]", AM1359 &lt;= 12, "Experienced[[8-12]", AM1359 &lt;= 18, "Long Tenured[13-18]")</f>
        <v>Settled[4-7]</v>
      </c>
      <c r="AO1359" s="1">
        <v>5</v>
      </c>
      <c r="AP1359" s="9" t="str" cm="1">
        <f t="array" ref="AP1359">_xlfn.IFS(AO1359 &lt;= 3, "Recently[1-3]", AO1359 &lt;= 6, "Due Soon[4-6]", AO1359 &lt;= 10, "Overdue[7-10]", AO1359 &lt;= 15, "Long Overdue[11-15]")</f>
        <v>Due Soon[4-6]</v>
      </c>
      <c r="AQ1359" s="9" t="str" cm="1">
        <f t="array" ref="AQ1359">_xlfn.IFS(AR1359 &lt;= 3, "New Relationship[1-3]", AR1359 &lt;= 7, "Established Relationship[4-7]", AR1359 &lt;= 12, "Long Term Relationship[8-12]", AR1359 &lt;= 17, "Very Long Term Relationship[13-17]")</f>
        <v>Established Relationship[4-7]</v>
      </c>
      <c r="AR1359" s="1">
        <v>7</v>
      </c>
    </row>
    <row r="1360" spans="1:44" x14ac:dyDescent="0.25">
      <c r="A1360" s="1">
        <v>31</v>
      </c>
      <c r="B1360" s="8" t="str" cm="1">
        <f t="array" ref="B1360">_xlfn.IFS(A1360 &lt;= 25, "[18-25]", A1360 &lt;= 35, "[26-35]", A1360 &lt;=45, "[36-45]", A1360 &lt;= 60, "[46- 60]")</f>
        <v>[26-35]</v>
      </c>
      <c r="C1360" s="3" t="s">
        <v>43</v>
      </c>
      <c r="D1360">
        <f t="shared" si="21"/>
        <v>0</v>
      </c>
      <c r="E1360" t="s">
        <v>36</v>
      </c>
      <c r="F1360" s="1">
        <v>1079</v>
      </c>
      <c r="G1360" s="3" t="s">
        <v>37</v>
      </c>
      <c r="H1360" s="1">
        <v>10</v>
      </c>
      <c r="I1360" s="9" t="str" cm="1">
        <f t="array" ref="I1360">_xlfn.IFS(H1360 &lt;= 2, "[1-2] very close", H1360 &lt;= 10, "[3-10] close", H1360 &lt;= 20, "[11-20] moderate", H1360 &lt;= 30, "[21-30] far")</f>
        <v>[3-10] close</v>
      </c>
      <c r="J1360" s="1">
        <v>2</v>
      </c>
      <c r="K1360" s="3" t="s">
        <v>51</v>
      </c>
      <c r="L1360" s="1">
        <v>1</v>
      </c>
      <c r="M1360" s="1">
        <v>1912</v>
      </c>
      <c r="N1360" s="1">
        <v>3</v>
      </c>
      <c r="O1360" s="3" t="s">
        <v>39</v>
      </c>
      <c r="P1360" s="1">
        <v>86</v>
      </c>
      <c r="Q1360" s="1">
        <v>3</v>
      </c>
      <c r="R1360" s="1">
        <v>2</v>
      </c>
      <c r="S1360" s="3" t="s">
        <v>40</v>
      </c>
      <c r="T1360" s="1">
        <v>4</v>
      </c>
      <c r="U1360" s="3" t="s">
        <v>52</v>
      </c>
      <c r="V1360" s="4">
        <v>6583</v>
      </c>
      <c r="W1360" s="1">
        <v>20115</v>
      </c>
      <c r="X1360" s="1">
        <v>2</v>
      </c>
      <c r="Y1360" s="3" t="s">
        <v>42</v>
      </c>
      <c r="Z1360" s="3" t="s">
        <v>35</v>
      </c>
      <c r="AA1360" s="5">
        <v>0.11</v>
      </c>
      <c r="AB1360" s="10" t="str" cm="1">
        <f t="array" ref="AB1360">_xlfn.IFS(AA1360 &lt;= 15%, "Low Hike[11-15%]", AA1360 &lt;= 20%, "Moderate Hike[16-20%]", AA1360 &lt;= 25%,"High Hike[21-25%]")</f>
        <v>Low Hike[11-15%]</v>
      </c>
      <c r="AC1360" s="1">
        <v>3</v>
      </c>
      <c r="AD1360" s="1">
        <v>4</v>
      </c>
      <c r="AE1360" s="1">
        <v>80</v>
      </c>
      <c r="AF1360" s="1">
        <v>1</v>
      </c>
      <c r="AG1360" s="1">
        <v>8</v>
      </c>
      <c r="AH1360" s="9" t="str" cm="1">
        <f t="array" ref="AH1360">_xlfn.IFS(AG1360 &lt;= 5, "New[1-5]", AG1360 &lt;= 10, "Early Career[6-10]", AG1360 &lt;= 20, "Established[11-20]", AG1360 &lt;= 30, "Veteran[21-30]", AG1360 &lt;= 40, "Late Career[31-40]")</f>
        <v>Early Career[6-10]</v>
      </c>
      <c r="AI1360" s="1">
        <v>2</v>
      </c>
      <c r="AJ1360" s="1">
        <v>3</v>
      </c>
      <c r="AK1360" s="1">
        <v>5</v>
      </c>
      <c r="AL1360" s="9" t="str" cm="1">
        <f t="array" ref="AL1360">_xlfn.IFS(AK1360 &lt;= 5, "New[1-5]", AK1360 &lt;= 10, "Early Career[6-10]", AK1360 &lt;= 20, "Established[11-20]", AK1360 &lt;= 30, "Veteran[21-30]", AK1360 &lt;= 40, "Late Career[31-40]")</f>
        <v>New[1-5]</v>
      </c>
      <c r="AM1360" s="1">
        <v>2</v>
      </c>
      <c r="AN1360" s="9" t="str" cm="1">
        <f t="array" ref="AN1360">_xlfn.IFS(AM1360 &lt;= 3, "New to Role[1-3]", AM1360 &lt;= 7, "Settled[4-7]", AM1360 &lt;= 12, "Experienced[[8-12]", AM1360 &lt;= 18, "Long Tenured[13-18]")</f>
        <v>New to Role[1-3]</v>
      </c>
      <c r="AO1360" s="1">
        <v>1</v>
      </c>
      <c r="AP1360" s="9" t="str" cm="1">
        <f t="array" ref="AP1360">_xlfn.IFS(AO1360 &lt;= 3, "Recently[1-3]", AO1360 &lt;= 6, "Due Soon[4-6]", AO1360 &lt;= 10, "Overdue[7-10]", AO1360 &lt;= 15, "Long Overdue[11-15]")</f>
        <v>Recently[1-3]</v>
      </c>
      <c r="AQ1360" s="9" t="str" cm="1">
        <f t="array" ref="AQ1360">_xlfn.IFS(AR1360 &lt;= 3, "New Relationship[1-3]", AR1360 &lt;= 7, "Established Relationship[4-7]", AR1360 &lt;= 12, "Long Term Relationship[8-12]", AR1360 &lt;= 17, "Very Long Term Relationship[13-17]")</f>
        <v>Established Relationship[4-7]</v>
      </c>
      <c r="AR1360" s="1">
        <v>4</v>
      </c>
    </row>
    <row r="1361" spans="1:44" x14ac:dyDescent="0.25">
      <c r="A1361" s="1">
        <v>34</v>
      </c>
      <c r="B1361" s="8" t="str" cm="1">
        <f t="array" ref="B1361">_xlfn.IFS(A1361 &lt;= 25, "[18-25]", A1361 &lt;= 35, "[26-35]", A1361 &lt;=45, "[36-45]", A1361 &lt;= 60, "[46- 60]")</f>
        <v>[26-35]</v>
      </c>
      <c r="C1361" s="3" t="s">
        <v>43</v>
      </c>
      <c r="D1361">
        <f t="shared" si="21"/>
        <v>0</v>
      </c>
      <c r="E1361" t="s">
        <v>36</v>
      </c>
      <c r="F1361" s="1">
        <v>735</v>
      </c>
      <c r="G1361" s="3" t="s">
        <v>37</v>
      </c>
      <c r="H1361" s="1">
        <v>3</v>
      </c>
      <c r="I1361" s="9" t="str" cm="1">
        <f t="array" ref="I1361">_xlfn.IFS(H1361 &lt;= 2, "[1-2] very close", H1361 &lt;= 10, "[3-10] close", H1361 &lt;= 20, "[11-20] moderate", H1361 &lt;= 30, "[21-30] far")</f>
        <v>[3-10] close</v>
      </c>
      <c r="J1361" s="1">
        <v>1</v>
      </c>
      <c r="K1361" s="3" t="s">
        <v>51</v>
      </c>
      <c r="L1361" s="1">
        <v>1</v>
      </c>
      <c r="M1361" s="1">
        <v>1915</v>
      </c>
      <c r="N1361" s="1">
        <v>4</v>
      </c>
      <c r="O1361" s="3" t="s">
        <v>39</v>
      </c>
      <c r="P1361" s="1">
        <v>75</v>
      </c>
      <c r="Q1361" s="1">
        <v>2</v>
      </c>
      <c r="R1361" s="1">
        <v>2</v>
      </c>
      <c r="S1361" s="3" t="s">
        <v>40</v>
      </c>
      <c r="T1361" s="1">
        <v>4</v>
      </c>
      <c r="U1361" s="3" t="s">
        <v>48</v>
      </c>
      <c r="V1361" s="4">
        <v>8103</v>
      </c>
      <c r="W1361" s="1">
        <v>16495</v>
      </c>
      <c r="X1361" s="1">
        <v>3</v>
      </c>
      <c r="Y1361" s="3" t="s">
        <v>42</v>
      </c>
      <c r="Z1361" s="3" t="s">
        <v>35</v>
      </c>
      <c r="AA1361" s="5">
        <v>0.12</v>
      </c>
      <c r="AB1361" s="10" t="str" cm="1">
        <f t="array" ref="AB1361">_xlfn.IFS(AA1361 &lt;= 15%, "Low Hike[11-15%]", AA1361 &lt;= 20%, "Moderate Hike[16-20%]", AA1361 &lt;= 25%,"High Hike[21-25%]")</f>
        <v>Low Hike[11-15%]</v>
      </c>
      <c r="AC1361" s="1">
        <v>3</v>
      </c>
      <c r="AD1361" s="1">
        <v>3</v>
      </c>
      <c r="AE1361" s="1">
        <v>80</v>
      </c>
      <c r="AF1361" s="1">
        <v>0</v>
      </c>
      <c r="AG1361" s="1">
        <v>9</v>
      </c>
      <c r="AH1361" s="9" t="str" cm="1">
        <f t="array" ref="AH1361">_xlfn.IFS(AG1361 &lt;= 5, "New[1-5]", AG1361 &lt;= 10, "Early Career[6-10]", AG1361 &lt;= 20, "Established[11-20]", AG1361 &lt;= 30, "Veteran[21-30]", AG1361 &lt;= 40, "Late Career[31-40]")</f>
        <v>Early Career[6-10]</v>
      </c>
      <c r="AI1361" s="1">
        <v>3</v>
      </c>
      <c r="AJ1361" s="1">
        <v>2</v>
      </c>
      <c r="AK1361" s="1">
        <v>4</v>
      </c>
      <c r="AL1361" s="9" t="str" cm="1">
        <f t="array" ref="AL1361">_xlfn.IFS(AK1361 &lt;= 5, "New[1-5]", AK1361 &lt;= 10, "Early Career[6-10]", AK1361 &lt;= 20, "Established[11-20]", AK1361 &lt;= 30, "Veteran[21-30]", AK1361 &lt;= 40, "Late Career[31-40]")</f>
        <v>New[1-5]</v>
      </c>
      <c r="AM1361" s="1">
        <v>2</v>
      </c>
      <c r="AN1361" s="9" t="str" cm="1">
        <f t="array" ref="AN1361">_xlfn.IFS(AM1361 &lt;= 3, "New to Role[1-3]", AM1361 &lt;= 7, "Settled[4-7]", AM1361 &lt;= 12, "Experienced[[8-12]", AM1361 &lt;= 18, "Long Tenured[13-18]")</f>
        <v>New to Role[1-3]</v>
      </c>
      <c r="AO1361" s="1">
        <v>0</v>
      </c>
      <c r="AP1361" s="9" t="str" cm="1">
        <f t="array" ref="AP1361">_xlfn.IFS(AO1361 &lt;= 3, "Recently[1-3]", AO1361 &lt;= 6, "Due Soon[4-6]", AO1361 &lt;= 10, "Overdue[7-10]", AO1361 &lt;= 15, "Long Overdue[11-15]")</f>
        <v>Recently[1-3]</v>
      </c>
      <c r="AQ1361" s="9" t="str" cm="1">
        <f t="array" ref="AQ1361">_xlfn.IFS(AR1361 &lt;= 3, "New Relationship[1-3]", AR1361 &lt;= 7, "Established Relationship[4-7]", AR1361 &lt;= 12, "Long Term Relationship[8-12]", AR1361 &lt;= 17, "Very Long Term Relationship[13-17]")</f>
        <v>New Relationship[1-3]</v>
      </c>
      <c r="AR1361" s="1">
        <v>1</v>
      </c>
    </row>
    <row r="1362" spans="1:44" x14ac:dyDescent="0.25">
      <c r="A1362" s="1">
        <v>31</v>
      </c>
      <c r="B1362" s="8" t="str" cm="1">
        <f t="array" ref="B1362">_xlfn.IFS(A1362 &lt;= 25, "[18-25]", A1362 &lt;= 35, "[26-35]", A1362 &lt;=45, "[36-45]", A1362 &lt;= 60, "[46- 60]")</f>
        <v>[26-35]</v>
      </c>
      <c r="C1362" s="3" t="s">
        <v>43</v>
      </c>
      <c r="D1362">
        <f t="shared" si="21"/>
        <v>0</v>
      </c>
      <c r="E1362" t="s">
        <v>36</v>
      </c>
      <c r="F1362" s="1">
        <v>471</v>
      </c>
      <c r="G1362" s="3" t="s">
        <v>45</v>
      </c>
      <c r="H1362" s="1">
        <v>4</v>
      </c>
      <c r="I1362" s="9" t="str" cm="1">
        <f t="array" ref="I1362">_xlfn.IFS(H1362 &lt;= 2, "[1-2] very close", H1362 &lt;= 10, "[3-10] close", H1362 &lt;= 20, "[11-20] moderate", H1362 &lt;= 30, "[21-30] far")</f>
        <v>[3-10] close</v>
      </c>
      <c r="J1362" s="1">
        <v>3</v>
      </c>
      <c r="K1362" s="3" t="s">
        <v>51</v>
      </c>
      <c r="L1362" s="1">
        <v>1</v>
      </c>
      <c r="M1362" s="1">
        <v>1916</v>
      </c>
      <c r="N1362" s="1">
        <v>1</v>
      </c>
      <c r="O1362" s="3" t="s">
        <v>39</v>
      </c>
      <c r="P1362" s="1">
        <v>62</v>
      </c>
      <c r="Q1362" s="1">
        <v>4</v>
      </c>
      <c r="R1362" s="1">
        <v>1</v>
      </c>
      <c r="S1362" s="3" t="s">
        <v>50</v>
      </c>
      <c r="T1362" s="1">
        <v>3</v>
      </c>
      <c r="U1362" s="3" t="s">
        <v>52</v>
      </c>
      <c r="V1362" s="4">
        <v>3978</v>
      </c>
      <c r="W1362" s="1">
        <v>16031</v>
      </c>
      <c r="X1362" s="1">
        <v>8</v>
      </c>
      <c r="Y1362" s="3" t="s">
        <v>42</v>
      </c>
      <c r="Z1362" s="3" t="s">
        <v>43</v>
      </c>
      <c r="AA1362" s="5">
        <v>0.12</v>
      </c>
      <c r="AB1362" s="10" t="str" cm="1">
        <f t="array" ref="AB1362">_xlfn.IFS(AA1362 &lt;= 15%, "Low Hike[11-15%]", AA1362 &lt;= 20%, "Moderate Hike[16-20%]", AA1362 &lt;= 25%,"High Hike[21-25%]")</f>
        <v>Low Hike[11-15%]</v>
      </c>
      <c r="AC1362" s="1">
        <v>3</v>
      </c>
      <c r="AD1362" s="1">
        <v>2</v>
      </c>
      <c r="AE1362" s="1">
        <v>80</v>
      </c>
      <c r="AF1362" s="1">
        <v>1</v>
      </c>
      <c r="AG1362" s="1">
        <v>4</v>
      </c>
      <c r="AH1362" s="9" t="str" cm="1">
        <f t="array" ref="AH1362">_xlfn.IFS(AG1362 &lt;= 5, "New[1-5]", AG1362 &lt;= 10, "Early Career[6-10]", AG1362 &lt;= 20, "Established[11-20]", AG1362 &lt;= 30, "Veteran[21-30]", AG1362 &lt;= 40, "Late Career[31-40]")</f>
        <v>New[1-5]</v>
      </c>
      <c r="AI1362" s="1">
        <v>0</v>
      </c>
      <c r="AJ1362" s="1">
        <v>2</v>
      </c>
      <c r="AK1362" s="1">
        <v>2</v>
      </c>
      <c r="AL1362" s="9" t="str" cm="1">
        <f t="array" ref="AL1362">_xlfn.IFS(AK1362 &lt;= 5, "New[1-5]", AK1362 &lt;= 10, "Early Career[6-10]", AK1362 &lt;= 20, "Established[11-20]", AK1362 &lt;= 30, "Veteran[21-30]", AK1362 &lt;= 40, "Late Career[31-40]")</f>
        <v>New[1-5]</v>
      </c>
      <c r="AM1362" s="1">
        <v>2</v>
      </c>
      <c r="AN1362" s="9" t="str" cm="1">
        <f t="array" ref="AN1362">_xlfn.IFS(AM1362 &lt;= 3, "New to Role[1-3]", AM1362 &lt;= 7, "Settled[4-7]", AM1362 &lt;= 12, "Experienced[[8-12]", AM1362 &lt;= 18, "Long Tenured[13-18]")</f>
        <v>New to Role[1-3]</v>
      </c>
      <c r="AO1362" s="1">
        <v>2</v>
      </c>
      <c r="AP1362" s="9" t="str" cm="1">
        <f t="array" ref="AP1362">_xlfn.IFS(AO1362 &lt;= 3, "Recently[1-3]", AO1362 &lt;= 6, "Due Soon[4-6]", AO1362 &lt;= 10, "Overdue[7-10]", AO1362 &lt;= 15, "Long Overdue[11-15]")</f>
        <v>Recently[1-3]</v>
      </c>
      <c r="AQ1362" s="9" t="str" cm="1">
        <f t="array" ref="AQ1362">_xlfn.IFS(AR1362 &lt;= 3, "New Relationship[1-3]", AR1362 &lt;= 7, "Established Relationship[4-7]", AR1362 &lt;= 12, "Long Term Relationship[8-12]", AR1362 &lt;= 17, "Very Long Term Relationship[13-17]")</f>
        <v>New Relationship[1-3]</v>
      </c>
      <c r="AR1362" s="1">
        <v>2</v>
      </c>
    </row>
    <row r="1363" spans="1:44" x14ac:dyDescent="0.25">
      <c r="A1363" s="1">
        <v>26</v>
      </c>
      <c r="B1363" s="8" t="str" cm="1">
        <f t="array" ref="B1363">_xlfn.IFS(A1363 &lt;= 25, "[18-25]", A1363 &lt;= 35, "[26-35]", A1363 &lt;=45, "[36-45]", A1363 &lt;= 60, "[46- 60]")</f>
        <v>[26-35]</v>
      </c>
      <c r="C1363" s="3" t="s">
        <v>43</v>
      </c>
      <c r="D1363">
        <f t="shared" si="21"/>
        <v>0</v>
      </c>
      <c r="E1363" t="s">
        <v>44</v>
      </c>
      <c r="F1363" s="1">
        <v>1096</v>
      </c>
      <c r="G1363" s="3" t="s">
        <v>45</v>
      </c>
      <c r="H1363" s="1">
        <v>6</v>
      </c>
      <c r="I1363" s="9" t="str" cm="1">
        <f t="array" ref="I1363">_xlfn.IFS(H1363 &lt;= 2, "[1-2] very close", H1363 &lt;= 10, "[3-10] close", H1363 &lt;= 20, "[11-20] moderate", H1363 &lt;= 30, "[21-30] far")</f>
        <v>[3-10] close</v>
      </c>
      <c r="J1363" s="1">
        <v>3</v>
      </c>
      <c r="K1363" s="3" t="s">
        <v>49</v>
      </c>
      <c r="L1363" s="1">
        <v>1</v>
      </c>
      <c r="M1363" s="1">
        <v>1918</v>
      </c>
      <c r="N1363" s="1">
        <v>3</v>
      </c>
      <c r="O1363" s="3" t="s">
        <v>46</v>
      </c>
      <c r="P1363" s="1">
        <v>61</v>
      </c>
      <c r="Q1363" s="1">
        <v>4</v>
      </c>
      <c r="R1363" s="1">
        <v>1</v>
      </c>
      <c r="S1363" s="3" t="s">
        <v>50</v>
      </c>
      <c r="T1363" s="1">
        <v>4</v>
      </c>
      <c r="U1363" s="3" t="s">
        <v>48</v>
      </c>
      <c r="V1363" s="4">
        <v>2544</v>
      </c>
      <c r="W1363" s="1">
        <v>7102</v>
      </c>
      <c r="X1363" s="1">
        <v>0</v>
      </c>
      <c r="Y1363" s="3" t="s">
        <v>42</v>
      </c>
      <c r="Z1363" s="3" t="s">
        <v>43</v>
      </c>
      <c r="AA1363" s="5">
        <v>0.18</v>
      </c>
      <c r="AB1363" s="10" t="str" cm="1">
        <f t="array" ref="AB1363">_xlfn.IFS(AA1363 &lt;= 15%, "Low Hike[11-15%]", AA1363 &lt;= 20%, "Moderate Hike[16-20%]", AA1363 &lt;= 25%,"High Hike[21-25%]")</f>
        <v>Moderate Hike[16-20%]</v>
      </c>
      <c r="AC1363" s="1">
        <v>3</v>
      </c>
      <c r="AD1363" s="1">
        <v>1</v>
      </c>
      <c r="AE1363" s="1">
        <v>80</v>
      </c>
      <c r="AF1363" s="1">
        <v>1</v>
      </c>
      <c r="AG1363" s="1">
        <v>8</v>
      </c>
      <c r="AH1363" s="9" t="str" cm="1">
        <f t="array" ref="AH1363">_xlfn.IFS(AG1363 &lt;= 5, "New[1-5]", AG1363 &lt;= 10, "Early Career[6-10]", AG1363 &lt;= 20, "Established[11-20]", AG1363 &lt;= 30, "Veteran[21-30]", AG1363 &lt;= 40, "Late Career[31-40]")</f>
        <v>Early Career[6-10]</v>
      </c>
      <c r="AI1363" s="1">
        <v>3</v>
      </c>
      <c r="AJ1363" s="1">
        <v>3</v>
      </c>
      <c r="AK1363" s="1">
        <v>7</v>
      </c>
      <c r="AL1363" s="9" t="str" cm="1">
        <f t="array" ref="AL1363">_xlfn.IFS(AK1363 &lt;= 5, "New[1-5]", AK1363 &lt;= 10, "Early Career[6-10]", AK1363 &lt;= 20, "Established[11-20]", AK1363 &lt;= 30, "Veteran[21-30]", AK1363 &lt;= 40, "Late Career[31-40]")</f>
        <v>Early Career[6-10]</v>
      </c>
      <c r="AM1363" s="1">
        <v>7</v>
      </c>
      <c r="AN1363" s="9" t="str" cm="1">
        <f t="array" ref="AN1363">_xlfn.IFS(AM1363 &lt;= 3, "New to Role[1-3]", AM1363 &lt;= 7, "Settled[4-7]", AM1363 &lt;= 12, "Experienced[[8-12]", AM1363 &lt;= 18, "Long Tenured[13-18]")</f>
        <v>Settled[4-7]</v>
      </c>
      <c r="AO1363" s="1">
        <v>7</v>
      </c>
      <c r="AP1363" s="9" t="str" cm="1">
        <f t="array" ref="AP1363">_xlfn.IFS(AO1363 &lt;= 3, "Recently[1-3]", AO1363 &lt;= 6, "Due Soon[4-6]", AO1363 &lt;= 10, "Overdue[7-10]", AO1363 &lt;= 15, "Long Overdue[11-15]")</f>
        <v>Overdue[7-10]</v>
      </c>
      <c r="AQ1363" s="9" t="str" cm="1">
        <f t="array" ref="AQ1363">_xlfn.IFS(AR1363 &lt;= 3, "New Relationship[1-3]", AR1363 &lt;= 7, "Established Relationship[4-7]", AR1363 &lt;= 12, "Long Term Relationship[8-12]", AR1363 &lt;= 17, "Very Long Term Relationship[13-17]")</f>
        <v>Established Relationship[4-7]</v>
      </c>
      <c r="AR1363" s="1">
        <v>7</v>
      </c>
    </row>
    <row r="1364" spans="1:44" x14ac:dyDescent="0.25">
      <c r="A1364" s="1">
        <v>45</v>
      </c>
      <c r="B1364" s="8" t="str" cm="1">
        <f t="array" ref="B1364">_xlfn.IFS(A1364 &lt;= 25, "[18-25]", A1364 &lt;= 35, "[26-35]", A1364 &lt;=45, "[36-45]", A1364 &lt;= 60, "[46- 60]")</f>
        <v>[36-45]</v>
      </c>
      <c r="C1364" s="3" t="s">
        <v>43</v>
      </c>
      <c r="D1364">
        <f t="shared" si="21"/>
        <v>0</v>
      </c>
      <c r="E1364" t="s">
        <v>44</v>
      </c>
      <c r="F1364" s="1">
        <v>1297</v>
      </c>
      <c r="G1364" s="3" t="s">
        <v>45</v>
      </c>
      <c r="H1364" s="1">
        <v>1</v>
      </c>
      <c r="I1364" s="9" t="str" cm="1">
        <f t="array" ref="I1364">_xlfn.IFS(H1364 &lt;= 2, "[1-2] very close", H1364 &lt;= 10, "[3-10] close", H1364 &lt;= 20, "[11-20] moderate", H1364 &lt;= 30, "[21-30] far")</f>
        <v>[1-2] very close</v>
      </c>
      <c r="J1364" s="1">
        <v>4</v>
      </c>
      <c r="K1364" s="3" t="s">
        <v>51</v>
      </c>
      <c r="L1364" s="1">
        <v>1</v>
      </c>
      <c r="M1364" s="1">
        <v>1922</v>
      </c>
      <c r="N1364" s="1">
        <v>2</v>
      </c>
      <c r="O1364" s="3" t="s">
        <v>46</v>
      </c>
      <c r="P1364" s="1">
        <v>44</v>
      </c>
      <c r="Q1364" s="1">
        <v>3</v>
      </c>
      <c r="R1364" s="1">
        <v>2</v>
      </c>
      <c r="S1364" s="3" t="s">
        <v>54</v>
      </c>
      <c r="T1364" s="1">
        <v>3</v>
      </c>
      <c r="U1364" s="3" t="s">
        <v>41</v>
      </c>
      <c r="V1364" s="4">
        <v>5399</v>
      </c>
      <c r="W1364" s="1">
        <v>14511</v>
      </c>
      <c r="X1364" s="1">
        <v>4</v>
      </c>
      <c r="Y1364" s="3" t="s">
        <v>42</v>
      </c>
      <c r="Z1364" s="3" t="s">
        <v>43</v>
      </c>
      <c r="AA1364" s="5">
        <v>0.12</v>
      </c>
      <c r="AB1364" s="10" t="str" cm="1">
        <f t="array" ref="AB1364">_xlfn.IFS(AA1364 &lt;= 15%, "Low Hike[11-15%]", AA1364 &lt;= 20%, "Moderate Hike[16-20%]", AA1364 &lt;= 25%,"High Hike[21-25%]")</f>
        <v>Low Hike[11-15%]</v>
      </c>
      <c r="AC1364" s="1">
        <v>3</v>
      </c>
      <c r="AD1364" s="1">
        <v>3</v>
      </c>
      <c r="AE1364" s="1">
        <v>80</v>
      </c>
      <c r="AF1364" s="1">
        <v>0</v>
      </c>
      <c r="AG1364" s="1">
        <v>12</v>
      </c>
      <c r="AH1364" s="9" t="str" cm="1">
        <f t="array" ref="AH1364">_xlfn.IFS(AG1364 &lt;= 5, "New[1-5]", AG1364 &lt;= 10, "Early Career[6-10]", AG1364 &lt;= 20, "Established[11-20]", AG1364 &lt;= 30, "Veteran[21-30]", AG1364 &lt;= 40, "Late Career[31-40]")</f>
        <v>Established[11-20]</v>
      </c>
      <c r="AI1364" s="1">
        <v>3</v>
      </c>
      <c r="AJ1364" s="1">
        <v>3</v>
      </c>
      <c r="AK1364" s="1">
        <v>4</v>
      </c>
      <c r="AL1364" s="9" t="str" cm="1">
        <f t="array" ref="AL1364">_xlfn.IFS(AK1364 &lt;= 5, "New[1-5]", AK1364 &lt;= 10, "Early Career[6-10]", AK1364 &lt;= 20, "Established[11-20]", AK1364 &lt;= 30, "Veteran[21-30]", AK1364 &lt;= 40, "Late Career[31-40]")</f>
        <v>New[1-5]</v>
      </c>
      <c r="AM1364" s="1">
        <v>2</v>
      </c>
      <c r="AN1364" s="9" t="str" cm="1">
        <f t="array" ref="AN1364">_xlfn.IFS(AM1364 &lt;= 3, "New to Role[1-3]", AM1364 &lt;= 7, "Settled[4-7]", AM1364 &lt;= 12, "Experienced[[8-12]", AM1364 &lt;= 18, "Long Tenured[13-18]")</f>
        <v>New to Role[1-3]</v>
      </c>
      <c r="AO1364" s="1">
        <v>0</v>
      </c>
      <c r="AP1364" s="9" t="str" cm="1">
        <f t="array" ref="AP1364">_xlfn.IFS(AO1364 &lt;= 3, "Recently[1-3]", AO1364 &lt;= 6, "Due Soon[4-6]", AO1364 &lt;= 10, "Overdue[7-10]", AO1364 &lt;= 15, "Long Overdue[11-15]")</f>
        <v>Recently[1-3]</v>
      </c>
      <c r="AQ1364" s="9" t="str" cm="1">
        <f t="array" ref="AQ1364">_xlfn.IFS(AR1364 &lt;= 3, "New Relationship[1-3]", AR1364 &lt;= 7, "Established Relationship[4-7]", AR1364 &lt;= 12, "Long Term Relationship[8-12]", AR1364 &lt;= 17, "Very Long Term Relationship[13-17]")</f>
        <v>New Relationship[1-3]</v>
      </c>
      <c r="AR1364" s="1">
        <v>3</v>
      </c>
    </row>
    <row r="1365" spans="1:44" x14ac:dyDescent="0.25">
      <c r="A1365" s="1">
        <v>33</v>
      </c>
      <c r="B1365" s="8" t="str" cm="1">
        <f t="array" ref="B1365">_xlfn.IFS(A1365 &lt;= 25, "[18-25]", A1365 &lt;= 35, "[26-35]", A1365 &lt;=45, "[36-45]", A1365 &lt;= 60, "[46- 60]")</f>
        <v>[26-35]</v>
      </c>
      <c r="C1365" s="3" t="s">
        <v>43</v>
      </c>
      <c r="D1365">
        <f t="shared" si="21"/>
        <v>0</v>
      </c>
      <c r="E1365" t="s">
        <v>36</v>
      </c>
      <c r="F1365" s="1">
        <v>217</v>
      </c>
      <c r="G1365" s="3" t="s">
        <v>37</v>
      </c>
      <c r="H1365" s="1">
        <v>10</v>
      </c>
      <c r="I1365" s="9" t="str" cm="1">
        <f t="array" ref="I1365">_xlfn.IFS(H1365 &lt;= 2, "[1-2] very close", H1365 &lt;= 10, "[3-10] close", H1365 &lt;= 20, "[11-20] moderate", H1365 &lt;= 30, "[21-30] far")</f>
        <v>[3-10] close</v>
      </c>
      <c r="J1365" s="1">
        <v>4</v>
      </c>
      <c r="K1365" s="3" t="s">
        <v>59</v>
      </c>
      <c r="L1365" s="1">
        <v>1</v>
      </c>
      <c r="M1365" s="1">
        <v>1924</v>
      </c>
      <c r="N1365" s="1">
        <v>2</v>
      </c>
      <c r="O1365" s="3" t="s">
        <v>46</v>
      </c>
      <c r="P1365" s="1">
        <v>43</v>
      </c>
      <c r="Q1365" s="1">
        <v>3</v>
      </c>
      <c r="R1365" s="1">
        <v>2</v>
      </c>
      <c r="S1365" s="3" t="s">
        <v>40</v>
      </c>
      <c r="T1365" s="1">
        <v>3</v>
      </c>
      <c r="U1365" s="3" t="s">
        <v>41</v>
      </c>
      <c r="V1365" s="4">
        <v>5487</v>
      </c>
      <c r="W1365" s="1">
        <v>10410</v>
      </c>
      <c r="X1365" s="1">
        <v>1</v>
      </c>
      <c r="Y1365" s="3" t="s">
        <v>42</v>
      </c>
      <c r="Z1365" s="3" t="s">
        <v>43</v>
      </c>
      <c r="AA1365" s="5">
        <v>0.14000000000000001</v>
      </c>
      <c r="AB1365" s="10" t="str" cm="1">
        <f t="array" ref="AB1365">_xlfn.IFS(AA1365 &lt;= 15%, "Low Hike[11-15%]", AA1365 &lt;= 20%, "Moderate Hike[16-20%]", AA1365 &lt;= 25%,"High Hike[21-25%]")</f>
        <v>Low Hike[11-15%]</v>
      </c>
      <c r="AC1365" s="1">
        <v>3</v>
      </c>
      <c r="AD1365" s="1">
        <v>2</v>
      </c>
      <c r="AE1365" s="1">
        <v>80</v>
      </c>
      <c r="AF1365" s="1">
        <v>0</v>
      </c>
      <c r="AG1365" s="1">
        <v>10</v>
      </c>
      <c r="AH1365" s="9" t="str" cm="1">
        <f t="array" ref="AH1365">_xlfn.IFS(AG1365 &lt;= 5, "New[1-5]", AG1365 &lt;= 10, "Early Career[6-10]", AG1365 &lt;= 20, "Established[11-20]", AG1365 &lt;= 30, "Veteran[21-30]", AG1365 &lt;= 40, "Late Career[31-40]")</f>
        <v>Early Career[6-10]</v>
      </c>
      <c r="AI1365" s="1">
        <v>2</v>
      </c>
      <c r="AJ1365" s="1">
        <v>2</v>
      </c>
      <c r="AK1365" s="1">
        <v>10</v>
      </c>
      <c r="AL1365" s="9" t="str" cm="1">
        <f t="array" ref="AL1365">_xlfn.IFS(AK1365 &lt;= 5, "New[1-5]", AK1365 &lt;= 10, "Early Career[6-10]", AK1365 &lt;= 20, "Established[11-20]", AK1365 &lt;= 30, "Veteran[21-30]", AK1365 &lt;= 40, "Late Career[31-40]")</f>
        <v>Early Career[6-10]</v>
      </c>
      <c r="AM1365" s="1">
        <v>4</v>
      </c>
      <c r="AN1365" s="9" t="str" cm="1">
        <f t="array" ref="AN1365">_xlfn.IFS(AM1365 &lt;= 3, "New to Role[1-3]", AM1365 &lt;= 7, "Settled[4-7]", AM1365 &lt;= 12, "Experienced[[8-12]", AM1365 &lt;= 18, "Long Tenured[13-18]")</f>
        <v>Settled[4-7]</v>
      </c>
      <c r="AO1365" s="1">
        <v>0</v>
      </c>
      <c r="AP1365" s="9" t="str" cm="1">
        <f t="array" ref="AP1365">_xlfn.IFS(AO1365 &lt;= 3, "Recently[1-3]", AO1365 &lt;= 6, "Due Soon[4-6]", AO1365 &lt;= 10, "Overdue[7-10]", AO1365 &lt;= 15, "Long Overdue[11-15]")</f>
        <v>Recently[1-3]</v>
      </c>
      <c r="AQ1365" s="9" t="str" cm="1">
        <f t="array" ref="AQ1365">_xlfn.IFS(AR1365 &lt;= 3, "New Relationship[1-3]", AR1365 &lt;= 7, "Established Relationship[4-7]", AR1365 &lt;= 12, "Long Term Relationship[8-12]", AR1365 &lt;= 17, "Very Long Term Relationship[13-17]")</f>
        <v>Long Term Relationship[8-12]</v>
      </c>
      <c r="AR1365" s="1">
        <v>9</v>
      </c>
    </row>
    <row r="1366" spans="1:44" x14ac:dyDescent="0.25">
      <c r="A1366" s="1">
        <v>28</v>
      </c>
      <c r="B1366" s="8" t="str" cm="1">
        <f t="array" ref="B1366">_xlfn.IFS(A1366 &lt;= 25, "[18-25]", A1366 &lt;= 35, "[26-35]", A1366 &lt;=45, "[36-45]", A1366 &lt;= 60, "[46- 60]")</f>
        <v>[26-35]</v>
      </c>
      <c r="C1366" s="3" t="s">
        <v>43</v>
      </c>
      <c r="D1366">
        <f t="shared" si="21"/>
        <v>0</v>
      </c>
      <c r="E1366" t="s">
        <v>44</v>
      </c>
      <c r="F1366" s="1">
        <v>783</v>
      </c>
      <c r="G1366" s="3" t="s">
        <v>37</v>
      </c>
      <c r="H1366" s="1">
        <v>1</v>
      </c>
      <c r="I1366" s="9" t="str" cm="1">
        <f t="array" ref="I1366">_xlfn.IFS(H1366 &lt;= 2, "[1-2] very close", H1366 &lt;= 10, "[3-10] close", H1366 &lt;= 20, "[11-20] moderate", H1366 &lt;= 30, "[21-30] far")</f>
        <v>[1-2] very close</v>
      </c>
      <c r="J1366" s="1">
        <v>2</v>
      </c>
      <c r="K1366" s="3" t="s">
        <v>38</v>
      </c>
      <c r="L1366" s="1">
        <v>1</v>
      </c>
      <c r="M1366" s="1">
        <v>1927</v>
      </c>
      <c r="N1366" s="1">
        <v>3</v>
      </c>
      <c r="O1366" s="3" t="s">
        <v>46</v>
      </c>
      <c r="P1366" s="1">
        <v>42</v>
      </c>
      <c r="Q1366" s="1">
        <v>2</v>
      </c>
      <c r="R1366" s="1">
        <v>2</v>
      </c>
      <c r="S1366" s="3" t="s">
        <v>40</v>
      </c>
      <c r="T1366" s="1">
        <v>4</v>
      </c>
      <c r="U1366" s="3" t="s">
        <v>48</v>
      </c>
      <c r="V1366" s="4">
        <v>6834</v>
      </c>
      <c r="W1366" s="1">
        <v>19255</v>
      </c>
      <c r="X1366" s="1">
        <v>1</v>
      </c>
      <c r="Y1366" s="3" t="s">
        <v>42</v>
      </c>
      <c r="Z1366" s="3" t="s">
        <v>35</v>
      </c>
      <c r="AA1366" s="5">
        <v>0.12</v>
      </c>
      <c r="AB1366" s="10" t="str" cm="1">
        <f t="array" ref="AB1366">_xlfn.IFS(AA1366 &lt;= 15%, "Low Hike[11-15%]", AA1366 &lt;= 20%, "Moderate Hike[16-20%]", AA1366 &lt;= 25%,"High Hike[21-25%]")</f>
        <v>Low Hike[11-15%]</v>
      </c>
      <c r="AC1366" s="1">
        <v>3</v>
      </c>
      <c r="AD1366" s="1">
        <v>3</v>
      </c>
      <c r="AE1366" s="1">
        <v>80</v>
      </c>
      <c r="AF1366" s="1">
        <v>1</v>
      </c>
      <c r="AG1366" s="1">
        <v>7</v>
      </c>
      <c r="AH1366" s="9" t="str" cm="1">
        <f t="array" ref="AH1366">_xlfn.IFS(AG1366 &lt;= 5, "New[1-5]", AG1366 &lt;= 10, "Early Career[6-10]", AG1366 &lt;= 20, "Established[11-20]", AG1366 &lt;= 30, "Veteran[21-30]", AG1366 &lt;= 40, "Late Career[31-40]")</f>
        <v>Early Career[6-10]</v>
      </c>
      <c r="AI1366" s="1">
        <v>2</v>
      </c>
      <c r="AJ1366" s="1">
        <v>3</v>
      </c>
      <c r="AK1366" s="1">
        <v>7</v>
      </c>
      <c r="AL1366" s="9" t="str" cm="1">
        <f t="array" ref="AL1366">_xlfn.IFS(AK1366 &lt;= 5, "New[1-5]", AK1366 &lt;= 10, "Early Career[6-10]", AK1366 &lt;= 20, "Established[11-20]", AK1366 &lt;= 30, "Veteran[21-30]", AK1366 &lt;= 40, "Late Career[31-40]")</f>
        <v>Early Career[6-10]</v>
      </c>
      <c r="AM1366" s="1">
        <v>7</v>
      </c>
      <c r="AN1366" s="9" t="str" cm="1">
        <f t="array" ref="AN1366">_xlfn.IFS(AM1366 &lt;= 3, "New to Role[1-3]", AM1366 &lt;= 7, "Settled[4-7]", AM1366 &lt;= 12, "Experienced[[8-12]", AM1366 &lt;= 18, "Long Tenured[13-18]")</f>
        <v>Settled[4-7]</v>
      </c>
      <c r="AO1366" s="1">
        <v>0</v>
      </c>
      <c r="AP1366" s="9" t="str" cm="1">
        <f t="array" ref="AP1366">_xlfn.IFS(AO1366 &lt;= 3, "Recently[1-3]", AO1366 &lt;= 6, "Due Soon[4-6]", AO1366 &lt;= 10, "Overdue[7-10]", AO1366 &lt;= 15, "Long Overdue[11-15]")</f>
        <v>Recently[1-3]</v>
      </c>
      <c r="AQ1366" s="9" t="str" cm="1">
        <f t="array" ref="AQ1366">_xlfn.IFS(AR1366 &lt;= 3, "New Relationship[1-3]", AR1366 &lt;= 7, "Established Relationship[4-7]", AR1366 &lt;= 12, "Long Term Relationship[8-12]", AR1366 &lt;= 17, "Very Long Term Relationship[13-17]")</f>
        <v>Established Relationship[4-7]</v>
      </c>
      <c r="AR1366" s="1">
        <v>7</v>
      </c>
    </row>
    <row r="1367" spans="1:44" x14ac:dyDescent="0.25">
      <c r="A1367" s="1">
        <v>29</v>
      </c>
      <c r="B1367" s="8" t="str" cm="1">
        <f t="array" ref="B1367">_xlfn.IFS(A1367 &lt;= 25, "[18-25]", A1367 &lt;= 35, "[26-35]", A1367 &lt;=45, "[36-45]", A1367 &lt;= 60, "[46- 60]")</f>
        <v>[26-35]</v>
      </c>
      <c r="C1367" s="3" t="s">
        <v>35</v>
      </c>
      <c r="D1367">
        <f t="shared" si="21"/>
        <v>1</v>
      </c>
      <c r="E1367" t="s">
        <v>44</v>
      </c>
      <c r="F1367" s="1">
        <v>746</v>
      </c>
      <c r="G1367" s="3" t="s">
        <v>37</v>
      </c>
      <c r="H1367" s="1">
        <v>24</v>
      </c>
      <c r="I1367" s="9" t="str" cm="1">
        <f t="array" ref="I1367">_xlfn.IFS(H1367 &lt;= 2, "[1-2] very close", H1367 &lt;= 10, "[3-10] close", H1367 &lt;= 20, "[11-20] moderate", H1367 &lt;= 30, "[21-30] far")</f>
        <v>[21-30] far</v>
      </c>
      <c r="J1367" s="1">
        <v>3</v>
      </c>
      <c r="K1367" s="3" t="s">
        <v>60</v>
      </c>
      <c r="L1367" s="1">
        <v>1</v>
      </c>
      <c r="M1367" s="1">
        <v>1928</v>
      </c>
      <c r="N1367" s="1">
        <v>3</v>
      </c>
      <c r="O1367" s="3" t="s">
        <v>46</v>
      </c>
      <c r="P1367" s="1">
        <v>45</v>
      </c>
      <c r="Q1367" s="1">
        <v>4</v>
      </c>
      <c r="R1367" s="1">
        <v>1</v>
      </c>
      <c r="S1367" s="3" t="s">
        <v>57</v>
      </c>
      <c r="T1367" s="1">
        <v>1</v>
      </c>
      <c r="U1367" s="3" t="s">
        <v>41</v>
      </c>
      <c r="V1367" s="4">
        <v>1091</v>
      </c>
      <c r="W1367" s="1">
        <v>10642</v>
      </c>
      <c r="X1367" s="1">
        <v>1</v>
      </c>
      <c r="Y1367" s="3" t="s">
        <v>42</v>
      </c>
      <c r="Z1367" s="3" t="s">
        <v>43</v>
      </c>
      <c r="AA1367" s="5">
        <v>0.17</v>
      </c>
      <c r="AB1367" s="10" t="str" cm="1">
        <f t="array" ref="AB1367">_xlfn.IFS(AA1367 &lt;= 15%, "Low Hike[11-15%]", AA1367 &lt;= 20%, "Moderate Hike[16-20%]", AA1367 &lt;= 25%,"High Hike[21-25%]")</f>
        <v>Moderate Hike[16-20%]</v>
      </c>
      <c r="AC1367" s="1">
        <v>3</v>
      </c>
      <c r="AD1367" s="1">
        <v>4</v>
      </c>
      <c r="AE1367" s="1">
        <v>80</v>
      </c>
      <c r="AF1367" s="1">
        <v>0</v>
      </c>
      <c r="AG1367" s="1">
        <v>1</v>
      </c>
      <c r="AH1367" s="9" t="str" cm="1">
        <f t="array" ref="AH1367">_xlfn.IFS(AG1367 &lt;= 5, "New[1-5]", AG1367 &lt;= 10, "Early Career[6-10]", AG1367 &lt;= 20, "Established[11-20]", AG1367 &lt;= 30, "Veteran[21-30]", AG1367 &lt;= 40, "Late Career[31-40]")</f>
        <v>New[1-5]</v>
      </c>
      <c r="AI1367" s="1">
        <v>3</v>
      </c>
      <c r="AJ1367" s="1">
        <v>3</v>
      </c>
      <c r="AK1367" s="1">
        <v>1</v>
      </c>
      <c r="AL1367" s="9" t="str" cm="1">
        <f t="array" ref="AL1367">_xlfn.IFS(AK1367 &lt;= 5, "New[1-5]", AK1367 &lt;= 10, "Early Career[6-10]", AK1367 &lt;= 20, "Established[11-20]", AK1367 &lt;= 30, "Veteran[21-30]", AK1367 &lt;= 40, "Late Career[31-40]")</f>
        <v>New[1-5]</v>
      </c>
      <c r="AM1367" s="1">
        <v>0</v>
      </c>
      <c r="AN1367" s="9" t="str" cm="1">
        <f t="array" ref="AN1367">_xlfn.IFS(AM1367 &lt;= 3, "New to Role[1-3]", AM1367 &lt;= 7, "Settled[4-7]", AM1367 &lt;= 12, "Experienced[[8-12]", AM1367 &lt;= 18, "Long Tenured[13-18]")</f>
        <v>New to Role[1-3]</v>
      </c>
      <c r="AO1367" s="1">
        <v>0</v>
      </c>
      <c r="AP1367" s="9" t="str" cm="1">
        <f t="array" ref="AP1367">_xlfn.IFS(AO1367 &lt;= 3, "Recently[1-3]", AO1367 &lt;= 6, "Due Soon[4-6]", AO1367 &lt;= 10, "Overdue[7-10]", AO1367 &lt;= 15, "Long Overdue[11-15]")</f>
        <v>Recently[1-3]</v>
      </c>
      <c r="AQ1367" s="9" t="str" cm="1">
        <f t="array" ref="AQ1367">_xlfn.IFS(AR1367 &lt;= 3, "New Relationship[1-3]", AR1367 &lt;= 7, "Established Relationship[4-7]", AR1367 &lt;= 12, "Long Term Relationship[8-12]", AR1367 &lt;= 17, "Very Long Term Relationship[13-17]")</f>
        <v>New Relationship[1-3]</v>
      </c>
      <c r="AR1367" s="1">
        <v>0</v>
      </c>
    </row>
    <row r="1368" spans="1:44" x14ac:dyDescent="0.25">
      <c r="A1368" s="1">
        <v>39</v>
      </c>
      <c r="B1368" s="8" t="str" cm="1">
        <f t="array" ref="B1368">_xlfn.IFS(A1368 &lt;= 25, "[18-25]", A1368 &lt;= 35, "[26-35]", A1368 &lt;=45, "[36-45]", A1368 &lt;= 60, "[46- 60]")</f>
        <v>[36-45]</v>
      </c>
      <c r="C1368" s="3" t="s">
        <v>43</v>
      </c>
      <c r="D1368">
        <f t="shared" si="21"/>
        <v>0</v>
      </c>
      <c r="E1368" t="s">
        <v>62</v>
      </c>
      <c r="F1368" s="1">
        <v>1251</v>
      </c>
      <c r="G1368" s="3" t="s">
        <v>37</v>
      </c>
      <c r="H1368" s="1">
        <v>21</v>
      </c>
      <c r="I1368" s="9" t="str" cm="1">
        <f t="array" ref="I1368">_xlfn.IFS(H1368 &lt;= 2, "[1-2] very close", H1368 &lt;= 10, "[3-10] close", H1368 &lt;= 20, "[11-20] moderate", H1368 &lt;= 30, "[21-30] far")</f>
        <v>[21-30] far</v>
      </c>
      <c r="J1368" s="1">
        <v>4</v>
      </c>
      <c r="K1368" s="3" t="s">
        <v>38</v>
      </c>
      <c r="L1368" s="1">
        <v>1</v>
      </c>
      <c r="M1368" s="1">
        <v>1929</v>
      </c>
      <c r="N1368" s="1">
        <v>1</v>
      </c>
      <c r="O1368" s="3" t="s">
        <v>39</v>
      </c>
      <c r="P1368" s="1">
        <v>32</v>
      </c>
      <c r="Q1368" s="1">
        <v>1</v>
      </c>
      <c r="R1368" s="1">
        <v>2</v>
      </c>
      <c r="S1368" s="3" t="s">
        <v>40</v>
      </c>
      <c r="T1368" s="1">
        <v>3</v>
      </c>
      <c r="U1368" s="3" t="s">
        <v>48</v>
      </c>
      <c r="V1368" s="4">
        <v>5736</v>
      </c>
      <c r="W1368" s="1">
        <v>3987</v>
      </c>
      <c r="X1368" s="1">
        <v>6</v>
      </c>
      <c r="Y1368" s="3" t="s">
        <v>42</v>
      </c>
      <c r="Z1368" s="3" t="s">
        <v>43</v>
      </c>
      <c r="AA1368" s="5">
        <v>0.19</v>
      </c>
      <c r="AB1368" s="10" t="str" cm="1">
        <f t="array" ref="AB1368">_xlfn.IFS(AA1368 &lt;= 15%, "Low Hike[11-15%]", AA1368 &lt;= 20%, "Moderate Hike[16-20%]", AA1368 &lt;= 25%,"High Hike[21-25%]")</f>
        <v>Moderate Hike[16-20%]</v>
      </c>
      <c r="AC1368" s="1">
        <v>3</v>
      </c>
      <c r="AD1368" s="1">
        <v>3</v>
      </c>
      <c r="AE1368" s="1">
        <v>80</v>
      </c>
      <c r="AF1368" s="1">
        <v>1</v>
      </c>
      <c r="AG1368" s="1">
        <v>10</v>
      </c>
      <c r="AH1368" s="9" t="str" cm="1">
        <f t="array" ref="AH1368">_xlfn.IFS(AG1368 &lt;= 5, "New[1-5]", AG1368 &lt;= 10, "Early Career[6-10]", AG1368 &lt;= 20, "Established[11-20]", AG1368 &lt;= 30, "Veteran[21-30]", AG1368 &lt;= 40, "Late Career[31-40]")</f>
        <v>Early Career[6-10]</v>
      </c>
      <c r="AI1368" s="1">
        <v>1</v>
      </c>
      <c r="AJ1368" s="1">
        <v>3</v>
      </c>
      <c r="AK1368" s="1">
        <v>3</v>
      </c>
      <c r="AL1368" s="9" t="str" cm="1">
        <f t="array" ref="AL1368">_xlfn.IFS(AK1368 &lt;= 5, "New[1-5]", AK1368 &lt;= 10, "Early Career[6-10]", AK1368 &lt;= 20, "Established[11-20]", AK1368 &lt;= 30, "Veteran[21-30]", AK1368 &lt;= 40, "Late Career[31-40]")</f>
        <v>New[1-5]</v>
      </c>
      <c r="AM1368" s="1">
        <v>2</v>
      </c>
      <c r="AN1368" s="9" t="str" cm="1">
        <f t="array" ref="AN1368">_xlfn.IFS(AM1368 &lt;= 3, "New to Role[1-3]", AM1368 &lt;= 7, "Settled[4-7]", AM1368 &lt;= 12, "Experienced[[8-12]", AM1368 &lt;= 18, "Long Tenured[13-18]")</f>
        <v>New to Role[1-3]</v>
      </c>
      <c r="AO1368" s="1">
        <v>1</v>
      </c>
      <c r="AP1368" s="9" t="str" cm="1">
        <f t="array" ref="AP1368">_xlfn.IFS(AO1368 &lt;= 3, "Recently[1-3]", AO1368 &lt;= 6, "Due Soon[4-6]", AO1368 &lt;= 10, "Overdue[7-10]", AO1368 &lt;= 15, "Long Overdue[11-15]")</f>
        <v>Recently[1-3]</v>
      </c>
      <c r="AQ1368" s="9" t="str" cm="1">
        <f t="array" ref="AQ1368">_xlfn.IFS(AR1368 &lt;= 3, "New Relationship[1-3]", AR1368 &lt;= 7, "Established Relationship[4-7]", AR1368 &lt;= 12, "Long Term Relationship[8-12]", AR1368 &lt;= 17, "Very Long Term Relationship[13-17]")</f>
        <v>New Relationship[1-3]</v>
      </c>
      <c r="AR1368" s="1">
        <v>2</v>
      </c>
    </row>
    <row r="1369" spans="1:44" x14ac:dyDescent="0.25">
      <c r="A1369" s="1">
        <v>27</v>
      </c>
      <c r="B1369" s="8" t="str" cm="1">
        <f t="array" ref="B1369">_xlfn.IFS(A1369 &lt;= 25, "[18-25]", A1369 &lt;= 35, "[26-35]", A1369 &lt;=45, "[36-45]", A1369 &lt;= 60, "[46- 60]")</f>
        <v>[26-35]</v>
      </c>
      <c r="C1369" s="3" t="s">
        <v>43</v>
      </c>
      <c r="D1369">
        <f t="shared" si="21"/>
        <v>0</v>
      </c>
      <c r="E1369" t="s">
        <v>36</v>
      </c>
      <c r="F1369" s="1">
        <v>1354</v>
      </c>
      <c r="G1369" s="3" t="s">
        <v>45</v>
      </c>
      <c r="H1369" s="1">
        <v>2</v>
      </c>
      <c r="I1369" s="9" t="str" cm="1">
        <f t="array" ref="I1369">_xlfn.IFS(H1369 &lt;= 2, "[1-2] very close", H1369 &lt;= 10, "[3-10] close", H1369 &lt;= 20, "[11-20] moderate", H1369 &lt;= 30, "[21-30] far")</f>
        <v>[1-2] very close</v>
      </c>
      <c r="J1369" s="1">
        <v>4</v>
      </c>
      <c r="K1369" s="3" t="s">
        <v>60</v>
      </c>
      <c r="L1369" s="1">
        <v>1</v>
      </c>
      <c r="M1369" s="1">
        <v>1931</v>
      </c>
      <c r="N1369" s="1">
        <v>2</v>
      </c>
      <c r="O1369" s="3" t="s">
        <v>46</v>
      </c>
      <c r="P1369" s="1">
        <v>41</v>
      </c>
      <c r="Q1369" s="1">
        <v>3</v>
      </c>
      <c r="R1369" s="1">
        <v>1</v>
      </c>
      <c r="S1369" s="3" t="s">
        <v>47</v>
      </c>
      <c r="T1369" s="1">
        <v>2</v>
      </c>
      <c r="U1369" s="3" t="s">
        <v>48</v>
      </c>
      <c r="V1369" s="4">
        <v>2226</v>
      </c>
      <c r="W1369" s="1">
        <v>6073</v>
      </c>
      <c r="X1369" s="1">
        <v>1</v>
      </c>
      <c r="Y1369" s="3" t="s">
        <v>42</v>
      </c>
      <c r="Z1369" s="3" t="s">
        <v>43</v>
      </c>
      <c r="AA1369" s="5">
        <v>0.11</v>
      </c>
      <c r="AB1369" s="10" t="str" cm="1">
        <f t="array" ref="AB1369">_xlfn.IFS(AA1369 &lt;= 15%, "Low Hike[11-15%]", AA1369 &lt;= 20%, "Moderate Hike[16-20%]", AA1369 &lt;= 25%,"High Hike[21-25%]")</f>
        <v>Low Hike[11-15%]</v>
      </c>
      <c r="AC1369" s="1">
        <v>3</v>
      </c>
      <c r="AD1369" s="1">
        <v>3</v>
      </c>
      <c r="AE1369" s="1">
        <v>80</v>
      </c>
      <c r="AF1369" s="1">
        <v>1</v>
      </c>
      <c r="AG1369" s="1">
        <v>6</v>
      </c>
      <c r="AH1369" s="9" t="str" cm="1">
        <f t="array" ref="AH1369">_xlfn.IFS(AG1369 &lt;= 5, "New[1-5]", AG1369 &lt;= 10, "Early Career[6-10]", AG1369 &lt;= 20, "Established[11-20]", AG1369 &lt;= 30, "Veteran[21-30]", AG1369 &lt;= 40, "Late Career[31-40]")</f>
        <v>Early Career[6-10]</v>
      </c>
      <c r="AI1369" s="1">
        <v>3</v>
      </c>
      <c r="AJ1369" s="1">
        <v>2</v>
      </c>
      <c r="AK1369" s="1">
        <v>5</v>
      </c>
      <c r="AL1369" s="9" t="str" cm="1">
        <f t="array" ref="AL1369">_xlfn.IFS(AK1369 &lt;= 5, "New[1-5]", AK1369 &lt;= 10, "Early Career[6-10]", AK1369 &lt;= 20, "Established[11-20]", AK1369 &lt;= 30, "Veteran[21-30]", AK1369 &lt;= 40, "Late Career[31-40]")</f>
        <v>New[1-5]</v>
      </c>
      <c r="AM1369" s="1">
        <v>3</v>
      </c>
      <c r="AN1369" s="9" t="str" cm="1">
        <f t="array" ref="AN1369">_xlfn.IFS(AM1369 &lt;= 3, "New to Role[1-3]", AM1369 &lt;= 7, "Settled[4-7]", AM1369 &lt;= 12, "Experienced[[8-12]", AM1369 &lt;= 18, "Long Tenured[13-18]")</f>
        <v>New to Role[1-3]</v>
      </c>
      <c r="AO1369" s="1">
        <v>1</v>
      </c>
      <c r="AP1369" s="9" t="str" cm="1">
        <f t="array" ref="AP1369">_xlfn.IFS(AO1369 &lt;= 3, "Recently[1-3]", AO1369 &lt;= 6, "Due Soon[4-6]", AO1369 &lt;= 10, "Overdue[7-10]", AO1369 &lt;= 15, "Long Overdue[11-15]")</f>
        <v>Recently[1-3]</v>
      </c>
      <c r="AQ1369" s="9" t="str" cm="1">
        <f t="array" ref="AQ1369">_xlfn.IFS(AR1369 &lt;= 3, "New Relationship[1-3]", AR1369 &lt;= 7, "Established Relationship[4-7]", AR1369 &lt;= 12, "Long Term Relationship[8-12]", AR1369 &lt;= 17, "Very Long Term Relationship[13-17]")</f>
        <v>New Relationship[1-3]</v>
      </c>
      <c r="AR1369" s="1">
        <v>2</v>
      </c>
    </row>
    <row r="1370" spans="1:44" x14ac:dyDescent="0.25">
      <c r="A1370" s="1">
        <v>34</v>
      </c>
      <c r="B1370" s="8" t="str" cm="1">
        <f t="array" ref="B1370">_xlfn.IFS(A1370 &lt;= 25, "[18-25]", A1370 &lt;= 35, "[26-35]", A1370 &lt;=45, "[36-45]", A1370 &lt;= 60, "[46- 60]")</f>
        <v>[26-35]</v>
      </c>
      <c r="C1370" s="3" t="s">
        <v>43</v>
      </c>
      <c r="D1370">
        <f t="shared" si="21"/>
        <v>0</v>
      </c>
      <c r="E1370" t="s">
        <v>44</v>
      </c>
      <c r="F1370" s="1">
        <v>735</v>
      </c>
      <c r="G1370" s="3" t="s">
        <v>45</v>
      </c>
      <c r="H1370" s="1">
        <v>22</v>
      </c>
      <c r="I1370" s="9" t="str" cm="1">
        <f t="array" ref="I1370">_xlfn.IFS(H1370 &lt;= 2, "[1-2] very close", H1370 &lt;= 10, "[3-10] close", H1370 &lt;= 20, "[11-20] moderate", H1370 &lt;= 30, "[21-30] far")</f>
        <v>[21-30] far</v>
      </c>
      <c r="J1370" s="1">
        <v>4</v>
      </c>
      <c r="K1370" s="3" t="s">
        <v>49</v>
      </c>
      <c r="L1370" s="1">
        <v>1</v>
      </c>
      <c r="M1370" s="1">
        <v>1932</v>
      </c>
      <c r="N1370" s="1">
        <v>3</v>
      </c>
      <c r="O1370" s="3" t="s">
        <v>46</v>
      </c>
      <c r="P1370" s="1">
        <v>86</v>
      </c>
      <c r="Q1370" s="1">
        <v>2</v>
      </c>
      <c r="R1370" s="1">
        <v>2</v>
      </c>
      <c r="S1370" s="3" t="s">
        <v>47</v>
      </c>
      <c r="T1370" s="1">
        <v>4</v>
      </c>
      <c r="U1370" s="3" t="s">
        <v>48</v>
      </c>
      <c r="V1370" s="4">
        <v>5747</v>
      </c>
      <c r="W1370" s="1">
        <v>26496</v>
      </c>
      <c r="X1370" s="1">
        <v>1</v>
      </c>
      <c r="Y1370" s="3" t="s">
        <v>42</v>
      </c>
      <c r="Z1370" s="3" t="s">
        <v>35</v>
      </c>
      <c r="AA1370" s="5">
        <v>0.15</v>
      </c>
      <c r="AB1370" s="10" t="str" cm="1">
        <f t="array" ref="AB1370">_xlfn.IFS(AA1370 &lt;= 15%, "Low Hike[11-15%]", AA1370 &lt;= 20%, "Moderate Hike[16-20%]", AA1370 &lt;= 25%,"High Hike[21-25%]")</f>
        <v>Low Hike[11-15%]</v>
      </c>
      <c r="AC1370" s="1">
        <v>3</v>
      </c>
      <c r="AD1370" s="1">
        <v>2</v>
      </c>
      <c r="AE1370" s="1">
        <v>80</v>
      </c>
      <c r="AF1370" s="1">
        <v>0</v>
      </c>
      <c r="AG1370" s="1">
        <v>16</v>
      </c>
      <c r="AH1370" s="9" t="str" cm="1">
        <f t="array" ref="AH1370">_xlfn.IFS(AG1370 &lt;= 5, "New[1-5]", AG1370 &lt;= 10, "Early Career[6-10]", AG1370 &lt;= 20, "Established[11-20]", AG1370 &lt;= 30, "Veteran[21-30]", AG1370 &lt;= 40, "Late Career[31-40]")</f>
        <v>Established[11-20]</v>
      </c>
      <c r="AI1370" s="1">
        <v>3</v>
      </c>
      <c r="AJ1370" s="1">
        <v>3</v>
      </c>
      <c r="AK1370" s="1">
        <v>15</v>
      </c>
      <c r="AL1370" s="9" t="str" cm="1">
        <f t="array" ref="AL1370">_xlfn.IFS(AK1370 &lt;= 5, "New[1-5]", AK1370 &lt;= 10, "Early Career[6-10]", AK1370 &lt;= 20, "Established[11-20]", AK1370 &lt;= 30, "Veteran[21-30]", AK1370 &lt;= 40, "Late Career[31-40]")</f>
        <v>Established[11-20]</v>
      </c>
      <c r="AM1370" s="1">
        <v>10</v>
      </c>
      <c r="AN1370" s="9" t="str" cm="1">
        <f t="array" ref="AN1370">_xlfn.IFS(AM1370 &lt;= 3, "New to Role[1-3]", AM1370 &lt;= 7, "Settled[4-7]", AM1370 &lt;= 12, "Experienced[[8-12]", AM1370 &lt;= 18, "Long Tenured[13-18]")</f>
        <v>Experienced[[8-12]</v>
      </c>
      <c r="AO1370" s="1">
        <v>6</v>
      </c>
      <c r="AP1370" s="9" t="str" cm="1">
        <f t="array" ref="AP1370">_xlfn.IFS(AO1370 &lt;= 3, "Recently[1-3]", AO1370 &lt;= 6, "Due Soon[4-6]", AO1370 &lt;= 10, "Overdue[7-10]", AO1370 &lt;= 15, "Long Overdue[11-15]")</f>
        <v>Due Soon[4-6]</v>
      </c>
      <c r="AQ1370" s="9" t="str" cm="1">
        <f t="array" ref="AQ1370">_xlfn.IFS(AR1370 &lt;= 3, "New Relationship[1-3]", AR1370 &lt;= 7, "Established Relationship[4-7]", AR1370 &lt;= 12, "Long Term Relationship[8-12]", AR1370 &lt;= 17, "Very Long Term Relationship[13-17]")</f>
        <v>Long Term Relationship[8-12]</v>
      </c>
      <c r="AR1370" s="1">
        <v>11</v>
      </c>
    </row>
    <row r="1371" spans="1:44" x14ac:dyDescent="0.25">
      <c r="A1371" s="1">
        <v>28</v>
      </c>
      <c r="B1371" s="8" t="str" cm="1">
        <f t="array" ref="B1371">_xlfn.IFS(A1371 &lt;= 25, "[18-25]", A1371 &lt;= 35, "[26-35]", A1371 &lt;=45, "[36-45]", A1371 &lt;= 60, "[46- 60]")</f>
        <v>[26-35]</v>
      </c>
      <c r="C1371" s="3" t="s">
        <v>35</v>
      </c>
      <c r="D1371">
        <f t="shared" si="21"/>
        <v>1</v>
      </c>
      <c r="E1371" t="s">
        <v>36</v>
      </c>
      <c r="F1371" s="1">
        <v>1475</v>
      </c>
      <c r="G1371" s="3" t="s">
        <v>37</v>
      </c>
      <c r="H1371" s="1">
        <v>13</v>
      </c>
      <c r="I1371" s="9" t="str" cm="1">
        <f t="array" ref="I1371">_xlfn.IFS(H1371 &lt;= 2, "[1-2] very close", H1371 &lt;= 10, "[3-10] close", H1371 &lt;= 20, "[11-20] moderate", H1371 &lt;= 30, "[21-30] far")</f>
        <v>[11-20] moderate</v>
      </c>
      <c r="J1371" s="1">
        <v>2</v>
      </c>
      <c r="K1371" s="3" t="s">
        <v>59</v>
      </c>
      <c r="L1371" s="1">
        <v>1</v>
      </c>
      <c r="M1371" s="1">
        <v>1933</v>
      </c>
      <c r="N1371" s="1">
        <v>4</v>
      </c>
      <c r="O1371" s="3" t="s">
        <v>39</v>
      </c>
      <c r="P1371" s="1">
        <v>84</v>
      </c>
      <c r="Q1371" s="1">
        <v>3</v>
      </c>
      <c r="R1371" s="1">
        <v>2</v>
      </c>
      <c r="S1371" s="3" t="s">
        <v>40</v>
      </c>
      <c r="T1371" s="1">
        <v>3</v>
      </c>
      <c r="U1371" s="3" t="s">
        <v>41</v>
      </c>
      <c r="V1371" s="4">
        <v>9854</v>
      </c>
      <c r="W1371" s="1">
        <v>23352</v>
      </c>
      <c r="X1371" s="1">
        <v>3</v>
      </c>
      <c r="Y1371" s="3" t="s">
        <v>42</v>
      </c>
      <c r="Z1371" s="3" t="s">
        <v>35</v>
      </c>
      <c r="AA1371" s="5">
        <v>0.11</v>
      </c>
      <c r="AB1371" s="10" t="str" cm="1">
        <f t="array" ref="AB1371">_xlfn.IFS(AA1371 &lt;= 15%, "Low Hike[11-15%]", AA1371 &lt;= 20%, "Moderate Hike[16-20%]", AA1371 &lt;= 25%,"High Hike[21-25%]")</f>
        <v>Low Hike[11-15%]</v>
      </c>
      <c r="AC1371" s="1">
        <v>3</v>
      </c>
      <c r="AD1371" s="1">
        <v>4</v>
      </c>
      <c r="AE1371" s="1">
        <v>80</v>
      </c>
      <c r="AF1371" s="1">
        <v>0</v>
      </c>
      <c r="AG1371" s="1">
        <v>6</v>
      </c>
      <c r="AH1371" s="9" t="str" cm="1">
        <f t="array" ref="AH1371">_xlfn.IFS(AG1371 &lt;= 5, "New[1-5]", AG1371 &lt;= 10, "Early Career[6-10]", AG1371 &lt;= 20, "Established[11-20]", AG1371 &lt;= 30, "Veteran[21-30]", AG1371 &lt;= 40, "Late Career[31-40]")</f>
        <v>Early Career[6-10]</v>
      </c>
      <c r="AI1371" s="1">
        <v>0</v>
      </c>
      <c r="AJ1371" s="1">
        <v>3</v>
      </c>
      <c r="AK1371" s="1">
        <v>2</v>
      </c>
      <c r="AL1371" s="9" t="str" cm="1">
        <f t="array" ref="AL1371">_xlfn.IFS(AK1371 &lt;= 5, "New[1-5]", AK1371 &lt;= 10, "Early Career[6-10]", AK1371 &lt;= 20, "Established[11-20]", AK1371 &lt;= 30, "Veteran[21-30]", AK1371 &lt;= 40, "Late Career[31-40]")</f>
        <v>New[1-5]</v>
      </c>
      <c r="AM1371" s="1">
        <v>0</v>
      </c>
      <c r="AN1371" s="9" t="str" cm="1">
        <f t="array" ref="AN1371">_xlfn.IFS(AM1371 &lt;= 3, "New to Role[1-3]", AM1371 &lt;= 7, "Settled[4-7]", AM1371 &lt;= 12, "Experienced[[8-12]", AM1371 &lt;= 18, "Long Tenured[13-18]")</f>
        <v>New to Role[1-3]</v>
      </c>
      <c r="AO1371" s="1">
        <v>2</v>
      </c>
      <c r="AP1371" s="9" t="str" cm="1">
        <f t="array" ref="AP1371">_xlfn.IFS(AO1371 &lt;= 3, "Recently[1-3]", AO1371 &lt;= 6, "Due Soon[4-6]", AO1371 &lt;= 10, "Overdue[7-10]", AO1371 &lt;= 15, "Long Overdue[11-15]")</f>
        <v>Recently[1-3]</v>
      </c>
      <c r="AQ1371" s="9" t="str" cm="1">
        <f t="array" ref="AQ1371">_xlfn.IFS(AR1371 &lt;= 3, "New Relationship[1-3]", AR1371 &lt;= 7, "Established Relationship[4-7]", AR1371 &lt;= 12, "Long Term Relationship[8-12]", AR1371 &lt;= 17, "Very Long Term Relationship[13-17]")</f>
        <v>New Relationship[1-3]</v>
      </c>
      <c r="AR1371" s="1">
        <v>2</v>
      </c>
    </row>
    <row r="1372" spans="1:44" x14ac:dyDescent="0.25">
      <c r="A1372" s="1">
        <v>47</v>
      </c>
      <c r="B1372" s="8" t="str" cm="1">
        <f t="array" ref="B1372">_xlfn.IFS(A1372 &lt;= 25, "[18-25]", A1372 &lt;= 35, "[26-35]", A1372 &lt;=45, "[36-45]", A1372 &lt;= 60, "[46- 60]")</f>
        <v>[46- 60]</v>
      </c>
      <c r="C1372" s="3" t="s">
        <v>43</v>
      </c>
      <c r="D1372">
        <f t="shared" si="21"/>
        <v>0</v>
      </c>
      <c r="E1372" t="s">
        <v>62</v>
      </c>
      <c r="F1372" s="1">
        <v>1169</v>
      </c>
      <c r="G1372" s="3" t="s">
        <v>45</v>
      </c>
      <c r="H1372" s="1">
        <v>14</v>
      </c>
      <c r="I1372" s="9" t="str" cm="1">
        <f t="array" ref="I1372">_xlfn.IFS(H1372 &lt;= 2, "[1-2] very close", H1372 &lt;= 10, "[3-10] close", H1372 &lt;= 20, "[11-20] moderate", H1372 &lt;= 30, "[21-30] far")</f>
        <v>[11-20] moderate</v>
      </c>
      <c r="J1372" s="1">
        <v>4</v>
      </c>
      <c r="K1372" s="3" t="s">
        <v>60</v>
      </c>
      <c r="L1372" s="1">
        <v>1</v>
      </c>
      <c r="M1372" s="1">
        <v>1934</v>
      </c>
      <c r="N1372" s="1">
        <v>3</v>
      </c>
      <c r="O1372" s="3" t="s">
        <v>46</v>
      </c>
      <c r="P1372" s="1">
        <v>64</v>
      </c>
      <c r="Q1372" s="1">
        <v>3</v>
      </c>
      <c r="R1372" s="1">
        <v>2</v>
      </c>
      <c r="S1372" s="3" t="s">
        <v>47</v>
      </c>
      <c r="T1372" s="1">
        <v>2</v>
      </c>
      <c r="U1372" s="3" t="s">
        <v>48</v>
      </c>
      <c r="V1372" s="4">
        <v>5467</v>
      </c>
      <c r="W1372" s="1">
        <v>2125</v>
      </c>
      <c r="X1372" s="1">
        <v>8</v>
      </c>
      <c r="Y1372" s="3" t="s">
        <v>42</v>
      </c>
      <c r="Z1372" s="3" t="s">
        <v>43</v>
      </c>
      <c r="AA1372" s="5">
        <v>0.18</v>
      </c>
      <c r="AB1372" s="10" t="str" cm="1">
        <f t="array" ref="AB1372">_xlfn.IFS(AA1372 &lt;= 15%, "Low Hike[11-15%]", AA1372 &lt;= 20%, "Moderate Hike[16-20%]", AA1372 &lt;= 25%,"High Hike[21-25%]")</f>
        <v>Moderate Hike[16-20%]</v>
      </c>
      <c r="AC1372" s="1">
        <v>3</v>
      </c>
      <c r="AD1372" s="1">
        <v>3</v>
      </c>
      <c r="AE1372" s="1">
        <v>80</v>
      </c>
      <c r="AF1372" s="1">
        <v>1</v>
      </c>
      <c r="AG1372" s="1">
        <v>16</v>
      </c>
      <c r="AH1372" s="9" t="str" cm="1">
        <f t="array" ref="AH1372">_xlfn.IFS(AG1372 &lt;= 5, "New[1-5]", AG1372 &lt;= 10, "Early Career[6-10]", AG1372 &lt;= 20, "Established[11-20]", AG1372 &lt;= 30, "Veteran[21-30]", AG1372 &lt;= 40, "Late Career[31-40]")</f>
        <v>Established[11-20]</v>
      </c>
      <c r="AI1372" s="1">
        <v>4</v>
      </c>
      <c r="AJ1372" s="1">
        <v>4</v>
      </c>
      <c r="AK1372" s="1">
        <v>8</v>
      </c>
      <c r="AL1372" s="9" t="str" cm="1">
        <f t="array" ref="AL1372">_xlfn.IFS(AK1372 &lt;= 5, "New[1-5]", AK1372 &lt;= 10, "Early Career[6-10]", AK1372 &lt;= 20, "Established[11-20]", AK1372 &lt;= 30, "Veteran[21-30]", AK1372 &lt;= 40, "Late Career[31-40]")</f>
        <v>Early Career[6-10]</v>
      </c>
      <c r="AM1372" s="1">
        <v>7</v>
      </c>
      <c r="AN1372" s="9" t="str" cm="1">
        <f t="array" ref="AN1372">_xlfn.IFS(AM1372 &lt;= 3, "New to Role[1-3]", AM1372 &lt;= 7, "Settled[4-7]", AM1372 &lt;= 12, "Experienced[[8-12]", AM1372 &lt;= 18, "Long Tenured[13-18]")</f>
        <v>Settled[4-7]</v>
      </c>
      <c r="AO1372" s="1">
        <v>1</v>
      </c>
      <c r="AP1372" s="9" t="str" cm="1">
        <f t="array" ref="AP1372">_xlfn.IFS(AO1372 &lt;= 3, "Recently[1-3]", AO1372 &lt;= 6, "Due Soon[4-6]", AO1372 &lt;= 10, "Overdue[7-10]", AO1372 &lt;= 15, "Long Overdue[11-15]")</f>
        <v>Recently[1-3]</v>
      </c>
      <c r="AQ1372" s="9" t="str" cm="1">
        <f t="array" ref="AQ1372">_xlfn.IFS(AR1372 &lt;= 3, "New Relationship[1-3]", AR1372 &lt;= 7, "Established Relationship[4-7]", AR1372 &lt;= 12, "Long Term Relationship[8-12]", AR1372 &lt;= 17, "Very Long Term Relationship[13-17]")</f>
        <v>Established Relationship[4-7]</v>
      </c>
      <c r="AR1372" s="1">
        <v>7</v>
      </c>
    </row>
    <row r="1373" spans="1:44" x14ac:dyDescent="0.25">
      <c r="A1373" s="1">
        <v>56</v>
      </c>
      <c r="B1373" s="8" t="str" cm="1">
        <f t="array" ref="B1373">_xlfn.IFS(A1373 &lt;= 25, "[18-25]", A1373 &lt;= 35, "[26-35]", A1373 &lt;=45, "[36-45]", A1373 &lt;= 60, "[46- 60]")</f>
        <v>[46- 60]</v>
      </c>
      <c r="C1373" s="3" t="s">
        <v>43</v>
      </c>
      <c r="D1373">
        <f t="shared" si="21"/>
        <v>0</v>
      </c>
      <c r="E1373" t="s">
        <v>36</v>
      </c>
      <c r="F1373" s="1">
        <v>1443</v>
      </c>
      <c r="G1373" s="3" t="s">
        <v>37</v>
      </c>
      <c r="H1373" s="1">
        <v>11</v>
      </c>
      <c r="I1373" s="9" t="str" cm="1">
        <f t="array" ref="I1373">_xlfn.IFS(H1373 &lt;= 2, "[1-2] very close", H1373 &lt;= 10, "[3-10] close", H1373 &lt;= 20, "[11-20] moderate", H1373 &lt;= 30, "[21-30] far")</f>
        <v>[11-20] moderate</v>
      </c>
      <c r="J1373" s="1">
        <v>5</v>
      </c>
      <c r="K1373" s="3" t="s">
        <v>59</v>
      </c>
      <c r="L1373" s="1">
        <v>1</v>
      </c>
      <c r="M1373" s="1">
        <v>1935</v>
      </c>
      <c r="N1373" s="1">
        <v>4</v>
      </c>
      <c r="O1373" s="3" t="s">
        <v>39</v>
      </c>
      <c r="P1373" s="1">
        <v>89</v>
      </c>
      <c r="Q1373" s="1">
        <v>2</v>
      </c>
      <c r="R1373" s="1">
        <v>2</v>
      </c>
      <c r="S1373" s="3" t="s">
        <v>40</v>
      </c>
      <c r="T1373" s="1">
        <v>1</v>
      </c>
      <c r="U1373" s="3" t="s">
        <v>48</v>
      </c>
      <c r="V1373" s="4">
        <v>5380</v>
      </c>
      <c r="W1373" s="1">
        <v>20328</v>
      </c>
      <c r="X1373" s="1">
        <v>4</v>
      </c>
      <c r="Y1373" s="3" t="s">
        <v>42</v>
      </c>
      <c r="Z1373" s="3" t="s">
        <v>43</v>
      </c>
      <c r="AA1373" s="5">
        <v>0.16</v>
      </c>
      <c r="AB1373" s="10" t="str" cm="1">
        <f t="array" ref="AB1373">_xlfn.IFS(AA1373 &lt;= 15%, "Low Hike[11-15%]", AA1373 &lt;= 20%, "Moderate Hike[16-20%]", AA1373 &lt;= 25%,"High Hike[21-25%]")</f>
        <v>Moderate Hike[16-20%]</v>
      </c>
      <c r="AC1373" s="1">
        <v>3</v>
      </c>
      <c r="AD1373" s="1">
        <v>3</v>
      </c>
      <c r="AE1373" s="1">
        <v>80</v>
      </c>
      <c r="AF1373" s="1">
        <v>1</v>
      </c>
      <c r="AG1373" s="1">
        <v>6</v>
      </c>
      <c r="AH1373" s="9" t="str" cm="1">
        <f t="array" ref="AH1373">_xlfn.IFS(AG1373 &lt;= 5, "New[1-5]", AG1373 &lt;= 10, "Early Career[6-10]", AG1373 &lt;= 20, "Established[11-20]", AG1373 &lt;= 30, "Veteran[21-30]", AG1373 &lt;= 40, "Late Career[31-40]")</f>
        <v>Early Career[6-10]</v>
      </c>
      <c r="AI1373" s="1">
        <v>3</v>
      </c>
      <c r="AJ1373" s="1">
        <v>3</v>
      </c>
      <c r="AK1373" s="1">
        <v>0</v>
      </c>
      <c r="AL1373" s="9" t="str" cm="1">
        <f t="array" ref="AL1373">_xlfn.IFS(AK1373 &lt;= 5, "New[1-5]", AK1373 &lt;= 10, "Early Career[6-10]", AK1373 &lt;= 20, "Established[11-20]", AK1373 &lt;= 30, "Veteran[21-30]", AK1373 &lt;= 40, "Late Career[31-40]")</f>
        <v>New[1-5]</v>
      </c>
      <c r="AM1373" s="1">
        <v>0</v>
      </c>
      <c r="AN1373" s="9" t="str" cm="1">
        <f t="array" ref="AN1373">_xlfn.IFS(AM1373 &lt;= 3, "New to Role[1-3]", AM1373 &lt;= 7, "Settled[4-7]", AM1373 &lt;= 12, "Experienced[[8-12]", AM1373 &lt;= 18, "Long Tenured[13-18]")</f>
        <v>New to Role[1-3]</v>
      </c>
      <c r="AO1373" s="1">
        <v>0</v>
      </c>
      <c r="AP1373" s="9" t="str" cm="1">
        <f t="array" ref="AP1373">_xlfn.IFS(AO1373 &lt;= 3, "Recently[1-3]", AO1373 &lt;= 6, "Due Soon[4-6]", AO1373 &lt;= 10, "Overdue[7-10]", AO1373 &lt;= 15, "Long Overdue[11-15]")</f>
        <v>Recently[1-3]</v>
      </c>
      <c r="AQ1373" s="9" t="str" cm="1">
        <f t="array" ref="AQ1373">_xlfn.IFS(AR1373 &lt;= 3, "New Relationship[1-3]", AR1373 &lt;= 7, "Established Relationship[4-7]", AR1373 &lt;= 12, "Long Term Relationship[8-12]", AR1373 &lt;= 17, "Very Long Term Relationship[13-17]")</f>
        <v>New Relationship[1-3]</v>
      </c>
      <c r="AR1373" s="1">
        <v>0</v>
      </c>
    </row>
    <row r="1374" spans="1:44" x14ac:dyDescent="0.25">
      <c r="A1374" s="1">
        <v>39</v>
      </c>
      <c r="B1374" s="8" t="str" cm="1">
        <f t="array" ref="B1374">_xlfn.IFS(A1374 &lt;= 25, "[18-25]", A1374 &lt;= 35, "[26-35]", A1374 &lt;=45, "[36-45]", A1374 &lt;= 60, "[46- 60]")</f>
        <v>[36-45]</v>
      </c>
      <c r="C1374" s="3" t="s">
        <v>43</v>
      </c>
      <c r="D1374">
        <f t="shared" si="21"/>
        <v>0</v>
      </c>
      <c r="E1374" t="s">
        <v>36</v>
      </c>
      <c r="F1374" s="1">
        <v>867</v>
      </c>
      <c r="G1374" s="3" t="s">
        <v>45</v>
      </c>
      <c r="H1374" s="1">
        <v>9</v>
      </c>
      <c r="I1374" s="9" t="str" cm="1">
        <f t="array" ref="I1374">_xlfn.IFS(H1374 &lt;= 2, "[1-2] very close", H1374 &lt;= 10, "[3-10] close", H1374 &lt;= 20, "[11-20] moderate", H1374 &lt;= 30, "[21-30] far")</f>
        <v>[3-10] close</v>
      </c>
      <c r="J1374" s="1">
        <v>2</v>
      </c>
      <c r="K1374" s="3" t="s">
        <v>51</v>
      </c>
      <c r="L1374" s="1">
        <v>1</v>
      </c>
      <c r="M1374" s="1">
        <v>1936</v>
      </c>
      <c r="N1374" s="1">
        <v>1</v>
      </c>
      <c r="O1374" s="3" t="s">
        <v>46</v>
      </c>
      <c r="P1374" s="1">
        <v>87</v>
      </c>
      <c r="Q1374" s="1">
        <v>3</v>
      </c>
      <c r="R1374" s="1">
        <v>2</v>
      </c>
      <c r="S1374" s="3" t="s">
        <v>53</v>
      </c>
      <c r="T1374" s="1">
        <v>1</v>
      </c>
      <c r="U1374" s="3" t="s">
        <v>48</v>
      </c>
      <c r="V1374" s="4">
        <v>5151</v>
      </c>
      <c r="W1374" s="1">
        <v>12315</v>
      </c>
      <c r="X1374" s="1">
        <v>1</v>
      </c>
      <c r="Y1374" s="3" t="s">
        <v>42</v>
      </c>
      <c r="Z1374" s="3" t="s">
        <v>43</v>
      </c>
      <c r="AA1374" s="5">
        <v>0.25</v>
      </c>
      <c r="AB1374" s="10" t="str" cm="1">
        <f t="array" ref="AB1374">_xlfn.IFS(AA1374 &lt;= 15%, "Low Hike[11-15%]", AA1374 &lt;= 20%, "Moderate Hike[16-20%]", AA1374 &lt;= 25%,"High Hike[21-25%]")</f>
        <v>High Hike[21-25%]</v>
      </c>
      <c r="AC1374" s="1">
        <v>4</v>
      </c>
      <c r="AD1374" s="1">
        <v>4</v>
      </c>
      <c r="AE1374" s="1">
        <v>80</v>
      </c>
      <c r="AF1374" s="1">
        <v>1</v>
      </c>
      <c r="AG1374" s="1">
        <v>10</v>
      </c>
      <c r="AH1374" s="9" t="str" cm="1">
        <f t="array" ref="AH1374">_xlfn.IFS(AG1374 &lt;= 5, "New[1-5]", AG1374 &lt;= 10, "Early Career[6-10]", AG1374 &lt;= 20, "Established[11-20]", AG1374 &lt;= 30, "Veteran[21-30]", AG1374 &lt;= 40, "Late Career[31-40]")</f>
        <v>Early Career[6-10]</v>
      </c>
      <c r="AI1374" s="1">
        <v>3</v>
      </c>
      <c r="AJ1374" s="1">
        <v>3</v>
      </c>
      <c r="AK1374" s="1">
        <v>10</v>
      </c>
      <c r="AL1374" s="9" t="str" cm="1">
        <f t="array" ref="AL1374">_xlfn.IFS(AK1374 &lt;= 5, "New[1-5]", AK1374 &lt;= 10, "Early Career[6-10]", AK1374 &lt;= 20, "Established[11-20]", AK1374 &lt;= 30, "Veteran[21-30]", AK1374 &lt;= 40, "Late Career[31-40]")</f>
        <v>Early Career[6-10]</v>
      </c>
      <c r="AM1374" s="1">
        <v>0</v>
      </c>
      <c r="AN1374" s="9" t="str" cm="1">
        <f t="array" ref="AN1374">_xlfn.IFS(AM1374 &lt;= 3, "New to Role[1-3]", AM1374 &lt;= 7, "Settled[4-7]", AM1374 &lt;= 12, "Experienced[[8-12]", AM1374 &lt;= 18, "Long Tenured[13-18]")</f>
        <v>New to Role[1-3]</v>
      </c>
      <c r="AO1374" s="1">
        <v>7</v>
      </c>
      <c r="AP1374" s="9" t="str" cm="1">
        <f t="array" ref="AP1374">_xlfn.IFS(AO1374 &lt;= 3, "Recently[1-3]", AO1374 &lt;= 6, "Due Soon[4-6]", AO1374 &lt;= 10, "Overdue[7-10]", AO1374 &lt;= 15, "Long Overdue[11-15]")</f>
        <v>Overdue[7-10]</v>
      </c>
      <c r="AQ1374" s="9" t="str" cm="1">
        <f t="array" ref="AQ1374">_xlfn.IFS(AR1374 &lt;= 3, "New Relationship[1-3]", AR1374 &lt;= 7, "Established Relationship[4-7]", AR1374 &lt;= 12, "Long Term Relationship[8-12]", AR1374 &lt;= 17, "Very Long Term Relationship[13-17]")</f>
        <v>Long Term Relationship[8-12]</v>
      </c>
      <c r="AR1374" s="1">
        <v>9</v>
      </c>
    </row>
    <row r="1375" spans="1:44" x14ac:dyDescent="0.25">
      <c r="A1375" s="1">
        <v>38</v>
      </c>
      <c r="B1375" s="8" t="str" cm="1">
        <f t="array" ref="B1375">_xlfn.IFS(A1375 &lt;= 25, "[18-25]", A1375 &lt;= 35, "[26-35]", A1375 &lt;=45, "[36-45]", A1375 &lt;= 60, "[46- 60]")</f>
        <v>[36-45]</v>
      </c>
      <c r="C1375" s="3" t="s">
        <v>43</v>
      </c>
      <c r="D1375">
        <f t="shared" si="21"/>
        <v>0</v>
      </c>
      <c r="E1375" t="s">
        <v>44</v>
      </c>
      <c r="F1375" s="1">
        <v>1394</v>
      </c>
      <c r="G1375" s="3" t="s">
        <v>45</v>
      </c>
      <c r="H1375" s="1">
        <v>8</v>
      </c>
      <c r="I1375" s="9" t="str" cm="1">
        <f t="array" ref="I1375">_xlfn.IFS(H1375 &lt;= 2, "[1-2] very close", H1375 &lt;= 10, "[3-10] close", H1375 &lt;= 20, "[11-20] moderate", H1375 &lt;= 30, "[21-30] far")</f>
        <v>[3-10] close</v>
      </c>
      <c r="J1375" s="1">
        <v>3</v>
      </c>
      <c r="K1375" s="3" t="s">
        <v>51</v>
      </c>
      <c r="L1375" s="1">
        <v>1</v>
      </c>
      <c r="M1375" s="1">
        <v>1937</v>
      </c>
      <c r="N1375" s="1">
        <v>4</v>
      </c>
      <c r="O1375" s="3" t="s">
        <v>39</v>
      </c>
      <c r="P1375" s="1">
        <v>58</v>
      </c>
      <c r="Q1375" s="1">
        <v>2</v>
      </c>
      <c r="R1375" s="1">
        <v>2</v>
      </c>
      <c r="S1375" s="3" t="s">
        <v>47</v>
      </c>
      <c r="T1375" s="1">
        <v>2</v>
      </c>
      <c r="U1375" s="3" t="s">
        <v>52</v>
      </c>
      <c r="V1375" s="4">
        <v>2133</v>
      </c>
      <c r="W1375" s="1">
        <v>18115</v>
      </c>
      <c r="X1375" s="1">
        <v>1</v>
      </c>
      <c r="Y1375" s="3" t="s">
        <v>42</v>
      </c>
      <c r="Z1375" s="3" t="s">
        <v>35</v>
      </c>
      <c r="AA1375" s="5">
        <v>0.16</v>
      </c>
      <c r="AB1375" s="10" t="str" cm="1">
        <f t="array" ref="AB1375">_xlfn.IFS(AA1375 &lt;= 15%, "Low Hike[11-15%]", AA1375 &lt;= 20%, "Moderate Hike[16-20%]", AA1375 &lt;= 25%,"High Hike[21-25%]")</f>
        <v>Moderate Hike[16-20%]</v>
      </c>
      <c r="AC1375" s="1">
        <v>3</v>
      </c>
      <c r="AD1375" s="1">
        <v>3</v>
      </c>
      <c r="AE1375" s="1">
        <v>80</v>
      </c>
      <c r="AF1375" s="1">
        <v>1</v>
      </c>
      <c r="AG1375" s="1">
        <v>20</v>
      </c>
      <c r="AH1375" s="9" t="str" cm="1">
        <f t="array" ref="AH1375">_xlfn.IFS(AG1375 &lt;= 5, "New[1-5]", AG1375 &lt;= 10, "Early Career[6-10]", AG1375 &lt;= 20, "Established[11-20]", AG1375 &lt;= 30, "Veteran[21-30]", AG1375 &lt;= 40, "Late Career[31-40]")</f>
        <v>Established[11-20]</v>
      </c>
      <c r="AI1375" s="1">
        <v>3</v>
      </c>
      <c r="AJ1375" s="1">
        <v>3</v>
      </c>
      <c r="AK1375" s="1">
        <v>20</v>
      </c>
      <c r="AL1375" s="9" t="str" cm="1">
        <f t="array" ref="AL1375">_xlfn.IFS(AK1375 &lt;= 5, "New[1-5]", AK1375 &lt;= 10, "Early Career[6-10]", AK1375 &lt;= 20, "Established[11-20]", AK1375 &lt;= 30, "Veteran[21-30]", AK1375 &lt;= 40, "Late Career[31-40]")</f>
        <v>Established[11-20]</v>
      </c>
      <c r="AM1375" s="1">
        <v>11</v>
      </c>
      <c r="AN1375" s="9" t="str" cm="1">
        <f t="array" ref="AN1375">_xlfn.IFS(AM1375 &lt;= 3, "New to Role[1-3]", AM1375 &lt;= 7, "Settled[4-7]", AM1375 &lt;= 12, "Experienced[[8-12]", AM1375 &lt;= 18, "Long Tenured[13-18]")</f>
        <v>Experienced[[8-12]</v>
      </c>
      <c r="AO1375" s="1">
        <v>0</v>
      </c>
      <c r="AP1375" s="9" t="str" cm="1">
        <f t="array" ref="AP1375">_xlfn.IFS(AO1375 &lt;= 3, "Recently[1-3]", AO1375 &lt;= 6, "Due Soon[4-6]", AO1375 &lt;= 10, "Overdue[7-10]", AO1375 &lt;= 15, "Long Overdue[11-15]")</f>
        <v>Recently[1-3]</v>
      </c>
      <c r="AQ1375" s="9" t="str" cm="1">
        <f t="array" ref="AQ1375">_xlfn.IFS(AR1375 &lt;= 3, "New Relationship[1-3]", AR1375 &lt;= 7, "Established Relationship[4-7]", AR1375 &lt;= 12, "Long Term Relationship[8-12]", AR1375 &lt;= 17, "Very Long Term Relationship[13-17]")</f>
        <v>Established Relationship[4-7]</v>
      </c>
      <c r="AR1375" s="1">
        <v>7</v>
      </c>
    </row>
    <row r="1376" spans="1:44" x14ac:dyDescent="0.25">
      <c r="A1376" s="1">
        <v>58</v>
      </c>
      <c r="B1376" s="8" t="str" cm="1">
        <f t="array" ref="B1376">_xlfn.IFS(A1376 &lt;= 25, "[18-25]", A1376 &lt;= 35, "[26-35]", A1376 &lt;=45, "[36-45]", A1376 &lt;= 60, "[46- 60]")</f>
        <v>[46- 60]</v>
      </c>
      <c r="C1376" s="3" t="s">
        <v>43</v>
      </c>
      <c r="D1376">
        <f t="shared" si="21"/>
        <v>0</v>
      </c>
      <c r="E1376" t="s">
        <v>36</v>
      </c>
      <c r="F1376" s="1">
        <v>605</v>
      </c>
      <c r="G1376" s="3" t="s">
        <v>37</v>
      </c>
      <c r="H1376" s="1">
        <v>21</v>
      </c>
      <c r="I1376" s="9" t="str" cm="1">
        <f t="array" ref="I1376">_xlfn.IFS(H1376 &lt;= 2, "[1-2] very close", H1376 &lt;= 10, "[3-10] close", H1376 &lt;= 20, "[11-20] moderate", H1376 &lt;= 30, "[21-30] far")</f>
        <v>[21-30] far</v>
      </c>
      <c r="J1376" s="1">
        <v>3</v>
      </c>
      <c r="K1376" s="3" t="s">
        <v>38</v>
      </c>
      <c r="L1376" s="1">
        <v>1</v>
      </c>
      <c r="M1376" s="1">
        <v>1938</v>
      </c>
      <c r="N1376" s="1">
        <v>4</v>
      </c>
      <c r="O1376" s="3" t="s">
        <v>39</v>
      </c>
      <c r="P1376" s="1">
        <v>72</v>
      </c>
      <c r="Q1376" s="1">
        <v>3</v>
      </c>
      <c r="R1376" s="1">
        <v>4</v>
      </c>
      <c r="S1376" s="3" t="s">
        <v>56</v>
      </c>
      <c r="T1376" s="1">
        <v>4</v>
      </c>
      <c r="U1376" s="3" t="s">
        <v>48</v>
      </c>
      <c r="V1376" s="4">
        <v>17875</v>
      </c>
      <c r="W1376" s="1">
        <v>11761</v>
      </c>
      <c r="X1376" s="1">
        <v>4</v>
      </c>
      <c r="Y1376" s="3" t="s">
        <v>42</v>
      </c>
      <c r="Z1376" s="3" t="s">
        <v>35</v>
      </c>
      <c r="AA1376" s="5">
        <v>0.13</v>
      </c>
      <c r="AB1376" s="10" t="str" cm="1">
        <f t="array" ref="AB1376">_xlfn.IFS(AA1376 &lt;= 15%, "Low Hike[11-15%]", AA1376 &lt;= 20%, "Moderate Hike[16-20%]", AA1376 &lt;= 25%,"High Hike[21-25%]")</f>
        <v>Low Hike[11-15%]</v>
      </c>
      <c r="AC1376" s="1">
        <v>3</v>
      </c>
      <c r="AD1376" s="1">
        <v>3</v>
      </c>
      <c r="AE1376" s="1">
        <v>80</v>
      </c>
      <c r="AF1376" s="1">
        <v>1</v>
      </c>
      <c r="AG1376" s="1">
        <v>29</v>
      </c>
      <c r="AH1376" s="9" t="str" cm="1">
        <f t="array" ref="AH1376">_xlfn.IFS(AG1376 &lt;= 5, "New[1-5]", AG1376 &lt;= 10, "Early Career[6-10]", AG1376 &lt;= 20, "Established[11-20]", AG1376 &lt;= 30, "Veteran[21-30]", AG1376 &lt;= 40, "Late Career[31-40]")</f>
        <v>Veteran[21-30]</v>
      </c>
      <c r="AI1376" s="1">
        <v>2</v>
      </c>
      <c r="AJ1376" s="1">
        <v>2</v>
      </c>
      <c r="AK1376" s="1">
        <v>1</v>
      </c>
      <c r="AL1376" s="9" t="str" cm="1">
        <f t="array" ref="AL1376">_xlfn.IFS(AK1376 &lt;= 5, "New[1-5]", AK1376 &lt;= 10, "Early Career[6-10]", AK1376 &lt;= 20, "Established[11-20]", AK1376 &lt;= 30, "Veteran[21-30]", AK1376 &lt;= 40, "Late Career[31-40]")</f>
        <v>New[1-5]</v>
      </c>
      <c r="AM1376" s="1">
        <v>0</v>
      </c>
      <c r="AN1376" s="9" t="str" cm="1">
        <f t="array" ref="AN1376">_xlfn.IFS(AM1376 &lt;= 3, "New to Role[1-3]", AM1376 &lt;= 7, "Settled[4-7]", AM1376 &lt;= 12, "Experienced[[8-12]", AM1376 &lt;= 18, "Long Tenured[13-18]")</f>
        <v>New to Role[1-3]</v>
      </c>
      <c r="AO1376" s="1">
        <v>0</v>
      </c>
      <c r="AP1376" s="9" t="str" cm="1">
        <f t="array" ref="AP1376">_xlfn.IFS(AO1376 &lt;= 3, "Recently[1-3]", AO1376 &lt;= 6, "Due Soon[4-6]", AO1376 &lt;= 10, "Overdue[7-10]", AO1376 &lt;= 15, "Long Overdue[11-15]")</f>
        <v>Recently[1-3]</v>
      </c>
      <c r="AQ1376" s="9" t="str" cm="1">
        <f t="array" ref="AQ1376">_xlfn.IFS(AR1376 &lt;= 3, "New Relationship[1-3]", AR1376 &lt;= 7, "Established Relationship[4-7]", AR1376 &lt;= 12, "Long Term Relationship[8-12]", AR1376 &lt;= 17, "Very Long Term Relationship[13-17]")</f>
        <v>New Relationship[1-3]</v>
      </c>
      <c r="AR1376" s="1">
        <v>0</v>
      </c>
    </row>
    <row r="1377" spans="1:44" x14ac:dyDescent="0.25">
      <c r="A1377" s="1">
        <v>32</v>
      </c>
      <c r="B1377" s="8" t="str" cm="1">
        <f t="array" ref="B1377">_xlfn.IFS(A1377 &lt;= 25, "[18-25]", A1377 &lt;= 35, "[26-35]", A1377 &lt;=45, "[36-45]", A1377 &lt;= 60, "[46- 60]")</f>
        <v>[26-35]</v>
      </c>
      <c r="C1377" s="3" t="s">
        <v>35</v>
      </c>
      <c r="D1377">
        <f t="shared" si="21"/>
        <v>1</v>
      </c>
      <c r="E1377" t="s">
        <v>44</v>
      </c>
      <c r="F1377" s="1">
        <v>238</v>
      </c>
      <c r="G1377" s="3" t="s">
        <v>45</v>
      </c>
      <c r="H1377" s="1">
        <v>5</v>
      </c>
      <c r="I1377" s="9" t="str" cm="1">
        <f t="array" ref="I1377">_xlfn.IFS(H1377 &lt;= 2, "[1-2] very close", H1377 &lt;= 10, "[3-10] close", H1377 &lt;= 20, "[11-20] moderate", H1377 &lt;= 30, "[21-30] far")</f>
        <v>[3-10] close</v>
      </c>
      <c r="J1377" s="1">
        <v>2</v>
      </c>
      <c r="K1377" s="3" t="s">
        <v>38</v>
      </c>
      <c r="L1377" s="1">
        <v>1</v>
      </c>
      <c r="M1377" s="1">
        <v>1939</v>
      </c>
      <c r="N1377" s="1">
        <v>1</v>
      </c>
      <c r="O1377" s="3" t="s">
        <v>39</v>
      </c>
      <c r="P1377" s="1">
        <v>47</v>
      </c>
      <c r="Q1377" s="1">
        <v>4</v>
      </c>
      <c r="R1377" s="1">
        <v>1</v>
      </c>
      <c r="S1377" s="3" t="s">
        <v>47</v>
      </c>
      <c r="T1377" s="1">
        <v>3</v>
      </c>
      <c r="U1377" s="3" t="s">
        <v>41</v>
      </c>
      <c r="V1377" s="4">
        <v>2432</v>
      </c>
      <c r="W1377" s="1">
        <v>15318</v>
      </c>
      <c r="X1377" s="1">
        <v>3</v>
      </c>
      <c r="Y1377" s="3" t="s">
        <v>42</v>
      </c>
      <c r="Z1377" s="3" t="s">
        <v>35</v>
      </c>
      <c r="AA1377" s="5">
        <v>0.14000000000000001</v>
      </c>
      <c r="AB1377" s="10" t="str" cm="1">
        <f t="array" ref="AB1377">_xlfn.IFS(AA1377 &lt;= 15%, "Low Hike[11-15%]", AA1377 &lt;= 20%, "Moderate Hike[16-20%]", AA1377 &lt;= 25%,"High Hike[21-25%]")</f>
        <v>Low Hike[11-15%]</v>
      </c>
      <c r="AC1377" s="1">
        <v>3</v>
      </c>
      <c r="AD1377" s="1">
        <v>1</v>
      </c>
      <c r="AE1377" s="1">
        <v>80</v>
      </c>
      <c r="AF1377" s="1">
        <v>0</v>
      </c>
      <c r="AG1377" s="1">
        <v>8</v>
      </c>
      <c r="AH1377" s="9" t="str" cm="1">
        <f t="array" ref="AH1377">_xlfn.IFS(AG1377 &lt;= 5, "New[1-5]", AG1377 &lt;= 10, "Early Career[6-10]", AG1377 &lt;= 20, "Established[11-20]", AG1377 &lt;= 30, "Veteran[21-30]", AG1377 &lt;= 40, "Late Career[31-40]")</f>
        <v>Early Career[6-10]</v>
      </c>
      <c r="AI1377" s="1">
        <v>2</v>
      </c>
      <c r="AJ1377" s="1">
        <v>3</v>
      </c>
      <c r="AK1377" s="1">
        <v>4</v>
      </c>
      <c r="AL1377" s="9" t="str" cm="1">
        <f t="array" ref="AL1377">_xlfn.IFS(AK1377 &lt;= 5, "New[1-5]", AK1377 &lt;= 10, "Early Career[6-10]", AK1377 &lt;= 20, "Established[11-20]", AK1377 &lt;= 30, "Veteran[21-30]", AK1377 &lt;= 40, "Late Career[31-40]")</f>
        <v>New[1-5]</v>
      </c>
      <c r="AM1377" s="1">
        <v>1</v>
      </c>
      <c r="AN1377" s="9" t="str" cm="1">
        <f t="array" ref="AN1377">_xlfn.IFS(AM1377 &lt;= 3, "New to Role[1-3]", AM1377 &lt;= 7, "Settled[4-7]", AM1377 &lt;= 12, "Experienced[[8-12]", AM1377 &lt;= 18, "Long Tenured[13-18]")</f>
        <v>New to Role[1-3]</v>
      </c>
      <c r="AO1377" s="1">
        <v>0</v>
      </c>
      <c r="AP1377" s="9" t="str" cm="1">
        <f t="array" ref="AP1377">_xlfn.IFS(AO1377 &lt;= 3, "Recently[1-3]", AO1377 &lt;= 6, "Due Soon[4-6]", AO1377 &lt;= 10, "Overdue[7-10]", AO1377 &lt;= 15, "Long Overdue[11-15]")</f>
        <v>Recently[1-3]</v>
      </c>
      <c r="AQ1377" s="9" t="str" cm="1">
        <f t="array" ref="AQ1377">_xlfn.IFS(AR1377 &lt;= 3, "New Relationship[1-3]", AR1377 &lt;= 7, "Established Relationship[4-7]", AR1377 &lt;= 12, "Long Term Relationship[8-12]", AR1377 &lt;= 17, "Very Long Term Relationship[13-17]")</f>
        <v>New Relationship[1-3]</v>
      </c>
      <c r="AR1377" s="1">
        <v>3</v>
      </c>
    </row>
    <row r="1378" spans="1:44" x14ac:dyDescent="0.25">
      <c r="A1378" s="1">
        <v>38</v>
      </c>
      <c r="B1378" s="8" t="str" cm="1">
        <f t="array" ref="B1378">_xlfn.IFS(A1378 &lt;= 25, "[18-25]", A1378 &lt;= 35, "[26-35]", A1378 &lt;=45, "[36-45]", A1378 &lt;= 60, "[46- 60]")</f>
        <v>[36-45]</v>
      </c>
      <c r="C1378" s="3" t="s">
        <v>43</v>
      </c>
      <c r="D1378">
        <f t="shared" si="21"/>
        <v>0</v>
      </c>
      <c r="E1378" t="s">
        <v>36</v>
      </c>
      <c r="F1378" s="1">
        <v>1206</v>
      </c>
      <c r="G1378" s="3" t="s">
        <v>45</v>
      </c>
      <c r="H1378" s="1">
        <v>9</v>
      </c>
      <c r="I1378" s="9" t="str" cm="1">
        <f t="array" ref="I1378">_xlfn.IFS(H1378 &lt;= 2, "[1-2] very close", H1378 &lt;= 10, "[3-10] close", H1378 &lt;= 20, "[11-20] moderate", H1378 &lt;= 30, "[21-30] far")</f>
        <v>[3-10] close</v>
      </c>
      <c r="J1378" s="1">
        <v>2</v>
      </c>
      <c r="K1378" s="3" t="s">
        <v>38</v>
      </c>
      <c r="L1378" s="1">
        <v>1</v>
      </c>
      <c r="M1378" s="1">
        <v>1940</v>
      </c>
      <c r="N1378" s="1">
        <v>2</v>
      </c>
      <c r="O1378" s="3" t="s">
        <v>46</v>
      </c>
      <c r="P1378" s="1">
        <v>71</v>
      </c>
      <c r="Q1378" s="1">
        <v>3</v>
      </c>
      <c r="R1378" s="1">
        <v>1</v>
      </c>
      <c r="S1378" s="3" t="s">
        <v>47</v>
      </c>
      <c r="T1378" s="1">
        <v>4</v>
      </c>
      <c r="U1378" s="3" t="s">
        <v>52</v>
      </c>
      <c r="V1378" s="4">
        <v>4771</v>
      </c>
      <c r="W1378" s="1">
        <v>14293</v>
      </c>
      <c r="X1378" s="1">
        <v>2</v>
      </c>
      <c r="Y1378" s="3" t="s">
        <v>42</v>
      </c>
      <c r="Z1378" s="3" t="s">
        <v>43</v>
      </c>
      <c r="AA1378" s="5">
        <v>0.19</v>
      </c>
      <c r="AB1378" s="10" t="str" cm="1">
        <f t="array" ref="AB1378">_xlfn.IFS(AA1378 &lt;= 15%, "Low Hike[11-15%]", AA1378 &lt;= 20%, "Moderate Hike[16-20%]", AA1378 &lt;= 25%,"High Hike[21-25%]")</f>
        <v>Moderate Hike[16-20%]</v>
      </c>
      <c r="AC1378" s="1">
        <v>3</v>
      </c>
      <c r="AD1378" s="1">
        <v>4</v>
      </c>
      <c r="AE1378" s="1">
        <v>80</v>
      </c>
      <c r="AF1378" s="1">
        <v>2</v>
      </c>
      <c r="AG1378" s="1">
        <v>10</v>
      </c>
      <c r="AH1378" s="9" t="str" cm="1">
        <f t="array" ref="AH1378">_xlfn.IFS(AG1378 &lt;= 5, "New[1-5]", AG1378 &lt;= 10, "Early Career[6-10]", AG1378 &lt;= 20, "Established[11-20]", AG1378 &lt;= 30, "Veteran[21-30]", AG1378 &lt;= 40, "Late Career[31-40]")</f>
        <v>Early Career[6-10]</v>
      </c>
      <c r="AI1378" s="1">
        <v>0</v>
      </c>
      <c r="AJ1378" s="1">
        <v>4</v>
      </c>
      <c r="AK1378" s="1">
        <v>5</v>
      </c>
      <c r="AL1378" s="9" t="str" cm="1">
        <f t="array" ref="AL1378">_xlfn.IFS(AK1378 &lt;= 5, "New[1-5]", AK1378 &lt;= 10, "Early Career[6-10]", AK1378 &lt;= 20, "Established[11-20]", AK1378 &lt;= 30, "Veteran[21-30]", AK1378 &lt;= 40, "Late Career[31-40]")</f>
        <v>New[1-5]</v>
      </c>
      <c r="AM1378" s="1">
        <v>2</v>
      </c>
      <c r="AN1378" s="9" t="str" cm="1">
        <f t="array" ref="AN1378">_xlfn.IFS(AM1378 &lt;= 3, "New to Role[1-3]", AM1378 &lt;= 7, "Settled[4-7]", AM1378 &lt;= 12, "Experienced[[8-12]", AM1378 &lt;= 18, "Long Tenured[13-18]")</f>
        <v>New to Role[1-3]</v>
      </c>
      <c r="AO1378" s="1">
        <v>0</v>
      </c>
      <c r="AP1378" s="9" t="str" cm="1">
        <f t="array" ref="AP1378">_xlfn.IFS(AO1378 &lt;= 3, "Recently[1-3]", AO1378 &lt;= 6, "Due Soon[4-6]", AO1378 &lt;= 10, "Overdue[7-10]", AO1378 &lt;= 15, "Long Overdue[11-15]")</f>
        <v>Recently[1-3]</v>
      </c>
      <c r="AQ1378" s="9" t="str" cm="1">
        <f t="array" ref="AQ1378">_xlfn.IFS(AR1378 &lt;= 3, "New Relationship[1-3]", AR1378 &lt;= 7, "Established Relationship[4-7]", AR1378 &lt;= 12, "Long Term Relationship[8-12]", AR1378 &lt;= 17, "Very Long Term Relationship[13-17]")</f>
        <v>New Relationship[1-3]</v>
      </c>
      <c r="AR1378" s="1">
        <v>3</v>
      </c>
    </row>
    <row r="1379" spans="1:44" x14ac:dyDescent="0.25">
      <c r="A1379" s="1">
        <v>49</v>
      </c>
      <c r="B1379" s="8" t="str" cm="1">
        <f t="array" ref="B1379">_xlfn.IFS(A1379 &lt;= 25, "[18-25]", A1379 &lt;= 35, "[26-35]", A1379 &lt;=45, "[36-45]", A1379 &lt;= 60, "[46- 60]")</f>
        <v>[46- 60]</v>
      </c>
      <c r="C1379" s="3" t="s">
        <v>43</v>
      </c>
      <c r="D1379">
        <f t="shared" si="21"/>
        <v>0</v>
      </c>
      <c r="E1379" t="s">
        <v>44</v>
      </c>
      <c r="F1379" s="1">
        <v>1064</v>
      </c>
      <c r="G1379" s="3" t="s">
        <v>45</v>
      </c>
      <c r="H1379" s="1">
        <v>2</v>
      </c>
      <c r="I1379" s="9" t="str" cm="1">
        <f t="array" ref="I1379">_xlfn.IFS(H1379 &lt;= 2, "[1-2] very close", H1379 &lt;= 10, "[3-10] close", H1379 &lt;= 20, "[11-20] moderate", H1379 &lt;= 30, "[21-30] far")</f>
        <v>[1-2] very close</v>
      </c>
      <c r="J1379" s="1">
        <v>1</v>
      </c>
      <c r="K1379" s="3" t="s">
        <v>38</v>
      </c>
      <c r="L1379" s="1">
        <v>1</v>
      </c>
      <c r="M1379" s="1">
        <v>1941</v>
      </c>
      <c r="N1379" s="1">
        <v>2</v>
      </c>
      <c r="O1379" s="3" t="s">
        <v>46</v>
      </c>
      <c r="P1379" s="1">
        <v>42</v>
      </c>
      <c r="Q1379" s="1">
        <v>3</v>
      </c>
      <c r="R1379" s="1">
        <v>5</v>
      </c>
      <c r="S1379" s="3" t="s">
        <v>58</v>
      </c>
      <c r="T1379" s="1">
        <v>4</v>
      </c>
      <c r="U1379" s="3" t="s">
        <v>48</v>
      </c>
      <c r="V1379" s="4">
        <v>19161</v>
      </c>
      <c r="W1379" s="1">
        <v>13738</v>
      </c>
      <c r="X1379" s="1">
        <v>3</v>
      </c>
      <c r="Y1379" s="3" t="s">
        <v>42</v>
      </c>
      <c r="Z1379" s="3" t="s">
        <v>43</v>
      </c>
      <c r="AA1379" s="5">
        <v>0.15</v>
      </c>
      <c r="AB1379" s="10" t="str" cm="1">
        <f t="array" ref="AB1379">_xlfn.IFS(AA1379 &lt;= 15%, "Low Hike[11-15%]", AA1379 &lt;= 20%, "Moderate Hike[16-20%]", AA1379 &lt;= 25%,"High Hike[21-25%]")</f>
        <v>Low Hike[11-15%]</v>
      </c>
      <c r="AC1379" s="1">
        <v>3</v>
      </c>
      <c r="AD1379" s="1">
        <v>4</v>
      </c>
      <c r="AE1379" s="1">
        <v>80</v>
      </c>
      <c r="AF1379" s="1">
        <v>0</v>
      </c>
      <c r="AG1379" s="1">
        <v>28</v>
      </c>
      <c r="AH1379" s="9" t="str" cm="1">
        <f t="array" ref="AH1379">_xlfn.IFS(AG1379 &lt;= 5, "New[1-5]", AG1379 &lt;= 10, "Early Career[6-10]", AG1379 &lt;= 20, "Established[11-20]", AG1379 &lt;= 30, "Veteran[21-30]", AG1379 &lt;= 40, "Late Career[31-40]")</f>
        <v>Veteran[21-30]</v>
      </c>
      <c r="AI1379" s="1">
        <v>3</v>
      </c>
      <c r="AJ1379" s="1">
        <v>3</v>
      </c>
      <c r="AK1379" s="1">
        <v>5</v>
      </c>
      <c r="AL1379" s="9" t="str" cm="1">
        <f t="array" ref="AL1379">_xlfn.IFS(AK1379 &lt;= 5, "New[1-5]", AK1379 &lt;= 10, "Early Career[6-10]", AK1379 &lt;= 20, "Established[11-20]", AK1379 &lt;= 30, "Veteran[21-30]", AK1379 &lt;= 40, "Late Career[31-40]")</f>
        <v>New[1-5]</v>
      </c>
      <c r="AM1379" s="1">
        <v>4</v>
      </c>
      <c r="AN1379" s="9" t="str" cm="1">
        <f t="array" ref="AN1379">_xlfn.IFS(AM1379 &lt;= 3, "New to Role[1-3]", AM1379 &lt;= 7, "Settled[4-7]", AM1379 &lt;= 12, "Experienced[[8-12]", AM1379 &lt;= 18, "Long Tenured[13-18]")</f>
        <v>Settled[4-7]</v>
      </c>
      <c r="AO1379" s="1">
        <v>4</v>
      </c>
      <c r="AP1379" s="9" t="str" cm="1">
        <f t="array" ref="AP1379">_xlfn.IFS(AO1379 &lt;= 3, "Recently[1-3]", AO1379 &lt;= 6, "Due Soon[4-6]", AO1379 &lt;= 10, "Overdue[7-10]", AO1379 &lt;= 15, "Long Overdue[11-15]")</f>
        <v>Due Soon[4-6]</v>
      </c>
      <c r="AQ1379" s="9" t="str" cm="1">
        <f t="array" ref="AQ1379">_xlfn.IFS(AR1379 &lt;= 3, "New Relationship[1-3]", AR1379 &lt;= 7, "Established Relationship[4-7]", AR1379 &lt;= 12, "Long Term Relationship[8-12]", AR1379 &lt;= 17, "Very Long Term Relationship[13-17]")</f>
        <v>New Relationship[1-3]</v>
      </c>
      <c r="AR1379" s="1">
        <v>3</v>
      </c>
    </row>
    <row r="1380" spans="1:44" x14ac:dyDescent="0.25">
      <c r="A1380" s="1">
        <v>42</v>
      </c>
      <c r="B1380" s="8" t="str" cm="1">
        <f t="array" ref="B1380">_xlfn.IFS(A1380 &lt;= 25, "[18-25]", A1380 &lt;= 35, "[26-35]", A1380 &lt;=45, "[36-45]", A1380 &lt;= 60, "[46- 60]")</f>
        <v>[36-45]</v>
      </c>
      <c r="C1380" s="3" t="s">
        <v>43</v>
      </c>
      <c r="D1380">
        <f t="shared" si="21"/>
        <v>0</v>
      </c>
      <c r="E1380" t="s">
        <v>36</v>
      </c>
      <c r="F1380" s="1">
        <v>419</v>
      </c>
      <c r="G1380" s="3" t="s">
        <v>37</v>
      </c>
      <c r="H1380" s="1">
        <v>12</v>
      </c>
      <c r="I1380" s="9" t="str" cm="1">
        <f t="array" ref="I1380">_xlfn.IFS(H1380 &lt;= 2, "[1-2] very close", H1380 &lt;= 10, "[3-10] close", H1380 &lt;= 20, "[11-20] moderate", H1380 &lt;= 30, "[21-30] far")</f>
        <v>[11-20] moderate</v>
      </c>
      <c r="J1380" s="1">
        <v>4</v>
      </c>
      <c r="K1380" s="3" t="s">
        <v>59</v>
      </c>
      <c r="L1380" s="1">
        <v>1</v>
      </c>
      <c r="M1380" s="1">
        <v>1943</v>
      </c>
      <c r="N1380" s="1">
        <v>2</v>
      </c>
      <c r="O1380" s="3" t="s">
        <v>46</v>
      </c>
      <c r="P1380" s="1">
        <v>77</v>
      </c>
      <c r="Q1380" s="1">
        <v>3</v>
      </c>
      <c r="R1380" s="1">
        <v>2</v>
      </c>
      <c r="S1380" s="3" t="s">
        <v>40</v>
      </c>
      <c r="T1380" s="1">
        <v>4</v>
      </c>
      <c r="U1380" s="3" t="s">
        <v>52</v>
      </c>
      <c r="V1380" s="4">
        <v>5087</v>
      </c>
      <c r="W1380" s="1">
        <v>2900</v>
      </c>
      <c r="X1380" s="1">
        <v>3</v>
      </c>
      <c r="Y1380" s="3" t="s">
        <v>42</v>
      </c>
      <c r="Z1380" s="3" t="s">
        <v>35</v>
      </c>
      <c r="AA1380" s="5">
        <v>0.12</v>
      </c>
      <c r="AB1380" s="10" t="str" cm="1">
        <f t="array" ref="AB1380">_xlfn.IFS(AA1380 &lt;= 15%, "Low Hike[11-15%]", AA1380 &lt;= 20%, "Moderate Hike[16-20%]", AA1380 &lt;= 25%,"High Hike[21-25%]")</f>
        <v>Low Hike[11-15%]</v>
      </c>
      <c r="AC1380" s="1">
        <v>3</v>
      </c>
      <c r="AD1380" s="1">
        <v>3</v>
      </c>
      <c r="AE1380" s="1">
        <v>80</v>
      </c>
      <c r="AF1380" s="1">
        <v>2</v>
      </c>
      <c r="AG1380" s="1">
        <v>14</v>
      </c>
      <c r="AH1380" s="9" t="str" cm="1">
        <f t="array" ref="AH1380">_xlfn.IFS(AG1380 &lt;= 5, "New[1-5]", AG1380 &lt;= 10, "Early Career[6-10]", AG1380 &lt;= 20, "Established[11-20]", AG1380 &lt;= 30, "Veteran[21-30]", AG1380 &lt;= 40, "Late Career[31-40]")</f>
        <v>Established[11-20]</v>
      </c>
      <c r="AI1380" s="1">
        <v>4</v>
      </c>
      <c r="AJ1380" s="1">
        <v>3</v>
      </c>
      <c r="AK1380" s="1">
        <v>0</v>
      </c>
      <c r="AL1380" s="9" t="str" cm="1">
        <f t="array" ref="AL1380">_xlfn.IFS(AK1380 &lt;= 5, "New[1-5]", AK1380 &lt;= 10, "Early Career[6-10]", AK1380 &lt;= 20, "Established[11-20]", AK1380 &lt;= 30, "Veteran[21-30]", AK1380 &lt;= 40, "Late Career[31-40]")</f>
        <v>New[1-5]</v>
      </c>
      <c r="AM1380" s="1">
        <v>0</v>
      </c>
      <c r="AN1380" s="9" t="str" cm="1">
        <f t="array" ref="AN1380">_xlfn.IFS(AM1380 &lt;= 3, "New to Role[1-3]", AM1380 &lt;= 7, "Settled[4-7]", AM1380 &lt;= 12, "Experienced[[8-12]", AM1380 &lt;= 18, "Long Tenured[13-18]")</f>
        <v>New to Role[1-3]</v>
      </c>
      <c r="AO1380" s="1">
        <v>0</v>
      </c>
      <c r="AP1380" s="9" t="str" cm="1">
        <f t="array" ref="AP1380">_xlfn.IFS(AO1380 &lt;= 3, "Recently[1-3]", AO1380 &lt;= 6, "Due Soon[4-6]", AO1380 &lt;= 10, "Overdue[7-10]", AO1380 &lt;= 15, "Long Overdue[11-15]")</f>
        <v>Recently[1-3]</v>
      </c>
      <c r="AQ1380" s="9" t="str" cm="1">
        <f t="array" ref="AQ1380">_xlfn.IFS(AR1380 &lt;= 3, "New Relationship[1-3]", AR1380 &lt;= 7, "Established Relationship[4-7]", AR1380 &lt;= 12, "Long Term Relationship[8-12]", AR1380 &lt;= 17, "Very Long Term Relationship[13-17]")</f>
        <v>New Relationship[1-3]</v>
      </c>
      <c r="AR1380" s="1">
        <v>0</v>
      </c>
    </row>
    <row r="1381" spans="1:44" x14ac:dyDescent="0.25">
      <c r="A1381" s="1">
        <v>27</v>
      </c>
      <c r="B1381" s="8" t="str" cm="1">
        <f t="array" ref="B1381">_xlfn.IFS(A1381 &lt;= 25, "[18-25]", A1381 &lt;= 35, "[26-35]", A1381 &lt;=45, "[36-45]", A1381 &lt;= 60, "[46- 60]")</f>
        <v>[26-35]</v>
      </c>
      <c r="C1381" s="3" t="s">
        <v>35</v>
      </c>
      <c r="D1381">
        <f t="shared" si="21"/>
        <v>1</v>
      </c>
      <c r="E1381" t="s">
        <v>44</v>
      </c>
      <c r="F1381" s="1">
        <v>1337</v>
      </c>
      <c r="G1381" s="3" t="s">
        <v>61</v>
      </c>
      <c r="H1381" s="1">
        <v>22</v>
      </c>
      <c r="I1381" s="9" t="str" cm="1">
        <f t="array" ref="I1381">_xlfn.IFS(H1381 &lt;= 2, "[1-2] very close", H1381 &lt;= 10, "[3-10] close", H1381 &lt;= 20, "[11-20] moderate", H1381 &lt;= 30, "[21-30] far")</f>
        <v>[21-30] far</v>
      </c>
      <c r="J1381" s="1">
        <v>3</v>
      </c>
      <c r="K1381" s="3" t="s">
        <v>61</v>
      </c>
      <c r="L1381" s="1">
        <v>1</v>
      </c>
      <c r="M1381" s="1">
        <v>1944</v>
      </c>
      <c r="N1381" s="1">
        <v>1</v>
      </c>
      <c r="O1381" s="3" t="s">
        <v>39</v>
      </c>
      <c r="P1381" s="1">
        <v>58</v>
      </c>
      <c r="Q1381" s="1">
        <v>2</v>
      </c>
      <c r="R1381" s="1">
        <v>1</v>
      </c>
      <c r="S1381" s="3" t="s">
        <v>61</v>
      </c>
      <c r="T1381" s="1">
        <v>2</v>
      </c>
      <c r="U1381" s="3" t="s">
        <v>48</v>
      </c>
      <c r="V1381" s="4">
        <v>2863</v>
      </c>
      <c r="W1381" s="1">
        <v>19555</v>
      </c>
      <c r="X1381" s="1">
        <v>1</v>
      </c>
      <c r="Y1381" s="3" t="s">
        <v>42</v>
      </c>
      <c r="Z1381" s="3" t="s">
        <v>43</v>
      </c>
      <c r="AA1381" s="5">
        <v>0.12</v>
      </c>
      <c r="AB1381" s="10" t="str" cm="1">
        <f t="array" ref="AB1381">_xlfn.IFS(AA1381 &lt;= 15%, "Low Hike[11-15%]", AA1381 &lt;= 20%, "Moderate Hike[16-20%]", AA1381 &lt;= 25%,"High Hike[21-25%]")</f>
        <v>Low Hike[11-15%]</v>
      </c>
      <c r="AC1381" s="1">
        <v>3</v>
      </c>
      <c r="AD1381" s="1">
        <v>1</v>
      </c>
      <c r="AE1381" s="1">
        <v>80</v>
      </c>
      <c r="AF1381" s="1">
        <v>0</v>
      </c>
      <c r="AG1381" s="1">
        <v>1</v>
      </c>
      <c r="AH1381" s="9" t="str" cm="1">
        <f t="array" ref="AH1381">_xlfn.IFS(AG1381 &lt;= 5, "New[1-5]", AG1381 &lt;= 10, "Early Career[6-10]", AG1381 &lt;= 20, "Established[11-20]", AG1381 &lt;= 30, "Veteran[21-30]", AG1381 &lt;= 40, "Late Career[31-40]")</f>
        <v>New[1-5]</v>
      </c>
      <c r="AI1381" s="1">
        <v>2</v>
      </c>
      <c r="AJ1381" s="1">
        <v>3</v>
      </c>
      <c r="AK1381" s="1">
        <v>1</v>
      </c>
      <c r="AL1381" s="9" t="str" cm="1">
        <f t="array" ref="AL1381">_xlfn.IFS(AK1381 &lt;= 5, "New[1-5]", AK1381 &lt;= 10, "Early Career[6-10]", AK1381 &lt;= 20, "Established[11-20]", AK1381 &lt;= 30, "Veteran[21-30]", AK1381 &lt;= 40, "Late Career[31-40]")</f>
        <v>New[1-5]</v>
      </c>
      <c r="AM1381" s="1">
        <v>0</v>
      </c>
      <c r="AN1381" s="9" t="str" cm="1">
        <f t="array" ref="AN1381">_xlfn.IFS(AM1381 &lt;= 3, "New to Role[1-3]", AM1381 &lt;= 7, "Settled[4-7]", AM1381 &lt;= 12, "Experienced[[8-12]", AM1381 &lt;= 18, "Long Tenured[13-18]")</f>
        <v>New to Role[1-3]</v>
      </c>
      <c r="AO1381" s="1">
        <v>0</v>
      </c>
      <c r="AP1381" s="9" t="str" cm="1">
        <f t="array" ref="AP1381">_xlfn.IFS(AO1381 &lt;= 3, "Recently[1-3]", AO1381 &lt;= 6, "Due Soon[4-6]", AO1381 &lt;= 10, "Overdue[7-10]", AO1381 &lt;= 15, "Long Overdue[11-15]")</f>
        <v>Recently[1-3]</v>
      </c>
      <c r="AQ1381" s="9" t="str" cm="1">
        <f t="array" ref="AQ1381">_xlfn.IFS(AR1381 &lt;= 3, "New Relationship[1-3]", AR1381 &lt;= 7, "Established Relationship[4-7]", AR1381 &lt;= 12, "Long Term Relationship[8-12]", AR1381 &lt;= 17, "Very Long Term Relationship[13-17]")</f>
        <v>New Relationship[1-3]</v>
      </c>
      <c r="AR1381" s="1">
        <v>0</v>
      </c>
    </row>
    <row r="1382" spans="1:44" x14ac:dyDescent="0.25">
      <c r="A1382" s="1">
        <v>35</v>
      </c>
      <c r="B1382" s="8" t="str" cm="1">
        <f t="array" ref="B1382">_xlfn.IFS(A1382 &lt;= 25, "[18-25]", A1382 &lt;= 35, "[26-35]", A1382 &lt;=45, "[36-45]", A1382 &lt;= 60, "[46- 60]")</f>
        <v>[26-35]</v>
      </c>
      <c r="C1382" s="3" t="s">
        <v>43</v>
      </c>
      <c r="D1382">
        <f t="shared" si="21"/>
        <v>0</v>
      </c>
      <c r="E1382" t="s">
        <v>36</v>
      </c>
      <c r="F1382" s="1">
        <v>682</v>
      </c>
      <c r="G1382" s="3" t="s">
        <v>37</v>
      </c>
      <c r="H1382" s="1">
        <v>18</v>
      </c>
      <c r="I1382" s="9" t="str" cm="1">
        <f t="array" ref="I1382">_xlfn.IFS(H1382 &lt;= 2, "[1-2] very close", H1382 &lt;= 10, "[3-10] close", H1382 &lt;= 20, "[11-20] moderate", H1382 &lt;= 30, "[21-30] far")</f>
        <v>[11-20] moderate</v>
      </c>
      <c r="J1382" s="1">
        <v>4</v>
      </c>
      <c r="K1382" s="3" t="s">
        <v>51</v>
      </c>
      <c r="L1382" s="1">
        <v>1</v>
      </c>
      <c r="M1382" s="1">
        <v>1945</v>
      </c>
      <c r="N1382" s="1">
        <v>2</v>
      </c>
      <c r="O1382" s="3" t="s">
        <v>46</v>
      </c>
      <c r="P1382" s="1">
        <v>71</v>
      </c>
      <c r="Q1382" s="1">
        <v>3</v>
      </c>
      <c r="R1382" s="1">
        <v>2</v>
      </c>
      <c r="S1382" s="3" t="s">
        <v>40</v>
      </c>
      <c r="T1382" s="1">
        <v>1</v>
      </c>
      <c r="U1382" s="3" t="s">
        <v>48</v>
      </c>
      <c r="V1382" s="4">
        <v>5561</v>
      </c>
      <c r="W1382" s="1">
        <v>15975</v>
      </c>
      <c r="X1382" s="1">
        <v>0</v>
      </c>
      <c r="Y1382" s="3" t="s">
        <v>42</v>
      </c>
      <c r="Z1382" s="3" t="s">
        <v>43</v>
      </c>
      <c r="AA1382" s="5">
        <v>0.16</v>
      </c>
      <c r="AB1382" s="10" t="str" cm="1">
        <f t="array" ref="AB1382">_xlfn.IFS(AA1382 &lt;= 15%, "Low Hike[11-15%]", AA1382 &lt;= 20%, "Moderate Hike[16-20%]", AA1382 &lt;= 25%,"High Hike[21-25%]")</f>
        <v>Moderate Hike[16-20%]</v>
      </c>
      <c r="AC1382" s="1">
        <v>3</v>
      </c>
      <c r="AD1382" s="1">
        <v>4</v>
      </c>
      <c r="AE1382" s="1">
        <v>80</v>
      </c>
      <c r="AF1382" s="1">
        <v>1</v>
      </c>
      <c r="AG1382" s="1">
        <v>6</v>
      </c>
      <c r="AH1382" s="9" t="str" cm="1">
        <f t="array" ref="AH1382">_xlfn.IFS(AG1382 &lt;= 5, "New[1-5]", AG1382 &lt;= 10, "Early Career[6-10]", AG1382 &lt;= 20, "Established[11-20]", AG1382 &lt;= 30, "Veteran[21-30]", AG1382 &lt;= 40, "Late Career[31-40]")</f>
        <v>Early Career[6-10]</v>
      </c>
      <c r="AI1382" s="1">
        <v>2</v>
      </c>
      <c r="AJ1382" s="1">
        <v>1</v>
      </c>
      <c r="AK1382" s="1">
        <v>5</v>
      </c>
      <c r="AL1382" s="9" t="str" cm="1">
        <f t="array" ref="AL1382">_xlfn.IFS(AK1382 &lt;= 5, "New[1-5]", AK1382 &lt;= 10, "Early Career[6-10]", AK1382 &lt;= 20, "Established[11-20]", AK1382 &lt;= 30, "Veteran[21-30]", AK1382 &lt;= 40, "Late Career[31-40]")</f>
        <v>New[1-5]</v>
      </c>
      <c r="AM1382" s="1">
        <v>3</v>
      </c>
      <c r="AN1382" s="9" t="str" cm="1">
        <f t="array" ref="AN1382">_xlfn.IFS(AM1382 &lt;= 3, "New to Role[1-3]", AM1382 &lt;= 7, "Settled[4-7]", AM1382 &lt;= 12, "Experienced[[8-12]", AM1382 &lt;= 18, "Long Tenured[13-18]")</f>
        <v>New to Role[1-3]</v>
      </c>
      <c r="AO1382" s="1">
        <v>0</v>
      </c>
      <c r="AP1382" s="9" t="str" cm="1">
        <f t="array" ref="AP1382">_xlfn.IFS(AO1382 &lt;= 3, "Recently[1-3]", AO1382 &lt;= 6, "Due Soon[4-6]", AO1382 &lt;= 10, "Overdue[7-10]", AO1382 &lt;= 15, "Long Overdue[11-15]")</f>
        <v>Recently[1-3]</v>
      </c>
      <c r="AQ1382" s="9" t="str" cm="1">
        <f t="array" ref="AQ1382">_xlfn.IFS(AR1382 &lt;= 3, "New Relationship[1-3]", AR1382 &lt;= 7, "Established Relationship[4-7]", AR1382 &lt;= 12, "Long Term Relationship[8-12]", AR1382 &lt;= 17, "Very Long Term Relationship[13-17]")</f>
        <v>Established Relationship[4-7]</v>
      </c>
      <c r="AR1382" s="1">
        <v>4</v>
      </c>
    </row>
    <row r="1383" spans="1:44" x14ac:dyDescent="0.25">
      <c r="A1383" s="1">
        <v>28</v>
      </c>
      <c r="B1383" s="8" t="str" cm="1">
        <f t="array" ref="B1383">_xlfn.IFS(A1383 &lt;= 25, "[18-25]", A1383 &lt;= 35, "[26-35]", A1383 &lt;=45, "[36-45]", A1383 &lt;= 60, "[46- 60]")</f>
        <v>[26-35]</v>
      </c>
      <c r="C1383" s="3" t="s">
        <v>43</v>
      </c>
      <c r="D1383">
        <f t="shared" si="21"/>
        <v>0</v>
      </c>
      <c r="E1383" t="s">
        <v>62</v>
      </c>
      <c r="F1383" s="1">
        <v>1103</v>
      </c>
      <c r="G1383" s="3" t="s">
        <v>45</v>
      </c>
      <c r="H1383" s="1">
        <v>16</v>
      </c>
      <c r="I1383" s="9" t="str" cm="1">
        <f t="array" ref="I1383">_xlfn.IFS(H1383 &lt;= 2, "[1-2] very close", H1383 &lt;= 10, "[3-10] close", H1383 &lt;= 20, "[11-20] moderate", H1383 &lt;= 30, "[21-30] far")</f>
        <v>[11-20] moderate</v>
      </c>
      <c r="J1383" s="1">
        <v>3</v>
      </c>
      <c r="K1383" s="3" t="s">
        <v>51</v>
      </c>
      <c r="L1383" s="1">
        <v>1</v>
      </c>
      <c r="M1383" s="1">
        <v>1947</v>
      </c>
      <c r="N1383" s="1">
        <v>3</v>
      </c>
      <c r="O1383" s="3" t="s">
        <v>46</v>
      </c>
      <c r="P1383" s="1">
        <v>49</v>
      </c>
      <c r="Q1383" s="1">
        <v>3</v>
      </c>
      <c r="R1383" s="1">
        <v>1</v>
      </c>
      <c r="S1383" s="3" t="s">
        <v>47</v>
      </c>
      <c r="T1383" s="1">
        <v>3</v>
      </c>
      <c r="U1383" s="3" t="s">
        <v>41</v>
      </c>
      <c r="V1383" s="4">
        <v>2144</v>
      </c>
      <c r="W1383" s="1">
        <v>2122</v>
      </c>
      <c r="X1383" s="1">
        <v>1</v>
      </c>
      <c r="Y1383" s="3" t="s">
        <v>42</v>
      </c>
      <c r="Z1383" s="3" t="s">
        <v>43</v>
      </c>
      <c r="AA1383" s="5">
        <v>0.14000000000000001</v>
      </c>
      <c r="AB1383" s="10" t="str" cm="1">
        <f t="array" ref="AB1383">_xlfn.IFS(AA1383 &lt;= 15%, "Low Hike[11-15%]", AA1383 &lt;= 20%, "Moderate Hike[16-20%]", AA1383 &lt;= 25%,"High Hike[21-25%]")</f>
        <v>Low Hike[11-15%]</v>
      </c>
      <c r="AC1383" s="1">
        <v>3</v>
      </c>
      <c r="AD1383" s="1">
        <v>3</v>
      </c>
      <c r="AE1383" s="1">
        <v>80</v>
      </c>
      <c r="AF1383" s="1">
        <v>0</v>
      </c>
      <c r="AG1383" s="1">
        <v>5</v>
      </c>
      <c r="AH1383" s="9" t="str" cm="1">
        <f t="array" ref="AH1383">_xlfn.IFS(AG1383 &lt;= 5, "New[1-5]", AG1383 &lt;= 10, "Early Career[6-10]", AG1383 &lt;= 20, "Established[11-20]", AG1383 &lt;= 30, "Veteran[21-30]", AG1383 &lt;= 40, "Late Career[31-40]")</f>
        <v>New[1-5]</v>
      </c>
      <c r="AI1383" s="1">
        <v>3</v>
      </c>
      <c r="AJ1383" s="1">
        <v>2</v>
      </c>
      <c r="AK1383" s="1">
        <v>5</v>
      </c>
      <c r="AL1383" s="9" t="str" cm="1">
        <f t="array" ref="AL1383">_xlfn.IFS(AK1383 &lt;= 5, "New[1-5]", AK1383 &lt;= 10, "Early Career[6-10]", AK1383 &lt;= 20, "Established[11-20]", AK1383 &lt;= 30, "Veteran[21-30]", AK1383 &lt;= 40, "Late Career[31-40]")</f>
        <v>New[1-5]</v>
      </c>
      <c r="AM1383" s="1">
        <v>3</v>
      </c>
      <c r="AN1383" s="9" t="str" cm="1">
        <f t="array" ref="AN1383">_xlfn.IFS(AM1383 &lt;= 3, "New to Role[1-3]", AM1383 &lt;= 7, "Settled[4-7]", AM1383 &lt;= 12, "Experienced[[8-12]", AM1383 &lt;= 18, "Long Tenured[13-18]")</f>
        <v>New to Role[1-3]</v>
      </c>
      <c r="AO1383" s="1">
        <v>1</v>
      </c>
      <c r="AP1383" s="9" t="str" cm="1">
        <f t="array" ref="AP1383">_xlfn.IFS(AO1383 &lt;= 3, "Recently[1-3]", AO1383 &lt;= 6, "Due Soon[4-6]", AO1383 &lt;= 10, "Overdue[7-10]", AO1383 &lt;= 15, "Long Overdue[11-15]")</f>
        <v>Recently[1-3]</v>
      </c>
      <c r="AQ1383" s="9" t="str" cm="1">
        <f t="array" ref="AQ1383">_xlfn.IFS(AR1383 &lt;= 3, "New Relationship[1-3]", AR1383 &lt;= 7, "Established Relationship[4-7]", AR1383 &lt;= 12, "Long Term Relationship[8-12]", AR1383 &lt;= 17, "Very Long Term Relationship[13-17]")</f>
        <v>Established Relationship[4-7]</v>
      </c>
      <c r="AR1383" s="1">
        <v>4</v>
      </c>
    </row>
    <row r="1384" spans="1:44" x14ac:dyDescent="0.25">
      <c r="A1384" s="1">
        <v>31</v>
      </c>
      <c r="B1384" s="8" t="str" cm="1">
        <f t="array" ref="B1384">_xlfn.IFS(A1384 &lt;= 25, "[18-25]", A1384 &lt;= 35, "[26-35]", A1384 &lt;=45, "[36-45]", A1384 &lt;= 60, "[46- 60]")</f>
        <v>[26-35]</v>
      </c>
      <c r="C1384" s="3" t="s">
        <v>43</v>
      </c>
      <c r="D1384">
        <f t="shared" si="21"/>
        <v>0</v>
      </c>
      <c r="E1384" t="s">
        <v>62</v>
      </c>
      <c r="F1384" s="1">
        <v>976</v>
      </c>
      <c r="G1384" s="3" t="s">
        <v>45</v>
      </c>
      <c r="H1384" s="1">
        <v>3</v>
      </c>
      <c r="I1384" s="9" t="str" cm="1">
        <f t="array" ref="I1384">_xlfn.IFS(H1384 &lt;= 2, "[1-2] very close", H1384 &lt;= 10, "[3-10] close", H1384 &lt;= 20, "[11-20] moderate", H1384 &lt;= 30, "[21-30] far")</f>
        <v>[3-10] close</v>
      </c>
      <c r="J1384" s="1">
        <v>2</v>
      </c>
      <c r="K1384" s="3" t="s">
        <v>51</v>
      </c>
      <c r="L1384" s="1">
        <v>1</v>
      </c>
      <c r="M1384" s="1">
        <v>1948</v>
      </c>
      <c r="N1384" s="1">
        <v>3</v>
      </c>
      <c r="O1384" s="3" t="s">
        <v>46</v>
      </c>
      <c r="P1384" s="1">
        <v>48</v>
      </c>
      <c r="Q1384" s="1">
        <v>3</v>
      </c>
      <c r="R1384" s="1">
        <v>1</v>
      </c>
      <c r="S1384" s="3" t="s">
        <v>47</v>
      </c>
      <c r="T1384" s="1">
        <v>1</v>
      </c>
      <c r="U1384" s="3" t="s">
        <v>52</v>
      </c>
      <c r="V1384" s="4">
        <v>3065</v>
      </c>
      <c r="W1384" s="1">
        <v>3995</v>
      </c>
      <c r="X1384" s="1">
        <v>1</v>
      </c>
      <c r="Y1384" s="3" t="s">
        <v>42</v>
      </c>
      <c r="Z1384" s="3" t="s">
        <v>35</v>
      </c>
      <c r="AA1384" s="5">
        <v>0.13</v>
      </c>
      <c r="AB1384" s="10" t="str" cm="1">
        <f t="array" ref="AB1384">_xlfn.IFS(AA1384 &lt;= 15%, "Low Hike[11-15%]", AA1384 &lt;= 20%, "Moderate Hike[16-20%]", AA1384 &lt;= 25%,"High Hike[21-25%]")</f>
        <v>Low Hike[11-15%]</v>
      </c>
      <c r="AC1384" s="1">
        <v>3</v>
      </c>
      <c r="AD1384" s="1">
        <v>4</v>
      </c>
      <c r="AE1384" s="1">
        <v>80</v>
      </c>
      <c r="AF1384" s="1">
        <v>1</v>
      </c>
      <c r="AG1384" s="1">
        <v>4</v>
      </c>
      <c r="AH1384" s="9" t="str" cm="1">
        <f t="array" ref="AH1384">_xlfn.IFS(AG1384 &lt;= 5, "New[1-5]", AG1384 &lt;= 10, "Early Career[6-10]", AG1384 &lt;= 20, "Established[11-20]", AG1384 &lt;= 30, "Veteran[21-30]", AG1384 &lt;= 40, "Late Career[31-40]")</f>
        <v>New[1-5]</v>
      </c>
      <c r="AI1384" s="1">
        <v>3</v>
      </c>
      <c r="AJ1384" s="1">
        <v>4</v>
      </c>
      <c r="AK1384" s="1">
        <v>4</v>
      </c>
      <c r="AL1384" s="9" t="str" cm="1">
        <f t="array" ref="AL1384">_xlfn.IFS(AK1384 &lt;= 5, "New[1-5]", AK1384 &lt;= 10, "Early Career[6-10]", AK1384 &lt;= 20, "Established[11-20]", AK1384 &lt;= 30, "Veteran[21-30]", AK1384 &lt;= 40, "Late Career[31-40]")</f>
        <v>New[1-5]</v>
      </c>
      <c r="AM1384" s="1">
        <v>2</v>
      </c>
      <c r="AN1384" s="9" t="str" cm="1">
        <f t="array" ref="AN1384">_xlfn.IFS(AM1384 &lt;= 3, "New to Role[1-3]", AM1384 &lt;= 7, "Settled[4-7]", AM1384 &lt;= 12, "Experienced[[8-12]", AM1384 &lt;= 18, "Long Tenured[13-18]")</f>
        <v>New to Role[1-3]</v>
      </c>
      <c r="AO1384" s="1">
        <v>2</v>
      </c>
      <c r="AP1384" s="9" t="str" cm="1">
        <f t="array" ref="AP1384">_xlfn.IFS(AO1384 &lt;= 3, "Recently[1-3]", AO1384 &lt;= 6, "Due Soon[4-6]", AO1384 &lt;= 10, "Overdue[7-10]", AO1384 &lt;= 15, "Long Overdue[11-15]")</f>
        <v>Recently[1-3]</v>
      </c>
      <c r="AQ1384" s="9" t="str" cm="1">
        <f t="array" ref="AQ1384">_xlfn.IFS(AR1384 &lt;= 3, "New Relationship[1-3]", AR1384 &lt;= 7, "Established Relationship[4-7]", AR1384 &lt;= 12, "Long Term Relationship[8-12]", AR1384 &lt;= 17, "Very Long Term Relationship[13-17]")</f>
        <v>New Relationship[1-3]</v>
      </c>
      <c r="AR1384" s="1">
        <v>3</v>
      </c>
    </row>
    <row r="1385" spans="1:44" x14ac:dyDescent="0.25">
      <c r="A1385" s="1">
        <v>36</v>
      </c>
      <c r="B1385" s="8" t="str" cm="1">
        <f t="array" ref="B1385">_xlfn.IFS(A1385 &lt;= 25, "[18-25]", A1385 &lt;= 35, "[26-35]", A1385 &lt;=45, "[36-45]", A1385 &lt;= 60, "[46- 60]")</f>
        <v>[36-45]</v>
      </c>
      <c r="C1385" s="3" t="s">
        <v>43</v>
      </c>
      <c r="D1385">
        <f t="shared" si="21"/>
        <v>0</v>
      </c>
      <c r="E1385" t="s">
        <v>62</v>
      </c>
      <c r="F1385" s="1">
        <v>1351</v>
      </c>
      <c r="G1385" s="3" t="s">
        <v>45</v>
      </c>
      <c r="H1385" s="1">
        <v>9</v>
      </c>
      <c r="I1385" s="9" t="str" cm="1">
        <f t="array" ref="I1385">_xlfn.IFS(H1385 &lt;= 2, "[1-2] very close", H1385 &lt;= 10, "[3-10] close", H1385 &lt;= 20, "[11-20] moderate", H1385 &lt;= 30, "[21-30] far")</f>
        <v>[3-10] close</v>
      </c>
      <c r="J1385" s="1">
        <v>4</v>
      </c>
      <c r="K1385" s="3" t="s">
        <v>38</v>
      </c>
      <c r="L1385" s="1">
        <v>1</v>
      </c>
      <c r="M1385" s="1">
        <v>1949</v>
      </c>
      <c r="N1385" s="1">
        <v>1</v>
      </c>
      <c r="O1385" s="3" t="s">
        <v>46</v>
      </c>
      <c r="P1385" s="1">
        <v>66</v>
      </c>
      <c r="Q1385" s="1">
        <v>4</v>
      </c>
      <c r="R1385" s="1">
        <v>1</v>
      </c>
      <c r="S1385" s="3" t="s">
        <v>50</v>
      </c>
      <c r="T1385" s="1">
        <v>2</v>
      </c>
      <c r="U1385" s="3" t="s">
        <v>48</v>
      </c>
      <c r="V1385" s="4">
        <v>2810</v>
      </c>
      <c r="W1385" s="1">
        <v>9238</v>
      </c>
      <c r="X1385" s="1">
        <v>1</v>
      </c>
      <c r="Y1385" s="3" t="s">
        <v>42</v>
      </c>
      <c r="Z1385" s="3" t="s">
        <v>43</v>
      </c>
      <c r="AA1385" s="5">
        <v>0.22</v>
      </c>
      <c r="AB1385" s="10" t="str" cm="1">
        <f t="array" ref="AB1385">_xlfn.IFS(AA1385 &lt;= 15%, "Low Hike[11-15%]", AA1385 &lt;= 20%, "Moderate Hike[16-20%]", AA1385 &lt;= 25%,"High Hike[21-25%]")</f>
        <v>High Hike[21-25%]</v>
      </c>
      <c r="AC1385" s="1">
        <v>4</v>
      </c>
      <c r="AD1385" s="1">
        <v>2</v>
      </c>
      <c r="AE1385" s="1">
        <v>80</v>
      </c>
      <c r="AF1385" s="1">
        <v>0</v>
      </c>
      <c r="AG1385" s="1">
        <v>5</v>
      </c>
      <c r="AH1385" s="9" t="str" cm="1">
        <f t="array" ref="AH1385">_xlfn.IFS(AG1385 &lt;= 5, "New[1-5]", AG1385 &lt;= 10, "Early Career[6-10]", AG1385 &lt;= 20, "Established[11-20]", AG1385 &lt;= 30, "Veteran[21-30]", AG1385 &lt;= 40, "Late Career[31-40]")</f>
        <v>New[1-5]</v>
      </c>
      <c r="AI1385" s="1">
        <v>3</v>
      </c>
      <c r="AJ1385" s="1">
        <v>3</v>
      </c>
      <c r="AK1385" s="1">
        <v>5</v>
      </c>
      <c r="AL1385" s="9" t="str" cm="1">
        <f t="array" ref="AL1385">_xlfn.IFS(AK1385 &lt;= 5, "New[1-5]", AK1385 &lt;= 10, "Early Career[6-10]", AK1385 &lt;= 20, "Established[11-20]", AK1385 &lt;= 30, "Veteran[21-30]", AK1385 &lt;= 40, "Late Career[31-40]")</f>
        <v>New[1-5]</v>
      </c>
      <c r="AM1385" s="1">
        <v>4</v>
      </c>
      <c r="AN1385" s="9" t="str" cm="1">
        <f t="array" ref="AN1385">_xlfn.IFS(AM1385 &lt;= 3, "New to Role[1-3]", AM1385 &lt;= 7, "Settled[4-7]", AM1385 &lt;= 12, "Experienced[[8-12]", AM1385 &lt;= 18, "Long Tenured[13-18]")</f>
        <v>Settled[4-7]</v>
      </c>
      <c r="AO1385" s="1">
        <v>0</v>
      </c>
      <c r="AP1385" s="9" t="str" cm="1">
        <f t="array" ref="AP1385">_xlfn.IFS(AO1385 &lt;= 3, "Recently[1-3]", AO1385 &lt;= 6, "Due Soon[4-6]", AO1385 &lt;= 10, "Overdue[7-10]", AO1385 &lt;= 15, "Long Overdue[11-15]")</f>
        <v>Recently[1-3]</v>
      </c>
      <c r="AQ1385" s="9" t="str" cm="1">
        <f t="array" ref="AQ1385">_xlfn.IFS(AR1385 &lt;= 3, "New Relationship[1-3]", AR1385 &lt;= 7, "Established Relationship[4-7]", AR1385 &lt;= 12, "Long Term Relationship[8-12]", AR1385 &lt;= 17, "Very Long Term Relationship[13-17]")</f>
        <v>New Relationship[1-3]</v>
      </c>
      <c r="AR1385" s="1">
        <v>2</v>
      </c>
    </row>
    <row r="1386" spans="1:44" x14ac:dyDescent="0.25">
      <c r="A1386" s="1">
        <v>34</v>
      </c>
      <c r="B1386" s="8" t="str" cm="1">
        <f t="array" ref="B1386">_xlfn.IFS(A1386 &lt;= 25, "[18-25]", A1386 &lt;= 35, "[26-35]", A1386 &lt;=45, "[36-45]", A1386 &lt;= 60, "[46- 60]")</f>
        <v>[26-35]</v>
      </c>
      <c r="C1386" s="3" t="s">
        <v>43</v>
      </c>
      <c r="D1386">
        <f t="shared" si="21"/>
        <v>0</v>
      </c>
      <c r="E1386" t="s">
        <v>36</v>
      </c>
      <c r="F1386" s="1">
        <v>937</v>
      </c>
      <c r="G1386" s="3" t="s">
        <v>37</v>
      </c>
      <c r="H1386" s="1">
        <v>1</v>
      </c>
      <c r="I1386" s="9" t="str" cm="1">
        <f t="array" ref="I1386">_xlfn.IFS(H1386 &lt;= 2, "[1-2] very close", H1386 &lt;= 10, "[3-10] close", H1386 &lt;= 20, "[11-20] moderate", H1386 &lt;= 30, "[21-30] far")</f>
        <v>[1-2] very close</v>
      </c>
      <c r="J1386" s="1">
        <v>3</v>
      </c>
      <c r="K1386" s="3" t="s">
        <v>59</v>
      </c>
      <c r="L1386" s="1">
        <v>1</v>
      </c>
      <c r="M1386" s="1">
        <v>1950</v>
      </c>
      <c r="N1386" s="1">
        <v>1</v>
      </c>
      <c r="O1386" s="3" t="s">
        <v>46</v>
      </c>
      <c r="P1386" s="1">
        <v>32</v>
      </c>
      <c r="Q1386" s="1">
        <v>3</v>
      </c>
      <c r="R1386" s="1">
        <v>3</v>
      </c>
      <c r="S1386" s="3" t="s">
        <v>40</v>
      </c>
      <c r="T1386" s="1">
        <v>4</v>
      </c>
      <c r="U1386" s="3" t="s">
        <v>41</v>
      </c>
      <c r="V1386" s="4">
        <v>9888</v>
      </c>
      <c r="W1386" s="1">
        <v>6770</v>
      </c>
      <c r="X1386" s="1">
        <v>1</v>
      </c>
      <c r="Y1386" s="3" t="s">
        <v>42</v>
      </c>
      <c r="Z1386" s="3" t="s">
        <v>43</v>
      </c>
      <c r="AA1386" s="5">
        <v>0.21</v>
      </c>
      <c r="AB1386" s="10" t="str" cm="1">
        <f t="array" ref="AB1386">_xlfn.IFS(AA1386 &lt;= 15%, "Low Hike[11-15%]", AA1386 &lt;= 20%, "Moderate Hike[16-20%]", AA1386 &lt;= 25%,"High Hike[21-25%]")</f>
        <v>High Hike[21-25%]</v>
      </c>
      <c r="AC1386" s="1">
        <v>4</v>
      </c>
      <c r="AD1386" s="1">
        <v>1</v>
      </c>
      <c r="AE1386" s="1">
        <v>80</v>
      </c>
      <c r="AF1386" s="1">
        <v>0</v>
      </c>
      <c r="AG1386" s="1">
        <v>14</v>
      </c>
      <c r="AH1386" s="9" t="str" cm="1">
        <f t="array" ref="AH1386">_xlfn.IFS(AG1386 &lt;= 5, "New[1-5]", AG1386 &lt;= 10, "Early Career[6-10]", AG1386 &lt;= 20, "Established[11-20]", AG1386 &lt;= 30, "Veteran[21-30]", AG1386 &lt;= 40, "Late Career[31-40]")</f>
        <v>Established[11-20]</v>
      </c>
      <c r="AI1386" s="1">
        <v>3</v>
      </c>
      <c r="AJ1386" s="1">
        <v>2</v>
      </c>
      <c r="AK1386" s="1">
        <v>14</v>
      </c>
      <c r="AL1386" s="9" t="str" cm="1">
        <f t="array" ref="AL1386">_xlfn.IFS(AK1386 &lt;= 5, "New[1-5]", AK1386 &lt;= 10, "Early Career[6-10]", AK1386 &lt;= 20, "Established[11-20]", AK1386 &lt;= 30, "Veteran[21-30]", AK1386 &lt;= 40, "Late Career[31-40]")</f>
        <v>Established[11-20]</v>
      </c>
      <c r="AM1386" s="1">
        <v>8</v>
      </c>
      <c r="AN1386" s="9" t="str" cm="1">
        <f t="array" ref="AN1386">_xlfn.IFS(AM1386 &lt;= 3, "New to Role[1-3]", AM1386 &lt;= 7, "Settled[4-7]", AM1386 &lt;= 12, "Experienced[[8-12]", AM1386 &lt;= 18, "Long Tenured[13-18]")</f>
        <v>Experienced[[8-12]</v>
      </c>
      <c r="AO1386" s="1">
        <v>2</v>
      </c>
      <c r="AP1386" s="9" t="str" cm="1">
        <f t="array" ref="AP1386">_xlfn.IFS(AO1386 &lt;= 3, "Recently[1-3]", AO1386 &lt;= 6, "Due Soon[4-6]", AO1386 &lt;= 10, "Overdue[7-10]", AO1386 &lt;= 15, "Long Overdue[11-15]")</f>
        <v>Recently[1-3]</v>
      </c>
      <c r="AQ1386" s="9" t="str" cm="1">
        <f t="array" ref="AQ1386">_xlfn.IFS(AR1386 &lt;= 3, "New Relationship[1-3]", AR1386 &lt;= 7, "Established Relationship[4-7]", AR1386 &lt;= 12, "Long Term Relationship[8-12]", AR1386 &lt;= 17, "Very Long Term Relationship[13-17]")</f>
        <v>New Relationship[1-3]</v>
      </c>
      <c r="AR1386" s="1">
        <v>1</v>
      </c>
    </row>
    <row r="1387" spans="1:44" x14ac:dyDescent="0.25">
      <c r="A1387" s="1">
        <v>34</v>
      </c>
      <c r="B1387" s="8" t="str" cm="1">
        <f t="array" ref="B1387">_xlfn.IFS(A1387 &lt;= 25, "[18-25]", A1387 &lt;= 35, "[26-35]", A1387 &lt;=45, "[36-45]", A1387 &lt;= 60, "[46- 60]")</f>
        <v>[26-35]</v>
      </c>
      <c r="C1387" s="3" t="s">
        <v>43</v>
      </c>
      <c r="D1387">
        <f t="shared" si="21"/>
        <v>0</v>
      </c>
      <c r="E1387" t="s">
        <v>36</v>
      </c>
      <c r="F1387" s="1">
        <v>1239</v>
      </c>
      <c r="G1387" s="3" t="s">
        <v>37</v>
      </c>
      <c r="H1387" s="1">
        <v>13</v>
      </c>
      <c r="I1387" s="9" t="str" cm="1">
        <f t="array" ref="I1387">_xlfn.IFS(H1387 &lt;= 2, "[1-2] very close", H1387 &lt;= 10, "[3-10] close", H1387 &lt;= 20, "[11-20] moderate", H1387 &lt;= 30, "[21-30] far")</f>
        <v>[11-20] moderate</v>
      </c>
      <c r="J1387" s="1">
        <v>4</v>
      </c>
      <c r="K1387" s="3" t="s">
        <v>51</v>
      </c>
      <c r="L1387" s="1">
        <v>1</v>
      </c>
      <c r="M1387" s="1">
        <v>1951</v>
      </c>
      <c r="N1387" s="1">
        <v>4</v>
      </c>
      <c r="O1387" s="3" t="s">
        <v>46</v>
      </c>
      <c r="P1387" s="1">
        <v>39</v>
      </c>
      <c r="Q1387" s="1">
        <v>3</v>
      </c>
      <c r="R1387" s="1">
        <v>3</v>
      </c>
      <c r="S1387" s="3" t="s">
        <v>40</v>
      </c>
      <c r="T1387" s="1">
        <v>3</v>
      </c>
      <c r="U1387" s="3" t="s">
        <v>52</v>
      </c>
      <c r="V1387" s="4">
        <v>8628</v>
      </c>
      <c r="W1387" s="1">
        <v>22914</v>
      </c>
      <c r="X1387" s="1">
        <v>1</v>
      </c>
      <c r="Y1387" s="3" t="s">
        <v>42</v>
      </c>
      <c r="Z1387" s="3" t="s">
        <v>43</v>
      </c>
      <c r="AA1387" s="5">
        <v>0.18</v>
      </c>
      <c r="AB1387" s="10" t="str" cm="1">
        <f t="array" ref="AB1387">_xlfn.IFS(AA1387 &lt;= 15%, "Low Hike[11-15%]", AA1387 &lt;= 20%, "Moderate Hike[16-20%]", AA1387 &lt;= 25%,"High Hike[21-25%]")</f>
        <v>Moderate Hike[16-20%]</v>
      </c>
      <c r="AC1387" s="1">
        <v>3</v>
      </c>
      <c r="AD1387" s="1">
        <v>3</v>
      </c>
      <c r="AE1387" s="1">
        <v>80</v>
      </c>
      <c r="AF1387" s="1">
        <v>1</v>
      </c>
      <c r="AG1387" s="1">
        <v>9</v>
      </c>
      <c r="AH1387" s="9" t="str" cm="1">
        <f t="array" ref="AH1387">_xlfn.IFS(AG1387 &lt;= 5, "New[1-5]", AG1387 &lt;= 10, "Early Career[6-10]", AG1387 &lt;= 20, "Established[11-20]", AG1387 &lt;= 30, "Veteran[21-30]", AG1387 &lt;= 40, "Late Career[31-40]")</f>
        <v>Early Career[6-10]</v>
      </c>
      <c r="AI1387" s="1">
        <v>2</v>
      </c>
      <c r="AJ1387" s="1">
        <v>2</v>
      </c>
      <c r="AK1387" s="1">
        <v>8</v>
      </c>
      <c r="AL1387" s="9" t="str" cm="1">
        <f t="array" ref="AL1387">_xlfn.IFS(AK1387 &lt;= 5, "New[1-5]", AK1387 &lt;= 10, "Early Career[6-10]", AK1387 &lt;= 20, "Established[11-20]", AK1387 &lt;= 30, "Veteran[21-30]", AK1387 &lt;= 40, "Late Career[31-40]")</f>
        <v>Early Career[6-10]</v>
      </c>
      <c r="AM1387" s="1">
        <v>7</v>
      </c>
      <c r="AN1387" s="9" t="str" cm="1">
        <f t="array" ref="AN1387">_xlfn.IFS(AM1387 &lt;= 3, "New to Role[1-3]", AM1387 &lt;= 7, "Settled[4-7]", AM1387 &lt;= 12, "Experienced[[8-12]", AM1387 &lt;= 18, "Long Tenured[13-18]")</f>
        <v>Settled[4-7]</v>
      </c>
      <c r="AO1387" s="1">
        <v>1</v>
      </c>
      <c r="AP1387" s="9" t="str" cm="1">
        <f t="array" ref="AP1387">_xlfn.IFS(AO1387 &lt;= 3, "Recently[1-3]", AO1387 &lt;= 6, "Due Soon[4-6]", AO1387 &lt;= 10, "Overdue[7-10]", AO1387 &lt;= 15, "Long Overdue[11-15]")</f>
        <v>Recently[1-3]</v>
      </c>
      <c r="AQ1387" s="9" t="str" cm="1">
        <f t="array" ref="AQ1387">_xlfn.IFS(AR1387 &lt;= 3, "New Relationship[1-3]", AR1387 &lt;= 7, "Established Relationship[4-7]", AR1387 &lt;= 12, "Long Term Relationship[8-12]", AR1387 &lt;= 17, "Very Long Term Relationship[13-17]")</f>
        <v>New Relationship[1-3]</v>
      </c>
      <c r="AR1387" s="1">
        <v>1</v>
      </c>
    </row>
    <row r="1388" spans="1:44" x14ac:dyDescent="0.25">
      <c r="A1388" s="1">
        <v>26</v>
      </c>
      <c r="B1388" s="8" t="str" cm="1">
        <f t="array" ref="B1388">_xlfn.IFS(A1388 &lt;= 25, "[18-25]", A1388 &lt;= 35, "[26-35]", A1388 &lt;=45, "[36-45]", A1388 &lt;= 60, "[46- 60]")</f>
        <v>[26-35]</v>
      </c>
      <c r="C1388" s="3" t="s">
        <v>43</v>
      </c>
      <c r="D1388">
        <f t="shared" si="21"/>
        <v>0</v>
      </c>
      <c r="E1388" t="s">
        <v>36</v>
      </c>
      <c r="F1388" s="1">
        <v>157</v>
      </c>
      <c r="G1388" s="3" t="s">
        <v>45</v>
      </c>
      <c r="H1388" s="1">
        <v>1</v>
      </c>
      <c r="I1388" s="9" t="str" cm="1">
        <f t="array" ref="I1388">_xlfn.IFS(H1388 &lt;= 2, "[1-2] very close", H1388 &lt;= 10, "[3-10] close", H1388 &lt;= 20, "[11-20] moderate", H1388 &lt;= 30, "[21-30] far")</f>
        <v>[1-2] very close</v>
      </c>
      <c r="J1388" s="1">
        <v>3</v>
      </c>
      <c r="K1388" s="3" t="s">
        <v>51</v>
      </c>
      <c r="L1388" s="1">
        <v>1</v>
      </c>
      <c r="M1388" s="1">
        <v>1952</v>
      </c>
      <c r="N1388" s="1">
        <v>3</v>
      </c>
      <c r="O1388" s="3" t="s">
        <v>46</v>
      </c>
      <c r="P1388" s="1">
        <v>95</v>
      </c>
      <c r="Q1388" s="1">
        <v>3</v>
      </c>
      <c r="R1388" s="1">
        <v>1</v>
      </c>
      <c r="S1388" s="3" t="s">
        <v>50</v>
      </c>
      <c r="T1388" s="1">
        <v>1</v>
      </c>
      <c r="U1388" s="3" t="s">
        <v>41</v>
      </c>
      <c r="V1388" s="4">
        <v>2867</v>
      </c>
      <c r="W1388" s="1">
        <v>20006</v>
      </c>
      <c r="X1388" s="1">
        <v>0</v>
      </c>
      <c r="Y1388" s="3" t="s">
        <v>42</v>
      </c>
      <c r="Z1388" s="3" t="s">
        <v>43</v>
      </c>
      <c r="AA1388" s="5">
        <v>0.13</v>
      </c>
      <c r="AB1388" s="10" t="str" cm="1">
        <f t="array" ref="AB1388">_xlfn.IFS(AA1388 &lt;= 15%, "Low Hike[11-15%]", AA1388 &lt;= 20%, "Moderate Hike[16-20%]", AA1388 &lt;= 25%,"High Hike[21-25%]")</f>
        <v>Low Hike[11-15%]</v>
      </c>
      <c r="AC1388" s="1">
        <v>3</v>
      </c>
      <c r="AD1388" s="1">
        <v>4</v>
      </c>
      <c r="AE1388" s="1">
        <v>80</v>
      </c>
      <c r="AF1388" s="1">
        <v>0</v>
      </c>
      <c r="AG1388" s="1">
        <v>8</v>
      </c>
      <c r="AH1388" s="9" t="str" cm="1">
        <f t="array" ref="AH1388">_xlfn.IFS(AG1388 &lt;= 5, "New[1-5]", AG1388 &lt;= 10, "Early Career[6-10]", AG1388 &lt;= 20, "Established[11-20]", AG1388 &lt;= 30, "Veteran[21-30]", AG1388 &lt;= 40, "Late Career[31-40]")</f>
        <v>Early Career[6-10]</v>
      </c>
      <c r="AI1388" s="1">
        <v>6</v>
      </c>
      <c r="AJ1388" s="1">
        <v>2</v>
      </c>
      <c r="AK1388" s="1">
        <v>7</v>
      </c>
      <c r="AL1388" s="9" t="str" cm="1">
        <f t="array" ref="AL1388">_xlfn.IFS(AK1388 &lt;= 5, "New[1-5]", AK1388 &lt;= 10, "Early Career[6-10]", AK1388 &lt;= 20, "Established[11-20]", AK1388 &lt;= 30, "Veteran[21-30]", AK1388 &lt;= 40, "Late Career[31-40]")</f>
        <v>Early Career[6-10]</v>
      </c>
      <c r="AM1388" s="1">
        <v>7</v>
      </c>
      <c r="AN1388" s="9" t="str" cm="1">
        <f t="array" ref="AN1388">_xlfn.IFS(AM1388 &lt;= 3, "New to Role[1-3]", AM1388 &lt;= 7, "Settled[4-7]", AM1388 &lt;= 12, "Experienced[[8-12]", AM1388 &lt;= 18, "Long Tenured[13-18]")</f>
        <v>Settled[4-7]</v>
      </c>
      <c r="AO1388" s="1">
        <v>7</v>
      </c>
      <c r="AP1388" s="9" t="str" cm="1">
        <f t="array" ref="AP1388">_xlfn.IFS(AO1388 &lt;= 3, "Recently[1-3]", AO1388 &lt;= 6, "Due Soon[4-6]", AO1388 &lt;= 10, "Overdue[7-10]", AO1388 &lt;= 15, "Long Overdue[11-15]")</f>
        <v>Overdue[7-10]</v>
      </c>
      <c r="AQ1388" s="9" t="str" cm="1">
        <f t="array" ref="AQ1388">_xlfn.IFS(AR1388 &lt;= 3, "New Relationship[1-3]", AR1388 &lt;= 7, "Established Relationship[4-7]", AR1388 &lt;= 12, "Long Term Relationship[8-12]", AR1388 &lt;= 17, "Very Long Term Relationship[13-17]")</f>
        <v>Established Relationship[4-7]</v>
      </c>
      <c r="AR1388" s="1">
        <v>6</v>
      </c>
    </row>
    <row r="1389" spans="1:44" x14ac:dyDescent="0.25">
      <c r="A1389" s="1">
        <v>29</v>
      </c>
      <c r="B1389" s="8" t="str" cm="1">
        <f t="array" ref="B1389">_xlfn.IFS(A1389 &lt;= 25, "[18-25]", A1389 &lt;= 35, "[26-35]", A1389 &lt;=45, "[36-45]", A1389 &lt;= 60, "[46- 60]")</f>
        <v>[26-35]</v>
      </c>
      <c r="C1389" s="3" t="s">
        <v>43</v>
      </c>
      <c r="D1389">
        <f t="shared" si="21"/>
        <v>0</v>
      </c>
      <c r="E1389" t="s">
        <v>36</v>
      </c>
      <c r="F1389" s="1">
        <v>136</v>
      </c>
      <c r="G1389" s="3" t="s">
        <v>45</v>
      </c>
      <c r="H1389" s="1">
        <v>1</v>
      </c>
      <c r="I1389" s="9" t="str" cm="1">
        <f t="array" ref="I1389">_xlfn.IFS(H1389 &lt;= 2, "[1-2] very close", H1389 &lt;= 10, "[3-10] close", H1389 &lt;= 20, "[11-20] moderate", H1389 &lt;= 30, "[21-30] far")</f>
        <v>[1-2] very close</v>
      </c>
      <c r="J1389" s="1">
        <v>3</v>
      </c>
      <c r="K1389" s="3" t="s">
        <v>38</v>
      </c>
      <c r="L1389" s="1">
        <v>1</v>
      </c>
      <c r="M1389" s="1">
        <v>1954</v>
      </c>
      <c r="N1389" s="1">
        <v>1</v>
      </c>
      <c r="O1389" s="3" t="s">
        <v>46</v>
      </c>
      <c r="P1389" s="1">
        <v>89</v>
      </c>
      <c r="Q1389" s="1">
        <v>3</v>
      </c>
      <c r="R1389" s="1">
        <v>2</v>
      </c>
      <c r="S1389" s="3" t="s">
        <v>54</v>
      </c>
      <c r="T1389" s="1">
        <v>1</v>
      </c>
      <c r="U1389" s="3" t="s">
        <v>48</v>
      </c>
      <c r="V1389" s="4">
        <v>5373</v>
      </c>
      <c r="W1389" s="1">
        <v>6225</v>
      </c>
      <c r="X1389" s="1">
        <v>0</v>
      </c>
      <c r="Y1389" s="3" t="s">
        <v>42</v>
      </c>
      <c r="Z1389" s="3" t="s">
        <v>43</v>
      </c>
      <c r="AA1389" s="5">
        <v>0.12</v>
      </c>
      <c r="AB1389" s="10" t="str" cm="1">
        <f t="array" ref="AB1389">_xlfn.IFS(AA1389 &lt;= 15%, "Low Hike[11-15%]", AA1389 &lt;= 20%, "Moderate Hike[16-20%]", AA1389 &lt;= 25%,"High Hike[21-25%]")</f>
        <v>Low Hike[11-15%]</v>
      </c>
      <c r="AC1389" s="1">
        <v>3</v>
      </c>
      <c r="AD1389" s="1">
        <v>1</v>
      </c>
      <c r="AE1389" s="1">
        <v>80</v>
      </c>
      <c r="AF1389" s="1">
        <v>1</v>
      </c>
      <c r="AG1389" s="1">
        <v>6</v>
      </c>
      <c r="AH1389" s="9" t="str" cm="1">
        <f t="array" ref="AH1389">_xlfn.IFS(AG1389 &lt;= 5, "New[1-5]", AG1389 &lt;= 10, "Early Career[6-10]", AG1389 &lt;= 20, "Established[11-20]", AG1389 &lt;= 30, "Veteran[21-30]", AG1389 &lt;= 40, "Late Career[31-40]")</f>
        <v>Early Career[6-10]</v>
      </c>
      <c r="AI1389" s="1">
        <v>5</v>
      </c>
      <c r="AJ1389" s="1">
        <v>2</v>
      </c>
      <c r="AK1389" s="1">
        <v>5</v>
      </c>
      <c r="AL1389" s="9" t="str" cm="1">
        <f t="array" ref="AL1389">_xlfn.IFS(AK1389 &lt;= 5, "New[1-5]", AK1389 &lt;= 10, "Early Career[6-10]", AK1389 &lt;= 20, "Established[11-20]", AK1389 &lt;= 30, "Veteran[21-30]", AK1389 &lt;= 40, "Late Career[31-40]")</f>
        <v>New[1-5]</v>
      </c>
      <c r="AM1389" s="1">
        <v>3</v>
      </c>
      <c r="AN1389" s="9" t="str" cm="1">
        <f t="array" ref="AN1389">_xlfn.IFS(AM1389 &lt;= 3, "New to Role[1-3]", AM1389 &lt;= 7, "Settled[4-7]", AM1389 &lt;= 12, "Experienced[[8-12]", AM1389 &lt;= 18, "Long Tenured[13-18]")</f>
        <v>New to Role[1-3]</v>
      </c>
      <c r="AO1389" s="1">
        <v>0</v>
      </c>
      <c r="AP1389" s="9" t="str" cm="1">
        <f t="array" ref="AP1389">_xlfn.IFS(AO1389 &lt;= 3, "Recently[1-3]", AO1389 &lt;= 6, "Due Soon[4-6]", AO1389 &lt;= 10, "Overdue[7-10]", AO1389 &lt;= 15, "Long Overdue[11-15]")</f>
        <v>Recently[1-3]</v>
      </c>
      <c r="AQ1389" s="9" t="str" cm="1">
        <f t="array" ref="AQ1389">_xlfn.IFS(AR1389 &lt;= 3, "New Relationship[1-3]", AR1389 &lt;= 7, "Established Relationship[4-7]", AR1389 &lt;= 12, "Long Term Relationship[8-12]", AR1389 &lt;= 17, "Very Long Term Relationship[13-17]")</f>
        <v>New Relationship[1-3]</v>
      </c>
      <c r="AR1389" s="1">
        <v>2</v>
      </c>
    </row>
    <row r="1390" spans="1:44" x14ac:dyDescent="0.25">
      <c r="A1390" s="1">
        <v>32</v>
      </c>
      <c r="B1390" s="8" t="str" cm="1">
        <f t="array" ref="B1390">_xlfn.IFS(A1390 &lt;= 25, "[18-25]", A1390 &lt;= 35, "[26-35]", A1390 &lt;=45, "[36-45]", A1390 &lt;= 60, "[46- 60]")</f>
        <v>[26-35]</v>
      </c>
      <c r="C1390" s="3" t="s">
        <v>43</v>
      </c>
      <c r="D1390">
        <f t="shared" si="21"/>
        <v>0</v>
      </c>
      <c r="E1390" t="s">
        <v>62</v>
      </c>
      <c r="F1390" s="1">
        <v>1146</v>
      </c>
      <c r="G1390" s="3" t="s">
        <v>45</v>
      </c>
      <c r="H1390" s="1">
        <v>15</v>
      </c>
      <c r="I1390" s="9" t="str" cm="1">
        <f t="array" ref="I1390">_xlfn.IFS(H1390 &lt;= 2, "[1-2] very close", H1390 &lt;= 10, "[3-10] close", H1390 &lt;= 20, "[11-20] moderate", H1390 &lt;= 30, "[21-30] far")</f>
        <v>[11-20] moderate</v>
      </c>
      <c r="J1390" s="1">
        <v>4</v>
      </c>
      <c r="K1390" s="3" t="s">
        <v>51</v>
      </c>
      <c r="L1390" s="1">
        <v>1</v>
      </c>
      <c r="M1390" s="1">
        <v>1955</v>
      </c>
      <c r="N1390" s="1">
        <v>3</v>
      </c>
      <c r="O1390" s="3" t="s">
        <v>39</v>
      </c>
      <c r="P1390" s="1">
        <v>34</v>
      </c>
      <c r="Q1390" s="1">
        <v>3</v>
      </c>
      <c r="R1390" s="1">
        <v>2</v>
      </c>
      <c r="S1390" s="3" t="s">
        <v>54</v>
      </c>
      <c r="T1390" s="1">
        <v>4</v>
      </c>
      <c r="U1390" s="3" t="s">
        <v>52</v>
      </c>
      <c r="V1390" s="4">
        <v>6667</v>
      </c>
      <c r="W1390" s="1">
        <v>16542</v>
      </c>
      <c r="X1390" s="1">
        <v>5</v>
      </c>
      <c r="Y1390" s="3" t="s">
        <v>42</v>
      </c>
      <c r="Z1390" s="3" t="s">
        <v>43</v>
      </c>
      <c r="AA1390" s="5">
        <v>0.18</v>
      </c>
      <c r="AB1390" s="10" t="str" cm="1">
        <f t="array" ref="AB1390">_xlfn.IFS(AA1390 &lt;= 15%, "Low Hike[11-15%]", AA1390 &lt;= 20%, "Moderate Hike[16-20%]", AA1390 &lt;= 25%,"High Hike[21-25%]")</f>
        <v>Moderate Hike[16-20%]</v>
      </c>
      <c r="AC1390" s="1">
        <v>3</v>
      </c>
      <c r="AD1390" s="1">
        <v>2</v>
      </c>
      <c r="AE1390" s="1">
        <v>80</v>
      </c>
      <c r="AF1390" s="1">
        <v>1</v>
      </c>
      <c r="AG1390" s="1">
        <v>9</v>
      </c>
      <c r="AH1390" s="9" t="str" cm="1">
        <f t="array" ref="AH1390">_xlfn.IFS(AG1390 &lt;= 5, "New[1-5]", AG1390 &lt;= 10, "Early Career[6-10]", AG1390 &lt;= 20, "Established[11-20]", AG1390 &lt;= 30, "Veteran[21-30]", AG1390 &lt;= 40, "Late Career[31-40]")</f>
        <v>Early Career[6-10]</v>
      </c>
      <c r="AI1390" s="1">
        <v>6</v>
      </c>
      <c r="AJ1390" s="1">
        <v>3</v>
      </c>
      <c r="AK1390" s="1">
        <v>5</v>
      </c>
      <c r="AL1390" s="9" t="str" cm="1">
        <f t="array" ref="AL1390">_xlfn.IFS(AK1390 &lt;= 5, "New[1-5]", AK1390 &lt;= 10, "Early Career[6-10]", AK1390 &lt;= 20, "Established[11-20]", AK1390 &lt;= 30, "Veteran[21-30]", AK1390 &lt;= 40, "Late Career[31-40]")</f>
        <v>New[1-5]</v>
      </c>
      <c r="AM1390" s="1">
        <v>1</v>
      </c>
      <c r="AN1390" s="9" t="str" cm="1">
        <f t="array" ref="AN1390">_xlfn.IFS(AM1390 &lt;= 3, "New to Role[1-3]", AM1390 &lt;= 7, "Settled[4-7]", AM1390 &lt;= 12, "Experienced[[8-12]", AM1390 &lt;= 18, "Long Tenured[13-18]")</f>
        <v>New to Role[1-3]</v>
      </c>
      <c r="AO1390" s="1">
        <v>1</v>
      </c>
      <c r="AP1390" s="9" t="str" cm="1">
        <f t="array" ref="AP1390">_xlfn.IFS(AO1390 &lt;= 3, "Recently[1-3]", AO1390 &lt;= 6, "Due Soon[4-6]", AO1390 &lt;= 10, "Overdue[7-10]", AO1390 &lt;= 15, "Long Overdue[11-15]")</f>
        <v>Recently[1-3]</v>
      </c>
      <c r="AQ1390" s="9" t="str" cm="1">
        <f t="array" ref="AQ1390">_xlfn.IFS(AR1390 &lt;= 3, "New Relationship[1-3]", AR1390 &lt;= 7, "Established Relationship[4-7]", AR1390 &lt;= 12, "Long Term Relationship[8-12]", AR1390 &lt;= 17, "Very Long Term Relationship[13-17]")</f>
        <v>New Relationship[1-3]</v>
      </c>
      <c r="AR1390" s="1">
        <v>2</v>
      </c>
    </row>
    <row r="1391" spans="1:44" x14ac:dyDescent="0.25">
      <c r="A1391" s="1">
        <v>31</v>
      </c>
      <c r="B1391" s="8" t="str" cm="1">
        <f t="array" ref="B1391">_xlfn.IFS(A1391 &lt;= 25, "[18-25]", A1391 &lt;= 35, "[26-35]", A1391 &lt;=45, "[36-45]", A1391 &lt;= 60, "[46- 60]")</f>
        <v>[26-35]</v>
      </c>
      <c r="C1391" s="3" t="s">
        <v>43</v>
      </c>
      <c r="D1391">
        <f t="shared" si="21"/>
        <v>0</v>
      </c>
      <c r="E1391" t="s">
        <v>44</v>
      </c>
      <c r="F1391" s="1">
        <v>1125</v>
      </c>
      <c r="G1391" s="3" t="s">
        <v>45</v>
      </c>
      <c r="H1391" s="1">
        <v>1</v>
      </c>
      <c r="I1391" s="9" t="str" cm="1">
        <f t="array" ref="I1391">_xlfn.IFS(H1391 &lt;= 2, "[1-2] very close", H1391 &lt;= 10, "[3-10] close", H1391 &lt;= 20, "[11-20] moderate", H1391 &lt;= 30, "[21-30] far")</f>
        <v>[1-2] very close</v>
      </c>
      <c r="J1391" s="1">
        <v>3</v>
      </c>
      <c r="K1391" s="3" t="s">
        <v>38</v>
      </c>
      <c r="L1391" s="1">
        <v>1</v>
      </c>
      <c r="M1391" s="1">
        <v>1956</v>
      </c>
      <c r="N1391" s="1">
        <v>4</v>
      </c>
      <c r="O1391" s="3" t="s">
        <v>46</v>
      </c>
      <c r="P1391" s="1">
        <v>48</v>
      </c>
      <c r="Q1391" s="1">
        <v>1</v>
      </c>
      <c r="R1391" s="1">
        <v>2</v>
      </c>
      <c r="S1391" s="3" t="s">
        <v>47</v>
      </c>
      <c r="T1391" s="1">
        <v>1</v>
      </c>
      <c r="U1391" s="3" t="s">
        <v>48</v>
      </c>
      <c r="V1391" s="4">
        <v>5003</v>
      </c>
      <c r="W1391" s="1">
        <v>5771</v>
      </c>
      <c r="X1391" s="1">
        <v>1</v>
      </c>
      <c r="Y1391" s="3" t="s">
        <v>42</v>
      </c>
      <c r="Z1391" s="3" t="s">
        <v>43</v>
      </c>
      <c r="AA1391" s="5">
        <v>0.21</v>
      </c>
      <c r="AB1391" s="10" t="str" cm="1">
        <f t="array" ref="AB1391">_xlfn.IFS(AA1391 &lt;= 15%, "Low Hike[11-15%]", AA1391 &lt;= 20%, "Moderate Hike[16-20%]", AA1391 &lt;= 25%,"High Hike[21-25%]")</f>
        <v>High Hike[21-25%]</v>
      </c>
      <c r="AC1391" s="1">
        <v>4</v>
      </c>
      <c r="AD1391" s="1">
        <v>2</v>
      </c>
      <c r="AE1391" s="1">
        <v>80</v>
      </c>
      <c r="AF1391" s="1">
        <v>0</v>
      </c>
      <c r="AG1391" s="1">
        <v>10</v>
      </c>
      <c r="AH1391" s="9" t="str" cm="1">
        <f t="array" ref="AH1391">_xlfn.IFS(AG1391 &lt;= 5, "New[1-5]", AG1391 &lt;= 10, "Early Career[6-10]", AG1391 &lt;= 20, "Established[11-20]", AG1391 &lt;= 30, "Veteran[21-30]", AG1391 &lt;= 40, "Late Career[31-40]")</f>
        <v>Early Career[6-10]</v>
      </c>
      <c r="AI1391" s="1">
        <v>6</v>
      </c>
      <c r="AJ1391" s="1">
        <v>3</v>
      </c>
      <c r="AK1391" s="1">
        <v>10</v>
      </c>
      <c r="AL1391" s="9" t="str" cm="1">
        <f t="array" ref="AL1391">_xlfn.IFS(AK1391 &lt;= 5, "New[1-5]", AK1391 &lt;= 10, "Early Career[6-10]", AK1391 &lt;= 20, "Established[11-20]", AK1391 &lt;= 30, "Veteran[21-30]", AK1391 &lt;= 40, "Late Career[31-40]")</f>
        <v>Early Career[6-10]</v>
      </c>
      <c r="AM1391" s="1">
        <v>8</v>
      </c>
      <c r="AN1391" s="9" t="str" cm="1">
        <f t="array" ref="AN1391">_xlfn.IFS(AM1391 &lt;= 3, "New to Role[1-3]", AM1391 &lt;= 7, "Settled[4-7]", AM1391 &lt;= 12, "Experienced[[8-12]", AM1391 &lt;= 18, "Long Tenured[13-18]")</f>
        <v>Experienced[[8-12]</v>
      </c>
      <c r="AO1391" s="1">
        <v>8</v>
      </c>
      <c r="AP1391" s="9" t="str" cm="1">
        <f t="array" ref="AP1391">_xlfn.IFS(AO1391 &lt;= 3, "Recently[1-3]", AO1391 &lt;= 6, "Due Soon[4-6]", AO1391 &lt;= 10, "Overdue[7-10]", AO1391 &lt;= 15, "Long Overdue[11-15]")</f>
        <v>Overdue[7-10]</v>
      </c>
      <c r="AQ1391" s="9" t="str" cm="1">
        <f t="array" ref="AQ1391">_xlfn.IFS(AR1391 &lt;= 3, "New Relationship[1-3]", AR1391 &lt;= 7, "Established Relationship[4-7]", AR1391 &lt;= 12, "Long Term Relationship[8-12]", AR1391 &lt;= 17, "Very Long Term Relationship[13-17]")</f>
        <v>Established Relationship[4-7]</v>
      </c>
      <c r="AR1391" s="1">
        <v>7</v>
      </c>
    </row>
    <row r="1392" spans="1:44" x14ac:dyDescent="0.25">
      <c r="A1392" s="1">
        <v>28</v>
      </c>
      <c r="B1392" s="8" t="str" cm="1">
        <f t="array" ref="B1392">_xlfn.IFS(A1392 &lt;= 25, "[18-25]", A1392 &lt;= 35, "[26-35]", A1392 &lt;=45, "[36-45]", A1392 &lt;= 60, "[46- 60]")</f>
        <v>[26-35]</v>
      </c>
      <c r="C1392" s="3" t="s">
        <v>35</v>
      </c>
      <c r="D1392">
        <f t="shared" si="21"/>
        <v>1</v>
      </c>
      <c r="E1392" t="s">
        <v>36</v>
      </c>
      <c r="F1392" s="1">
        <v>1404</v>
      </c>
      <c r="G1392" s="3" t="s">
        <v>45</v>
      </c>
      <c r="H1392" s="1">
        <v>17</v>
      </c>
      <c r="I1392" s="9" t="str" cm="1">
        <f t="array" ref="I1392">_xlfn.IFS(H1392 &lt;= 2, "[1-2] very close", H1392 &lt;= 10, "[3-10] close", H1392 &lt;= 20, "[11-20] moderate", H1392 &lt;= 30, "[21-30] far")</f>
        <v>[11-20] moderate</v>
      </c>
      <c r="J1392" s="1">
        <v>3</v>
      </c>
      <c r="K1392" s="3" t="s">
        <v>60</v>
      </c>
      <c r="L1392" s="1">
        <v>1</v>
      </c>
      <c r="M1392" s="1">
        <v>1960</v>
      </c>
      <c r="N1392" s="1">
        <v>3</v>
      </c>
      <c r="O1392" s="3" t="s">
        <v>46</v>
      </c>
      <c r="P1392" s="1">
        <v>32</v>
      </c>
      <c r="Q1392" s="1">
        <v>2</v>
      </c>
      <c r="R1392" s="1">
        <v>1</v>
      </c>
      <c r="S1392" s="3" t="s">
        <v>50</v>
      </c>
      <c r="T1392" s="1">
        <v>4</v>
      </c>
      <c r="U1392" s="3" t="s">
        <v>52</v>
      </c>
      <c r="V1392" s="4">
        <v>2367</v>
      </c>
      <c r="W1392" s="1">
        <v>18779</v>
      </c>
      <c r="X1392" s="1">
        <v>5</v>
      </c>
      <c r="Y1392" s="3" t="s">
        <v>42</v>
      </c>
      <c r="Z1392" s="3" t="s">
        <v>43</v>
      </c>
      <c r="AA1392" s="5">
        <v>0.12</v>
      </c>
      <c r="AB1392" s="10" t="str" cm="1">
        <f t="array" ref="AB1392">_xlfn.IFS(AA1392 &lt;= 15%, "Low Hike[11-15%]", AA1392 &lt;= 20%, "Moderate Hike[16-20%]", AA1392 &lt;= 25%,"High Hike[21-25%]")</f>
        <v>Low Hike[11-15%]</v>
      </c>
      <c r="AC1392" s="1">
        <v>3</v>
      </c>
      <c r="AD1392" s="1">
        <v>1</v>
      </c>
      <c r="AE1392" s="1">
        <v>80</v>
      </c>
      <c r="AF1392" s="1">
        <v>1</v>
      </c>
      <c r="AG1392" s="1">
        <v>6</v>
      </c>
      <c r="AH1392" s="9" t="str" cm="1">
        <f t="array" ref="AH1392">_xlfn.IFS(AG1392 &lt;= 5, "New[1-5]", AG1392 &lt;= 10, "Early Career[6-10]", AG1392 &lt;= 20, "Established[11-20]", AG1392 &lt;= 30, "Veteran[21-30]", AG1392 &lt;= 40, "Late Career[31-40]")</f>
        <v>Early Career[6-10]</v>
      </c>
      <c r="AI1392" s="1">
        <v>2</v>
      </c>
      <c r="AJ1392" s="1">
        <v>2</v>
      </c>
      <c r="AK1392" s="1">
        <v>4</v>
      </c>
      <c r="AL1392" s="9" t="str" cm="1">
        <f t="array" ref="AL1392">_xlfn.IFS(AK1392 &lt;= 5, "New[1-5]", AK1392 &lt;= 10, "Early Career[6-10]", AK1392 &lt;= 20, "Established[11-20]", AK1392 &lt;= 30, "Veteran[21-30]", AK1392 &lt;= 40, "Late Career[31-40]")</f>
        <v>New[1-5]</v>
      </c>
      <c r="AM1392" s="1">
        <v>1</v>
      </c>
      <c r="AN1392" s="9" t="str" cm="1">
        <f t="array" ref="AN1392">_xlfn.IFS(AM1392 &lt;= 3, "New to Role[1-3]", AM1392 &lt;= 7, "Settled[4-7]", AM1392 &lt;= 12, "Experienced[[8-12]", AM1392 &lt;= 18, "Long Tenured[13-18]")</f>
        <v>New to Role[1-3]</v>
      </c>
      <c r="AO1392" s="1">
        <v>0</v>
      </c>
      <c r="AP1392" s="9" t="str" cm="1">
        <f t="array" ref="AP1392">_xlfn.IFS(AO1392 &lt;= 3, "Recently[1-3]", AO1392 &lt;= 6, "Due Soon[4-6]", AO1392 &lt;= 10, "Overdue[7-10]", AO1392 &lt;= 15, "Long Overdue[11-15]")</f>
        <v>Recently[1-3]</v>
      </c>
      <c r="AQ1392" s="9" t="str" cm="1">
        <f t="array" ref="AQ1392">_xlfn.IFS(AR1392 &lt;= 3, "New Relationship[1-3]", AR1392 &lt;= 7, "Established Relationship[4-7]", AR1392 &lt;= 12, "Long Term Relationship[8-12]", AR1392 &lt;= 17, "Very Long Term Relationship[13-17]")</f>
        <v>New Relationship[1-3]</v>
      </c>
      <c r="AR1392" s="1">
        <v>3</v>
      </c>
    </row>
    <row r="1393" spans="1:44" x14ac:dyDescent="0.25">
      <c r="A1393" s="1">
        <v>38</v>
      </c>
      <c r="B1393" s="8" t="str" cm="1">
        <f t="array" ref="B1393">_xlfn.IFS(A1393 &lt;= 25, "[18-25]", A1393 &lt;= 35, "[26-35]", A1393 &lt;=45, "[36-45]", A1393 &lt;= 60, "[46- 60]")</f>
        <v>[36-45]</v>
      </c>
      <c r="C1393" s="3" t="s">
        <v>43</v>
      </c>
      <c r="D1393">
        <f t="shared" si="21"/>
        <v>0</v>
      </c>
      <c r="E1393" t="s">
        <v>36</v>
      </c>
      <c r="F1393" s="1">
        <v>1404</v>
      </c>
      <c r="G1393" s="3" t="s">
        <v>37</v>
      </c>
      <c r="H1393" s="1">
        <v>1</v>
      </c>
      <c r="I1393" s="9" t="str" cm="1">
        <f t="array" ref="I1393">_xlfn.IFS(H1393 &lt;= 2, "[1-2] very close", H1393 &lt;= 10, "[3-10] close", H1393 &lt;= 20, "[11-20] moderate", H1393 &lt;= 30, "[21-30] far")</f>
        <v>[1-2] very close</v>
      </c>
      <c r="J1393" s="1">
        <v>3</v>
      </c>
      <c r="K1393" s="3" t="s">
        <v>38</v>
      </c>
      <c r="L1393" s="1">
        <v>1</v>
      </c>
      <c r="M1393" s="1">
        <v>1961</v>
      </c>
      <c r="N1393" s="1">
        <v>1</v>
      </c>
      <c r="O1393" s="3" t="s">
        <v>46</v>
      </c>
      <c r="P1393" s="1">
        <v>59</v>
      </c>
      <c r="Q1393" s="1">
        <v>2</v>
      </c>
      <c r="R1393" s="1">
        <v>1</v>
      </c>
      <c r="S1393" s="3" t="s">
        <v>57</v>
      </c>
      <c r="T1393" s="1">
        <v>1</v>
      </c>
      <c r="U1393" s="3" t="s">
        <v>41</v>
      </c>
      <c r="V1393" s="4">
        <v>2858</v>
      </c>
      <c r="W1393" s="1">
        <v>11473</v>
      </c>
      <c r="X1393" s="1">
        <v>4</v>
      </c>
      <c r="Y1393" s="3" t="s">
        <v>42</v>
      </c>
      <c r="Z1393" s="3" t="s">
        <v>43</v>
      </c>
      <c r="AA1393" s="5">
        <v>0.14000000000000001</v>
      </c>
      <c r="AB1393" s="10" t="str" cm="1">
        <f t="array" ref="AB1393">_xlfn.IFS(AA1393 &lt;= 15%, "Low Hike[11-15%]", AA1393 &lt;= 20%, "Moderate Hike[16-20%]", AA1393 &lt;= 25%,"High Hike[21-25%]")</f>
        <v>Low Hike[11-15%]</v>
      </c>
      <c r="AC1393" s="1">
        <v>3</v>
      </c>
      <c r="AD1393" s="1">
        <v>1</v>
      </c>
      <c r="AE1393" s="1">
        <v>80</v>
      </c>
      <c r="AF1393" s="1">
        <v>0</v>
      </c>
      <c r="AG1393" s="1">
        <v>20</v>
      </c>
      <c r="AH1393" s="9" t="str" cm="1">
        <f t="array" ref="AH1393">_xlfn.IFS(AG1393 &lt;= 5, "New[1-5]", AG1393 &lt;= 10, "Early Career[6-10]", AG1393 &lt;= 20, "Established[11-20]", AG1393 &lt;= 30, "Veteran[21-30]", AG1393 &lt;= 40, "Late Career[31-40]")</f>
        <v>Established[11-20]</v>
      </c>
      <c r="AI1393" s="1">
        <v>3</v>
      </c>
      <c r="AJ1393" s="1">
        <v>2</v>
      </c>
      <c r="AK1393" s="1">
        <v>1</v>
      </c>
      <c r="AL1393" s="9" t="str" cm="1">
        <f t="array" ref="AL1393">_xlfn.IFS(AK1393 &lt;= 5, "New[1-5]", AK1393 &lt;= 10, "Early Career[6-10]", AK1393 &lt;= 20, "Established[11-20]", AK1393 &lt;= 30, "Veteran[21-30]", AK1393 &lt;= 40, "Late Career[31-40]")</f>
        <v>New[1-5]</v>
      </c>
      <c r="AM1393" s="1">
        <v>0</v>
      </c>
      <c r="AN1393" s="9" t="str" cm="1">
        <f t="array" ref="AN1393">_xlfn.IFS(AM1393 &lt;= 3, "New to Role[1-3]", AM1393 &lt;= 7, "Settled[4-7]", AM1393 &lt;= 12, "Experienced[[8-12]", AM1393 &lt;= 18, "Long Tenured[13-18]")</f>
        <v>New to Role[1-3]</v>
      </c>
      <c r="AO1393" s="1">
        <v>0</v>
      </c>
      <c r="AP1393" s="9" t="str" cm="1">
        <f t="array" ref="AP1393">_xlfn.IFS(AO1393 &lt;= 3, "Recently[1-3]", AO1393 &lt;= 6, "Due Soon[4-6]", AO1393 &lt;= 10, "Overdue[7-10]", AO1393 &lt;= 15, "Long Overdue[11-15]")</f>
        <v>Recently[1-3]</v>
      </c>
      <c r="AQ1393" s="9" t="str" cm="1">
        <f t="array" ref="AQ1393">_xlfn.IFS(AR1393 &lt;= 3, "New Relationship[1-3]", AR1393 &lt;= 7, "Established Relationship[4-7]", AR1393 &lt;= 12, "Long Term Relationship[8-12]", AR1393 &lt;= 17, "Very Long Term Relationship[13-17]")</f>
        <v>New Relationship[1-3]</v>
      </c>
      <c r="AR1393" s="1">
        <v>0</v>
      </c>
    </row>
    <row r="1394" spans="1:44" x14ac:dyDescent="0.25">
      <c r="A1394" s="1">
        <v>35</v>
      </c>
      <c r="B1394" s="8" t="str" cm="1">
        <f t="array" ref="B1394">_xlfn.IFS(A1394 &lt;= 25, "[18-25]", A1394 &lt;= 35, "[26-35]", A1394 &lt;=45, "[36-45]", A1394 &lt;= 60, "[46- 60]")</f>
        <v>[26-35]</v>
      </c>
      <c r="C1394" s="3" t="s">
        <v>43</v>
      </c>
      <c r="D1394">
        <f t="shared" si="21"/>
        <v>0</v>
      </c>
      <c r="E1394" t="s">
        <v>36</v>
      </c>
      <c r="F1394" s="1">
        <v>1224</v>
      </c>
      <c r="G1394" s="3" t="s">
        <v>37</v>
      </c>
      <c r="H1394" s="1">
        <v>7</v>
      </c>
      <c r="I1394" s="9" t="str" cm="1">
        <f t="array" ref="I1394">_xlfn.IFS(H1394 &lt;= 2, "[1-2] very close", H1394 &lt;= 10, "[3-10] close", H1394 &lt;= 20, "[11-20] moderate", H1394 &lt;= 30, "[21-30] far")</f>
        <v>[3-10] close</v>
      </c>
      <c r="J1394" s="1">
        <v>4</v>
      </c>
      <c r="K1394" s="3" t="s">
        <v>38</v>
      </c>
      <c r="L1394" s="1">
        <v>1</v>
      </c>
      <c r="M1394" s="1">
        <v>1962</v>
      </c>
      <c r="N1394" s="1">
        <v>3</v>
      </c>
      <c r="O1394" s="3" t="s">
        <v>39</v>
      </c>
      <c r="P1394" s="1">
        <v>55</v>
      </c>
      <c r="Q1394" s="1">
        <v>3</v>
      </c>
      <c r="R1394" s="1">
        <v>2</v>
      </c>
      <c r="S1394" s="3" t="s">
        <v>40</v>
      </c>
      <c r="T1394" s="1">
        <v>4</v>
      </c>
      <c r="U1394" s="3" t="s">
        <v>48</v>
      </c>
      <c r="V1394" s="4">
        <v>5204</v>
      </c>
      <c r="W1394" s="1">
        <v>13586</v>
      </c>
      <c r="X1394" s="1">
        <v>1</v>
      </c>
      <c r="Y1394" s="3" t="s">
        <v>42</v>
      </c>
      <c r="Z1394" s="3" t="s">
        <v>35</v>
      </c>
      <c r="AA1394" s="5">
        <v>0.11</v>
      </c>
      <c r="AB1394" s="10" t="str" cm="1">
        <f t="array" ref="AB1394">_xlfn.IFS(AA1394 &lt;= 15%, "Low Hike[11-15%]", AA1394 &lt;= 20%, "Moderate Hike[16-20%]", AA1394 &lt;= 25%,"High Hike[21-25%]")</f>
        <v>Low Hike[11-15%]</v>
      </c>
      <c r="AC1394" s="1">
        <v>3</v>
      </c>
      <c r="AD1394" s="1">
        <v>4</v>
      </c>
      <c r="AE1394" s="1">
        <v>80</v>
      </c>
      <c r="AF1394" s="1">
        <v>0</v>
      </c>
      <c r="AG1394" s="1">
        <v>10</v>
      </c>
      <c r="AH1394" s="9" t="str" cm="1">
        <f t="array" ref="AH1394">_xlfn.IFS(AG1394 &lt;= 5, "New[1-5]", AG1394 &lt;= 10, "Early Career[6-10]", AG1394 &lt;= 20, "Established[11-20]", AG1394 &lt;= 30, "Veteran[21-30]", AG1394 &lt;= 40, "Late Career[31-40]")</f>
        <v>Early Career[6-10]</v>
      </c>
      <c r="AI1394" s="1">
        <v>2</v>
      </c>
      <c r="AJ1394" s="1">
        <v>3</v>
      </c>
      <c r="AK1394" s="1">
        <v>10</v>
      </c>
      <c r="AL1394" s="9" t="str" cm="1">
        <f t="array" ref="AL1394">_xlfn.IFS(AK1394 &lt;= 5, "New[1-5]", AK1394 &lt;= 10, "Early Career[6-10]", AK1394 &lt;= 20, "Established[11-20]", AK1394 &lt;= 30, "Veteran[21-30]", AK1394 &lt;= 40, "Late Career[31-40]")</f>
        <v>Early Career[6-10]</v>
      </c>
      <c r="AM1394" s="1">
        <v>8</v>
      </c>
      <c r="AN1394" s="9" t="str" cm="1">
        <f t="array" ref="AN1394">_xlfn.IFS(AM1394 &lt;= 3, "New to Role[1-3]", AM1394 &lt;= 7, "Settled[4-7]", AM1394 &lt;= 12, "Experienced[[8-12]", AM1394 &lt;= 18, "Long Tenured[13-18]")</f>
        <v>Experienced[[8-12]</v>
      </c>
      <c r="AO1394" s="1">
        <v>0</v>
      </c>
      <c r="AP1394" s="9" t="str" cm="1">
        <f t="array" ref="AP1394">_xlfn.IFS(AO1394 &lt;= 3, "Recently[1-3]", AO1394 &lt;= 6, "Due Soon[4-6]", AO1394 &lt;= 10, "Overdue[7-10]", AO1394 &lt;= 15, "Long Overdue[11-15]")</f>
        <v>Recently[1-3]</v>
      </c>
      <c r="AQ1394" s="9" t="str" cm="1">
        <f t="array" ref="AQ1394">_xlfn.IFS(AR1394 &lt;= 3, "New Relationship[1-3]", AR1394 &lt;= 7, "Established Relationship[4-7]", AR1394 &lt;= 12, "Long Term Relationship[8-12]", AR1394 &lt;= 17, "Very Long Term Relationship[13-17]")</f>
        <v>Long Term Relationship[8-12]</v>
      </c>
      <c r="AR1394" s="1">
        <v>9</v>
      </c>
    </row>
    <row r="1395" spans="1:44" x14ac:dyDescent="0.25">
      <c r="A1395" s="1">
        <v>27</v>
      </c>
      <c r="B1395" s="8" t="str" cm="1">
        <f t="array" ref="B1395">_xlfn.IFS(A1395 &lt;= 25, "[18-25]", A1395 &lt;= 35, "[26-35]", A1395 &lt;=45, "[36-45]", A1395 &lt;= 60, "[46- 60]")</f>
        <v>[26-35]</v>
      </c>
      <c r="C1395" s="3" t="s">
        <v>43</v>
      </c>
      <c r="D1395">
        <f t="shared" si="21"/>
        <v>0</v>
      </c>
      <c r="E1395" t="s">
        <v>36</v>
      </c>
      <c r="F1395" s="1">
        <v>954</v>
      </c>
      <c r="G1395" s="3" t="s">
        <v>37</v>
      </c>
      <c r="H1395" s="1">
        <v>9</v>
      </c>
      <c r="I1395" s="9" t="str" cm="1">
        <f t="array" ref="I1395">_xlfn.IFS(H1395 &lt;= 2, "[1-2] very close", H1395 &lt;= 10, "[3-10] close", H1395 &lt;= 20, "[11-20] moderate", H1395 &lt;= 30, "[21-30] far")</f>
        <v>[3-10] close</v>
      </c>
      <c r="J1395" s="1">
        <v>3</v>
      </c>
      <c r="K1395" s="3" t="s">
        <v>59</v>
      </c>
      <c r="L1395" s="1">
        <v>1</v>
      </c>
      <c r="M1395" s="1">
        <v>1965</v>
      </c>
      <c r="N1395" s="1">
        <v>4</v>
      </c>
      <c r="O1395" s="3" t="s">
        <v>46</v>
      </c>
      <c r="P1395" s="1">
        <v>44</v>
      </c>
      <c r="Q1395" s="1">
        <v>3</v>
      </c>
      <c r="R1395" s="1">
        <v>2</v>
      </c>
      <c r="S1395" s="3" t="s">
        <v>40</v>
      </c>
      <c r="T1395" s="1">
        <v>4</v>
      </c>
      <c r="U1395" s="3" t="s">
        <v>41</v>
      </c>
      <c r="V1395" s="4">
        <v>4105</v>
      </c>
      <c r="W1395" s="1">
        <v>5099</v>
      </c>
      <c r="X1395" s="1">
        <v>1</v>
      </c>
      <c r="Y1395" s="3" t="s">
        <v>42</v>
      </c>
      <c r="Z1395" s="3" t="s">
        <v>43</v>
      </c>
      <c r="AA1395" s="5">
        <v>0.14000000000000001</v>
      </c>
      <c r="AB1395" s="10" t="str" cm="1">
        <f t="array" ref="AB1395">_xlfn.IFS(AA1395 &lt;= 15%, "Low Hike[11-15%]", AA1395 &lt;= 20%, "Moderate Hike[16-20%]", AA1395 &lt;= 25%,"High Hike[21-25%]")</f>
        <v>Low Hike[11-15%]</v>
      </c>
      <c r="AC1395" s="1">
        <v>3</v>
      </c>
      <c r="AD1395" s="1">
        <v>1</v>
      </c>
      <c r="AE1395" s="1">
        <v>80</v>
      </c>
      <c r="AF1395" s="1">
        <v>0</v>
      </c>
      <c r="AG1395" s="1">
        <v>7</v>
      </c>
      <c r="AH1395" s="9" t="str" cm="1">
        <f t="array" ref="AH1395">_xlfn.IFS(AG1395 &lt;= 5, "New[1-5]", AG1395 &lt;= 10, "Early Career[6-10]", AG1395 &lt;= 20, "Established[11-20]", AG1395 &lt;= 30, "Veteran[21-30]", AG1395 &lt;= 40, "Late Career[31-40]")</f>
        <v>Early Career[6-10]</v>
      </c>
      <c r="AI1395" s="1">
        <v>5</v>
      </c>
      <c r="AJ1395" s="1">
        <v>3</v>
      </c>
      <c r="AK1395" s="1">
        <v>7</v>
      </c>
      <c r="AL1395" s="9" t="str" cm="1">
        <f t="array" ref="AL1395">_xlfn.IFS(AK1395 &lt;= 5, "New[1-5]", AK1395 &lt;= 10, "Early Career[6-10]", AK1395 &lt;= 20, "Established[11-20]", AK1395 &lt;= 30, "Veteran[21-30]", AK1395 &lt;= 40, "Late Career[31-40]")</f>
        <v>Early Career[6-10]</v>
      </c>
      <c r="AM1395" s="1">
        <v>7</v>
      </c>
      <c r="AN1395" s="9" t="str" cm="1">
        <f t="array" ref="AN1395">_xlfn.IFS(AM1395 &lt;= 3, "New to Role[1-3]", AM1395 &lt;= 7, "Settled[4-7]", AM1395 &lt;= 12, "Experienced[[8-12]", AM1395 &lt;= 18, "Long Tenured[13-18]")</f>
        <v>Settled[4-7]</v>
      </c>
      <c r="AO1395" s="1">
        <v>0</v>
      </c>
      <c r="AP1395" s="9" t="str" cm="1">
        <f t="array" ref="AP1395">_xlfn.IFS(AO1395 &lt;= 3, "Recently[1-3]", AO1395 &lt;= 6, "Due Soon[4-6]", AO1395 &lt;= 10, "Overdue[7-10]", AO1395 &lt;= 15, "Long Overdue[11-15]")</f>
        <v>Recently[1-3]</v>
      </c>
      <c r="AQ1395" s="9" t="str" cm="1">
        <f t="array" ref="AQ1395">_xlfn.IFS(AR1395 &lt;= 3, "New Relationship[1-3]", AR1395 &lt;= 7, "Established Relationship[4-7]", AR1395 &lt;= 12, "Long Term Relationship[8-12]", AR1395 &lt;= 17, "Very Long Term Relationship[13-17]")</f>
        <v>Established Relationship[4-7]</v>
      </c>
      <c r="AR1395" s="1">
        <v>7</v>
      </c>
    </row>
    <row r="1396" spans="1:44" x14ac:dyDescent="0.25">
      <c r="A1396" s="1">
        <v>32</v>
      </c>
      <c r="B1396" s="8" t="str" cm="1">
        <f t="array" ref="B1396">_xlfn.IFS(A1396 &lt;= 25, "[18-25]", A1396 &lt;= 35, "[26-35]", A1396 &lt;=45, "[36-45]", A1396 &lt;= 60, "[46- 60]")</f>
        <v>[26-35]</v>
      </c>
      <c r="C1396" s="3" t="s">
        <v>43</v>
      </c>
      <c r="D1396">
        <f t="shared" si="21"/>
        <v>0</v>
      </c>
      <c r="E1396" t="s">
        <v>36</v>
      </c>
      <c r="F1396" s="1">
        <v>1373</v>
      </c>
      <c r="G1396" s="3" t="s">
        <v>45</v>
      </c>
      <c r="H1396" s="1">
        <v>5</v>
      </c>
      <c r="I1396" s="9" t="str" cm="1">
        <f t="array" ref="I1396">_xlfn.IFS(H1396 &lt;= 2, "[1-2] very close", H1396 &lt;= 10, "[3-10] close", H1396 &lt;= 20, "[11-20] moderate", H1396 &lt;= 30, "[21-30] far")</f>
        <v>[3-10] close</v>
      </c>
      <c r="J1396" s="1">
        <v>4</v>
      </c>
      <c r="K1396" s="3" t="s">
        <v>38</v>
      </c>
      <c r="L1396" s="1">
        <v>1</v>
      </c>
      <c r="M1396" s="1">
        <v>1966</v>
      </c>
      <c r="N1396" s="1">
        <v>4</v>
      </c>
      <c r="O1396" s="3" t="s">
        <v>46</v>
      </c>
      <c r="P1396" s="1">
        <v>56</v>
      </c>
      <c r="Q1396" s="1">
        <v>2</v>
      </c>
      <c r="R1396" s="1">
        <v>2</v>
      </c>
      <c r="S1396" s="3" t="s">
        <v>53</v>
      </c>
      <c r="T1396" s="1">
        <v>4</v>
      </c>
      <c r="U1396" s="3" t="s">
        <v>41</v>
      </c>
      <c r="V1396" s="4">
        <v>9679</v>
      </c>
      <c r="W1396" s="1">
        <v>10138</v>
      </c>
      <c r="X1396" s="1">
        <v>8</v>
      </c>
      <c r="Y1396" s="3" t="s">
        <v>42</v>
      </c>
      <c r="Z1396" s="3" t="s">
        <v>43</v>
      </c>
      <c r="AA1396" s="5">
        <v>0.24</v>
      </c>
      <c r="AB1396" s="10" t="str" cm="1">
        <f t="array" ref="AB1396">_xlfn.IFS(AA1396 &lt;= 15%, "Low Hike[11-15%]", AA1396 &lt;= 20%, "Moderate Hike[16-20%]", AA1396 &lt;= 25%,"High Hike[21-25%]")</f>
        <v>High Hike[21-25%]</v>
      </c>
      <c r="AC1396" s="1">
        <v>4</v>
      </c>
      <c r="AD1396" s="1">
        <v>2</v>
      </c>
      <c r="AE1396" s="1">
        <v>80</v>
      </c>
      <c r="AF1396" s="1">
        <v>0</v>
      </c>
      <c r="AG1396" s="1">
        <v>8</v>
      </c>
      <c r="AH1396" s="9" t="str" cm="1">
        <f t="array" ref="AH1396">_xlfn.IFS(AG1396 &lt;= 5, "New[1-5]", AG1396 &lt;= 10, "Early Career[6-10]", AG1396 &lt;= 20, "Established[11-20]", AG1396 &lt;= 30, "Veteran[21-30]", AG1396 &lt;= 40, "Late Career[31-40]")</f>
        <v>Early Career[6-10]</v>
      </c>
      <c r="AI1396" s="1">
        <v>1</v>
      </c>
      <c r="AJ1396" s="1">
        <v>3</v>
      </c>
      <c r="AK1396" s="1">
        <v>1</v>
      </c>
      <c r="AL1396" s="9" t="str" cm="1">
        <f t="array" ref="AL1396">_xlfn.IFS(AK1396 &lt;= 5, "New[1-5]", AK1396 &lt;= 10, "Early Career[6-10]", AK1396 &lt;= 20, "Established[11-20]", AK1396 &lt;= 30, "Veteran[21-30]", AK1396 &lt;= 40, "Late Career[31-40]")</f>
        <v>New[1-5]</v>
      </c>
      <c r="AM1396" s="1">
        <v>0</v>
      </c>
      <c r="AN1396" s="9" t="str" cm="1">
        <f t="array" ref="AN1396">_xlfn.IFS(AM1396 &lt;= 3, "New to Role[1-3]", AM1396 &lt;= 7, "Settled[4-7]", AM1396 &lt;= 12, "Experienced[[8-12]", AM1396 &lt;= 18, "Long Tenured[13-18]")</f>
        <v>New to Role[1-3]</v>
      </c>
      <c r="AO1396" s="1">
        <v>0</v>
      </c>
      <c r="AP1396" s="9" t="str" cm="1">
        <f t="array" ref="AP1396">_xlfn.IFS(AO1396 &lt;= 3, "Recently[1-3]", AO1396 &lt;= 6, "Due Soon[4-6]", AO1396 &lt;= 10, "Overdue[7-10]", AO1396 &lt;= 15, "Long Overdue[11-15]")</f>
        <v>Recently[1-3]</v>
      </c>
      <c r="AQ1396" s="9" t="str" cm="1">
        <f t="array" ref="AQ1396">_xlfn.IFS(AR1396 &lt;= 3, "New Relationship[1-3]", AR1396 &lt;= 7, "Established Relationship[4-7]", AR1396 &lt;= 12, "Long Term Relationship[8-12]", AR1396 &lt;= 17, "Very Long Term Relationship[13-17]")</f>
        <v>New Relationship[1-3]</v>
      </c>
      <c r="AR1396" s="1">
        <v>0</v>
      </c>
    </row>
    <row r="1397" spans="1:44" x14ac:dyDescent="0.25">
      <c r="A1397" s="1">
        <v>31</v>
      </c>
      <c r="B1397" s="8" t="str" cm="1">
        <f t="array" ref="B1397">_xlfn.IFS(A1397 &lt;= 25, "[18-25]", A1397 &lt;= 35, "[26-35]", A1397 &lt;=45, "[36-45]", A1397 &lt;= 60, "[46- 60]")</f>
        <v>[26-35]</v>
      </c>
      <c r="C1397" s="3" t="s">
        <v>35</v>
      </c>
      <c r="D1397">
        <f t="shared" si="21"/>
        <v>1</v>
      </c>
      <c r="E1397" t="s">
        <v>44</v>
      </c>
      <c r="F1397" s="1">
        <v>754</v>
      </c>
      <c r="G1397" s="3" t="s">
        <v>37</v>
      </c>
      <c r="H1397" s="1">
        <v>26</v>
      </c>
      <c r="I1397" s="9" t="str" cm="1">
        <f t="array" ref="I1397">_xlfn.IFS(H1397 &lt;= 2, "[1-2] very close", H1397 &lt;= 10, "[3-10] close", H1397 &lt;= 20, "[11-20] moderate", H1397 &lt;= 30, "[21-30] far")</f>
        <v>[21-30] far</v>
      </c>
      <c r="J1397" s="1">
        <v>4</v>
      </c>
      <c r="K1397" s="3" t="s">
        <v>59</v>
      </c>
      <c r="L1397" s="1">
        <v>1</v>
      </c>
      <c r="M1397" s="1">
        <v>1967</v>
      </c>
      <c r="N1397" s="1">
        <v>1</v>
      </c>
      <c r="O1397" s="3" t="s">
        <v>46</v>
      </c>
      <c r="P1397" s="1">
        <v>63</v>
      </c>
      <c r="Q1397" s="1">
        <v>3</v>
      </c>
      <c r="R1397" s="1">
        <v>2</v>
      </c>
      <c r="S1397" s="3" t="s">
        <v>40</v>
      </c>
      <c r="T1397" s="1">
        <v>4</v>
      </c>
      <c r="U1397" s="3" t="s">
        <v>48</v>
      </c>
      <c r="V1397" s="4">
        <v>5617</v>
      </c>
      <c r="W1397" s="1">
        <v>21075</v>
      </c>
      <c r="X1397" s="1">
        <v>1</v>
      </c>
      <c r="Y1397" s="3" t="s">
        <v>42</v>
      </c>
      <c r="Z1397" s="3" t="s">
        <v>35</v>
      </c>
      <c r="AA1397" s="5">
        <v>0.11</v>
      </c>
      <c r="AB1397" s="10" t="str" cm="1">
        <f t="array" ref="AB1397">_xlfn.IFS(AA1397 &lt;= 15%, "Low Hike[11-15%]", AA1397 &lt;= 20%, "Moderate Hike[16-20%]", AA1397 &lt;= 25%,"High Hike[21-25%]")</f>
        <v>Low Hike[11-15%]</v>
      </c>
      <c r="AC1397" s="1">
        <v>3</v>
      </c>
      <c r="AD1397" s="1">
        <v>3</v>
      </c>
      <c r="AE1397" s="1">
        <v>80</v>
      </c>
      <c r="AF1397" s="1">
        <v>0</v>
      </c>
      <c r="AG1397" s="1">
        <v>10</v>
      </c>
      <c r="AH1397" s="9" t="str" cm="1">
        <f t="array" ref="AH1397">_xlfn.IFS(AG1397 &lt;= 5, "New[1-5]", AG1397 &lt;= 10, "Early Career[6-10]", AG1397 &lt;= 20, "Established[11-20]", AG1397 &lt;= 30, "Veteran[21-30]", AG1397 &lt;= 40, "Late Career[31-40]")</f>
        <v>Early Career[6-10]</v>
      </c>
      <c r="AI1397" s="1">
        <v>4</v>
      </c>
      <c r="AJ1397" s="1">
        <v>3</v>
      </c>
      <c r="AK1397" s="1">
        <v>10</v>
      </c>
      <c r="AL1397" s="9" t="str" cm="1">
        <f t="array" ref="AL1397">_xlfn.IFS(AK1397 &lt;= 5, "New[1-5]", AK1397 &lt;= 10, "Early Career[6-10]", AK1397 &lt;= 20, "Established[11-20]", AK1397 &lt;= 30, "Veteran[21-30]", AK1397 &lt;= 40, "Late Career[31-40]")</f>
        <v>Early Career[6-10]</v>
      </c>
      <c r="AM1397" s="1">
        <v>7</v>
      </c>
      <c r="AN1397" s="9" t="str" cm="1">
        <f t="array" ref="AN1397">_xlfn.IFS(AM1397 &lt;= 3, "New to Role[1-3]", AM1397 &lt;= 7, "Settled[4-7]", AM1397 &lt;= 12, "Experienced[[8-12]", AM1397 &lt;= 18, "Long Tenured[13-18]")</f>
        <v>Settled[4-7]</v>
      </c>
      <c r="AO1397" s="1">
        <v>0</v>
      </c>
      <c r="AP1397" s="9" t="str" cm="1">
        <f t="array" ref="AP1397">_xlfn.IFS(AO1397 &lt;= 3, "Recently[1-3]", AO1397 &lt;= 6, "Due Soon[4-6]", AO1397 &lt;= 10, "Overdue[7-10]", AO1397 &lt;= 15, "Long Overdue[11-15]")</f>
        <v>Recently[1-3]</v>
      </c>
      <c r="AQ1397" s="9" t="str" cm="1">
        <f t="array" ref="AQ1397">_xlfn.IFS(AR1397 &lt;= 3, "New Relationship[1-3]", AR1397 &lt;= 7, "Established Relationship[4-7]", AR1397 &lt;= 12, "Long Term Relationship[8-12]", AR1397 &lt;= 17, "Very Long Term Relationship[13-17]")</f>
        <v>Long Term Relationship[8-12]</v>
      </c>
      <c r="AR1397" s="1">
        <v>8</v>
      </c>
    </row>
    <row r="1398" spans="1:44" x14ac:dyDescent="0.25">
      <c r="A1398" s="1">
        <v>53</v>
      </c>
      <c r="B1398" s="8" t="str" cm="1">
        <f t="array" ref="B1398">_xlfn.IFS(A1398 &lt;= 25, "[18-25]", A1398 &lt;= 35, "[26-35]", A1398 &lt;=45, "[36-45]", A1398 &lt;= 60, "[46- 60]")</f>
        <v>[46- 60]</v>
      </c>
      <c r="C1398" s="3" t="s">
        <v>35</v>
      </c>
      <c r="D1398">
        <f t="shared" si="21"/>
        <v>1</v>
      </c>
      <c r="E1398" t="s">
        <v>36</v>
      </c>
      <c r="F1398" s="1">
        <v>1168</v>
      </c>
      <c r="G1398" s="3" t="s">
        <v>37</v>
      </c>
      <c r="H1398" s="1">
        <v>24</v>
      </c>
      <c r="I1398" s="9" t="str" cm="1">
        <f t="array" ref="I1398">_xlfn.IFS(H1398 &lt;= 2, "[1-2] very close", H1398 &lt;= 10, "[3-10] close", H1398 &lt;= 20, "[11-20] moderate", H1398 &lt;= 30, "[21-30] far")</f>
        <v>[21-30] far</v>
      </c>
      <c r="J1398" s="1">
        <v>4</v>
      </c>
      <c r="K1398" s="3" t="s">
        <v>38</v>
      </c>
      <c r="L1398" s="1">
        <v>1</v>
      </c>
      <c r="M1398" s="1">
        <v>1968</v>
      </c>
      <c r="N1398" s="1">
        <v>1</v>
      </c>
      <c r="O1398" s="3" t="s">
        <v>46</v>
      </c>
      <c r="P1398" s="1">
        <v>66</v>
      </c>
      <c r="Q1398" s="1">
        <v>3</v>
      </c>
      <c r="R1398" s="1">
        <v>3</v>
      </c>
      <c r="S1398" s="3" t="s">
        <v>40</v>
      </c>
      <c r="T1398" s="1">
        <v>1</v>
      </c>
      <c r="U1398" s="3" t="s">
        <v>41</v>
      </c>
      <c r="V1398" s="4">
        <v>10448</v>
      </c>
      <c r="W1398" s="1">
        <v>5843</v>
      </c>
      <c r="X1398" s="1">
        <v>6</v>
      </c>
      <c r="Y1398" s="3" t="s">
        <v>42</v>
      </c>
      <c r="Z1398" s="3" t="s">
        <v>35</v>
      </c>
      <c r="AA1398" s="5">
        <v>0.13</v>
      </c>
      <c r="AB1398" s="10" t="str" cm="1">
        <f t="array" ref="AB1398">_xlfn.IFS(AA1398 &lt;= 15%, "Low Hike[11-15%]", AA1398 &lt;= 20%, "Moderate Hike[16-20%]", AA1398 &lt;= 25%,"High Hike[21-25%]")</f>
        <v>Low Hike[11-15%]</v>
      </c>
      <c r="AC1398" s="1">
        <v>3</v>
      </c>
      <c r="AD1398" s="1">
        <v>2</v>
      </c>
      <c r="AE1398" s="1">
        <v>80</v>
      </c>
      <c r="AF1398" s="1">
        <v>0</v>
      </c>
      <c r="AG1398" s="1">
        <v>15</v>
      </c>
      <c r="AH1398" s="9" t="str" cm="1">
        <f t="array" ref="AH1398">_xlfn.IFS(AG1398 &lt;= 5, "New[1-5]", AG1398 &lt;= 10, "Early Career[6-10]", AG1398 &lt;= 20, "Established[11-20]", AG1398 &lt;= 30, "Veteran[21-30]", AG1398 &lt;= 40, "Late Career[31-40]")</f>
        <v>Established[11-20]</v>
      </c>
      <c r="AI1398" s="1">
        <v>2</v>
      </c>
      <c r="AJ1398" s="1">
        <v>2</v>
      </c>
      <c r="AK1398" s="1">
        <v>2</v>
      </c>
      <c r="AL1398" s="9" t="str" cm="1">
        <f t="array" ref="AL1398">_xlfn.IFS(AK1398 &lt;= 5, "New[1-5]", AK1398 &lt;= 10, "Early Career[6-10]", AK1398 &lt;= 20, "Established[11-20]", AK1398 &lt;= 30, "Veteran[21-30]", AK1398 &lt;= 40, "Late Career[31-40]")</f>
        <v>New[1-5]</v>
      </c>
      <c r="AM1398" s="1">
        <v>2</v>
      </c>
      <c r="AN1398" s="9" t="str" cm="1">
        <f t="array" ref="AN1398">_xlfn.IFS(AM1398 &lt;= 3, "New to Role[1-3]", AM1398 &lt;= 7, "Settled[4-7]", AM1398 &lt;= 12, "Experienced[[8-12]", AM1398 &lt;= 18, "Long Tenured[13-18]")</f>
        <v>New to Role[1-3]</v>
      </c>
      <c r="AO1398" s="1">
        <v>2</v>
      </c>
      <c r="AP1398" s="9" t="str" cm="1">
        <f t="array" ref="AP1398">_xlfn.IFS(AO1398 &lt;= 3, "Recently[1-3]", AO1398 &lt;= 6, "Due Soon[4-6]", AO1398 &lt;= 10, "Overdue[7-10]", AO1398 &lt;= 15, "Long Overdue[11-15]")</f>
        <v>Recently[1-3]</v>
      </c>
      <c r="AQ1398" s="9" t="str" cm="1">
        <f t="array" ref="AQ1398">_xlfn.IFS(AR1398 &lt;= 3, "New Relationship[1-3]", AR1398 &lt;= 7, "Established Relationship[4-7]", AR1398 &lt;= 12, "Long Term Relationship[8-12]", AR1398 &lt;= 17, "Very Long Term Relationship[13-17]")</f>
        <v>New Relationship[1-3]</v>
      </c>
      <c r="AR1398" s="1">
        <v>2</v>
      </c>
    </row>
    <row r="1399" spans="1:44" x14ac:dyDescent="0.25">
      <c r="A1399" s="1">
        <v>54</v>
      </c>
      <c r="B1399" s="8" t="str" cm="1">
        <f t="array" ref="B1399">_xlfn.IFS(A1399 &lt;= 25, "[18-25]", A1399 &lt;= 35, "[26-35]", A1399 &lt;=45, "[36-45]", A1399 &lt;= 60, "[46- 60]")</f>
        <v>[46- 60]</v>
      </c>
      <c r="C1399" s="3" t="s">
        <v>43</v>
      </c>
      <c r="D1399">
        <f t="shared" si="21"/>
        <v>0</v>
      </c>
      <c r="E1399" t="s">
        <v>36</v>
      </c>
      <c r="F1399" s="1">
        <v>155</v>
      </c>
      <c r="G1399" s="3" t="s">
        <v>45</v>
      </c>
      <c r="H1399" s="1">
        <v>9</v>
      </c>
      <c r="I1399" s="9" t="str" cm="1">
        <f t="array" ref="I1399">_xlfn.IFS(H1399 &lt;= 2, "[1-2] very close", H1399 &lt;= 10, "[3-10] close", H1399 &lt;= 20, "[11-20] moderate", H1399 &lt;= 30, "[21-30] far")</f>
        <v>[3-10] close</v>
      </c>
      <c r="J1399" s="1">
        <v>2</v>
      </c>
      <c r="K1399" s="3" t="s">
        <v>38</v>
      </c>
      <c r="L1399" s="1">
        <v>1</v>
      </c>
      <c r="M1399" s="1">
        <v>1969</v>
      </c>
      <c r="N1399" s="1">
        <v>1</v>
      </c>
      <c r="O1399" s="3" t="s">
        <v>39</v>
      </c>
      <c r="P1399" s="1">
        <v>67</v>
      </c>
      <c r="Q1399" s="1">
        <v>3</v>
      </c>
      <c r="R1399" s="1">
        <v>2</v>
      </c>
      <c r="S1399" s="3" t="s">
        <v>47</v>
      </c>
      <c r="T1399" s="1">
        <v>3</v>
      </c>
      <c r="U1399" s="3" t="s">
        <v>48</v>
      </c>
      <c r="V1399" s="4">
        <v>2897</v>
      </c>
      <c r="W1399" s="1">
        <v>22474</v>
      </c>
      <c r="X1399" s="1">
        <v>3</v>
      </c>
      <c r="Y1399" s="3" t="s">
        <v>42</v>
      </c>
      <c r="Z1399" s="3" t="s">
        <v>43</v>
      </c>
      <c r="AA1399" s="5">
        <v>0.11</v>
      </c>
      <c r="AB1399" s="10" t="str" cm="1">
        <f t="array" ref="AB1399">_xlfn.IFS(AA1399 &lt;= 15%, "Low Hike[11-15%]", AA1399 &lt;= 20%, "Moderate Hike[16-20%]", AA1399 &lt;= 25%,"High Hike[21-25%]")</f>
        <v>Low Hike[11-15%]</v>
      </c>
      <c r="AC1399" s="1">
        <v>3</v>
      </c>
      <c r="AD1399" s="1">
        <v>3</v>
      </c>
      <c r="AE1399" s="1">
        <v>80</v>
      </c>
      <c r="AF1399" s="1">
        <v>2</v>
      </c>
      <c r="AG1399" s="1">
        <v>9</v>
      </c>
      <c r="AH1399" s="9" t="str" cm="1">
        <f t="array" ref="AH1399">_xlfn.IFS(AG1399 &lt;= 5, "New[1-5]", AG1399 &lt;= 10, "Early Career[6-10]", AG1399 &lt;= 20, "Established[11-20]", AG1399 &lt;= 30, "Veteran[21-30]", AG1399 &lt;= 40, "Late Career[31-40]")</f>
        <v>Early Career[6-10]</v>
      </c>
      <c r="AI1399" s="1">
        <v>6</v>
      </c>
      <c r="AJ1399" s="1">
        <v>2</v>
      </c>
      <c r="AK1399" s="1">
        <v>4</v>
      </c>
      <c r="AL1399" s="9" t="str" cm="1">
        <f t="array" ref="AL1399">_xlfn.IFS(AK1399 &lt;= 5, "New[1-5]", AK1399 &lt;= 10, "Early Career[6-10]", AK1399 &lt;= 20, "Established[11-20]", AK1399 &lt;= 30, "Veteran[21-30]", AK1399 &lt;= 40, "Late Career[31-40]")</f>
        <v>New[1-5]</v>
      </c>
      <c r="AM1399" s="1">
        <v>3</v>
      </c>
      <c r="AN1399" s="9" t="str" cm="1">
        <f t="array" ref="AN1399">_xlfn.IFS(AM1399 &lt;= 3, "New to Role[1-3]", AM1399 &lt;= 7, "Settled[4-7]", AM1399 &lt;= 12, "Experienced[[8-12]", AM1399 &lt;= 18, "Long Tenured[13-18]")</f>
        <v>New to Role[1-3]</v>
      </c>
      <c r="AO1399" s="1">
        <v>2</v>
      </c>
      <c r="AP1399" s="9" t="str" cm="1">
        <f t="array" ref="AP1399">_xlfn.IFS(AO1399 &lt;= 3, "Recently[1-3]", AO1399 &lt;= 6, "Due Soon[4-6]", AO1399 &lt;= 10, "Overdue[7-10]", AO1399 &lt;= 15, "Long Overdue[11-15]")</f>
        <v>Recently[1-3]</v>
      </c>
      <c r="AQ1399" s="9" t="str" cm="1">
        <f t="array" ref="AQ1399">_xlfn.IFS(AR1399 &lt;= 3, "New Relationship[1-3]", AR1399 &lt;= 7, "Established Relationship[4-7]", AR1399 &lt;= 12, "Long Term Relationship[8-12]", AR1399 &lt;= 17, "Very Long Term Relationship[13-17]")</f>
        <v>New Relationship[1-3]</v>
      </c>
      <c r="AR1399" s="1">
        <v>3</v>
      </c>
    </row>
    <row r="1400" spans="1:44" x14ac:dyDescent="0.25">
      <c r="A1400" s="1">
        <v>33</v>
      </c>
      <c r="B1400" s="8" t="str" cm="1">
        <f t="array" ref="B1400">_xlfn.IFS(A1400 &lt;= 25, "[18-25]", A1400 &lt;= 35, "[26-35]", A1400 &lt;=45, "[36-45]", A1400 &lt;= 60, "[46- 60]")</f>
        <v>[26-35]</v>
      </c>
      <c r="C1400" s="3" t="s">
        <v>43</v>
      </c>
      <c r="D1400">
        <f t="shared" si="21"/>
        <v>0</v>
      </c>
      <c r="E1400" t="s">
        <v>44</v>
      </c>
      <c r="F1400" s="1">
        <v>1303</v>
      </c>
      <c r="G1400" s="3" t="s">
        <v>45</v>
      </c>
      <c r="H1400" s="1">
        <v>7</v>
      </c>
      <c r="I1400" s="9" t="str" cm="1">
        <f t="array" ref="I1400">_xlfn.IFS(H1400 &lt;= 2, "[1-2] very close", H1400 &lt;= 10, "[3-10] close", H1400 &lt;= 20, "[11-20] moderate", H1400 &lt;= 30, "[21-30] far")</f>
        <v>[3-10] close</v>
      </c>
      <c r="J1400" s="1">
        <v>2</v>
      </c>
      <c r="K1400" s="3" t="s">
        <v>38</v>
      </c>
      <c r="L1400" s="1">
        <v>1</v>
      </c>
      <c r="M1400" s="1">
        <v>1970</v>
      </c>
      <c r="N1400" s="1">
        <v>4</v>
      </c>
      <c r="O1400" s="3" t="s">
        <v>46</v>
      </c>
      <c r="P1400" s="1">
        <v>36</v>
      </c>
      <c r="Q1400" s="1">
        <v>3</v>
      </c>
      <c r="R1400" s="1">
        <v>2</v>
      </c>
      <c r="S1400" s="3" t="s">
        <v>54</v>
      </c>
      <c r="T1400" s="1">
        <v>3</v>
      </c>
      <c r="U1400" s="3" t="s">
        <v>52</v>
      </c>
      <c r="V1400" s="4">
        <v>5968</v>
      </c>
      <c r="W1400" s="1">
        <v>18079</v>
      </c>
      <c r="X1400" s="1">
        <v>1</v>
      </c>
      <c r="Y1400" s="3" t="s">
        <v>42</v>
      </c>
      <c r="Z1400" s="3" t="s">
        <v>43</v>
      </c>
      <c r="AA1400" s="5">
        <v>0.2</v>
      </c>
      <c r="AB1400" s="10" t="str" cm="1">
        <f t="array" ref="AB1400">_xlfn.IFS(AA1400 &lt;= 15%, "Low Hike[11-15%]", AA1400 &lt;= 20%, "Moderate Hike[16-20%]", AA1400 &lt;= 25%,"High Hike[21-25%]")</f>
        <v>Moderate Hike[16-20%]</v>
      </c>
      <c r="AC1400" s="1">
        <v>4</v>
      </c>
      <c r="AD1400" s="1">
        <v>3</v>
      </c>
      <c r="AE1400" s="1">
        <v>80</v>
      </c>
      <c r="AF1400" s="1">
        <v>3</v>
      </c>
      <c r="AG1400" s="1">
        <v>9</v>
      </c>
      <c r="AH1400" s="9" t="str" cm="1">
        <f t="array" ref="AH1400">_xlfn.IFS(AG1400 &lt;= 5, "New[1-5]", AG1400 &lt;= 10, "Early Career[6-10]", AG1400 &lt;= 20, "Established[11-20]", AG1400 &lt;= 30, "Veteran[21-30]", AG1400 &lt;= 40, "Late Career[31-40]")</f>
        <v>Early Career[6-10]</v>
      </c>
      <c r="AI1400" s="1">
        <v>2</v>
      </c>
      <c r="AJ1400" s="1">
        <v>3</v>
      </c>
      <c r="AK1400" s="1">
        <v>9</v>
      </c>
      <c r="AL1400" s="9" t="str" cm="1">
        <f t="array" ref="AL1400">_xlfn.IFS(AK1400 &lt;= 5, "New[1-5]", AK1400 &lt;= 10, "Early Career[6-10]", AK1400 &lt;= 20, "Established[11-20]", AK1400 &lt;= 30, "Veteran[21-30]", AK1400 &lt;= 40, "Late Career[31-40]")</f>
        <v>Early Career[6-10]</v>
      </c>
      <c r="AM1400" s="1">
        <v>7</v>
      </c>
      <c r="AN1400" s="9" t="str" cm="1">
        <f t="array" ref="AN1400">_xlfn.IFS(AM1400 &lt;= 3, "New to Role[1-3]", AM1400 &lt;= 7, "Settled[4-7]", AM1400 &lt;= 12, "Experienced[[8-12]", AM1400 &lt;= 18, "Long Tenured[13-18]")</f>
        <v>Settled[4-7]</v>
      </c>
      <c r="AO1400" s="1">
        <v>2</v>
      </c>
      <c r="AP1400" s="9" t="str" cm="1">
        <f t="array" ref="AP1400">_xlfn.IFS(AO1400 &lt;= 3, "Recently[1-3]", AO1400 &lt;= 6, "Due Soon[4-6]", AO1400 &lt;= 10, "Overdue[7-10]", AO1400 &lt;= 15, "Long Overdue[11-15]")</f>
        <v>Recently[1-3]</v>
      </c>
      <c r="AQ1400" s="9" t="str" cm="1">
        <f t="array" ref="AQ1400">_xlfn.IFS(AR1400 &lt;= 3, "New Relationship[1-3]", AR1400 &lt;= 7, "Established Relationship[4-7]", AR1400 &lt;= 12, "Long Term Relationship[8-12]", AR1400 &lt;= 17, "Very Long Term Relationship[13-17]")</f>
        <v>Long Term Relationship[8-12]</v>
      </c>
      <c r="AR1400" s="1">
        <v>8</v>
      </c>
    </row>
    <row r="1401" spans="1:44" x14ac:dyDescent="0.25">
      <c r="A1401" s="1">
        <v>43</v>
      </c>
      <c r="B1401" s="8" t="str" cm="1">
        <f t="array" ref="B1401">_xlfn.IFS(A1401 &lt;= 25, "[18-25]", A1401 &lt;= 35, "[26-35]", A1401 &lt;=45, "[36-45]", A1401 &lt;= 60, "[46- 60]")</f>
        <v>[36-45]</v>
      </c>
      <c r="C1401" s="3" t="s">
        <v>43</v>
      </c>
      <c r="D1401">
        <f t="shared" si="21"/>
        <v>0</v>
      </c>
      <c r="E1401" t="s">
        <v>36</v>
      </c>
      <c r="F1401" s="1">
        <v>574</v>
      </c>
      <c r="G1401" s="3" t="s">
        <v>45</v>
      </c>
      <c r="H1401" s="1">
        <v>11</v>
      </c>
      <c r="I1401" s="9" t="str" cm="1">
        <f t="array" ref="I1401">_xlfn.IFS(H1401 &lt;= 2, "[1-2] very close", H1401 &lt;= 10, "[3-10] close", H1401 &lt;= 20, "[11-20] moderate", H1401 &lt;= 30, "[21-30] far")</f>
        <v>[11-20] moderate</v>
      </c>
      <c r="J1401" s="1">
        <v>3</v>
      </c>
      <c r="K1401" s="3" t="s">
        <v>38</v>
      </c>
      <c r="L1401" s="1">
        <v>1</v>
      </c>
      <c r="M1401" s="1">
        <v>1971</v>
      </c>
      <c r="N1401" s="1">
        <v>1</v>
      </c>
      <c r="O1401" s="3" t="s">
        <v>46</v>
      </c>
      <c r="P1401" s="1">
        <v>30</v>
      </c>
      <c r="Q1401" s="1">
        <v>3</v>
      </c>
      <c r="R1401" s="1">
        <v>3</v>
      </c>
      <c r="S1401" s="3" t="s">
        <v>54</v>
      </c>
      <c r="T1401" s="1">
        <v>3</v>
      </c>
      <c r="U1401" s="3" t="s">
        <v>48</v>
      </c>
      <c r="V1401" s="4">
        <v>7510</v>
      </c>
      <c r="W1401" s="1">
        <v>16873</v>
      </c>
      <c r="X1401" s="1">
        <v>1</v>
      </c>
      <c r="Y1401" s="3" t="s">
        <v>42</v>
      </c>
      <c r="Z1401" s="3" t="s">
        <v>43</v>
      </c>
      <c r="AA1401" s="5">
        <v>0.17</v>
      </c>
      <c r="AB1401" s="10" t="str" cm="1">
        <f t="array" ref="AB1401">_xlfn.IFS(AA1401 &lt;= 15%, "Low Hike[11-15%]", AA1401 &lt;= 20%, "Moderate Hike[16-20%]", AA1401 &lt;= 25%,"High Hike[21-25%]")</f>
        <v>Moderate Hike[16-20%]</v>
      </c>
      <c r="AC1401" s="1">
        <v>3</v>
      </c>
      <c r="AD1401" s="1">
        <v>2</v>
      </c>
      <c r="AE1401" s="1">
        <v>80</v>
      </c>
      <c r="AF1401" s="1">
        <v>1</v>
      </c>
      <c r="AG1401" s="1">
        <v>10</v>
      </c>
      <c r="AH1401" s="9" t="str" cm="1">
        <f t="array" ref="AH1401">_xlfn.IFS(AG1401 &lt;= 5, "New[1-5]", AG1401 &lt;= 10, "Early Career[6-10]", AG1401 &lt;= 20, "Established[11-20]", AG1401 &lt;= 30, "Veteran[21-30]", AG1401 &lt;= 40, "Late Career[31-40]")</f>
        <v>Early Career[6-10]</v>
      </c>
      <c r="AI1401" s="1">
        <v>1</v>
      </c>
      <c r="AJ1401" s="1">
        <v>3</v>
      </c>
      <c r="AK1401" s="1">
        <v>10</v>
      </c>
      <c r="AL1401" s="9" t="str" cm="1">
        <f t="array" ref="AL1401">_xlfn.IFS(AK1401 &lt;= 5, "New[1-5]", AK1401 &lt;= 10, "Early Career[6-10]", AK1401 &lt;= 20, "Established[11-20]", AK1401 &lt;= 30, "Veteran[21-30]", AK1401 &lt;= 40, "Late Career[31-40]")</f>
        <v>Early Career[6-10]</v>
      </c>
      <c r="AM1401" s="1">
        <v>9</v>
      </c>
      <c r="AN1401" s="9" t="str" cm="1">
        <f t="array" ref="AN1401">_xlfn.IFS(AM1401 &lt;= 3, "New to Role[1-3]", AM1401 &lt;= 7, "Settled[4-7]", AM1401 &lt;= 12, "Experienced[[8-12]", AM1401 &lt;= 18, "Long Tenured[13-18]")</f>
        <v>Experienced[[8-12]</v>
      </c>
      <c r="AO1401" s="1">
        <v>0</v>
      </c>
      <c r="AP1401" s="9" t="str" cm="1">
        <f t="array" ref="AP1401">_xlfn.IFS(AO1401 &lt;= 3, "Recently[1-3]", AO1401 &lt;= 6, "Due Soon[4-6]", AO1401 &lt;= 10, "Overdue[7-10]", AO1401 &lt;= 15, "Long Overdue[11-15]")</f>
        <v>Recently[1-3]</v>
      </c>
      <c r="AQ1401" s="9" t="str" cm="1">
        <f t="array" ref="AQ1401">_xlfn.IFS(AR1401 &lt;= 3, "New Relationship[1-3]", AR1401 &lt;= 7, "Established Relationship[4-7]", AR1401 &lt;= 12, "Long Term Relationship[8-12]", AR1401 &lt;= 17, "Very Long Term Relationship[13-17]")</f>
        <v>Long Term Relationship[8-12]</v>
      </c>
      <c r="AR1401" s="1">
        <v>9</v>
      </c>
    </row>
    <row r="1402" spans="1:44" x14ac:dyDescent="0.25">
      <c r="A1402" s="1">
        <v>38</v>
      </c>
      <c r="B1402" s="8" t="str" cm="1">
        <f t="array" ref="B1402">_xlfn.IFS(A1402 &lt;= 25, "[18-25]", A1402 &lt;= 35, "[26-35]", A1402 &lt;=45, "[36-45]", A1402 &lt;= 60, "[46- 60]")</f>
        <v>[36-45]</v>
      </c>
      <c r="C1402" s="3" t="s">
        <v>43</v>
      </c>
      <c r="D1402">
        <f t="shared" si="21"/>
        <v>0</v>
      </c>
      <c r="E1402" t="s">
        <v>44</v>
      </c>
      <c r="F1402" s="1">
        <v>1444</v>
      </c>
      <c r="G1402" s="3" t="s">
        <v>61</v>
      </c>
      <c r="H1402" s="1">
        <v>1</v>
      </c>
      <c r="I1402" s="9" t="str" cm="1">
        <f t="array" ref="I1402">_xlfn.IFS(H1402 &lt;= 2, "[1-2] very close", H1402 &lt;= 10, "[3-10] close", H1402 &lt;= 20, "[11-20] moderate", H1402 &lt;= 30, "[21-30] far")</f>
        <v>[1-2] very close</v>
      </c>
      <c r="J1402" s="1">
        <v>4</v>
      </c>
      <c r="K1402" s="3" t="s">
        <v>49</v>
      </c>
      <c r="L1402" s="1">
        <v>1</v>
      </c>
      <c r="M1402" s="1">
        <v>1972</v>
      </c>
      <c r="N1402" s="1">
        <v>4</v>
      </c>
      <c r="O1402" s="3" t="s">
        <v>46</v>
      </c>
      <c r="P1402" s="1">
        <v>88</v>
      </c>
      <c r="Q1402" s="1">
        <v>3</v>
      </c>
      <c r="R1402" s="1">
        <v>1</v>
      </c>
      <c r="S1402" s="3" t="s">
        <v>61</v>
      </c>
      <c r="T1402" s="1">
        <v>2</v>
      </c>
      <c r="U1402" s="3" t="s">
        <v>48</v>
      </c>
      <c r="V1402" s="4">
        <v>2991</v>
      </c>
      <c r="W1402" s="1">
        <v>5224</v>
      </c>
      <c r="X1402" s="1">
        <v>0</v>
      </c>
      <c r="Y1402" s="3" t="s">
        <v>42</v>
      </c>
      <c r="Z1402" s="3" t="s">
        <v>35</v>
      </c>
      <c r="AA1402" s="5">
        <v>0.11</v>
      </c>
      <c r="AB1402" s="10" t="str" cm="1">
        <f t="array" ref="AB1402">_xlfn.IFS(AA1402 &lt;= 15%, "Low Hike[11-15%]", AA1402 &lt;= 20%, "Moderate Hike[16-20%]", AA1402 &lt;= 25%,"High Hike[21-25%]")</f>
        <v>Low Hike[11-15%]</v>
      </c>
      <c r="AC1402" s="1">
        <v>3</v>
      </c>
      <c r="AD1402" s="1">
        <v>2</v>
      </c>
      <c r="AE1402" s="1">
        <v>80</v>
      </c>
      <c r="AF1402" s="1">
        <v>1</v>
      </c>
      <c r="AG1402" s="1">
        <v>7</v>
      </c>
      <c r="AH1402" s="9" t="str" cm="1">
        <f t="array" ref="AH1402">_xlfn.IFS(AG1402 &lt;= 5, "New[1-5]", AG1402 &lt;= 10, "Early Career[6-10]", AG1402 &lt;= 20, "Established[11-20]", AG1402 &lt;= 30, "Veteran[21-30]", AG1402 &lt;= 40, "Late Career[31-40]")</f>
        <v>Early Career[6-10]</v>
      </c>
      <c r="AI1402" s="1">
        <v>2</v>
      </c>
      <c r="AJ1402" s="1">
        <v>3</v>
      </c>
      <c r="AK1402" s="1">
        <v>6</v>
      </c>
      <c r="AL1402" s="9" t="str" cm="1">
        <f t="array" ref="AL1402">_xlfn.IFS(AK1402 &lt;= 5, "New[1-5]", AK1402 &lt;= 10, "Early Career[6-10]", AK1402 &lt;= 20, "Established[11-20]", AK1402 &lt;= 30, "Veteran[21-30]", AK1402 &lt;= 40, "Late Career[31-40]")</f>
        <v>Early Career[6-10]</v>
      </c>
      <c r="AM1402" s="1">
        <v>2</v>
      </c>
      <c r="AN1402" s="9" t="str" cm="1">
        <f t="array" ref="AN1402">_xlfn.IFS(AM1402 &lt;= 3, "New to Role[1-3]", AM1402 &lt;= 7, "Settled[4-7]", AM1402 &lt;= 12, "Experienced[[8-12]", AM1402 &lt;= 18, "Long Tenured[13-18]")</f>
        <v>New to Role[1-3]</v>
      </c>
      <c r="AO1402" s="1">
        <v>1</v>
      </c>
      <c r="AP1402" s="9" t="str" cm="1">
        <f t="array" ref="AP1402">_xlfn.IFS(AO1402 &lt;= 3, "Recently[1-3]", AO1402 &lt;= 6, "Due Soon[4-6]", AO1402 &lt;= 10, "Overdue[7-10]", AO1402 &lt;= 15, "Long Overdue[11-15]")</f>
        <v>Recently[1-3]</v>
      </c>
      <c r="AQ1402" s="9" t="str" cm="1">
        <f t="array" ref="AQ1402">_xlfn.IFS(AR1402 &lt;= 3, "New Relationship[1-3]", AR1402 &lt;= 7, "Established Relationship[4-7]", AR1402 &lt;= 12, "Long Term Relationship[8-12]", AR1402 &lt;= 17, "Very Long Term Relationship[13-17]")</f>
        <v>New Relationship[1-3]</v>
      </c>
      <c r="AR1402" s="1">
        <v>2</v>
      </c>
    </row>
    <row r="1403" spans="1:44" x14ac:dyDescent="0.25">
      <c r="A1403" s="1">
        <v>55</v>
      </c>
      <c r="B1403" s="8" t="str" cm="1">
        <f t="array" ref="B1403">_xlfn.IFS(A1403 &lt;= 25, "[18-25]", A1403 &lt;= 35, "[26-35]", A1403 &lt;=45, "[36-45]", A1403 &lt;= 60, "[46- 60]")</f>
        <v>[46- 60]</v>
      </c>
      <c r="C1403" s="3" t="s">
        <v>43</v>
      </c>
      <c r="D1403">
        <f t="shared" si="21"/>
        <v>0</v>
      </c>
      <c r="E1403" t="s">
        <v>36</v>
      </c>
      <c r="F1403" s="1">
        <v>189</v>
      </c>
      <c r="G1403" s="3" t="s">
        <v>61</v>
      </c>
      <c r="H1403" s="1">
        <v>26</v>
      </c>
      <c r="I1403" s="9" t="str" cm="1">
        <f t="array" ref="I1403">_xlfn.IFS(H1403 &lt;= 2, "[1-2] very close", H1403 &lt;= 10, "[3-10] close", H1403 &lt;= 20, "[11-20] moderate", H1403 &lt;= 30, "[21-30] far")</f>
        <v>[21-30] far</v>
      </c>
      <c r="J1403" s="1">
        <v>4</v>
      </c>
      <c r="K1403" s="3" t="s">
        <v>61</v>
      </c>
      <c r="L1403" s="1">
        <v>1</v>
      </c>
      <c r="M1403" s="1">
        <v>1973</v>
      </c>
      <c r="N1403" s="1">
        <v>3</v>
      </c>
      <c r="O1403" s="3" t="s">
        <v>46</v>
      </c>
      <c r="P1403" s="1">
        <v>71</v>
      </c>
      <c r="Q1403" s="1">
        <v>4</v>
      </c>
      <c r="R1403" s="1">
        <v>5</v>
      </c>
      <c r="S1403" s="3" t="s">
        <v>56</v>
      </c>
      <c r="T1403" s="1">
        <v>2</v>
      </c>
      <c r="U1403" s="3" t="s">
        <v>48</v>
      </c>
      <c r="V1403" s="4">
        <v>19636</v>
      </c>
      <c r="W1403" s="1">
        <v>25811</v>
      </c>
      <c r="X1403" s="1">
        <v>4</v>
      </c>
      <c r="Y1403" s="3" t="s">
        <v>42</v>
      </c>
      <c r="Z1403" s="3" t="s">
        <v>35</v>
      </c>
      <c r="AA1403" s="5">
        <v>0.18</v>
      </c>
      <c r="AB1403" s="10" t="str" cm="1">
        <f t="array" ref="AB1403">_xlfn.IFS(AA1403 &lt;= 15%, "Low Hike[11-15%]", AA1403 &lt;= 20%, "Moderate Hike[16-20%]", AA1403 &lt;= 25%,"High Hike[21-25%]")</f>
        <v>Moderate Hike[16-20%]</v>
      </c>
      <c r="AC1403" s="1">
        <v>3</v>
      </c>
      <c r="AD1403" s="1">
        <v>1</v>
      </c>
      <c r="AE1403" s="1">
        <v>80</v>
      </c>
      <c r="AF1403" s="1">
        <v>1</v>
      </c>
      <c r="AG1403" s="1">
        <v>35</v>
      </c>
      <c r="AH1403" s="9" t="str" cm="1">
        <f t="array" ref="AH1403">_xlfn.IFS(AG1403 &lt;= 5, "New[1-5]", AG1403 &lt;= 10, "Early Career[6-10]", AG1403 &lt;= 20, "Established[11-20]", AG1403 &lt;= 30, "Veteran[21-30]", AG1403 &lt;= 40, "Late Career[31-40]")</f>
        <v>Late Career[31-40]</v>
      </c>
      <c r="AI1403" s="1">
        <v>0</v>
      </c>
      <c r="AJ1403" s="1">
        <v>3</v>
      </c>
      <c r="AK1403" s="1">
        <v>10</v>
      </c>
      <c r="AL1403" s="9" t="str" cm="1">
        <f t="array" ref="AL1403">_xlfn.IFS(AK1403 &lt;= 5, "New[1-5]", AK1403 &lt;= 10, "Early Career[6-10]", AK1403 &lt;= 20, "Established[11-20]", AK1403 &lt;= 30, "Veteran[21-30]", AK1403 &lt;= 40, "Late Career[31-40]")</f>
        <v>Early Career[6-10]</v>
      </c>
      <c r="AM1403" s="1">
        <v>9</v>
      </c>
      <c r="AN1403" s="9" t="str" cm="1">
        <f t="array" ref="AN1403">_xlfn.IFS(AM1403 &lt;= 3, "New to Role[1-3]", AM1403 &lt;= 7, "Settled[4-7]", AM1403 &lt;= 12, "Experienced[[8-12]", AM1403 &lt;= 18, "Long Tenured[13-18]")</f>
        <v>Experienced[[8-12]</v>
      </c>
      <c r="AO1403" s="1">
        <v>1</v>
      </c>
      <c r="AP1403" s="9" t="str" cm="1">
        <f t="array" ref="AP1403">_xlfn.IFS(AO1403 &lt;= 3, "Recently[1-3]", AO1403 &lt;= 6, "Due Soon[4-6]", AO1403 &lt;= 10, "Overdue[7-10]", AO1403 &lt;= 15, "Long Overdue[11-15]")</f>
        <v>Recently[1-3]</v>
      </c>
      <c r="AQ1403" s="9" t="str" cm="1">
        <f t="array" ref="AQ1403">_xlfn.IFS(AR1403 &lt;= 3, "New Relationship[1-3]", AR1403 &lt;= 7, "Established Relationship[4-7]", AR1403 &lt;= 12, "Long Term Relationship[8-12]", AR1403 &lt;= 17, "Very Long Term Relationship[13-17]")</f>
        <v>Established Relationship[4-7]</v>
      </c>
      <c r="AR1403" s="1">
        <v>4</v>
      </c>
    </row>
    <row r="1404" spans="1:44" x14ac:dyDescent="0.25">
      <c r="A1404" s="1">
        <v>31</v>
      </c>
      <c r="B1404" s="8" t="str" cm="1">
        <f t="array" ref="B1404">_xlfn.IFS(A1404 &lt;= 25, "[18-25]", A1404 &lt;= 35, "[26-35]", A1404 &lt;=45, "[36-45]", A1404 &lt;= 60, "[46- 60]")</f>
        <v>[26-35]</v>
      </c>
      <c r="C1404" s="3" t="s">
        <v>43</v>
      </c>
      <c r="D1404">
        <f t="shared" si="21"/>
        <v>0</v>
      </c>
      <c r="E1404" t="s">
        <v>36</v>
      </c>
      <c r="F1404" s="1">
        <v>1276</v>
      </c>
      <c r="G1404" s="3" t="s">
        <v>45</v>
      </c>
      <c r="H1404" s="1">
        <v>2</v>
      </c>
      <c r="I1404" s="9" t="str" cm="1">
        <f t="array" ref="I1404">_xlfn.IFS(H1404 &lt;= 2, "[1-2] very close", H1404 &lt;= 10, "[3-10] close", H1404 &lt;= 20, "[11-20] moderate", H1404 &lt;= 30, "[21-30] far")</f>
        <v>[1-2] very close</v>
      </c>
      <c r="J1404" s="1">
        <v>1</v>
      </c>
      <c r="K1404" s="3" t="s">
        <v>51</v>
      </c>
      <c r="L1404" s="1">
        <v>1</v>
      </c>
      <c r="M1404" s="1">
        <v>1974</v>
      </c>
      <c r="N1404" s="1">
        <v>4</v>
      </c>
      <c r="O1404" s="3" t="s">
        <v>39</v>
      </c>
      <c r="P1404" s="1">
        <v>59</v>
      </c>
      <c r="Q1404" s="1">
        <v>1</v>
      </c>
      <c r="R1404" s="1">
        <v>1</v>
      </c>
      <c r="S1404" s="3" t="s">
        <v>50</v>
      </c>
      <c r="T1404" s="1">
        <v>4</v>
      </c>
      <c r="U1404" s="3" t="s">
        <v>52</v>
      </c>
      <c r="V1404" s="4">
        <v>1129</v>
      </c>
      <c r="W1404" s="1">
        <v>17536</v>
      </c>
      <c r="X1404" s="1">
        <v>1</v>
      </c>
      <c r="Y1404" s="3" t="s">
        <v>42</v>
      </c>
      <c r="Z1404" s="3" t="s">
        <v>35</v>
      </c>
      <c r="AA1404" s="5">
        <v>0.11</v>
      </c>
      <c r="AB1404" s="10" t="str" cm="1">
        <f t="array" ref="AB1404">_xlfn.IFS(AA1404 &lt;= 15%, "Low Hike[11-15%]", AA1404 &lt;= 20%, "Moderate Hike[16-20%]", AA1404 &lt;= 25%,"High Hike[21-25%]")</f>
        <v>Low Hike[11-15%]</v>
      </c>
      <c r="AC1404" s="1">
        <v>3</v>
      </c>
      <c r="AD1404" s="1">
        <v>3</v>
      </c>
      <c r="AE1404" s="1">
        <v>80</v>
      </c>
      <c r="AF1404" s="1">
        <v>3</v>
      </c>
      <c r="AG1404" s="1">
        <v>1</v>
      </c>
      <c r="AH1404" s="9" t="str" cm="1">
        <f t="array" ref="AH1404">_xlfn.IFS(AG1404 &lt;= 5, "New[1-5]", AG1404 &lt;= 10, "Early Career[6-10]", AG1404 &lt;= 20, "Established[11-20]", AG1404 &lt;= 30, "Veteran[21-30]", AG1404 &lt;= 40, "Late Career[31-40]")</f>
        <v>New[1-5]</v>
      </c>
      <c r="AI1404" s="1">
        <v>4</v>
      </c>
      <c r="AJ1404" s="1">
        <v>3</v>
      </c>
      <c r="AK1404" s="1">
        <v>1</v>
      </c>
      <c r="AL1404" s="9" t="str" cm="1">
        <f t="array" ref="AL1404">_xlfn.IFS(AK1404 &lt;= 5, "New[1-5]", AK1404 &lt;= 10, "Early Career[6-10]", AK1404 &lt;= 20, "Established[11-20]", AK1404 &lt;= 30, "Veteran[21-30]", AK1404 &lt;= 40, "Late Career[31-40]")</f>
        <v>New[1-5]</v>
      </c>
      <c r="AM1404" s="1">
        <v>0</v>
      </c>
      <c r="AN1404" s="9" t="str" cm="1">
        <f t="array" ref="AN1404">_xlfn.IFS(AM1404 &lt;= 3, "New to Role[1-3]", AM1404 &lt;= 7, "Settled[4-7]", AM1404 &lt;= 12, "Experienced[[8-12]", AM1404 &lt;= 18, "Long Tenured[13-18]")</f>
        <v>New to Role[1-3]</v>
      </c>
      <c r="AO1404" s="1">
        <v>0</v>
      </c>
      <c r="AP1404" s="9" t="str" cm="1">
        <f t="array" ref="AP1404">_xlfn.IFS(AO1404 &lt;= 3, "Recently[1-3]", AO1404 &lt;= 6, "Due Soon[4-6]", AO1404 &lt;= 10, "Overdue[7-10]", AO1404 &lt;= 15, "Long Overdue[11-15]")</f>
        <v>Recently[1-3]</v>
      </c>
      <c r="AQ1404" s="9" t="str" cm="1">
        <f t="array" ref="AQ1404">_xlfn.IFS(AR1404 &lt;= 3, "New Relationship[1-3]", AR1404 &lt;= 7, "Established Relationship[4-7]", AR1404 &lt;= 12, "Long Term Relationship[8-12]", AR1404 &lt;= 17, "Very Long Term Relationship[13-17]")</f>
        <v>New Relationship[1-3]</v>
      </c>
      <c r="AR1404" s="1">
        <v>0</v>
      </c>
    </row>
    <row r="1405" spans="1:44" x14ac:dyDescent="0.25">
      <c r="A1405" s="1">
        <v>39</v>
      </c>
      <c r="B1405" s="8" t="str" cm="1">
        <f t="array" ref="B1405">_xlfn.IFS(A1405 &lt;= 25, "[18-25]", A1405 &lt;= 35, "[26-35]", A1405 &lt;=45, "[36-45]", A1405 &lt;= 60, "[46- 60]")</f>
        <v>[36-45]</v>
      </c>
      <c r="C1405" s="3" t="s">
        <v>43</v>
      </c>
      <c r="D1405">
        <f t="shared" si="21"/>
        <v>0</v>
      </c>
      <c r="E1405" t="s">
        <v>36</v>
      </c>
      <c r="F1405" s="1">
        <v>119</v>
      </c>
      <c r="G1405" s="3" t="s">
        <v>37</v>
      </c>
      <c r="H1405" s="1">
        <v>15</v>
      </c>
      <c r="I1405" s="9" t="str" cm="1">
        <f t="array" ref="I1405">_xlfn.IFS(H1405 &lt;= 2, "[1-2] very close", H1405 &lt;= 10, "[3-10] close", H1405 &lt;= 20, "[11-20] moderate", H1405 &lt;= 30, "[21-30] far")</f>
        <v>[11-20] moderate</v>
      </c>
      <c r="J1405" s="1">
        <v>4</v>
      </c>
      <c r="K1405" s="3" t="s">
        <v>59</v>
      </c>
      <c r="L1405" s="1">
        <v>1</v>
      </c>
      <c r="M1405" s="1">
        <v>1975</v>
      </c>
      <c r="N1405" s="1">
        <v>2</v>
      </c>
      <c r="O1405" s="3" t="s">
        <v>46</v>
      </c>
      <c r="P1405" s="1">
        <v>77</v>
      </c>
      <c r="Q1405" s="1">
        <v>3</v>
      </c>
      <c r="R1405" s="1">
        <v>4</v>
      </c>
      <c r="S1405" s="3" t="s">
        <v>40</v>
      </c>
      <c r="T1405" s="1">
        <v>1</v>
      </c>
      <c r="U1405" s="3" t="s">
        <v>41</v>
      </c>
      <c r="V1405" s="4">
        <v>13341</v>
      </c>
      <c r="W1405" s="1">
        <v>25098</v>
      </c>
      <c r="X1405" s="1">
        <v>0</v>
      </c>
      <c r="Y1405" s="3" t="s">
        <v>42</v>
      </c>
      <c r="Z1405" s="3" t="s">
        <v>43</v>
      </c>
      <c r="AA1405" s="5">
        <v>0.12</v>
      </c>
      <c r="AB1405" s="10" t="str" cm="1">
        <f t="array" ref="AB1405">_xlfn.IFS(AA1405 &lt;= 15%, "Low Hike[11-15%]", AA1405 &lt;= 20%, "Moderate Hike[16-20%]", AA1405 &lt;= 25%,"High Hike[21-25%]")</f>
        <v>Low Hike[11-15%]</v>
      </c>
      <c r="AC1405" s="1">
        <v>3</v>
      </c>
      <c r="AD1405" s="1">
        <v>1</v>
      </c>
      <c r="AE1405" s="1">
        <v>80</v>
      </c>
      <c r="AF1405" s="1">
        <v>0</v>
      </c>
      <c r="AG1405" s="1">
        <v>21</v>
      </c>
      <c r="AH1405" s="9" t="str" cm="1">
        <f t="array" ref="AH1405">_xlfn.IFS(AG1405 &lt;= 5, "New[1-5]", AG1405 &lt;= 10, "Early Career[6-10]", AG1405 &lt;= 20, "Established[11-20]", AG1405 &lt;= 30, "Veteran[21-30]", AG1405 &lt;= 40, "Late Career[31-40]")</f>
        <v>Veteran[21-30]</v>
      </c>
      <c r="AI1405" s="1">
        <v>3</v>
      </c>
      <c r="AJ1405" s="1">
        <v>3</v>
      </c>
      <c r="AK1405" s="1">
        <v>20</v>
      </c>
      <c r="AL1405" s="9" t="str" cm="1">
        <f t="array" ref="AL1405">_xlfn.IFS(AK1405 &lt;= 5, "New[1-5]", AK1405 &lt;= 10, "Early Career[6-10]", AK1405 &lt;= 20, "Established[11-20]", AK1405 &lt;= 30, "Veteran[21-30]", AK1405 &lt;= 40, "Late Career[31-40]")</f>
        <v>Established[11-20]</v>
      </c>
      <c r="AM1405" s="1">
        <v>8</v>
      </c>
      <c r="AN1405" s="9" t="str" cm="1">
        <f t="array" ref="AN1405">_xlfn.IFS(AM1405 &lt;= 3, "New to Role[1-3]", AM1405 &lt;= 7, "Settled[4-7]", AM1405 &lt;= 12, "Experienced[[8-12]", AM1405 &lt;= 18, "Long Tenured[13-18]")</f>
        <v>Experienced[[8-12]</v>
      </c>
      <c r="AO1405" s="1">
        <v>11</v>
      </c>
      <c r="AP1405" s="9" t="str" cm="1">
        <f t="array" ref="AP1405">_xlfn.IFS(AO1405 &lt;= 3, "Recently[1-3]", AO1405 &lt;= 6, "Due Soon[4-6]", AO1405 &lt;= 10, "Overdue[7-10]", AO1405 &lt;= 15, "Long Overdue[11-15]")</f>
        <v>Long Overdue[11-15]</v>
      </c>
      <c r="AQ1405" s="9" t="str" cm="1">
        <f t="array" ref="AQ1405">_xlfn.IFS(AR1405 &lt;= 3, "New Relationship[1-3]", AR1405 &lt;= 7, "Established Relationship[4-7]", AR1405 &lt;= 12, "Long Term Relationship[8-12]", AR1405 &lt;= 17, "Very Long Term Relationship[13-17]")</f>
        <v>Long Term Relationship[8-12]</v>
      </c>
      <c r="AR1405" s="1">
        <v>10</v>
      </c>
    </row>
    <row r="1406" spans="1:44" x14ac:dyDescent="0.25">
      <c r="A1406" s="1">
        <v>42</v>
      </c>
      <c r="B1406" s="8" t="str" cm="1">
        <f t="array" ref="B1406">_xlfn.IFS(A1406 &lt;= 25, "[18-25]", A1406 &lt;= 35, "[26-35]", A1406 &lt;=45, "[36-45]", A1406 &lt;= 60, "[46- 60]")</f>
        <v>[36-45]</v>
      </c>
      <c r="C1406" s="3" t="s">
        <v>43</v>
      </c>
      <c r="D1406">
        <f t="shared" si="21"/>
        <v>0</v>
      </c>
      <c r="E1406" t="s">
        <v>62</v>
      </c>
      <c r="F1406" s="1">
        <v>335</v>
      </c>
      <c r="G1406" s="3" t="s">
        <v>45</v>
      </c>
      <c r="H1406" s="1">
        <v>23</v>
      </c>
      <c r="I1406" s="9" t="str" cm="1">
        <f t="array" ref="I1406">_xlfn.IFS(H1406 &lt;= 2, "[1-2] very close", H1406 &lt;= 10, "[3-10] close", H1406 &lt;= 20, "[11-20] moderate", H1406 &lt;= 30, "[21-30] far")</f>
        <v>[21-30] far</v>
      </c>
      <c r="J1406" s="1">
        <v>2</v>
      </c>
      <c r="K1406" s="3" t="s">
        <v>38</v>
      </c>
      <c r="L1406" s="1">
        <v>1</v>
      </c>
      <c r="M1406" s="1">
        <v>1976</v>
      </c>
      <c r="N1406" s="1">
        <v>4</v>
      </c>
      <c r="O1406" s="3" t="s">
        <v>46</v>
      </c>
      <c r="P1406" s="1">
        <v>37</v>
      </c>
      <c r="Q1406" s="1">
        <v>2</v>
      </c>
      <c r="R1406" s="1">
        <v>2</v>
      </c>
      <c r="S1406" s="3" t="s">
        <v>47</v>
      </c>
      <c r="T1406" s="1">
        <v>3</v>
      </c>
      <c r="U1406" s="3" t="s">
        <v>41</v>
      </c>
      <c r="V1406" s="4">
        <v>4332</v>
      </c>
      <c r="W1406" s="1">
        <v>14811</v>
      </c>
      <c r="X1406" s="1">
        <v>1</v>
      </c>
      <c r="Y1406" s="3" t="s">
        <v>42</v>
      </c>
      <c r="Z1406" s="3" t="s">
        <v>43</v>
      </c>
      <c r="AA1406" s="5">
        <v>0.12</v>
      </c>
      <c r="AB1406" s="10" t="str" cm="1">
        <f t="array" ref="AB1406">_xlfn.IFS(AA1406 &lt;= 15%, "Low Hike[11-15%]", AA1406 &lt;= 20%, "Moderate Hike[16-20%]", AA1406 &lt;= 25%,"High Hike[21-25%]")</f>
        <v>Low Hike[11-15%]</v>
      </c>
      <c r="AC1406" s="1">
        <v>3</v>
      </c>
      <c r="AD1406" s="1">
        <v>4</v>
      </c>
      <c r="AE1406" s="1">
        <v>80</v>
      </c>
      <c r="AF1406" s="1">
        <v>0</v>
      </c>
      <c r="AG1406" s="1">
        <v>20</v>
      </c>
      <c r="AH1406" s="9" t="str" cm="1">
        <f t="array" ref="AH1406">_xlfn.IFS(AG1406 &lt;= 5, "New[1-5]", AG1406 &lt;= 10, "Early Career[6-10]", AG1406 &lt;= 20, "Established[11-20]", AG1406 &lt;= 30, "Veteran[21-30]", AG1406 &lt;= 40, "Late Career[31-40]")</f>
        <v>Established[11-20]</v>
      </c>
      <c r="AI1406" s="1">
        <v>2</v>
      </c>
      <c r="AJ1406" s="1">
        <v>3</v>
      </c>
      <c r="AK1406" s="1">
        <v>20</v>
      </c>
      <c r="AL1406" s="9" t="str" cm="1">
        <f t="array" ref="AL1406">_xlfn.IFS(AK1406 &lt;= 5, "New[1-5]", AK1406 &lt;= 10, "Early Career[6-10]", AK1406 &lt;= 20, "Established[11-20]", AK1406 &lt;= 30, "Veteran[21-30]", AK1406 &lt;= 40, "Late Career[31-40]")</f>
        <v>Established[11-20]</v>
      </c>
      <c r="AM1406" s="1">
        <v>9</v>
      </c>
      <c r="AN1406" s="9" t="str" cm="1">
        <f t="array" ref="AN1406">_xlfn.IFS(AM1406 &lt;= 3, "New to Role[1-3]", AM1406 &lt;= 7, "Settled[4-7]", AM1406 &lt;= 12, "Experienced[[8-12]", AM1406 &lt;= 18, "Long Tenured[13-18]")</f>
        <v>Experienced[[8-12]</v>
      </c>
      <c r="AO1406" s="1">
        <v>3</v>
      </c>
      <c r="AP1406" s="9" t="str" cm="1">
        <f t="array" ref="AP1406">_xlfn.IFS(AO1406 &lt;= 3, "Recently[1-3]", AO1406 &lt;= 6, "Due Soon[4-6]", AO1406 &lt;= 10, "Overdue[7-10]", AO1406 &lt;= 15, "Long Overdue[11-15]")</f>
        <v>Recently[1-3]</v>
      </c>
      <c r="AQ1406" s="9" t="str" cm="1">
        <f t="array" ref="AQ1406">_xlfn.IFS(AR1406 &lt;= 3, "New Relationship[1-3]", AR1406 &lt;= 7, "Established Relationship[4-7]", AR1406 &lt;= 12, "Long Term Relationship[8-12]", AR1406 &lt;= 17, "Very Long Term Relationship[13-17]")</f>
        <v>Established Relationship[4-7]</v>
      </c>
      <c r="AR1406" s="1">
        <v>7</v>
      </c>
    </row>
    <row r="1407" spans="1:44" x14ac:dyDescent="0.25">
      <c r="A1407" s="1">
        <v>31</v>
      </c>
      <c r="B1407" s="8" t="str" cm="1">
        <f t="array" ref="B1407">_xlfn.IFS(A1407 &lt;= 25, "[18-25]", A1407 &lt;= 35, "[26-35]", A1407 &lt;=45, "[36-45]", A1407 &lt;= 60, "[46- 60]")</f>
        <v>[26-35]</v>
      </c>
      <c r="C1407" s="3" t="s">
        <v>43</v>
      </c>
      <c r="D1407">
        <f t="shared" si="21"/>
        <v>0</v>
      </c>
      <c r="E1407" t="s">
        <v>62</v>
      </c>
      <c r="F1407" s="1">
        <v>697</v>
      </c>
      <c r="G1407" s="3" t="s">
        <v>45</v>
      </c>
      <c r="H1407" s="1">
        <v>10</v>
      </c>
      <c r="I1407" s="9" t="str" cm="1">
        <f t="array" ref="I1407">_xlfn.IFS(H1407 &lt;= 2, "[1-2] very close", H1407 &lt;= 10, "[3-10] close", H1407 &lt;= 20, "[11-20] moderate", H1407 &lt;= 30, "[21-30] far")</f>
        <v>[3-10] close</v>
      </c>
      <c r="J1407" s="1">
        <v>3</v>
      </c>
      <c r="K1407" s="3" t="s">
        <v>51</v>
      </c>
      <c r="L1407" s="1">
        <v>1</v>
      </c>
      <c r="M1407" s="1">
        <v>1979</v>
      </c>
      <c r="N1407" s="1">
        <v>3</v>
      </c>
      <c r="O1407" s="3" t="s">
        <v>39</v>
      </c>
      <c r="P1407" s="1">
        <v>40</v>
      </c>
      <c r="Q1407" s="1">
        <v>3</v>
      </c>
      <c r="R1407" s="1">
        <v>3</v>
      </c>
      <c r="S1407" s="3" t="s">
        <v>58</v>
      </c>
      <c r="T1407" s="1">
        <v>3</v>
      </c>
      <c r="U1407" s="3" t="s">
        <v>48</v>
      </c>
      <c r="V1407" s="4">
        <v>11031</v>
      </c>
      <c r="W1407" s="1">
        <v>26862</v>
      </c>
      <c r="X1407" s="1">
        <v>4</v>
      </c>
      <c r="Y1407" s="3" t="s">
        <v>42</v>
      </c>
      <c r="Z1407" s="3" t="s">
        <v>43</v>
      </c>
      <c r="AA1407" s="5">
        <v>0.2</v>
      </c>
      <c r="AB1407" s="10" t="str" cm="1">
        <f t="array" ref="AB1407">_xlfn.IFS(AA1407 &lt;= 15%, "Low Hike[11-15%]", AA1407 &lt;= 20%, "Moderate Hike[16-20%]", AA1407 &lt;= 25%,"High Hike[21-25%]")</f>
        <v>Moderate Hike[16-20%]</v>
      </c>
      <c r="AC1407" s="1">
        <v>4</v>
      </c>
      <c r="AD1407" s="1">
        <v>3</v>
      </c>
      <c r="AE1407" s="1">
        <v>80</v>
      </c>
      <c r="AF1407" s="1">
        <v>1</v>
      </c>
      <c r="AG1407" s="1">
        <v>13</v>
      </c>
      <c r="AH1407" s="9" t="str" cm="1">
        <f t="array" ref="AH1407">_xlfn.IFS(AG1407 &lt;= 5, "New[1-5]", AG1407 &lt;= 10, "Early Career[6-10]", AG1407 &lt;= 20, "Established[11-20]", AG1407 &lt;= 30, "Veteran[21-30]", AG1407 &lt;= 40, "Late Career[31-40]")</f>
        <v>Established[11-20]</v>
      </c>
      <c r="AI1407" s="1">
        <v>2</v>
      </c>
      <c r="AJ1407" s="1">
        <v>4</v>
      </c>
      <c r="AK1407" s="1">
        <v>11</v>
      </c>
      <c r="AL1407" s="9" t="str" cm="1">
        <f t="array" ref="AL1407">_xlfn.IFS(AK1407 &lt;= 5, "New[1-5]", AK1407 &lt;= 10, "Early Career[6-10]", AK1407 &lt;= 20, "Established[11-20]", AK1407 &lt;= 30, "Veteran[21-30]", AK1407 &lt;= 40, "Late Career[31-40]")</f>
        <v>Established[11-20]</v>
      </c>
      <c r="AM1407" s="1">
        <v>7</v>
      </c>
      <c r="AN1407" s="9" t="str" cm="1">
        <f t="array" ref="AN1407">_xlfn.IFS(AM1407 &lt;= 3, "New to Role[1-3]", AM1407 &lt;= 7, "Settled[4-7]", AM1407 &lt;= 12, "Experienced[[8-12]", AM1407 &lt;= 18, "Long Tenured[13-18]")</f>
        <v>Settled[4-7]</v>
      </c>
      <c r="AO1407" s="1">
        <v>4</v>
      </c>
      <c r="AP1407" s="9" t="str" cm="1">
        <f t="array" ref="AP1407">_xlfn.IFS(AO1407 &lt;= 3, "Recently[1-3]", AO1407 &lt;= 6, "Due Soon[4-6]", AO1407 &lt;= 10, "Overdue[7-10]", AO1407 &lt;= 15, "Long Overdue[11-15]")</f>
        <v>Due Soon[4-6]</v>
      </c>
      <c r="AQ1407" s="9" t="str" cm="1">
        <f t="array" ref="AQ1407">_xlfn.IFS(AR1407 &lt;= 3, "New Relationship[1-3]", AR1407 &lt;= 7, "Established Relationship[4-7]", AR1407 &lt;= 12, "Long Term Relationship[8-12]", AR1407 &lt;= 17, "Very Long Term Relationship[13-17]")</f>
        <v>Long Term Relationship[8-12]</v>
      </c>
      <c r="AR1407" s="1">
        <v>8</v>
      </c>
    </row>
    <row r="1408" spans="1:44" x14ac:dyDescent="0.25">
      <c r="A1408" s="1">
        <v>54</v>
      </c>
      <c r="B1408" s="8" t="str" cm="1">
        <f t="array" ref="B1408">_xlfn.IFS(A1408 &lt;= 25, "[18-25]", A1408 &lt;= 35, "[26-35]", A1408 &lt;=45, "[36-45]", A1408 &lt;= 60, "[46- 60]")</f>
        <v>[46- 60]</v>
      </c>
      <c r="C1408" s="3" t="s">
        <v>43</v>
      </c>
      <c r="D1408">
        <f t="shared" si="21"/>
        <v>0</v>
      </c>
      <c r="E1408" t="s">
        <v>36</v>
      </c>
      <c r="F1408" s="1">
        <v>157</v>
      </c>
      <c r="G1408" s="3" t="s">
        <v>45</v>
      </c>
      <c r="H1408" s="1">
        <v>10</v>
      </c>
      <c r="I1408" s="9" t="str" cm="1">
        <f t="array" ref="I1408">_xlfn.IFS(H1408 &lt;= 2, "[1-2] very close", H1408 &lt;= 10, "[3-10] close", H1408 &lt;= 20, "[11-20] moderate", H1408 &lt;= 30, "[21-30] far")</f>
        <v>[3-10] close</v>
      </c>
      <c r="J1408" s="1">
        <v>3</v>
      </c>
      <c r="K1408" s="3" t="s">
        <v>51</v>
      </c>
      <c r="L1408" s="1">
        <v>1</v>
      </c>
      <c r="M1408" s="1">
        <v>1980</v>
      </c>
      <c r="N1408" s="1">
        <v>3</v>
      </c>
      <c r="O1408" s="3" t="s">
        <v>39</v>
      </c>
      <c r="P1408" s="1">
        <v>77</v>
      </c>
      <c r="Q1408" s="1">
        <v>3</v>
      </c>
      <c r="R1408" s="1">
        <v>2</v>
      </c>
      <c r="S1408" s="3" t="s">
        <v>53</v>
      </c>
      <c r="T1408" s="1">
        <v>1</v>
      </c>
      <c r="U1408" s="3" t="s">
        <v>41</v>
      </c>
      <c r="V1408" s="4">
        <v>4440</v>
      </c>
      <c r="W1408" s="1">
        <v>25198</v>
      </c>
      <c r="X1408" s="1">
        <v>6</v>
      </c>
      <c r="Y1408" s="3" t="s">
        <v>42</v>
      </c>
      <c r="Z1408" s="3" t="s">
        <v>35</v>
      </c>
      <c r="AA1408" s="5">
        <v>0.19</v>
      </c>
      <c r="AB1408" s="10" t="str" cm="1">
        <f t="array" ref="AB1408">_xlfn.IFS(AA1408 &lt;= 15%, "Low Hike[11-15%]", AA1408 &lt;= 20%, "Moderate Hike[16-20%]", AA1408 &lt;= 25%,"High Hike[21-25%]")</f>
        <v>Moderate Hike[16-20%]</v>
      </c>
      <c r="AC1408" s="1">
        <v>3</v>
      </c>
      <c r="AD1408" s="1">
        <v>4</v>
      </c>
      <c r="AE1408" s="1">
        <v>80</v>
      </c>
      <c r="AF1408" s="1">
        <v>0</v>
      </c>
      <c r="AG1408" s="1">
        <v>9</v>
      </c>
      <c r="AH1408" s="9" t="str" cm="1">
        <f t="array" ref="AH1408">_xlfn.IFS(AG1408 &lt;= 5, "New[1-5]", AG1408 &lt;= 10, "Early Career[6-10]", AG1408 &lt;= 20, "Established[11-20]", AG1408 &lt;= 30, "Veteran[21-30]", AG1408 &lt;= 40, "Late Career[31-40]")</f>
        <v>Early Career[6-10]</v>
      </c>
      <c r="AI1408" s="1">
        <v>3</v>
      </c>
      <c r="AJ1408" s="1">
        <v>3</v>
      </c>
      <c r="AK1408" s="1">
        <v>5</v>
      </c>
      <c r="AL1408" s="9" t="str" cm="1">
        <f t="array" ref="AL1408">_xlfn.IFS(AK1408 &lt;= 5, "New[1-5]", AK1408 &lt;= 10, "Early Career[6-10]", AK1408 &lt;= 20, "Established[11-20]", AK1408 &lt;= 30, "Veteran[21-30]", AK1408 &lt;= 40, "Late Career[31-40]")</f>
        <v>New[1-5]</v>
      </c>
      <c r="AM1408" s="1">
        <v>2</v>
      </c>
      <c r="AN1408" s="9" t="str" cm="1">
        <f t="array" ref="AN1408">_xlfn.IFS(AM1408 &lt;= 3, "New to Role[1-3]", AM1408 &lt;= 7, "Settled[4-7]", AM1408 &lt;= 12, "Experienced[[8-12]", AM1408 &lt;= 18, "Long Tenured[13-18]")</f>
        <v>New to Role[1-3]</v>
      </c>
      <c r="AO1408" s="1">
        <v>1</v>
      </c>
      <c r="AP1408" s="9" t="str" cm="1">
        <f t="array" ref="AP1408">_xlfn.IFS(AO1408 &lt;= 3, "Recently[1-3]", AO1408 &lt;= 6, "Due Soon[4-6]", AO1408 &lt;= 10, "Overdue[7-10]", AO1408 &lt;= 15, "Long Overdue[11-15]")</f>
        <v>Recently[1-3]</v>
      </c>
      <c r="AQ1408" s="9" t="str" cm="1">
        <f t="array" ref="AQ1408">_xlfn.IFS(AR1408 &lt;= 3, "New Relationship[1-3]", AR1408 &lt;= 7, "Established Relationship[4-7]", AR1408 &lt;= 12, "Long Term Relationship[8-12]", AR1408 &lt;= 17, "Very Long Term Relationship[13-17]")</f>
        <v>Established Relationship[4-7]</v>
      </c>
      <c r="AR1408" s="1">
        <v>4</v>
      </c>
    </row>
    <row r="1409" spans="1:44" x14ac:dyDescent="0.25">
      <c r="A1409" s="1">
        <v>24</v>
      </c>
      <c r="B1409" s="8" t="str" cm="1">
        <f t="array" ref="B1409">_xlfn.IFS(A1409 &lt;= 25, "[18-25]", A1409 &lt;= 35, "[26-35]", A1409 &lt;=45, "[36-45]", A1409 &lt;= 60, "[46- 60]")</f>
        <v>[18-25]</v>
      </c>
      <c r="C1409" s="3" t="s">
        <v>43</v>
      </c>
      <c r="D1409">
        <f t="shared" si="21"/>
        <v>0</v>
      </c>
      <c r="E1409" t="s">
        <v>36</v>
      </c>
      <c r="F1409" s="1">
        <v>771</v>
      </c>
      <c r="G1409" s="3" t="s">
        <v>45</v>
      </c>
      <c r="H1409" s="1">
        <v>1</v>
      </c>
      <c r="I1409" s="9" t="str" cm="1">
        <f t="array" ref="I1409">_xlfn.IFS(H1409 &lt;= 2, "[1-2] very close", H1409 &lt;= 10, "[3-10] close", H1409 &lt;= 20, "[11-20] moderate", H1409 &lt;= 30, "[21-30] far")</f>
        <v>[1-2] very close</v>
      </c>
      <c r="J1409" s="1">
        <v>2</v>
      </c>
      <c r="K1409" s="3" t="s">
        <v>38</v>
      </c>
      <c r="L1409" s="1">
        <v>1</v>
      </c>
      <c r="M1409" s="1">
        <v>1981</v>
      </c>
      <c r="N1409" s="1">
        <v>2</v>
      </c>
      <c r="O1409" s="3" t="s">
        <v>46</v>
      </c>
      <c r="P1409" s="1">
        <v>45</v>
      </c>
      <c r="Q1409" s="1">
        <v>2</v>
      </c>
      <c r="R1409" s="1">
        <v>2</v>
      </c>
      <c r="S1409" s="3" t="s">
        <v>54</v>
      </c>
      <c r="T1409" s="1">
        <v>3</v>
      </c>
      <c r="U1409" s="3" t="s">
        <v>41</v>
      </c>
      <c r="V1409" s="4">
        <v>4617</v>
      </c>
      <c r="W1409" s="1">
        <v>14120</v>
      </c>
      <c r="X1409" s="1">
        <v>1</v>
      </c>
      <c r="Y1409" s="3" t="s">
        <v>42</v>
      </c>
      <c r="Z1409" s="3" t="s">
        <v>43</v>
      </c>
      <c r="AA1409" s="5">
        <v>0.12</v>
      </c>
      <c r="AB1409" s="10" t="str" cm="1">
        <f t="array" ref="AB1409">_xlfn.IFS(AA1409 &lt;= 15%, "Low Hike[11-15%]", AA1409 &lt;= 20%, "Moderate Hike[16-20%]", AA1409 &lt;= 25%,"High Hike[21-25%]")</f>
        <v>Low Hike[11-15%]</v>
      </c>
      <c r="AC1409" s="1">
        <v>3</v>
      </c>
      <c r="AD1409" s="1">
        <v>2</v>
      </c>
      <c r="AE1409" s="1">
        <v>80</v>
      </c>
      <c r="AF1409" s="1">
        <v>0</v>
      </c>
      <c r="AG1409" s="1">
        <v>4</v>
      </c>
      <c r="AH1409" s="9" t="str" cm="1">
        <f t="array" ref="AH1409">_xlfn.IFS(AG1409 &lt;= 5, "New[1-5]", AG1409 &lt;= 10, "Early Career[6-10]", AG1409 &lt;= 20, "Established[11-20]", AG1409 &lt;= 30, "Veteran[21-30]", AG1409 &lt;= 40, "Late Career[31-40]")</f>
        <v>New[1-5]</v>
      </c>
      <c r="AI1409" s="1">
        <v>2</v>
      </c>
      <c r="AJ1409" s="1">
        <v>2</v>
      </c>
      <c r="AK1409" s="1">
        <v>4</v>
      </c>
      <c r="AL1409" s="9" t="str" cm="1">
        <f t="array" ref="AL1409">_xlfn.IFS(AK1409 &lt;= 5, "New[1-5]", AK1409 &lt;= 10, "Early Career[6-10]", AK1409 &lt;= 20, "Established[11-20]", AK1409 &lt;= 30, "Veteran[21-30]", AK1409 &lt;= 40, "Late Career[31-40]")</f>
        <v>New[1-5]</v>
      </c>
      <c r="AM1409" s="1">
        <v>3</v>
      </c>
      <c r="AN1409" s="9" t="str" cm="1">
        <f t="array" ref="AN1409">_xlfn.IFS(AM1409 &lt;= 3, "New to Role[1-3]", AM1409 &lt;= 7, "Settled[4-7]", AM1409 &lt;= 12, "Experienced[[8-12]", AM1409 &lt;= 18, "Long Tenured[13-18]")</f>
        <v>New to Role[1-3]</v>
      </c>
      <c r="AO1409" s="1">
        <v>1</v>
      </c>
      <c r="AP1409" s="9" t="str" cm="1">
        <f t="array" ref="AP1409">_xlfn.IFS(AO1409 &lt;= 3, "Recently[1-3]", AO1409 &lt;= 6, "Due Soon[4-6]", AO1409 &lt;= 10, "Overdue[7-10]", AO1409 &lt;= 15, "Long Overdue[11-15]")</f>
        <v>Recently[1-3]</v>
      </c>
      <c r="AQ1409" s="9" t="str" cm="1">
        <f t="array" ref="AQ1409">_xlfn.IFS(AR1409 &lt;= 3, "New Relationship[1-3]", AR1409 &lt;= 7, "Established Relationship[4-7]", AR1409 &lt;= 12, "Long Term Relationship[8-12]", AR1409 &lt;= 17, "Very Long Term Relationship[13-17]")</f>
        <v>New Relationship[1-3]</v>
      </c>
      <c r="AR1409" s="1">
        <v>2</v>
      </c>
    </row>
    <row r="1410" spans="1:44" x14ac:dyDescent="0.25">
      <c r="A1410" s="1">
        <v>23</v>
      </c>
      <c r="B1410" s="8" t="str" cm="1">
        <f t="array" ref="B1410">_xlfn.IFS(A1410 &lt;= 25, "[18-25]", A1410 &lt;= 35, "[26-35]", A1410 &lt;=45, "[36-45]", A1410 &lt;= 60, "[46- 60]")</f>
        <v>[18-25]</v>
      </c>
      <c r="C1410" s="3" t="s">
        <v>43</v>
      </c>
      <c r="D1410">
        <f t="shared" ref="D1410:D1471" si="22">IF(C1410 = "Yes",1, 0)</f>
        <v>0</v>
      </c>
      <c r="E1410" t="s">
        <v>36</v>
      </c>
      <c r="F1410" s="1">
        <v>571</v>
      </c>
      <c r="G1410" s="3" t="s">
        <v>45</v>
      </c>
      <c r="H1410" s="1">
        <v>12</v>
      </c>
      <c r="I1410" s="9" t="str" cm="1">
        <f t="array" ref="I1410">_xlfn.IFS(H1410 &lt;= 2, "[1-2] very close", H1410 &lt;= 10, "[3-10] close", H1410 &lt;= 20, "[11-20] moderate", H1410 &lt;= 30, "[21-30] far")</f>
        <v>[11-20] moderate</v>
      </c>
      <c r="J1410" s="1">
        <v>2</v>
      </c>
      <c r="K1410" s="3" t="s">
        <v>49</v>
      </c>
      <c r="L1410" s="1">
        <v>1</v>
      </c>
      <c r="M1410" s="1">
        <v>1982</v>
      </c>
      <c r="N1410" s="1">
        <v>4</v>
      </c>
      <c r="O1410" s="3" t="s">
        <v>46</v>
      </c>
      <c r="P1410" s="1">
        <v>78</v>
      </c>
      <c r="Q1410" s="1">
        <v>3</v>
      </c>
      <c r="R1410" s="1">
        <v>1</v>
      </c>
      <c r="S1410" s="3" t="s">
        <v>50</v>
      </c>
      <c r="T1410" s="1">
        <v>4</v>
      </c>
      <c r="U1410" s="3" t="s">
        <v>41</v>
      </c>
      <c r="V1410" s="4">
        <v>2647</v>
      </c>
      <c r="W1410" s="1">
        <v>13672</v>
      </c>
      <c r="X1410" s="1">
        <v>1</v>
      </c>
      <c r="Y1410" s="3" t="s">
        <v>42</v>
      </c>
      <c r="Z1410" s="3" t="s">
        <v>43</v>
      </c>
      <c r="AA1410" s="5">
        <v>0.13</v>
      </c>
      <c r="AB1410" s="10" t="str" cm="1">
        <f t="array" ref="AB1410">_xlfn.IFS(AA1410 &lt;= 15%, "Low Hike[11-15%]", AA1410 &lt;= 20%, "Moderate Hike[16-20%]", AA1410 &lt;= 25%,"High Hike[21-25%]")</f>
        <v>Low Hike[11-15%]</v>
      </c>
      <c r="AC1410" s="1">
        <v>3</v>
      </c>
      <c r="AD1410" s="1">
        <v>3</v>
      </c>
      <c r="AE1410" s="1">
        <v>80</v>
      </c>
      <c r="AF1410" s="1">
        <v>0</v>
      </c>
      <c r="AG1410" s="1">
        <v>5</v>
      </c>
      <c r="AH1410" s="9" t="str" cm="1">
        <f t="array" ref="AH1410">_xlfn.IFS(AG1410 &lt;= 5, "New[1-5]", AG1410 &lt;= 10, "Early Career[6-10]", AG1410 &lt;= 20, "Established[11-20]", AG1410 &lt;= 30, "Veteran[21-30]", AG1410 &lt;= 40, "Late Career[31-40]")</f>
        <v>New[1-5]</v>
      </c>
      <c r="AI1410" s="1">
        <v>6</v>
      </c>
      <c r="AJ1410" s="1">
        <v>4</v>
      </c>
      <c r="AK1410" s="1">
        <v>5</v>
      </c>
      <c r="AL1410" s="9" t="str" cm="1">
        <f t="array" ref="AL1410">_xlfn.IFS(AK1410 &lt;= 5, "New[1-5]", AK1410 &lt;= 10, "Early Career[6-10]", AK1410 &lt;= 20, "Established[11-20]", AK1410 &lt;= 30, "Veteran[21-30]", AK1410 &lt;= 40, "Late Career[31-40]")</f>
        <v>New[1-5]</v>
      </c>
      <c r="AM1410" s="1">
        <v>2</v>
      </c>
      <c r="AN1410" s="9" t="str" cm="1">
        <f t="array" ref="AN1410">_xlfn.IFS(AM1410 &lt;= 3, "New to Role[1-3]", AM1410 &lt;= 7, "Settled[4-7]", AM1410 &lt;= 12, "Experienced[[8-12]", AM1410 &lt;= 18, "Long Tenured[13-18]")</f>
        <v>New to Role[1-3]</v>
      </c>
      <c r="AO1410" s="1">
        <v>1</v>
      </c>
      <c r="AP1410" s="9" t="str" cm="1">
        <f t="array" ref="AP1410">_xlfn.IFS(AO1410 &lt;= 3, "Recently[1-3]", AO1410 &lt;= 6, "Due Soon[4-6]", AO1410 &lt;= 10, "Overdue[7-10]", AO1410 &lt;= 15, "Long Overdue[11-15]")</f>
        <v>Recently[1-3]</v>
      </c>
      <c r="AQ1410" s="9" t="str" cm="1">
        <f t="array" ref="AQ1410">_xlfn.IFS(AR1410 &lt;= 3, "New Relationship[1-3]", AR1410 &lt;= 7, "Established Relationship[4-7]", AR1410 &lt;= 12, "Long Term Relationship[8-12]", AR1410 &lt;= 17, "Very Long Term Relationship[13-17]")</f>
        <v>Established Relationship[4-7]</v>
      </c>
      <c r="AR1410" s="1">
        <v>4</v>
      </c>
    </row>
    <row r="1411" spans="1:44" x14ac:dyDescent="0.25">
      <c r="A1411" s="1">
        <v>40</v>
      </c>
      <c r="B1411" s="8" t="str" cm="1">
        <f t="array" ref="B1411">_xlfn.IFS(A1411 &lt;= 25, "[18-25]", A1411 &lt;= 35, "[26-35]", A1411 &lt;=45, "[36-45]", A1411 &lt;= 60, "[46- 60]")</f>
        <v>[36-45]</v>
      </c>
      <c r="C1411" s="3" t="s">
        <v>43</v>
      </c>
      <c r="D1411">
        <f t="shared" si="22"/>
        <v>0</v>
      </c>
      <c r="E1411" t="s">
        <v>44</v>
      </c>
      <c r="F1411" s="1">
        <v>692</v>
      </c>
      <c r="G1411" s="3" t="s">
        <v>45</v>
      </c>
      <c r="H1411" s="1">
        <v>11</v>
      </c>
      <c r="I1411" s="9" t="str" cm="1">
        <f t="array" ref="I1411">_xlfn.IFS(H1411 &lt;= 2, "[1-2] very close", H1411 &lt;= 10, "[3-10] close", H1411 &lt;= 20, "[11-20] moderate", H1411 &lt;= 30, "[21-30] far")</f>
        <v>[11-20] moderate</v>
      </c>
      <c r="J1411" s="1">
        <v>3</v>
      </c>
      <c r="K1411" s="3" t="s">
        <v>60</v>
      </c>
      <c r="L1411" s="1">
        <v>1</v>
      </c>
      <c r="M1411" s="1">
        <v>1985</v>
      </c>
      <c r="N1411" s="1">
        <v>4</v>
      </c>
      <c r="O1411" s="3" t="s">
        <v>39</v>
      </c>
      <c r="P1411" s="1">
        <v>73</v>
      </c>
      <c r="Q1411" s="1">
        <v>3</v>
      </c>
      <c r="R1411" s="1">
        <v>2</v>
      </c>
      <c r="S1411" s="3" t="s">
        <v>50</v>
      </c>
      <c r="T1411" s="1">
        <v>3</v>
      </c>
      <c r="U1411" s="3" t="s">
        <v>48</v>
      </c>
      <c r="V1411" s="4">
        <v>6323</v>
      </c>
      <c r="W1411" s="1">
        <v>26849</v>
      </c>
      <c r="X1411" s="1">
        <v>1</v>
      </c>
      <c r="Y1411" s="3" t="s">
        <v>42</v>
      </c>
      <c r="Z1411" s="3" t="s">
        <v>43</v>
      </c>
      <c r="AA1411" s="5">
        <v>0.11</v>
      </c>
      <c r="AB1411" s="10" t="str" cm="1">
        <f t="array" ref="AB1411">_xlfn.IFS(AA1411 &lt;= 15%, "Low Hike[11-15%]", AA1411 &lt;= 20%, "Moderate Hike[16-20%]", AA1411 &lt;= 25%,"High Hike[21-25%]")</f>
        <v>Low Hike[11-15%]</v>
      </c>
      <c r="AC1411" s="1">
        <v>3</v>
      </c>
      <c r="AD1411" s="1">
        <v>1</v>
      </c>
      <c r="AE1411" s="1">
        <v>80</v>
      </c>
      <c r="AF1411" s="1">
        <v>1</v>
      </c>
      <c r="AG1411" s="1">
        <v>10</v>
      </c>
      <c r="AH1411" s="9" t="str" cm="1">
        <f t="array" ref="AH1411">_xlfn.IFS(AG1411 &lt;= 5, "New[1-5]", AG1411 &lt;= 10, "Early Career[6-10]", AG1411 &lt;= 20, "Established[11-20]", AG1411 &lt;= 30, "Veteran[21-30]", AG1411 &lt;= 40, "Late Career[31-40]")</f>
        <v>Early Career[6-10]</v>
      </c>
      <c r="AI1411" s="1">
        <v>2</v>
      </c>
      <c r="AJ1411" s="1">
        <v>4</v>
      </c>
      <c r="AK1411" s="1">
        <v>10</v>
      </c>
      <c r="AL1411" s="9" t="str" cm="1">
        <f t="array" ref="AL1411">_xlfn.IFS(AK1411 &lt;= 5, "New[1-5]", AK1411 &lt;= 10, "Early Career[6-10]", AK1411 &lt;= 20, "Established[11-20]", AK1411 &lt;= 30, "Veteran[21-30]", AK1411 &lt;= 40, "Late Career[31-40]")</f>
        <v>Early Career[6-10]</v>
      </c>
      <c r="AM1411" s="1">
        <v>9</v>
      </c>
      <c r="AN1411" s="9" t="str" cm="1">
        <f t="array" ref="AN1411">_xlfn.IFS(AM1411 &lt;= 3, "New to Role[1-3]", AM1411 &lt;= 7, "Settled[4-7]", AM1411 &lt;= 12, "Experienced[[8-12]", AM1411 &lt;= 18, "Long Tenured[13-18]")</f>
        <v>Experienced[[8-12]</v>
      </c>
      <c r="AO1411" s="1">
        <v>9</v>
      </c>
      <c r="AP1411" s="9" t="str" cm="1">
        <f t="array" ref="AP1411">_xlfn.IFS(AO1411 &lt;= 3, "Recently[1-3]", AO1411 &lt;= 6, "Due Soon[4-6]", AO1411 &lt;= 10, "Overdue[7-10]", AO1411 &lt;= 15, "Long Overdue[11-15]")</f>
        <v>Overdue[7-10]</v>
      </c>
      <c r="AQ1411" s="9" t="str" cm="1">
        <f t="array" ref="AQ1411">_xlfn.IFS(AR1411 &lt;= 3, "New Relationship[1-3]", AR1411 &lt;= 7, "Established Relationship[4-7]", AR1411 &lt;= 12, "Long Term Relationship[8-12]", AR1411 &lt;= 17, "Very Long Term Relationship[13-17]")</f>
        <v>Established Relationship[4-7]</v>
      </c>
      <c r="AR1411" s="1">
        <v>4</v>
      </c>
    </row>
    <row r="1412" spans="1:44" x14ac:dyDescent="0.25">
      <c r="A1412" s="1">
        <v>40</v>
      </c>
      <c r="B1412" s="8" t="str" cm="1">
        <f t="array" ref="B1412">_xlfn.IFS(A1412 &lt;= 25, "[18-25]", A1412 &lt;= 35, "[26-35]", A1412 &lt;=45, "[36-45]", A1412 &lt;= 60, "[46- 60]")</f>
        <v>[36-45]</v>
      </c>
      <c r="C1412" s="3" t="s">
        <v>43</v>
      </c>
      <c r="D1412">
        <f t="shared" si="22"/>
        <v>0</v>
      </c>
      <c r="E1412" t="s">
        <v>36</v>
      </c>
      <c r="F1412" s="1">
        <v>444</v>
      </c>
      <c r="G1412" s="3" t="s">
        <v>37</v>
      </c>
      <c r="H1412" s="1">
        <v>2</v>
      </c>
      <c r="I1412" s="9" t="str" cm="1">
        <f t="array" ref="I1412">_xlfn.IFS(H1412 &lt;= 2, "[1-2] very close", H1412 &lt;= 10, "[3-10] close", H1412 &lt;= 20, "[11-20] moderate", H1412 &lt;= 30, "[21-30] far")</f>
        <v>[1-2] very close</v>
      </c>
      <c r="J1412" s="1">
        <v>2</v>
      </c>
      <c r="K1412" s="3" t="s">
        <v>59</v>
      </c>
      <c r="L1412" s="1">
        <v>1</v>
      </c>
      <c r="M1412" s="1">
        <v>1986</v>
      </c>
      <c r="N1412" s="1">
        <v>2</v>
      </c>
      <c r="O1412" s="3" t="s">
        <v>39</v>
      </c>
      <c r="P1412" s="1">
        <v>92</v>
      </c>
      <c r="Q1412" s="1">
        <v>3</v>
      </c>
      <c r="R1412" s="1">
        <v>2</v>
      </c>
      <c r="S1412" s="3" t="s">
        <v>40</v>
      </c>
      <c r="T1412" s="1">
        <v>2</v>
      </c>
      <c r="U1412" s="3" t="s">
        <v>48</v>
      </c>
      <c r="V1412" s="4">
        <v>5677</v>
      </c>
      <c r="W1412" s="1">
        <v>4258</v>
      </c>
      <c r="X1412" s="1">
        <v>3</v>
      </c>
      <c r="Y1412" s="3" t="s">
        <v>42</v>
      </c>
      <c r="Z1412" s="3" t="s">
        <v>43</v>
      </c>
      <c r="AA1412" s="5">
        <v>0.14000000000000001</v>
      </c>
      <c r="AB1412" s="10" t="str" cm="1">
        <f t="array" ref="AB1412">_xlfn.IFS(AA1412 &lt;= 15%, "Low Hike[11-15%]", AA1412 &lt;= 20%, "Moderate Hike[16-20%]", AA1412 &lt;= 25%,"High Hike[21-25%]")</f>
        <v>Low Hike[11-15%]</v>
      </c>
      <c r="AC1412" s="1">
        <v>3</v>
      </c>
      <c r="AD1412" s="1">
        <v>3</v>
      </c>
      <c r="AE1412" s="1">
        <v>80</v>
      </c>
      <c r="AF1412" s="1">
        <v>1</v>
      </c>
      <c r="AG1412" s="1">
        <v>15</v>
      </c>
      <c r="AH1412" s="9" t="str" cm="1">
        <f t="array" ref="AH1412">_xlfn.IFS(AG1412 &lt;= 5, "New[1-5]", AG1412 &lt;= 10, "Early Career[6-10]", AG1412 &lt;= 20, "Established[11-20]", AG1412 &lt;= 30, "Veteran[21-30]", AG1412 &lt;= 40, "Late Career[31-40]")</f>
        <v>Established[11-20]</v>
      </c>
      <c r="AI1412" s="1">
        <v>4</v>
      </c>
      <c r="AJ1412" s="1">
        <v>3</v>
      </c>
      <c r="AK1412" s="1">
        <v>11</v>
      </c>
      <c r="AL1412" s="9" t="str" cm="1">
        <f t="array" ref="AL1412">_xlfn.IFS(AK1412 &lt;= 5, "New[1-5]", AK1412 &lt;= 10, "Early Career[6-10]", AK1412 &lt;= 20, "Established[11-20]", AK1412 &lt;= 30, "Veteran[21-30]", AK1412 &lt;= 40, "Late Career[31-40]")</f>
        <v>Established[11-20]</v>
      </c>
      <c r="AM1412" s="1">
        <v>8</v>
      </c>
      <c r="AN1412" s="9" t="str" cm="1">
        <f t="array" ref="AN1412">_xlfn.IFS(AM1412 &lt;= 3, "New to Role[1-3]", AM1412 &lt;= 7, "Settled[4-7]", AM1412 &lt;= 12, "Experienced[[8-12]", AM1412 &lt;= 18, "Long Tenured[13-18]")</f>
        <v>Experienced[[8-12]</v>
      </c>
      <c r="AO1412" s="1">
        <v>5</v>
      </c>
      <c r="AP1412" s="9" t="str" cm="1">
        <f t="array" ref="AP1412">_xlfn.IFS(AO1412 &lt;= 3, "Recently[1-3]", AO1412 &lt;= 6, "Due Soon[4-6]", AO1412 &lt;= 10, "Overdue[7-10]", AO1412 &lt;= 15, "Long Overdue[11-15]")</f>
        <v>Due Soon[4-6]</v>
      </c>
      <c r="AQ1412" s="9" t="str" cm="1">
        <f t="array" ref="AQ1412">_xlfn.IFS(AR1412 &lt;= 3, "New Relationship[1-3]", AR1412 &lt;= 7, "Established Relationship[4-7]", AR1412 &lt;= 12, "Long Term Relationship[8-12]", AR1412 &lt;= 17, "Very Long Term Relationship[13-17]")</f>
        <v>Long Term Relationship[8-12]</v>
      </c>
      <c r="AR1412" s="1">
        <v>10</v>
      </c>
    </row>
    <row r="1413" spans="1:44" x14ac:dyDescent="0.25">
      <c r="A1413" s="1">
        <v>25</v>
      </c>
      <c r="B1413" s="8" t="str" cm="1">
        <f t="array" ref="B1413">_xlfn.IFS(A1413 &lt;= 25, "[18-25]", A1413 &lt;= 35, "[26-35]", A1413 &lt;=45, "[36-45]", A1413 &lt;= 60, "[46- 60]")</f>
        <v>[18-25]</v>
      </c>
      <c r="C1413" s="3" t="s">
        <v>43</v>
      </c>
      <c r="D1413">
        <f t="shared" si="22"/>
        <v>0</v>
      </c>
      <c r="E1413" t="s">
        <v>36</v>
      </c>
      <c r="F1413" s="1">
        <v>309</v>
      </c>
      <c r="G1413" s="3" t="s">
        <v>61</v>
      </c>
      <c r="H1413" s="1">
        <v>2</v>
      </c>
      <c r="I1413" s="9" t="str" cm="1">
        <f t="array" ref="I1413">_xlfn.IFS(H1413 &lt;= 2, "[1-2] very close", H1413 &lt;= 10, "[3-10] close", H1413 &lt;= 20, "[11-20] moderate", H1413 &lt;= 30, "[21-30] far")</f>
        <v>[1-2] very close</v>
      </c>
      <c r="J1413" s="1">
        <v>3</v>
      </c>
      <c r="K1413" s="3" t="s">
        <v>61</v>
      </c>
      <c r="L1413" s="1">
        <v>1</v>
      </c>
      <c r="M1413" s="1">
        <v>1987</v>
      </c>
      <c r="N1413" s="1">
        <v>3</v>
      </c>
      <c r="O1413" s="3" t="s">
        <v>39</v>
      </c>
      <c r="P1413" s="1">
        <v>82</v>
      </c>
      <c r="Q1413" s="1">
        <v>3</v>
      </c>
      <c r="R1413" s="1">
        <v>1</v>
      </c>
      <c r="S1413" s="3" t="s">
        <v>61</v>
      </c>
      <c r="T1413" s="1">
        <v>2</v>
      </c>
      <c r="U1413" s="3" t="s">
        <v>48</v>
      </c>
      <c r="V1413" s="4">
        <v>2187</v>
      </c>
      <c r="W1413" s="1">
        <v>19655</v>
      </c>
      <c r="X1413" s="1">
        <v>4</v>
      </c>
      <c r="Y1413" s="3" t="s">
        <v>42</v>
      </c>
      <c r="Z1413" s="3" t="s">
        <v>43</v>
      </c>
      <c r="AA1413" s="5">
        <v>0.14000000000000001</v>
      </c>
      <c r="AB1413" s="10" t="str" cm="1">
        <f t="array" ref="AB1413">_xlfn.IFS(AA1413 &lt;= 15%, "Low Hike[11-15%]", AA1413 &lt;= 20%, "Moderate Hike[16-20%]", AA1413 &lt;= 25%,"High Hike[21-25%]")</f>
        <v>Low Hike[11-15%]</v>
      </c>
      <c r="AC1413" s="1">
        <v>3</v>
      </c>
      <c r="AD1413" s="1">
        <v>3</v>
      </c>
      <c r="AE1413" s="1">
        <v>80</v>
      </c>
      <c r="AF1413" s="1">
        <v>0</v>
      </c>
      <c r="AG1413" s="1">
        <v>6</v>
      </c>
      <c r="AH1413" s="9" t="str" cm="1">
        <f t="array" ref="AH1413">_xlfn.IFS(AG1413 &lt;= 5, "New[1-5]", AG1413 &lt;= 10, "Early Career[6-10]", AG1413 &lt;= 20, "Established[11-20]", AG1413 &lt;= 30, "Veteran[21-30]", AG1413 &lt;= 40, "Late Career[31-40]")</f>
        <v>Early Career[6-10]</v>
      </c>
      <c r="AI1413" s="1">
        <v>3</v>
      </c>
      <c r="AJ1413" s="1">
        <v>3</v>
      </c>
      <c r="AK1413" s="1">
        <v>2</v>
      </c>
      <c r="AL1413" s="9" t="str" cm="1">
        <f t="array" ref="AL1413">_xlfn.IFS(AK1413 &lt;= 5, "New[1-5]", AK1413 &lt;= 10, "Early Career[6-10]", AK1413 &lt;= 20, "Established[11-20]", AK1413 &lt;= 30, "Veteran[21-30]", AK1413 &lt;= 40, "Late Career[31-40]")</f>
        <v>New[1-5]</v>
      </c>
      <c r="AM1413" s="1">
        <v>0</v>
      </c>
      <c r="AN1413" s="9" t="str" cm="1">
        <f t="array" ref="AN1413">_xlfn.IFS(AM1413 &lt;= 3, "New to Role[1-3]", AM1413 &lt;= 7, "Settled[4-7]", AM1413 &lt;= 12, "Experienced[[8-12]", AM1413 &lt;= 18, "Long Tenured[13-18]")</f>
        <v>New to Role[1-3]</v>
      </c>
      <c r="AO1413" s="1">
        <v>1</v>
      </c>
      <c r="AP1413" s="9" t="str" cm="1">
        <f t="array" ref="AP1413">_xlfn.IFS(AO1413 &lt;= 3, "Recently[1-3]", AO1413 &lt;= 6, "Due Soon[4-6]", AO1413 &lt;= 10, "Overdue[7-10]", AO1413 &lt;= 15, "Long Overdue[11-15]")</f>
        <v>Recently[1-3]</v>
      </c>
      <c r="AQ1413" s="9" t="str" cm="1">
        <f t="array" ref="AQ1413">_xlfn.IFS(AR1413 &lt;= 3, "New Relationship[1-3]", AR1413 &lt;= 7, "Established Relationship[4-7]", AR1413 &lt;= 12, "Long Term Relationship[8-12]", AR1413 &lt;= 17, "Very Long Term Relationship[13-17]")</f>
        <v>New Relationship[1-3]</v>
      </c>
      <c r="AR1413" s="1">
        <v>2</v>
      </c>
    </row>
    <row r="1414" spans="1:44" x14ac:dyDescent="0.25">
      <c r="A1414" s="1">
        <v>30</v>
      </c>
      <c r="B1414" s="8" t="str" cm="1">
        <f t="array" ref="B1414">_xlfn.IFS(A1414 &lt;= 25, "[18-25]", A1414 &lt;= 35, "[26-35]", A1414 &lt;=45, "[36-45]", A1414 &lt;= 60, "[46- 60]")</f>
        <v>[26-35]</v>
      </c>
      <c r="C1414" s="3" t="s">
        <v>43</v>
      </c>
      <c r="D1414">
        <f t="shared" si="22"/>
        <v>0</v>
      </c>
      <c r="E1414" t="s">
        <v>36</v>
      </c>
      <c r="F1414" s="1">
        <v>911</v>
      </c>
      <c r="G1414" s="3" t="s">
        <v>45</v>
      </c>
      <c r="H1414" s="1">
        <v>1</v>
      </c>
      <c r="I1414" s="9" t="str" cm="1">
        <f t="array" ref="I1414">_xlfn.IFS(H1414 &lt;= 2, "[1-2] very close", H1414 &lt;= 10, "[3-10] close", H1414 &lt;= 20, "[11-20] moderate", H1414 &lt;= 30, "[21-30] far")</f>
        <v>[1-2] very close</v>
      </c>
      <c r="J1414" s="1">
        <v>2</v>
      </c>
      <c r="K1414" s="3" t="s">
        <v>51</v>
      </c>
      <c r="L1414" s="1">
        <v>1</v>
      </c>
      <c r="M1414" s="1">
        <v>1989</v>
      </c>
      <c r="N1414" s="1">
        <v>4</v>
      </c>
      <c r="O1414" s="3" t="s">
        <v>46</v>
      </c>
      <c r="P1414" s="1">
        <v>76</v>
      </c>
      <c r="Q1414" s="1">
        <v>3</v>
      </c>
      <c r="R1414" s="1">
        <v>1</v>
      </c>
      <c r="S1414" s="3" t="s">
        <v>50</v>
      </c>
      <c r="T1414" s="1">
        <v>2</v>
      </c>
      <c r="U1414" s="3" t="s">
        <v>48</v>
      </c>
      <c r="V1414" s="4">
        <v>3748</v>
      </c>
      <c r="W1414" s="1">
        <v>4077</v>
      </c>
      <c r="X1414" s="1">
        <v>1</v>
      </c>
      <c r="Y1414" s="3" t="s">
        <v>42</v>
      </c>
      <c r="Z1414" s="3" t="s">
        <v>43</v>
      </c>
      <c r="AA1414" s="5">
        <v>0.13</v>
      </c>
      <c r="AB1414" s="10" t="str" cm="1">
        <f t="array" ref="AB1414">_xlfn.IFS(AA1414 &lt;= 15%, "Low Hike[11-15%]", AA1414 &lt;= 20%, "Moderate Hike[16-20%]", AA1414 &lt;= 25%,"High Hike[21-25%]")</f>
        <v>Low Hike[11-15%]</v>
      </c>
      <c r="AC1414" s="1">
        <v>3</v>
      </c>
      <c r="AD1414" s="1">
        <v>3</v>
      </c>
      <c r="AE1414" s="1">
        <v>80</v>
      </c>
      <c r="AF1414" s="1">
        <v>0</v>
      </c>
      <c r="AG1414" s="1">
        <v>12</v>
      </c>
      <c r="AH1414" s="9" t="str" cm="1">
        <f t="array" ref="AH1414">_xlfn.IFS(AG1414 &lt;= 5, "New[1-5]", AG1414 &lt;= 10, "Early Career[6-10]", AG1414 &lt;= 20, "Established[11-20]", AG1414 &lt;= 30, "Veteran[21-30]", AG1414 &lt;= 40, "Late Career[31-40]")</f>
        <v>Established[11-20]</v>
      </c>
      <c r="AI1414" s="1">
        <v>6</v>
      </c>
      <c r="AJ1414" s="1">
        <v>2</v>
      </c>
      <c r="AK1414" s="1">
        <v>12</v>
      </c>
      <c r="AL1414" s="9" t="str" cm="1">
        <f t="array" ref="AL1414">_xlfn.IFS(AK1414 &lt;= 5, "New[1-5]", AK1414 &lt;= 10, "Early Career[6-10]", AK1414 &lt;= 20, "Established[11-20]", AK1414 &lt;= 30, "Veteran[21-30]", AK1414 &lt;= 40, "Late Career[31-40]")</f>
        <v>Established[11-20]</v>
      </c>
      <c r="AM1414" s="1">
        <v>8</v>
      </c>
      <c r="AN1414" s="9" t="str" cm="1">
        <f t="array" ref="AN1414">_xlfn.IFS(AM1414 &lt;= 3, "New to Role[1-3]", AM1414 &lt;= 7, "Settled[4-7]", AM1414 &lt;= 12, "Experienced[[8-12]", AM1414 &lt;= 18, "Long Tenured[13-18]")</f>
        <v>Experienced[[8-12]</v>
      </c>
      <c r="AO1414" s="1">
        <v>1</v>
      </c>
      <c r="AP1414" s="9" t="str" cm="1">
        <f t="array" ref="AP1414">_xlfn.IFS(AO1414 &lt;= 3, "Recently[1-3]", AO1414 &lt;= 6, "Due Soon[4-6]", AO1414 &lt;= 10, "Overdue[7-10]", AO1414 &lt;= 15, "Long Overdue[11-15]")</f>
        <v>Recently[1-3]</v>
      </c>
      <c r="AQ1414" s="9" t="str" cm="1">
        <f t="array" ref="AQ1414">_xlfn.IFS(AR1414 &lt;= 3, "New Relationship[1-3]", AR1414 &lt;= 7, "Established Relationship[4-7]", AR1414 &lt;= 12, "Long Term Relationship[8-12]", AR1414 &lt;= 17, "Very Long Term Relationship[13-17]")</f>
        <v>Established Relationship[4-7]</v>
      </c>
      <c r="AR1414" s="1">
        <v>7</v>
      </c>
    </row>
    <row r="1415" spans="1:44" x14ac:dyDescent="0.25">
      <c r="A1415" s="1">
        <v>25</v>
      </c>
      <c r="B1415" s="8" t="str" cm="1">
        <f t="array" ref="B1415">_xlfn.IFS(A1415 &lt;= 25, "[18-25]", A1415 &lt;= 35, "[26-35]", A1415 &lt;=45, "[36-45]", A1415 &lt;= 60, "[46- 60]")</f>
        <v>[18-25]</v>
      </c>
      <c r="C1415" s="3" t="s">
        <v>43</v>
      </c>
      <c r="D1415">
        <f t="shared" si="22"/>
        <v>0</v>
      </c>
      <c r="E1415" t="s">
        <v>36</v>
      </c>
      <c r="F1415" s="1">
        <v>977</v>
      </c>
      <c r="G1415" s="3" t="s">
        <v>45</v>
      </c>
      <c r="H1415" s="1">
        <v>2</v>
      </c>
      <c r="I1415" s="9" t="str" cm="1">
        <f t="array" ref="I1415">_xlfn.IFS(H1415 &lt;= 2, "[1-2] very close", H1415 &lt;= 10, "[3-10] close", H1415 &lt;= 20, "[11-20] moderate", H1415 &lt;= 30, "[21-30] far")</f>
        <v>[1-2] very close</v>
      </c>
      <c r="J1415" s="1">
        <v>1</v>
      </c>
      <c r="K1415" s="3" t="s">
        <v>49</v>
      </c>
      <c r="L1415" s="1">
        <v>1</v>
      </c>
      <c r="M1415" s="1">
        <v>1992</v>
      </c>
      <c r="N1415" s="1">
        <v>4</v>
      </c>
      <c r="O1415" s="3" t="s">
        <v>46</v>
      </c>
      <c r="P1415" s="1">
        <v>57</v>
      </c>
      <c r="Q1415" s="1">
        <v>3</v>
      </c>
      <c r="R1415" s="1">
        <v>1</v>
      </c>
      <c r="S1415" s="3" t="s">
        <v>50</v>
      </c>
      <c r="T1415" s="1">
        <v>3</v>
      </c>
      <c r="U1415" s="3" t="s">
        <v>52</v>
      </c>
      <c r="V1415" s="4">
        <v>3977</v>
      </c>
      <c r="W1415" s="1">
        <v>7298</v>
      </c>
      <c r="X1415" s="1">
        <v>6</v>
      </c>
      <c r="Y1415" s="3" t="s">
        <v>42</v>
      </c>
      <c r="Z1415" s="3" t="s">
        <v>35</v>
      </c>
      <c r="AA1415" s="5">
        <v>0.19</v>
      </c>
      <c r="AB1415" s="10" t="str" cm="1">
        <f t="array" ref="AB1415">_xlfn.IFS(AA1415 &lt;= 15%, "Low Hike[11-15%]", AA1415 &lt;= 20%, "Moderate Hike[16-20%]", AA1415 &lt;= 25%,"High Hike[21-25%]")</f>
        <v>Moderate Hike[16-20%]</v>
      </c>
      <c r="AC1415" s="1">
        <v>3</v>
      </c>
      <c r="AD1415" s="1">
        <v>3</v>
      </c>
      <c r="AE1415" s="1">
        <v>80</v>
      </c>
      <c r="AF1415" s="1">
        <v>1</v>
      </c>
      <c r="AG1415" s="1">
        <v>7</v>
      </c>
      <c r="AH1415" s="9" t="str" cm="1">
        <f t="array" ref="AH1415">_xlfn.IFS(AG1415 &lt;= 5, "New[1-5]", AG1415 &lt;= 10, "Early Career[6-10]", AG1415 &lt;= 20, "Established[11-20]", AG1415 &lt;= 30, "Veteran[21-30]", AG1415 &lt;= 40, "Late Career[31-40]")</f>
        <v>Early Career[6-10]</v>
      </c>
      <c r="AI1415" s="1">
        <v>2</v>
      </c>
      <c r="AJ1415" s="1">
        <v>2</v>
      </c>
      <c r="AK1415" s="1">
        <v>2</v>
      </c>
      <c r="AL1415" s="9" t="str" cm="1">
        <f t="array" ref="AL1415">_xlfn.IFS(AK1415 &lt;= 5, "New[1-5]", AK1415 &lt;= 10, "Early Career[6-10]", AK1415 &lt;= 20, "Established[11-20]", AK1415 &lt;= 30, "Veteran[21-30]", AK1415 &lt;= 40, "Late Career[31-40]")</f>
        <v>New[1-5]</v>
      </c>
      <c r="AM1415" s="1">
        <v>2</v>
      </c>
      <c r="AN1415" s="9" t="str" cm="1">
        <f t="array" ref="AN1415">_xlfn.IFS(AM1415 &lt;= 3, "New to Role[1-3]", AM1415 &lt;= 7, "Settled[4-7]", AM1415 &lt;= 12, "Experienced[[8-12]", AM1415 &lt;= 18, "Long Tenured[13-18]")</f>
        <v>New to Role[1-3]</v>
      </c>
      <c r="AO1415" s="1">
        <v>0</v>
      </c>
      <c r="AP1415" s="9" t="str" cm="1">
        <f t="array" ref="AP1415">_xlfn.IFS(AO1415 &lt;= 3, "Recently[1-3]", AO1415 &lt;= 6, "Due Soon[4-6]", AO1415 &lt;= 10, "Overdue[7-10]", AO1415 &lt;= 15, "Long Overdue[11-15]")</f>
        <v>Recently[1-3]</v>
      </c>
      <c r="AQ1415" s="9" t="str" cm="1">
        <f t="array" ref="AQ1415">_xlfn.IFS(AR1415 &lt;= 3, "New Relationship[1-3]", AR1415 &lt;= 7, "Established Relationship[4-7]", AR1415 &lt;= 12, "Long Term Relationship[8-12]", AR1415 &lt;= 17, "Very Long Term Relationship[13-17]")</f>
        <v>New Relationship[1-3]</v>
      </c>
      <c r="AR1415" s="1">
        <v>2</v>
      </c>
    </row>
    <row r="1416" spans="1:44" x14ac:dyDescent="0.25">
      <c r="A1416" s="1">
        <v>47</v>
      </c>
      <c r="B1416" s="8" t="str" cm="1">
        <f t="array" ref="B1416">_xlfn.IFS(A1416 &lt;= 25, "[18-25]", A1416 &lt;= 35, "[26-35]", A1416 &lt;=45, "[36-45]", A1416 &lt;= 60, "[46- 60]")</f>
        <v>[46- 60]</v>
      </c>
      <c r="C1416" s="3" t="s">
        <v>43</v>
      </c>
      <c r="D1416">
        <f t="shared" si="22"/>
        <v>0</v>
      </c>
      <c r="E1416" t="s">
        <v>36</v>
      </c>
      <c r="F1416" s="1">
        <v>1180</v>
      </c>
      <c r="G1416" s="3" t="s">
        <v>45</v>
      </c>
      <c r="H1416" s="1">
        <v>25</v>
      </c>
      <c r="I1416" s="9" t="str" cm="1">
        <f t="array" ref="I1416">_xlfn.IFS(H1416 &lt;= 2, "[1-2] very close", H1416 &lt;= 10, "[3-10] close", H1416 &lt;= 20, "[11-20] moderate", H1416 &lt;= 30, "[21-30] far")</f>
        <v>[21-30] far</v>
      </c>
      <c r="J1416" s="1">
        <v>3</v>
      </c>
      <c r="K1416" s="3" t="s">
        <v>51</v>
      </c>
      <c r="L1416" s="1">
        <v>1</v>
      </c>
      <c r="M1416" s="1">
        <v>1993</v>
      </c>
      <c r="N1416" s="1">
        <v>1</v>
      </c>
      <c r="O1416" s="3" t="s">
        <v>46</v>
      </c>
      <c r="P1416" s="1">
        <v>84</v>
      </c>
      <c r="Q1416" s="1">
        <v>3</v>
      </c>
      <c r="R1416" s="1">
        <v>3</v>
      </c>
      <c r="S1416" s="3" t="s">
        <v>54</v>
      </c>
      <c r="T1416" s="1">
        <v>3</v>
      </c>
      <c r="U1416" s="3" t="s">
        <v>41</v>
      </c>
      <c r="V1416" s="4">
        <v>8633</v>
      </c>
      <c r="W1416" s="1">
        <v>13084</v>
      </c>
      <c r="X1416" s="1">
        <v>2</v>
      </c>
      <c r="Y1416" s="3" t="s">
        <v>42</v>
      </c>
      <c r="Z1416" s="3" t="s">
        <v>43</v>
      </c>
      <c r="AA1416" s="5">
        <v>0.23</v>
      </c>
      <c r="AB1416" s="10" t="str" cm="1">
        <f t="array" ref="AB1416">_xlfn.IFS(AA1416 &lt;= 15%, "Low Hike[11-15%]", AA1416 &lt;= 20%, "Moderate Hike[16-20%]", AA1416 &lt;= 25%,"High Hike[21-25%]")</f>
        <v>High Hike[21-25%]</v>
      </c>
      <c r="AC1416" s="1">
        <v>4</v>
      </c>
      <c r="AD1416" s="1">
        <v>2</v>
      </c>
      <c r="AE1416" s="1">
        <v>80</v>
      </c>
      <c r="AF1416" s="1">
        <v>0</v>
      </c>
      <c r="AG1416" s="1">
        <v>25</v>
      </c>
      <c r="AH1416" s="9" t="str" cm="1">
        <f t="array" ref="AH1416">_xlfn.IFS(AG1416 &lt;= 5, "New[1-5]", AG1416 &lt;= 10, "Early Career[6-10]", AG1416 &lt;= 20, "Established[11-20]", AG1416 &lt;= 30, "Veteran[21-30]", AG1416 &lt;= 40, "Late Career[31-40]")</f>
        <v>Veteran[21-30]</v>
      </c>
      <c r="AI1416" s="1">
        <v>3</v>
      </c>
      <c r="AJ1416" s="1">
        <v>3</v>
      </c>
      <c r="AK1416" s="1">
        <v>17</v>
      </c>
      <c r="AL1416" s="9" t="str" cm="1">
        <f t="array" ref="AL1416">_xlfn.IFS(AK1416 &lt;= 5, "New[1-5]", AK1416 &lt;= 10, "Early Career[6-10]", AK1416 &lt;= 20, "Established[11-20]", AK1416 &lt;= 30, "Veteran[21-30]", AK1416 &lt;= 40, "Late Career[31-40]")</f>
        <v>Established[11-20]</v>
      </c>
      <c r="AM1416" s="1">
        <v>14</v>
      </c>
      <c r="AN1416" s="9" t="str" cm="1">
        <f t="array" ref="AN1416">_xlfn.IFS(AM1416 &lt;= 3, "New to Role[1-3]", AM1416 &lt;= 7, "Settled[4-7]", AM1416 &lt;= 12, "Experienced[[8-12]", AM1416 &lt;= 18, "Long Tenured[13-18]")</f>
        <v>Long Tenured[13-18]</v>
      </c>
      <c r="AO1416" s="1">
        <v>12</v>
      </c>
      <c r="AP1416" s="9" t="str" cm="1">
        <f t="array" ref="AP1416">_xlfn.IFS(AO1416 &lt;= 3, "Recently[1-3]", AO1416 &lt;= 6, "Due Soon[4-6]", AO1416 &lt;= 10, "Overdue[7-10]", AO1416 &lt;= 15, "Long Overdue[11-15]")</f>
        <v>Long Overdue[11-15]</v>
      </c>
      <c r="AQ1416" s="9" t="str" cm="1">
        <f t="array" ref="AQ1416">_xlfn.IFS(AR1416 &lt;= 3, "New Relationship[1-3]", AR1416 &lt;= 7, "Established Relationship[4-7]", AR1416 &lt;= 12, "Long Term Relationship[8-12]", AR1416 &lt;= 17, "Very Long Term Relationship[13-17]")</f>
        <v>Long Term Relationship[8-12]</v>
      </c>
      <c r="AR1416" s="1">
        <v>11</v>
      </c>
    </row>
    <row r="1417" spans="1:44" x14ac:dyDescent="0.25">
      <c r="A1417" s="1">
        <v>33</v>
      </c>
      <c r="B1417" s="8" t="str" cm="1">
        <f t="array" ref="B1417">_xlfn.IFS(A1417 &lt;= 25, "[18-25]", A1417 &lt;= 35, "[26-35]", A1417 &lt;=45, "[36-45]", A1417 &lt;= 60, "[46- 60]")</f>
        <v>[26-35]</v>
      </c>
      <c r="C1417" s="3" t="s">
        <v>43</v>
      </c>
      <c r="D1417">
        <f t="shared" si="22"/>
        <v>0</v>
      </c>
      <c r="E1417" t="s">
        <v>62</v>
      </c>
      <c r="F1417" s="1">
        <v>1313</v>
      </c>
      <c r="G1417" s="3" t="s">
        <v>45</v>
      </c>
      <c r="H1417" s="1">
        <v>1</v>
      </c>
      <c r="I1417" s="9" t="str" cm="1">
        <f t="array" ref="I1417">_xlfn.IFS(H1417 &lt;= 2, "[1-2] very close", H1417 &lt;= 10, "[3-10] close", H1417 &lt;= 20, "[11-20] moderate", H1417 &lt;= 30, "[21-30] far")</f>
        <v>[1-2] very close</v>
      </c>
      <c r="J1417" s="1">
        <v>2</v>
      </c>
      <c r="K1417" s="3" t="s">
        <v>51</v>
      </c>
      <c r="L1417" s="1">
        <v>1</v>
      </c>
      <c r="M1417" s="1">
        <v>1994</v>
      </c>
      <c r="N1417" s="1">
        <v>2</v>
      </c>
      <c r="O1417" s="3" t="s">
        <v>46</v>
      </c>
      <c r="P1417" s="1">
        <v>59</v>
      </c>
      <c r="Q1417" s="1">
        <v>2</v>
      </c>
      <c r="R1417" s="1">
        <v>1</v>
      </c>
      <c r="S1417" s="3" t="s">
        <v>50</v>
      </c>
      <c r="T1417" s="1">
        <v>3</v>
      </c>
      <c r="U1417" s="3" t="s">
        <v>52</v>
      </c>
      <c r="V1417" s="4">
        <v>2008</v>
      </c>
      <c r="W1417" s="1">
        <v>20439</v>
      </c>
      <c r="X1417" s="1">
        <v>1</v>
      </c>
      <c r="Y1417" s="3" t="s">
        <v>42</v>
      </c>
      <c r="Z1417" s="3" t="s">
        <v>43</v>
      </c>
      <c r="AA1417" s="5">
        <v>0.12</v>
      </c>
      <c r="AB1417" s="10" t="str" cm="1">
        <f t="array" ref="AB1417">_xlfn.IFS(AA1417 &lt;= 15%, "Low Hike[11-15%]", AA1417 &lt;= 20%, "Moderate Hike[16-20%]", AA1417 &lt;= 25%,"High Hike[21-25%]")</f>
        <v>Low Hike[11-15%]</v>
      </c>
      <c r="AC1417" s="1">
        <v>3</v>
      </c>
      <c r="AD1417" s="1">
        <v>3</v>
      </c>
      <c r="AE1417" s="1">
        <v>80</v>
      </c>
      <c r="AF1417" s="1">
        <v>3</v>
      </c>
      <c r="AG1417" s="1">
        <v>1</v>
      </c>
      <c r="AH1417" s="9" t="str" cm="1">
        <f t="array" ref="AH1417">_xlfn.IFS(AG1417 &lt;= 5, "New[1-5]", AG1417 &lt;= 10, "Early Career[6-10]", AG1417 &lt;= 20, "Established[11-20]", AG1417 &lt;= 30, "Veteran[21-30]", AG1417 &lt;= 40, "Late Career[31-40]")</f>
        <v>New[1-5]</v>
      </c>
      <c r="AI1417" s="1">
        <v>2</v>
      </c>
      <c r="AJ1417" s="1">
        <v>2</v>
      </c>
      <c r="AK1417" s="1">
        <v>1</v>
      </c>
      <c r="AL1417" s="9" t="str" cm="1">
        <f t="array" ref="AL1417">_xlfn.IFS(AK1417 &lt;= 5, "New[1-5]", AK1417 &lt;= 10, "Early Career[6-10]", AK1417 &lt;= 20, "Established[11-20]", AK1417 &lt;= 30, "Veteran[21-30]", AK1417 &lt;= 40, "Late Career[31-40]")</f>
        <v>New[1-5]</v>
      </c>
      <c r="AM1417" s="1">
        <v>1</v>
      </c>
      <c r="AN1417" s="9" t="str" cm="1">
        <f t="array" ref="AN1417">_xlfn.IFS(AM1417 &lt;= 3, "New to Role[1-3]", AM1417 &lt;= 7, "Settled[4-7]", AM1417 &lt;= 12, "Experienced[[8-12]", AM1417 &lt;= 18, "Long Tenured[13-18]")</f>
        <v>New to Role[1-3]</v>
      </c>
      <c r="AO1417" s="1">
        <v>0</v>
      </c>
      <c r="AP1417" s="9" t="str" cm="1">
        <f t="array" ref="AP1417">_xlfn.IFS(AO1417 &lt;= 3, "Recently[1-3]", AO1417 &lt;= 6, "Due Soon[4-6]", AO1417 &lt;= 10, "Overdue[7-10]", AO1417 &lt;= 15, "Long Overdue[11-15]")</f>
        <v>Recently[1-3]</v>
      </c>
      <c r="AQ1417" s="9" t="str" cm="1">
        <f t="array" ref="AQ1417">_xlfn.IFS(AR1417 &lt;= 3, "New Relationship[1-3]", AR1417 &lt;= 7, "Established Relationship[4-7]", AR1417 &lt;= 12, "Long Term Relationship[8-12]", AR1417 &lt;= 17, "Very Long Term Relationship[13-17]")</f>
        <v>New Relationship[1-3]</v>
      </c>
      <c r="AR1417" s="1">
        <v>0</v>
      </c>
    </row>
    <row r="1418" spans="1:44" x14ac:dyDescent="0.25">
      <c r="A1418" s="1">
        <v>38</v>
      </c>
      <c r="B1418" s="8" t="str" cm="1">
        <f t="array" ref="B1418">_xlfn.IFS(A1418 &lt;= 25, "[18-25]", A1418 &lt;= 35, "[26-35]", A1418 &lt;=45, "[36-45]", A1418 &lt;= 60, "[46- 60]")</f>
        <v>[36-45]</v>
      </c>
      <c r="C1418" s="3" t="s">
        <v>43</v>
      </c>
      <c r="D1418">
        <f t="shared" si="22"/>
        <v>0</v>
      </c>
      <c r="E1418" t="s">
        <v>36</v>
      </c>
      <c r="F1418" s="1">
        <v>1321</v>
      </c>
      <c r="G1418" s="3" t="s">
        <v>37</v>
      </c>
      <c r="H1418" s="1">
        <v>1</v>
      </c>
      <c r="I1418" s="9" t="str" cm="1">
        <f t="array" ref="I1418">_xlfn.IFS(H1418 &lt;= 2, "[1-2] very close", H1418 &lt;= 10, "[3-10] close", H1418 &lt;= 20, "[11-20] moderate", H1418 &lt;= 30, "[21-30] far")</f>
        <v>[1-2] very close</v>
      </c>
      <c r="J1418" s="1">
        <v>4</v>
      </c>
      <c r="K1418" s="3" t="s">
        <v>38</v>
      </c>
      <c r="L1418" s="1">
        <v>1</v>
      </c>
      <c r="M1418" s="1">
        <v>1995</v>
      </c>
      <c r="N1418" s="1">
        <v>4</v>
      </c>
      <c r="O1418" s="3" t="s">
        <v>46</v>
      </c>
      <c r="P1418" s="1">
        <v>86</v>
      </c>
      <c r="Q1418" s="1">
        <v>3</v>
      </c>
      <c r="R1418" s="1">
        <v>2</v>
      </c>
      <c r="S1418" s="3" t="s">
        <v>40</v>
      </c>
      <c r="T1418" s="1">
        <v>2</v>
      </c>
      <c r="U1418" s="3" t="s">
        <v>48</v>
      </c>
      <c r="V1418" s="4">
        <v>4440</v>
      </c>
      <c r="W1418" s="1">
        <v>7636</v>
      </c>
      <c r="X1418" s="1">
        <v>0</v>
      </c>
      <c r="Y1418" s="3" t="s">
        <v>42</v>
      </c>
      <c r="Z1418" s="3" t="s">
        <v>43</v>
      </c>
      <c r="AA1418" s="5">
        <v>0.15</v>
      </c>
      <c r="AB1418" s="10" t="str" cm="1">
        <f t="array" ref="AB1418">_xlfn.IFS(AA1418 &lt;= 15%, "Low Hike[11-15%]", AA1418 &lt;= 20%, "Moderate Hike[16-20%]", AA1418 &lt;= 25%,"High Hike[21-25%]")</f>
        <v>Low Hike[11-15%]</v>
      </c>
      <c r="AC1418" s="1">
        <v>3</v>
      </c>
      <c r="AD1418" s="1">
        <v>1</v>
      </c>
      <c r="AE1418" s="1">
        <v>80</v>
      </c>
      <c r="AF1418" s="1">
        <v>2</v>
      </c>
      <c r="AG1418" s="1">
        <v>16</v>
      </c>
      <c r="AH1418" s="9" t="str" cm="1">
        <f t="array" ref="AH1418">_xlfn.IFS(AG1418 &lt;= 5, "New[1-5]", AG1418 &lt;= 10, "Early Career[6-10]", AG1418 &lt;= 20, "Established[11-20]", AG1418 &lt;= 30, "Veteran[21-30]", AG1418 &lt;= 40, "Late Career[31-40]")</f>
        <v>Established[11-20]</v>
      </c>
      <c r="AI1418" s="1">
        <v>3</v>
      </c>
      <c r="AJ1418" s="1">
        <v>3</v>
      </c>
      <c r="AK1418" s="1">
        <v>15</v>
      </c>
      <c r="AL1418" s="9" t="str" cm="1">
        <f t="array" ref="AL1418">_xlfn.IFS(AK1418 &lt;= 5, "New[1-5]", AK1418 &lt;= 10, "Early Career[6-10]", AK1418 &lt;= 20, "Established[11-20]", AK1418 &lt;= 30, "Veteran[21-30]", AK1418 &lt;= 40, "Late Career[31-40]")</f>
        <v>Established[11-20]</v>
      </c>
      <c r="AM1418" s="1">
        <v>13</v>
      </c>
      <c r="AN1418" s="9" t="str" cm="1">
        <f t="array" ref="AN1418">_xlfn.IFS(AM1418 &lt;= 3, "New to Role[1-3]", AM1418 &lt;= 7, "Settled[4-7]", AM1418 &lt;= 12, "Experienced[[8-12]", AM1418 &lt;= 18, "Long Tenured[13-18]")</f>
        <v>Long Tenured[13-18]</v>
      </c>
      <c r="AO1418" s="1">
        <v>5</v>
      </c>
      <c r="AP1418" s="9" t="str" cm="1">
        <f t="array" ref="AP1418">_xlfn.IFS(AO1418 &lt;= 3, "Recently[1-3]", AO1418 &lt;= 6, "Due Soon[4-6]", AO1418 &lt;= 10, "Overdue[7-10]", AO1418 &lt;= 15, "Long Overdue[11-15]")</f>
        <v>Due Soon[4-6]</v>
      </c>
      <c r="AQ1418" s="9" t="str" cm="1">
        <f t="array" ref="AQ1418">_xlfn.IFS(AR1418 &lt;= 3, "New Relationship[1-3]", AR1418 &lt;= 7, "Established Relationship[4-7]", AR1418 &lt;= 12, "Long Term Relationship[8-12]", AR1418 &lt;= 17, "Very Long Term Relationship[13-17]")</f>
        <v>Long Term Relationship[8-12]</v>
      </c>
      <c r="AR1418" s="1">
        <v>8</v>
      </c>
    </row>
    <row r="1419" spans="1:44" x14ac:dyDescent="0.25">
      <c r="A1419" s="1">
        <v>31</v>
      </c>
      <c r="B1419" s="8" t="str" cm="1">
        <f t="array" ref="B1419">_xlfn.IFS(A1419 &lt;= 25, "[18-25]", A1419 &lt;= 35, "[26-35]", A1419 &lt;=45, "[36-45]", A1419 &lt;= 60, "[46- 60]")</f>
        <v>[26-35]</v>
      </c>
      <c r="C1419" s="3" t="s">
        <v>43</v>
      </c>
      <c r="D1419">
        <f t="shared" si="22"/>
        <v>0</v>
      </c>
      <c r="E1419" t="s">
        <v>36</v>
      </c>
      <c r="F1419" s="1">
        <v>1154</v>
      </c>
      <c r="G1419" s="3" t="s">
        <v>37</v>
      </c>
      <c r="H1419" s="1">
        <v>2</v>
      </c>
      <c r="I1419" s="9" t="str" cm="1">
        <f t="array" ref="I1419">_xlfn.IFS(H1419 &lt;= 2, "[1-2] very close", H1419 &lt;= 10, "[3-10] close", H1419 &lt;= 20, "[11-20] moderate", H1419 &lt;= 30, "[21-30] far")</f>
        <v>[1-2] very close</v>
      </c>
      <c r="J1419" s="1">
        <v>2</v>
      </c>
      <c r="K1419" s="3" t="s">
        <v>38</v>
      </c>
      <c r="L1419" s="1">
        <v>1</v>
      </c>
      <c r="M1419" s="1">
        <v>1996</v>
      </c>
      <c r="N1419" s="1">
        <v>1</v>
      </c>
      <c r="O1419" s="3" t="s">
        <v>46</v>
      </c>
      <c r="P1419" s="1">
        <v>54</v>
      </c>
      <c r="Q1419" s="1">
        <v>3</v>
      </c>
      <c r="R1419" s="1">
        <v>1</v>
      </c>
      <c r="S1419" s="3" t="s">
        <v>57</v>
      </c>
      <c r="T1419" s="1">
        <v>3</v>
      </c>
      <c r="U1419" s="3" t="s">
        <v>48</v>
      </c>
      <c r="V1419" s="4">
        <v>3067</v>
      </c>
      <c r="W1419" s="1">
        <v>6393</v>
      </c>
      <c r="X1419" s="1">
        <v>0</v>
      </c>
      <c r="Y1419" s="3" t="s">
        <v>42</v>
      </c>
      <c r="Z1419" s="3" t="s">
        <v>43</v>
      </c>
      <c r="AA1419" s="5">
        <v>0.19</v>
      </c>
      <c r="AB1419" s="10" t="str" cm="1">
        <f t="array" ref="AB1419">_xlfn.IFS(AA1419 &lt;= 15%, "Low Hike[11-15%]", AA1419 &lt;= 20%, "Moderate Hike[16-20%]", AA1419 &lt;= 25%,"High Hike[21-25%]")</f>
        <v>Moderate Hike[16-20%]</v>
      </c>
      <c r="AC1419" s="1">
        <v>3</v>
      </c>
      <c r="AD1419" s="1">
        <v>3</v>
      </c>
      <c r="AE1419" s="1">
        <v>80</v>
      </c>
      <c r="AF1419" s="1">
        <v>1</v>
      </c>
      <c r="AG1419" s="1">
        <v>3</v>
      </c>
      <c r="AH1419" s="9" t="str" cm="1">
        <f t="array" ref="AH1419">_xlfn.IFS(AG1419 &lt;= 5, "New[1-5]", AG1419 &lt;= 10, "Early Career[6-10]", AG1419 &lt;= 20, "Established[11-20]", AG1419 &lt;= 30, "Veteran[21-30]", AG1419 &lt;= 40, "Late Career[31-40]")</f>
        <v>New[1-5]</v>
      </c>
      <c r="AI1419" s="1">
        <v>1</v>
      </c>
      <c r="AJ1419" s="1">
        <v>3</v>
      </c>
      <c r="AK1419" s="1">
        <v>2</v>
      </c>
      <c r="AL1419" s="9" t="str" cm="1">
        <f t="array" ref="AL1419">_xlfn.IFS(AK1419 &lt;= 5, "New[1-5]", AK1419 &lt;= 10, "Early Career[6-10]", AK1419 &lt;= 20, "Established[11-20]", AK1419 &lt;= 30, "Veteran[21-30]", AK1419 &lt;= 40, "Late Career[31-40]")</f>
        <v>New[1-5]</v>
      </c>
      <c r="AM1419" s="1">
        <v>2</v>
      </c>
      <c r="AN1419" s="9" t="str" cm="1">
        <f t="array" ref="AN1419">_xlfn.IFS(AM1419 &lt;= 3, "New to Role[1-3]", AM1419 &lt;= 7, "Settled[4-7]", AM1419 &lt;= 12, "Experienced[[8-12]", AM1419 &lt;= 18, "Long Tenured[13-18]")</f>
        <v>New to Role[1-3]</v>
      </c>
      <c r="AO1419" s="1">
        <v>1</v>
      </c>
      <c r="AP1419" s="9" t="str" cm="1">
        <f t="array" ref="AP1419">_xlfn.IFS(AO1419 &lt;= 3, "Recently[1-3]", AO1419 &lt;= 6, "Due Soon[4-6]", AO1419 &lt;= 10, "Overdue[7-10]", AO1419 &lt;= 15, "Long Overdue[11-15]")</f>
        <v>Recently[1-3]</v>
      </c>
      <c r="AQ1419" s="9" t="str" cm="1">
        <f t="array" ref="AQ1419">_xlfn.IFS(AR1419 &lt;= 3, "New Relationship[1-3]", AR1419 &lt;= 7, "Established Relationship[4-7]", AR1419 &lt;= 12, "Long Term Relationship[8-12]", AR1419 &lt;= 17, "Very Long Term Relationship[13-17]")</f>
        <v>New Relationship[1-3]</v>
      </c>
      <c r="AR1419" s="1">
        <v>2</v>
      </c>
    </row>
    <row r="1420" spans="1:44" x14ac:dyDescent="0.25">
      <c r="A1420" s="1">
        <v>38</v>
      </c>
      <c r="B1420" s="8" t="str" cm="1">
        <f t="array" ref="B1420">_xlfn.IFS(A1420 &lt;= 25, "[18-25]", A1420 &lt;= 35, "[26-35]", A1420 &lt;=45, "[36-45]", A1420 &lt;= 60, "[46- 60]")</f>
        <v>[36-45]</v>
      </c>
      <c r="C1420" s="3" t="s">
        <v>43</v>
      </c>
      <c r="D1420">
        <f t="shared" si="22"/>
        <v>0</v>
      </c>
      <c r="E1420" t="s">
        <v>44</v>
      </c>
      <c r="F1420" s="1">
        <v>508</v>
      </c>
      <c r="G1420" s="3" t="s">
        <v>45</v>
      </c>
      <c r="H1420" s="1">
        <v>6</v>
      </c>
      <c r="I1420" s="9" t="str" cm="1">
        <f t="array" ref="I1420">_xlfn.IFS(H1420 &lt;= 2, "[1-2] very close", H1420 &lt;= 10, "[3-10] close", H1420 &lt;= 20, "[11-20] moderate", H1420 &lt;= 30, "[21-30] far")</f>
        <v>[3-10] close</v>
      </c>
      <c r="J1420" s="1">
        <v>4</v>
      </c>
      <c r="K1420" s="3" t="s">
        <v>38</v>
      </c>
      <c r="L1420" s="1">
        <v>1</v>
      </c>
      <c r="M1420" s="1">
        <v>1997</v>
      </c>
      <c r="N1420" s="1">
        <v>1</v>
      </c>
      <c r="O1420" s="3" t="s">
        <v>46</v>
      </c>
      <c r="P1420" s="1">
        <v>72</v>
      </c>
      <c r="Q1420" s="1">
        <v>2</v>
      </c>
      <c r="R1420" s="1">
        <v>2</v>
      </c>
      <c r="S1420" s="3" t="s">
        <v>53</v>
      </c>
      <c r="T1420" s="1">
        <v>3</v>
      </c>
      <c r="U1420" s="3" t="s">
        <v>48</v>
      </c>
      <c r="V1420" s="4">
        <v>5321</v>
      </c>
      <c r="W1420" s="1">
        <v>14284</v>
      </c>
      <c r="X1420" s="1">
        <v>2</v>
      </c>
      <c r="Y1420" s="3" t="s">
        <v>42</v>
      </c>
      <c r="Z1420" s="3" t="s">
        <v>43</v>
      </c>
      <c r="AA1420" s="5">
        <v>0.11</v>
      </c>
      <c r="AB1420" s="10" t="str" cm="1">
        <f t="array" ref="AB1420">_xlfn.IFS(AA1420 &lt;= 15%, "Low Hike[11-15%]", AA1420 &lt;= 20%, "Moderate Hike[16-20%]", AA1420 &lt;= 25%,"High Hike[21-25%]")</f>
        <v>Low Hike[11-15%]</v>
      </c>
      <c r="AC1420" s="1">
        <v>3</v>
      </c>
      <c r="AD1420" s="1">
        <v>4</v>
      </c>
      <c r="AE1420" s="1">
        <v>80</v>
      </c>
      <c r="AF1420" s="1">
        <v>1</v>
      </c>
      <c r="AG1420" s="1">
        <v>10</v>
      </c>
      <c r="AH1420" s="9" t="str" cm="1">
        <f t="array" ref="AH1420">_xlfn.IFS(AG1420 &lt;= 5, "New[1-5]", AG1420 &lt;= 10, "Early Career[6-10]", AG1420 &lt;= 20, "Established[11-20]", AG1420 &lt;= 30, "Veteran[21-30]", AG1420 &lt;= 40, "Late Career[31-40]")</f>
        <v>Early Career[6-10]</v>
      </c>
      <c r="AI1420" s="1">
        <v>1</v>
      </c>
      <c r="AJ1420" s="1">
        <v>3</v>
      </c>
      <c r="AK1420" s="1">
        <v>8</v>
      </c>
      <c r="AL1420" s="9" t="str" cm="1">
        <f t="array" ref="AL1420">_xlfn.IFS(AK1420 &lt;= 5, "New[1-5]", AK1420 &lt;= 10, "Early Career[6-10]", AK1420 &lt;= 20, "Established[11-20]", AK1420 &lt;= 30, "Veteran[21-30]", AK1420 &lt;= 40, "Late Career[31-40]")</f>
        <v>Early Career[6-10]</v>
      </c>
      <c r="AM1420" s="1">
        <v>3</v>
      </c>
      <c r="AN1420" s="9" t="str" cm="1">
        <f t="array" ref="AN1420">_xlfn.IFS(AM1420 &lt;= 3, "New to Role[1-3]", AM1420 &lt;= 7, "Settled[4-7]", AM1420 &lt;= 12, "Experienced[[8-12]", AM1420 &lt;= 18, "Long Tenured[13-18]")</f>
        <v>New to Role[1-3]</v>
      </c>
      <c r="AO1420" s="1">
        <v>7</v>
      </c>
      <c r="AP1420" s="9" t="str" cm="1">
        <f t="array" ref="AP1420">_xlfn.IFS(AO1420 &lt;= 3, "Recently[1-3]", AO1420 &lt;= 6, "Due Soon[4-6]", AO1420 &lt;= 10, "Overdue[7-10]", AO1420 &lt;= 15, "Long Overdue[11-15]")</f>
        <v>Overdue[7-10]</v>
      </c>
      <c r="AQ1420" s="9" t="str" cm="1">
        <f t="array" ref="AQ1420">_xlfn.IFS(AR1420 &lt;= 3, "New Relationship[1-3]", AR1420 &lt;= 7, "Established Relationship[4-7]", AR1420 &lt;= 12, "Long Term Relationship[8-12]", AR1420 &lt;= 17, "Very Long Term Relationship[13-17]")</f>
        <v>Established Relationship[4-7]</v>
      </c>
      <c r="AR1420" s="1">
        <v>7</v>
      </c>
    </row>
    <row r="1421" spans="1:44" x14ac:dyDescent="0.25">
      <c r="A1421" s="1">
        <v>42</v>
      </c>
      <c r="B1421" s="8" t="str" cm="1">
        <f t="array" ref="B1421">_xlfn.IFS(A1421 &lt;= 25, "[18-25]", A1421 &lt;= 35, "[26-35]", A1421 &lt;=45, "[36-45]", A1421 &lt;= 60, "[46- 60]")</f>
        <v>[36-45]</v>
      </c>
      <c r="C1421" s="3" t="s">
        <v>43</v>
      </c>
      <c r="D1421">
        <f t="shared" si="22"/>
        <v>0</v>
      </c>
      <c r="E1421" t="s">
        <v>36</v>
      </c>
      <c r="F1421" s="1">
        <v>557</v>
      </c>
      <c r="G1421" s="3" t="s">
        <v>45</v>
      </c>
      <c r="H1421" s="1">
        <v>18</v>
      </c>
      <c r="I1421" s="9" t="str" cm="1">
        <f t="array" ref="I1421">_xlfn.IFS(H1421 &lt;= 2, "[1-2] very close", H1421 &lt;= 10, "[3-10] close", H1421 &lt;= 20, "[11-20] moderate", H1421 &lt;= 30, "[21-30] far")</f>
        <v>[11-20] moderate</v>
      </c>
      <c r="J1421" s="1">
        <v>4</v>
      </c>
      <c r="K1421" s="3" t="s">
        <v>38</v>
      </c>
      <c r="L1421" s="1">
        <v>1</v>
      </c>
      <c r="M1421" s="1">
        <v>1998</v>
      </c>
      <c r="N1421" s="1">
        <v>4</v>
      </c>
      <c r="O1421" s="3" t="s">
        <v>46</v>
      </c>
      <c r="P1421" s="1">
        <v>35</v>
      </c>
      <c r="Q1421" s="1">
        <v>3</v>
      </c>
      <c r="R1421" s="1">
        <v>2</v>
      </c>
      <c r="S1421" s="3" t="s">
        <v>47</v>
      </c>
      <c r="T1421" s="1">
        <v>1</v>
      </c>
      <c r="U1421" s="3" t="s">
        <v>52</v>
      </c>
      <c r="V1421" s="4">
        <v>5410</v>
      </c>
      <c r="W1421" s="1">
        <v>11189</v>
      </c>
      <c r="X1421" s="1">
        <v>6</v>
      </c>
      <c r="Y1421" s="3" t="s">
        <v>42</v>
      </c>
      <c r="Z1421" s="3" t="s">
        <v>35</v>
      </c>
      <c r="AA1421" s="5">
        <v>0.17</v>
      </c>
      <c r="AB1421" s="10" t="str" cm="1">
        <f t="array" ref="AB1421">_xlfn.IFS(AA1421 &lt;= 15%, "Low Hike[11-15%]", AA1421 &lt;= 20%, "Moderate Hike[16-20%]", AA1421 &lt;= 25%,"High Hike[21-25%]")</f>
        <v>Moderate Hike[16-20%]</v>
      </c>
      <c r="AC1421" s="1">
        <v>3</v>
      </c>
      <c r="AD1421" s="1">
        <v>3</v>
      </c>
      <c r="AE1421" s="1">
        <v>80</v>
      </c>
      <c r="AF1421" s="1">
        <v>1</v>
      </c>
      <c r="AG1421" s="1">
        <v>9</v>
      </c>
      <c r="AH1421" s="9" t="str" cm="1">
        <f t="array" ref="AH1421">_xlfn.IFS(AG1421 &lt;= 5, "New[1-5]", AG1421 &lt;= 10, "Early Career[6-10]", AG1421 &lt;= 20, "Established[11-20]", AG1421 &lt;= 30, "Veteran[21-30]", AG1421 &lt;= 40, "Late Career[31-40]")</f>
        <v>Early Career[6-10]</v>
      </c>
      <c r="AI1421" s="1">
        <v>3</v>
      </c>
      <c r="AJ1421" s="1">
        <v>2</v>
      </c>
      <c r="AK1421" s="1">
        <v>4</v>
      </c>
      <c r="AL1421" s="9" t="str" cm="1">
        <f t="array" ref="AL1421">_xlfn.IFS(AK1421 &lt;= 5, "New[1-5]", AK1421 &lt;= 10, "Early Career[6-10]", AK1421 &lt;= 20, "Established[11-20]", AK1421 &lt;= 30, "Veteran[21-30]", AK1421 &lt;= 40, "Late Career[31-40]")</f>
        <v>New[1-5]</v>
      </c>
      <c r="AM1421" s="1">
        <v>3</v>
      </c>
      <c r="AN1421" s="9" t="str" cm="1">
        <f t="array" ref="AN1421">_xlfn.IFS(AM1421 &lt;= 3, "New to Role[1-3]", AM1421 &lt;= 7, "Settled[4-7]", AM1421 &lt;= 12, "Experienced[[8-12]", AM1421 &lt;= 18, "Long Tenured[13-18]")</f>
        <v>New to Role[1-3]</v>
      </c>
      <c r="AO1421" s="1">
        <v>1</v>
      </c>
      <c r="AP1421" s="9" t="str" cm="1">
        <f t="array" ref="AP1421">_xlfn.IFS(AO1421 &lt;= 3, "Recently[1-3]", AO1421 &lt;= 6, "Due Soon[4-6]", AO1421 &lt;= 10, "Overdue[7-10]", AO1421 &lt;= 15, "Long Overdue[11-15]")</f>
        <v>Recently[1-3]</v>
      </c>
      <c r="AQ1421" s="9" t="str" cm="1">
        <f t="array" ref="AQ1421">_xlfn.IFS(AR1421 &lt;= 3, "New Relationship[1-3]", AR1421 &lt;= 7, "Established Relationship[4-7]", AR1421 &lt;= 12, "Long Term Relationship[8-12]", AR1421 &lt;= 17, "Very Long Term Relationship[13-17]")</f>
        <v>New Relationship[1-3]</v>
      </c>
      <c r="AR1421" s="1">
        <v>2</v>
      </c>
    </row>
    <row r="1422" spans="1:44" x14ac:dyDescent="0.25">
      <c r="A1422" s="1">
        <v>41</v>
      </c>
      <c r="B1422" s="8" t="str" cm="1">
        <f t="array" ref="B1422">_xlfn.IFS(A1422 &lt;= 25, "[18-25]", A1422 &lt;= 35, "[26-35]", A1422 &lt;=45, "[36-45]", A1422 &lt;= 60, "[46- 60]")</f>
        <v>[36-45]</v>
      </c>
      <c r="C1422" s="3" t="s">
        <v>43</v>
      </c>
      <c r="D1422">
        <f t="shared" si="22"/>
        <v>0</v>
      </c>
      <c r="E1422" t="s">
        <v>36</v>
      </c>
      <c r="F1422" s="1">
        <v>642</v>
      </c>
      <c r="G1422" s="3" t="s">
        <v>45</v>
      </c>
      <c r="H1422" s="1">
        <v>1</v>
      </c>
      <c r="I1422" s="9" t="str" cm="1">
        <f t="array" ref="I1422">_xlfn.IFS(H1422 &lt;= 2, "[1-2] very close", H1422 &lt;= 10, "[3-10] close", H1422 &lt;= 20, "[11-20] moderate", H1422 &lt;= 30, "[21-30] far")</f>
        <v>[1-2] very close</v>
      </c>
      <c r="J1422" s="1">
        <v>3</v>
      </c>
      <c r="K1422" s="3" t="s">
        <v>38</v>
      </c>
      <c r="L1422" s="1">
        <v>1</v>
      </c>
      <c r="M1422" s="1">
        <v>1999</v>
      </c>
      <c r="N1422" s="1">
        <v>4</v>
      </c>
      <c r="O1422" s="3" t="s">
        <v>46</v>
      </c>
      <c r="P1422" s="1">
        <v>76</v>
      </c>
      <c r="Q1422" s="1">
        <v>3</v>
      </c>
      <c r="R1422" s="1">
        <v>1</v>
      </c>
      <c r="S1422" s="3" t="s">
        <v>47</v>
      </c>
      <c r="T1422" s="1">
        <v>4</v>
      </c>
      <c r="U1422" s="3" t="s">
        <v>48</v>
      </c>
      <c r="V1422" s="4">
        <v>2782</v>
      </c>
      <c r="W1422" s="1">
        <v>21412</v>
      </c>
      <c r="X1422" s="1">
        <v>3</v>
      </c>
      <c r="Y1422" s="3" t="s">
        <v>42</v>
      </c>
      <c r="Z1422" s="3" t="s">
        <v>43</v>
      </c>
      <c r="AA1422" s="5">
        <v>0.22</v>
      </c>
      <c r="AB1422" s="10" t="str" cm="1">
        <f t="array" ref="AB1422">_xlfn.IFS(AA1422 &lt;= 15%, "Low Hike[11-15%]", AA1422 &lt;= 20%, "Moderate Hike[16-20%]", AA1422 &lt;= 25%,"High Hike[21-25%]")</f>
        <v>High Hike[21-25%]</v>
      </c>
      <c r="AC1422" s="1">
        <v>4</v>
      </c>
      <c r="AD1422" s="1">
        <v>1</v>
      </c>
      <c r="AE1422" s="1">
        <v>80</v>
      </c>
      <c r="AF1422" s="1">
        <v>1</v>
      </c>
      <c r="AG1422" s="1">
        <v>12</v>
      </c>
      <c r="AH1422" s="9" t="str" cm="1">
        <f t="array" ref="AH1422">_xlfn.IFS(AG1422 &lt;= 5, "New[1-5]", AG1422 &lt;= 10, "Early Career[6-10]", AG1422 &lt;= 20, "Established[11-20]", AG1422 &lt;= 30, "Veteran[21-30]", AG1422 &lt;= 40, "Late Career[31-40]")</f>
        <v>Established[11-20]</v>
      </c>
      <c r="AI1422" s="1">
        <v>3</v>
      </c>
      <c r="AJ1422" s="1">
        <v>3</v>
      </c>
      <c r="AK1422" s="1">
        <v>5</v>
      </c>
      <c r="AL1422" s="9" t="str" cm="1">
        <f t="array" ref="AL1422">_xlfn.IFS(AK1422 &lt;= 5, "New[1-5]", AK1422 &lt;= 10, "Early Career[6-10]", AK1422 &lt;= 20, "Established[11-20]", AK1422 &lt;= 30, "Veteran[21-30]", AK1422 &lt;= 40, "Late Career[31-40]")</f>
        <v>New[1-5]</v>
      </c>
      <c r="AM1422" s="1">
        <v>3</v>
      </c>
      <c r="AN1422" s="9" t="str" cm="1">
        <f t="array" ref="AN1422">_xlfn.IFS(AM1422 &lt;= 3, "New to Role[1-3]", AM1422 &lt;= 7, "Settled[4-7]", AM1422 &lt;= 12, "Experienced[[8-12]", AM1422 &lt;= 18, "Long Tenured[13-18]")</f>
        <v>New to Role[1-3]</v>
      </c>
      <c r="AO1422" s="1">
        <v>1</v>
      </c>
      <c r="AP1422" s="9" t="str" cm="1">
        <f t="array" ref="AP1422">_xlfn.IFS(AO1422 &lt;= 3, "Recently[1-3]", AO1422 &lt;= 6, "Due Soon[4-6]", AO1422 &lt;= 10, "Overdue[7-10]", AO1422 &lt;= 15, "Long Overdue[11-15]")</f>
        <v>Recently[1-3]</v>
      </c>
      <c r="AQ1422" s="9" t="str" cm="1">
        <f t="array" ref="AQ1422">_xlfn.IFS(AR1422 &lt;= 3, "New Relationship[1-3]", AR1422 &lt;= 7, "Established Relationship[4-7]", AR1422 &lt;= 12, "Long Term Relationship[8-12]", AR1422 &lt;= 17, "Very Long Term Relationship[13-17]")</f>
        <v>New Relationship[1-3]</v>
      </c>
      <c r="AR1422" s="1">
        <v>0</v>
      </c>
    </row>
    <row r="1423" spans="1:44" x14ac:dyDescent="0.25">
      <c r="A1423" s="1">
        <v>47</v>
      </c>
      <c r="B1423" s="8" t="str" cm="1">
        <f t="array" ref="B1423">_xlfn.IFS(A1423 &lt;= 25, "[18-25]", A1423 &lt;= 35, "[26-35]", A1423 &lt;=45, "[36-45]", A1423 &lt;= 60, "[46- 60]")</f>
        <v>[46- 60]</v>
      </c>
      <c r="C1423" s="3" t="s">
        <v>43</v>
      </c>
      <c r="D1423">
        <f t="shared" si="22"/>
        <v>0</v>
      </c>
      <c r="E1423" t="s">
        <v>62</v>
      </c>
      <c r="F1423" s="1">
        <v>1162</v>
      </c>
      <c r="G1423" s="3" t="s">
        <v>45</v>
      </c>
      <c r="H1423" s="1">
        <v>1</v>
      </c>
      <c r="I1423" s="9" t="str" cm="1">
        <f t="array" ref="I1423">_xlfn.IFS(H1423 &lt;= 2, "[1-2] very close", H1423 &lt;= 10, "[3-10] close", H1423 &lt;= 20, "[11-20] moderate", H1423 &lt;= 30, "[21-30] far")</f>
        <v>[1-2] very close</v>
      </c>
      <c r="J1423" s="1">
        <v>1</v>
      </c>
      <c r="K1423" s="3" t="s">
        <v>51</v>
      </c>
      <c r="L1423" s="1">
        <v>1</v>
      </c>
      <c r="M1423" s="1">
        <v>2000</v>
      </c>
      <c r="N1423" s="1">
        <v>3</v>
      </c>
      <c r="O1423" s="3" t="s">
        <v>39</v>
      </c>
      <c r="P1423" s="1">
        <v>98</v>
      </c>
      <c r="Q1423" s="1">
        <v>3</v>
      </c>
      <c r="R1423" s="1">
        <v>3</v>
      </c>
      <c r="S1423" s="3" t="s">
        <v>58</v>
      </c>
      <c r="T1423" s="1">
        <v>2</v>
      </c>
      <c r="U1423" s="3" t="s">
        <v>48</v>
      </c>
      <c r="V1423" s="4">
        <v>11957</v>
      </c>
      <c r="W1423" s="1">
        <v>17231</v>
      </c>
      <c r="X1423" s="1">
        <v>0</v>
      </c>
      <c r="Y1423" s="3" t="s">
        <v>42</v>
      </c>
      <c r="Z1423" s="3" t="s">
        <v>43</v>
      </c>
      <c r="AA1423" s="5">
        <v>0.18</v>
      </c>
      <c r="AB1423" s="10" t="str" cm="1">
        <f t="array" ref="AB1423">_xlfn.IFS(AA1423 &lt;= 15%, "Low Hike[11-15%]", AA1423 &lt;= 20%, "Moderate Hike[16-20%]", AA1423 &lt;= 25%,"High Hike[21-25%]")</f>
        <v>Moderate Hike[16-20%]</v>
      </c>
      <c r="AC1423" s="1">
        <v>3</v>
      </c>
      <c r="AD1423" s="1">
        <v>1</v>
      </c>
      <c r="AE1423" s="1">
        <v>80</v>
      </c>
      <c r="AF1423" s="1">
        <v>2</v>
      </c>
      <c r="AG1423" s="1">
        <v>14</v>
      </c>
      <c r="AH1423" s="9" t="str" cm="1">
        <f t="array" ref="AH1423">_xlfn.IFS(AG1423 &lt;= 5, "New[1-5]", AG1423 &lt;= 10, "Early Career[6-10]", AG1423 &lt;= 20, "Established[11-20]", AG1423 &lt;= 30, "Veteran[21-30]", AG1423 &lt;= 40, "Late Career[31-40]")</f>
        <v>Established[11-20]</v>
      </c>
      <c r="AI1423" s="1">
        <v>3</v>
      </c>
      <c r="AJ1423" s="1">
        <v>1</v>
      </c>
      <c r="AK1423" s="1">
        <v>13</v>
      </c>
      <c r="AL1423" s="9" t="str" cm="1">
        <f t="array" ref="AL1423">_xlfn.IFS(AK1423 &lt;= 5, "New[1-5]", AK1423 &lt;= 10, "Early Career[6-10]", AK1423 &lt;= 20, "Established[11-20]", AK1423 &lt;= 30, "Veteran[21-30]", AK1423 &lt;= 40, "Late Career[31-40]")</f>
        <v>Established[11-20]</v>
      </c>
      <c r="AM1423" s="1">
        <v>8</v>
      </c>
      <c r="AN1423" s="9" t="str" cm="1">
        <f t="array" ref="AN1423">_xlfn.IFS(AM1423 &lt;= 3, "New to Role[1-3]", AM1423 &lt;= 7, "Settled[4-7]", AM1423 &lt;= 12, "Experienced[[8-12]", AM1423 &lt;= 18, "Long Tenured[13-18]")</f>
        <v>Experienced[[8-12]</v>
      </c>
      <c r="AO1423" s="1">
        <v>5</v>
      </c>
      <c r="AP1423" s="9" t="str" cm="1">
        <f t="array" ref="AP1423">_xlfn.IFS(AO1423 &lt;= 3, "Recently[1-3]", AO1423 &lt;= 6, "Due Soon[4-6]", AO1423 &lt;= 10, "Overdue[7-10]", AO1423 &lt;= 15, "Long Overdue[11-15]")</f>
        <v>Due Soon[4-6]</v>
      </c>
      <c r="AQ1423" s="9" t="str" cm="1">
        <f t="array" ref="AQ1423">_xlfn.IFS(AR1423 &lt;= 3, "New Relationship[1-3]", AR1423 &lt;= 7, "Established Relationship[4-7]", AR1423 &lt;= 12, "Long Term Relationship[8-12]", AR1423 &lt;= 17, "Very Long Term Relationship[13-17]")</f>
        <v>Long Term Relationship[8-12]</v>
      </c>
      <c r="AR1423" s="1">
        <v>12</v>
      </c>
    </row>
    <row r="1424" spans="1:44" x14ac:dyDescent="0.25">
      <c r="A1424" s="1">
        <v>35</v>
      </c>
      <c r="B1424" s="8" t="str" cm="1">
        <f t="array" ref="B1424">_xlfn.IFS(A1424 &lt;= 25, "[18-25]", A1424 &lt;= 35, "[26-35]", A1424 &lt;=45, "[36-45]", A1424 &lt;= 60, "[46- 60]")</f>
        <v>[26-35]</v>
      </c>
      <c r="C1424" s="3" t="s">
        <v>43</v>
      </c>
      <c r="D1424">
        <f t="shared" si="22"/>
        <v>0</v>
      </c>
      <c r="E1424" t="s">
        <v>36</v>
      </c>
      <c r="F1424" s="1">
        <v>1490</v>
      </c>
      <c r="G1424" s="3" t="s">
        <v>45</v>
      </c>
      <c r="H1424" s="1">
        <v>11</v>
      </c>
      <c r="I1424" s="9" t="str" cm="1">
        <f t="array" ref="I1424">_xlfn.IFS(H1424 &lt;= 2, "[1-2] very close", H1424 &lt;= 10, "[3-10] close", H1424 &lt;= 20, "[11-20] moderate", H1424 &lt;= 30, "[21-30] far")</f>
        <v>[11-20] moderate</v>
      </c>
      <c r="J1424" s="1">
        <v>4</v>
      </c>
      <c r="K1424" s="3" t="s">
        <v>51</v>
      </c>
      <c r="L1424" s="1">
        <v>1</v>
      </c>
      <c r="M1424" s="1">
        <v>2003</v>
      </c>
      <c r="N1424" s="1">
        <v>4</v>
      </c>
      <c r="O1424" s="3" t="s">
        <v>46</v>
      </c>
      <c r="P1424" s="1">
        <v>43</v>
      </c>
      <c r="Q1424" s="1">
        <v>3</v>
      </c>
      <c r="R1424" s="1">
        <v>1</v>
      </c>
      <c r="S1424" s="3" t="s">
        <v>50</v>
      </c>
      <c r="T1424" s="1">
        <v>3</v>
      </c>
      <c r="U1424" s="3" t="s">
        <v>48</v>
      </c>
      <c r="V1424" s="4">
        <v>2660</v>
      </c>
      <c r="W1424" s="1">
        <v>20232</v>
      </c>
      <c r="X1424" s="1">
        <v>7</v>
      </c>
      <c r="Y1424" s="3" t="s">
        <v>42</v>
      </c>
      <c r="Z1424" s="3" t="s">
        <v>35</v>
      </c>
      <c r="AA1424" s="5">
        <v>0.11</v>
      </c>
      <c r="AB1424" s="10" t="str" cm="1">
        <f t="array" ref="AB1424">_xlfn.IFS(AA1424 &lt;= 15%, "Low Hike[11-15%]", AA1424 &lt;= 20%, "Moderate Hike[16-20%]", AA1424 &lt;= 25%,"High Hike[21-25%]")</f>
        <v>Low Hike[11-15%]</v>
      </c>
      <c r="AC1424" s="1">
        <v>3</v>
      </c>
      <c r="AD1424" s="1">
        <v>3</v>
      </c>
      <c r="AE1424" s="1">
        <v>80</v>
      </c>
      <c r="AF1424" s="1">
        <v>1</v>
      </c>
      <c r="AG1424" s="1">
        <v>5</v>
      </c>
      <c r="AH1424" s="9" t="str" cm="1">
        <f t="array" ref="AH1424">_xlfn.IFS(AG1424 &lt;= 5, "New[1-5]", AG1424 &lt;= 10, "Early Career[6-10]", AG1424 &lt;= 20, "Established[11-20]", AG1424 &lt;= 30, "Veteran[21-30]", AG1424 &lt;= 40, "Late Career[31-40]")</f>
        <v>New[1-5]</v>
      </c>
      <c r="AI1424" s="1">
        <v>3</v>
      </c>
      <c r="AJ1424" s="1">
        <v>3</v>
      </c>
      <c r="AK1424" s="1">
        <v>2</v>
      </c>
      <c r="AL1424" s="9" t="str" cm="1">
        <f t="array" ref="AL1424">_xlfn.IFS(AK1424 &lt;= 5, "New[1-5]", AK1424 &lt;= 10, "Early Career[6-10]", AK1424 &lt;= 20, "Established[11-20]", AK1424 &lt;= 30, "Veteran[21-30]", AK1424 &lt;= 40, "Late Career[31-40]")</f>
        <v>New[1-5]</v>
      </c>
      <c r="AM1424" s="1">
        <v>2</v>
      </c>
      <c r="AN1424" s="9" t="str" cm="1">
        <f t="array" ref="AN1424">_xlfn.IFS(AM1424 &lt;= 3, "New to Role[1-3]", AM1424 &lt;= 7, "Settled[4-7]", AM1424 &lt;= 12, "Experienced[[8-12]", AM1424 &lt;= 18, "Long Tenured[13-18]")</f>
        <v>New to Role[1-3]</v>
      </c>
      <c r="AO1424" s="1">
        <v>2</v>
      </c>
      <c r="AP1424" s="9" t="str" cm="1">
        <f t="array" ref="AP1424">_xlfn.IFS(AO1424 &lt;= 3, "Recently[1-3]", AO1424 &lt;= 6, "Due Soon[4-6]", AO1424 &lt;= 10, "Overdue[7-10]", AO1424 &lt;= 15, "Long Overdue[11-15]")</f>
        <v>Recently[1-3]</v>
      </c>
      <c r="AQ1424" s="9" t="str" cm="1">
        <f t="array" ref="AQ1424">_xlfn.IFS(AR1424 &lt;= 3, "New Relationship[1-3]", AR1424 &lt;= 7, "Established Relationship[4-7]", AR1424 &lt;= 12, "Long Term Relationship[8-12]", AR1424 &lt;= 17, "Very Long Term Relationship[13-17]")</f>
        <v>New Relationship[1-3]</v>
      </c>
      <c r="AR1424" s="1">
        <v>2</v>
      </c>
    </row>
    <row r="1425" spans="1:44" x14ac:dyDescent="0.25">
      <c r="A1425" s="1">
        <v>22</v>
      </c>
      <c r="B1425" s="8" t="str" cm="1">
        <f t="array" ref="B1425">_xlfn.IFS(A1425 &lt;= 25, "[18-25]", A1425 &lt;= 35, "[26-35]", A1425 &lt;=45, "[36-45]", A1425 &lt;= 60, "[46- 60]")</f>
        <v>[18-25]</v>
      </c>
      <c r="C1425" s="3" t="s">
        <v>43</v>
      </c>
      <c r="D1425">
        <f t="shared" si="22"/>
        <v>0</v>
      </c>
      <c r="E1425" t="s">
        <v>36</v>
      </c>
      <c r="F1425" s="1">
        <v>581</v>
      </c>
      <c r="G1425" s="3" t="s">
        <v>45</v>
      </c>
      <c r="H1425" s="1">
        <v>1</v>
      </c>
      <c r="I1425" s="9" t="str" cm="1">
        <f t="array" ref="I1425">_xlfn.IFS(H1425 &lt;= 2, "[1-2] very close", H1425 &lt;= 10, "[3-10] close", H1425 &lt;= 20, "[11-20] moderate", H1425 &lt;= 30, "[21-30] far")</f>
        <v>[1-2] very close</v>
      </c>
      <c r="J1425" s="1">
        <v>2</v>
      </c>
      <c r="K1425" s="3" t="s">
        <v>38</v>
      </c>
      <c r="L1425" s="1">
        <v>1</v>
      </c>
      <c r="M1425" s="1">
        <v>2007</v>
      </c>
      <c r="N1425" s="1">
        <v>4</v>
      </c>
      <c r="O1425" s="3" t="s">
        <v>46</v>
      </c>
      <c r="P1425" s="1">
        <v>63</v>
      </c>
      <c r="Q1425" s="1">
        <v>3</v>
      </c>
      <c r="R1425" s="1">
        <v>1</v>
      </c>
      <c r="S1425" s="3" t="s">
        <v>47</v>
      </c>
      <c r="T1425" s="1">
        <v>3</v>
      </c>
      <c r="U1425" s="3" t="s">
        <v>41</v>
      </c>
      <c r="V1425" s="4">
        <v>3375</v>
      </c>
      <c r="W1425" s="1">
        <v>17624</v>
      </c>
      <c r="X1425" s="1">
        <v>0</v>
      </c>
      <c r="Y1425" s="3" t="s">
        <v>42</v>
      </c>
      <c r="Z1425" s="3" t="s">
        <v>43</v>
      </c>
      <c r="AA1425" s="5">
        <v>0.12</v>
      </c>
      <c r="AB1425" s="10" t="str" cm="1">
        <f t="array" ref="AB1425">_xlfn.IFS(AA1425 &lt;= 15%, "Low Hike[11-15%]", AA1425 &lt;= 20%, "Moderate Hike[16-20%]", AA1425 &lt;= 25%,"High Hike[21-25%]")</f>
        <v>Low Hike[11-15%]</v>
      </c>
      <c r="AC1425" s="1">
        <v>3</v>
      </c>
      <c r="AD1425" s="1">
        <v>4</v>
      </c>
      <c r="AE1425" s="1">
        <v>80</v>
      </c>
      <c r="AF1425" s="1">
        <v>0</v>
      </c>
      <c r="AG1425" s="1">
        <v>4</v>
      </c>
      <c r="AH1425" s="9" t="str" cm="1">
        <f t="array" ref="AH1425">_xlfn.IFS(AG1425 &lt;= 5, "New[1-5]", AG1425 &lt;= 10, "Early Career[6-10]", AG1425 &lt;= 20, "Established[11-20]", AG1425 &lt;= 30, "Veteran[21-30]", AG1425 &lt;= 40, "Late Career[31-40]")</f>
        <v>New[1-5]</v>
      </c>
      <c r="AI1425" s="1">
        <v>2</v>
      </c>
      <c r="AJ1425" s="1">
        <v>4</v>
      </c>
      <c r="AK1425" s="1">
        <v>3</v>
      </c>
      <c r="AL1425" s="9" t="str" cm="1">
        <f t="array" ref="AL1425">_xlfn.IFS(AK1425 &lt;= 5, "New[1-5]", AK1425 &lt;= 10, "Early Career[6-10]", AK1425 &lt;= 20, "Established[11-20]", AK1425 &lt;= 30, "Veteran[21-30]", AK1425 &lt;= 40, "Late Career[31-40]")</f>
        <v>New[1-5]</v>
      </c>
      <c r="AM1425" s="1">
        <v>2</v>
      </c>
      <c r="AN1425" s="9" t="str" cm="1">
        <f t="array" ref="AN1425">_xlfn.IFS(AM1425 &lt;= 3, "New to Role[1-3]", AM1425 &lt;= 7, "Settled[4-7]", AM1425 &lt;= 12, "Experienced[[8-12]", AM1425 &lt;= 18, "Long Tenured[13-18]")</f>
        <v>New to Role[1-3]</v>
      </c>
      <c r="AO1425" s="1">
        <v>1</v>
      </c>
      <c r="AP1425" s="9" t="str" cm="1">
        <f t="array" ref="AP1425">_xlfn.IFS(AO1425 &lt;= 3, "Recently[1-3]", AO1425 &lt;= 6, "Due Soon[4-6]", AO1425 &lt;= 10, "Overdue[7-10]", AO1425 &lt;= 15, "Long Overdue[11-15]")</f>
        <v>Recently[1-3]</v>
      </c>
      <c r="AQ1425" s="9" t="str" cm="1">
        <f t="array" ref="AQ1425">_xlfn.IFS(AR1425 &lt;= 3, "New Relationship[1-3]", AR1425 &lt;= 7, "Established Relationship[4-7]", AR1425 &lt;= 12, "Long Term Relationship[8-12]", AR1425 &lt;= 17, "Very Long Term Relationship[13-17]")</f>
        <v>New Relationship[1-3]</v>
      </c>
      <c r="AR1425" s="1">
        <v>2</v>
      </c>
    </row>
    <row r="1426" spans="1:44" x14ac:dyDescent="0.25">
      <c r="A1426" s="1">
        <v>35</v>
      </c>
      <c r="B1426" s="8" t="str" cm="1">
        <f t="array" ref="B1426">_xlfn.IFS(A1426 &lt;= 25, "[18-25]", A1426 &lt;= 35, "[26-35]", A1426 &lt;=45, "[36-45]", A1426 &lt;= 60, "[46- 60]")</f>
        <v>[26-35]</v>
      </c>
      <c r="C1426" s="3" t="s">
        <v>43</v>
      </c>
      <c r="D1426">
        <f t="shared" si="22"/>
        <v>0</v>
      </c>
      <c r="E1426" t="s">
        <v>36</v>
      </c>
      <c r="F1426" s="1">
        <v>1395</v>
      </c>
      <c r="G1426" s="3" t="s">
        <v>45</v>
      </c>
      <c r="H1426" s="1">
        <v>9</v>
      </c>
      <c r="I1426" s="9" t="str" cm="1">
        <f t="array" ref="I1426">_xlfn.IFS(H1426 &lt;= 2, "[1-2] very close", H1426 &lt;= 10, "[3-10] close", H1426 &lt;= 20, "[11-20] moderate", H1426 &lt;= 30, "[21-30] far")</f>
        <v>[3-10] close</v>
      </c>
      <c r="J1426" s="1">
        <v>4</v>
      </c>
      <c r="K1426" s="3" t="s">
        <v>51</v>
      </c>
      <c r="L1426" s="1">
        <v>1</v>
      </c>
      <c r="M1426" s="1">
        <v>2008</v>
      </c>
      <c r="N1426" s="1">
        <v>2</v>
      </c>
      <c r="O1426" s="3" t="s">
        <v>46</v>
      </c>
      <c r="P1426" s="1">
        <v>48</v>
      </c>
      <c r="Q1426" s="1">
        <v>3</v>
      </c>
      <c r="R1426" s="1">
        <v>2</v>
      </c>
      <c r="S1426" s="3" t="s">
        <v>47</v>
      </c>
      <c r="T1426" s="1">
        <v>3</v>
      </c>
      <c r="U1426" s="3" t="s">
        <v>41</v>
      </c>
      <c r="V1426" s="4">
        <v>5098</v>
      </c>
      <c r="W1426" s="1">
        <v>18698</v>
      </c>
      <c r="X1426" s="1">
        <v>1</v>
      </c>
      <c r="Y1426" s="3" t="s">
        <v>42</v>
      </c>
      <c r="Z1426" s="3" t="s">
        <v>43</v>
      </c>
      <c r="AA1426" s="5">
        <v>0.19</v>
      </c>
      <c r="AB1426" s="10" t="str" cm="1">
        <f t="array" ref="AB1426">_xlfn.IFS(AA1426 &lt;= 15%, "Low Hike[11-15%]", AA1426 &lt;= 20%, "Moderate Hike[16-20%]", AA1426 &lt;= 25%,"High Hike[21-25%]")</f>
        <v>Moderate Hike[16-20%]</v>
      </c>
      <c r="AC1426" s="1">
        <v>3</v>
      </c>
      <c r="AD1426" s="1">
        <v>2</v>
      </c>
      <c r="AE1426" s="1">
        <v>80</v>
      </c>
      <c r="AF1426" s="1">
        <v>0</v>
      </c>
      <c r="AG1426" s="1">
        <v>10</v>
      </c>
      <c r="AH1426" s="9" t="str" cm="1">
        <f t="array" ref="AH1426">_xlfn.IFS(AG1426 &lt;= 5, "New[1-5]", AG1426 &lt;= 10, "Early Career[6-10]", AG1426 &lt;= 20, "Established[11-20]", AG1426 &lt;= 30, "Veteran[21-30]", AG1426 &lt;= 40, "Late Career[31-40]")</f>
        <v>Early Career[6-10]</v>
      </c>
      <c r="AI1426" s="1">
        <v>5</v>
      </c>
      <c r="AJ1426" s="1">
        <v>3</v>
      </c>
      <c r="AK1426" s="1">
        <v>10</v>
      </c>
      <c r="AL1426" s="9" t="str" cm="1">
        <f t="array" ref="AL1426">_xlfn.IFS(AK1426 &lt;= 5, "New[1-5]", AK1426 &lt;= 10, "Early Career[6-10]", AK1426 &lt;= 20, "Established[11-20]", AK1426 &lt;= 30, "Veteran[21-30]", AK1426 &lt;= 40, "Late Career[31-40]")</f>
        <v>Early Career[6-10]</v>
      </c>
      <c r="AM1426" s="1">
        <v>7</v>
      </c>
      <c r="AN1426" s="9" t="str" cm="1">
        <f t="array" ref="AN1426">_xlfn.IFS(AM1426 &lt;= 3, "New to Role[1-3]", AM1426 &lt;= 7, "Settled[4-7]", AM1426 &lt;= 12, "Experienced[[8-12]", AM1426 &lt;= 18, "Long Tenured[13-18]")</f>
        <v>Settled[4-7]</v>
      </c>
      <c r="AO1426" s="1">
        <v>0</v>
      </c>
      <c r="AP1426" s="9" t="str" cm="1">
        <f t="array" ref="AP1426">_xlfn.IFS(AO1426 &lt;= 3, "Recently[1-3]", AO1426 &lt;= 6, "Due Soon[4-6]", AO1426 &lt;= 10, "Overdue[7-10]", AO1426 &lt;= 15, "Long Overdue[11-15]")</f>
        <v>Recently[1-3]</v>
      </c>
      <c r="AQ1426" s="9" t="str" cm="1">
        <f t="array" ref="AQ1426">_xlfn.IFS(AR1426 &lt;= 3, "New Relationship[1-3]", AR1426 &lt;= 7, "Established Relationship[4-7]", AR1426 &lt;= 12, "Long Term Relationship[8-12]", AR1426 &lt;= 17, "Very Long Term Relationship[13-17]")</f>
        <v>Long Term Relationship[8-12]</v>
      </c>
      <c r="AR1426" s="1">
        <v>8</v>
      </c>
    </row>
    <row r="1427" spans="1:44" x14ac:dyDescent="0.25">
      <c r="A1427" s="1">
        <v>33</v>
      </c>
      <c r="B1427" s="8" t="str" cm="1">
        <f t="array" ref="B1427">_xlfn.IFS(A1427 &lt;= 25, "[18-25]", A1427 &lt;= 35, "[26-35]", A1427 &lt;=45, "[36-45]", A1427 &lt;= 60, "[46- 60]")</f>
        <v>[26-35]</v>
      </c>
      <c r="C1427" s="3" t="s">
        <v>43</v>
      </c>
      <c r="D1427">
        <f t="shared" si="22"/>
        <v>0</v>
      </c>
      <c r="E1427" t="s">
        <v>36</v>
      </c>
      <c r="F1427" s="1">
        <v>501</v>
      </c>
      <c r="G1427" s="3" t="s">
        <v>45</v>
      </c>
      <c r="H1427" s="1">
        <v>15</v>
      </c>
      <c r="I1427" s="9" t="str" cm="1">
        <f t="array" ref="I1427">_xlfn.IFS(H1427 &lt;= 2, "[1-2] very close", H1427 &lt;= 10, "[3-10] close", H1427 &lt;= 20, "[11-20] moderate", H1427 &lt;= 30, "[21-30] far")</f>
        <v>[11-20] moderate</v>
      </c>
      <c r="J1427" s="1">
        <v>2</v>
      </c>
      <c r="K1427" s="3" t="s">
        <v>51</v>
      </c>
      <c r="L1427" s="1">
        <v>1</v>
      </c>
      <c r="M1427" s="1">
        <v>2009</v>
      </c>
      <c r="N1427" s="1">
        <v>2</v>
      </c>
      <c r="O1427" s="3" t="s">
        <v>39</v>
      </c>
      <c r="P1427" s="1">
        <v>95</v>
      </c>
      <c r="Q1427" s="1">
        <v>3</v>
      </c>
      <c r="R1427" s="1">
        <v>2</v>
      </c>
      <c r="S1427" s="3" t="s">
        <v>54</v>
      </c>
      <c r="T1427" s="1">
        <v>4</v>
      </c>
      <c r="U1427" s="3" t="s">
        <v>48</v>
      </c>
      <c r="V1427" s="4">
        <v>4878</v>
      </c>
      <c r="W1427" s="1">
        <v>21653</v>
      </c>
      <c r="X1427" s="1">
        <v>0</v>
      </c>
      <c r="Y1427" s="3" t="s">
        <v>42</v>
      </c>
      <c r="Z1427" s="3" t="s">
        <v>35</v>
      </c>
      <c r="AA1427" s="5">
        <v>0.13</v>
      </c>
      <c r="AB1427" s="10" t="str" cm="1">
        <f t="array" ref="AB1427">_xlfn.IFS(AA1427 &lt;= 15%, "Low Hike[11-15%]", AA1427 &lt;= 20%, "Moderate Hike[16-20%]", AA1427 &lt;= 25%,"High Hike[21-25%]")</f>
        <v>Low Hike[11-15%]</v>
      </c>
      <c r="AC1427" s="1">
        <v>3</v>
      </c>
      <c r="AD1427" s="1">
        <v>1</v>
      </c>
      <c r="AE1427" s="1">
        <v>80</v>
      </c>
      <c r="AF1427" s="1">
        <v>1</v>
      </c>
      <c r="AG1427" s="1">
        <v>10</v>
      </c>
      <c r="AH1427" s="9" t="str" cm="1">
        <f t="array" ref="AH1427">_xlfn.IFS(AG1427 &lt;= 5, "New[1-5]", AG1427 &lt;= 10, "Early Career[6-10]", AG1427 &lt;= 20, "Established[11-20]", AG1427 &lt;= 30, "Veteran[21-30]", AG1427 &lt;= 40, "Late Career[31-40]")</f>
        <v>Early Career[6-10]</v>
      </c>
      <c r="AI1427" s="1">
        <v>6</v>
      </c>
      <c r="AJ1427" s="1">
        <v>3</v>
      </c>
      <c r="AK1427" s="1">
        <v>9</v>
      </c>
      <c r="AL1427" s="9" t="str" cm="1">
        <f t="array" ref="AL1427">_xlfn.IFS(AK1427 &lt;= 5, "New[1-5]", AK1427 &lt;= 10, "Early Career[6-10]", AK1427 &lt;= 20, "Established[11-20]", AK1427 &lt;= 30, "Veteran[21-30]", AK1427 &lt;= 40, "Late Career[31-40]")</f>
        <v>Early Career[6-10]</v>
      </c>
      <c r="AM1427" s="1">
        <v>7</v>
      </c>
      <c r="AN1427" s="9" t="str" cm="1">
        <f t="array" ref="AN1427">_xlfn.IFS(AM1427 &lt;= 3, "New to Role[1-3]", AM1427 &lt;= 7, "Settled[4-7]", AM1427 &lt;= 12, "Experienced[[8-12]", AM1427 &lt;= 18, "Long Tenured[13-18]")</f>
        <v>Settled[4-7]</v>
      </c>
      <c r="AO1427" s="1">
        <v>8</v>
      </c>
      <c r="AP1427" s="9" t="str" cm="1">
        <f t="array" ref="AP1427">_xlfn.IFS(AO1427 &lt;= 3, "Recently[1-3]", AO1427 &lt;= 6, "Due Soon[4-6]", AO1427 &lt;= 10, "Overdue[7-10]", AO1427 &lt;= 15, "Long Overdue[11-15]")</f>
        <v>Overdue[7-10]</v>
      </c>
      <c r="AQ1427" s="9" t="str" cm="1">
        <f t="array" ref="AQ1427">_xlfn.IFS(AR1427 &lt;= 3, "New Relationship[1-3]", AR1427 &lt;= 7, "Established Relationship[4-7]", AR1427 &lt;= 12, "Long Term Relationship[8-12]", AR1427 &lt;= 17, "Very Long Term Relationship[13-17]")</f>
        <v>New Relationship[1-3]</v>
      </c>
      <c r="AR1427" s="1">
        <v>1</v>
      </c>
    </row>
    <row r="1428" spans="1:44" x14ac:dyDescent="0.25">
      <c r="A1428" s="1">
        <v>32</v>
      </c>
      <c r="B1428" s="8" t="str" cm="1">
        <f t="array" ref="B1428">_xlfn.IFS(A1428 &lt;= 25, "[18-25]", A1428 &lt;= 35, "[26-35]", A1428 &lt;=45, "[36-45]", A1428 &lt;= 60, "[46- 60]")</f>
        <v>[26-35]</v>
      </c>
      <c r="C1428" s="3" t="s">
        <v>43</v>
      </c>
      <c r="D1428">
        <f t="shared" si="22"/>
        <v>0</v>
      </c>
      <c r="E1428" t="s">
        <v>36</v>
      </c>
      <c r="F1428" s="1">
        <v>267</v>
      </c>
      <c r="G1428" s="3" t="s">
        <v>45</v>
      </c>
      <c r="H1428" s="1">
        <v>29</v>
      </c>
      <c r="I1428" s="9" t="str" cm="1">
        <f t="array" ref="I1428">_xlfn.IFS(H1428 &lt;= 2, "[1-2] very close", H1428 &lt;= 10, "[3-10] close", H1428 &lt;= 20, "[11-20] moderate", H1428 &lt;= 30, "[21-30] far")</f>
        <v>[21-30] far</v>
      </c>
      <c r="J1428" s="1">
        <v>4</v>
      </c>
      <c r="K1428" s="3" t="s">
        <v>38</v>
      </c>
      <c r="L1428" s="1">
        <v>1</v>
      </c>
      <c r="M1428" s="1">
        <v>2010</v>
      </c>
      <c r="N1428" s="1">
        <v>3</v>
      </c>
      <c r="O1428" s="3" t="s">
        <v>39</v>
      </c>
      <c r="P1428" s="1">
        <v>49</v>
      </c>
      <c r="Q1428" s="1">
        <v>2</v>
      </c>
      <c r="R1428" s="1">
        <v>1</v>
      </c>
      <c r="S1428" s="3" t="s">
        <v>50</v>
      </c>
      <c r="T1428" s="1">
        <v>2</v>
      </c>
      <c r="U1428" s="3" t="s">
        <v>41</v>
      </c>
      <c r="V1428" s="4">
        <v>2837</v>
      </c>
      <c r="W1428" s="1">
        <v>15919</v>
      </c>
      <c r="X1428" s="1">
        <v>1</v>
      </c>
      <c r="Y1428" s="3" t="s">
        <v>42</v>
      </c>
      <c r="Z1428" s="3" t="s">
        <v>43</v>
      </c>
      <c r="AA1428" s="5">
        <v>0.13</v>
      </c>
      <c r="AB1428" s="10" t="str" cm="1">
        <f t="array" ref="AB1428">_xlfn.IFS(AA1428 &lt;= 15%, "Low Hike[11-15%]", AA1428 &lt;= 20%, "Moderate Hike[16-20%]", AA1428 &lt;= 25%,"High Hike[21-25%]")</f>
        <v>Low Hike[11-15%]</v>
      </c>
      <c r="AC1428" s="1">
        <v>3</v>
      </c>
      <c r="AD1428" s="1">
        <v>3</v>
      </c>
      <c r="AE1428" s="1">
        <v>80</v>
      </c>
      <c r="AF1428" s="1">
        <v>0</v>
      </c>
      <c r="AG1428" s="1">
        <v>6</v>
      </c>
      <c r="AH1428" s="9" t="str" cm="1">
        <f t="array" ref="AH1428">_xlfn.IFS(AG1428 &lt;= 5, "New[1-5]", AG1428 &lt;= 10, "Early Career[6-10]", AG1428 &lt;= 20, "Established[11-20]", AG1428 &lt;= 30, "Veteran[21-30]", AG1428 &lt;= 40, "Late Career[31-40]")</f>
        <v>Early Career[6-10]</v>
      </c>
      <c r="AI1428" s="1">
        <v>3</v>
      </c>
      <c r="AJ1428" s="1">
        <v>3</v>
      </c>
      <c r="AK1428" s="1">
        <v>6</v>
      </c>
      <c r="AL1428" s="9" t="str" cm="1">
        <f t="array" ref="AL1428">_xlfn.IFS(AK1428 &lt;= 5, "New[1-5]", AK1428 &lt;= 10, "Early Career[6-10]", AK1428 &lt;= 20, "Established[11-20]", AK1428 &lt;= 30, "Veteran[21-30]", AK1428 &lt;= 40, "Late Career[31-40]")</f>
        <v>Early Career[6-10]</v>
      </c>
      <c r="AM1428" s="1">
        <v>2</v>
      </c>
      <c r="AN1428" s="9" t="str" cm="1">
        <f t="array" ref="AN1428">_xlfn.IFS(AM1428 &lt;= 3, "New to Role[1-3]", AM1428 &lt;= 7, "Settled[4-7]", AM1428 &lt;= 12, "Experienced[[8-12]", AM1428 &lt;= 18, "Long Tenured[13-18]")</f>
        <v>New to Role[1-3]</v>
      </c>
      <c r="AO1428" s="1">
        <v>4</v>
      </c>
      <c r="AP1428" s="9" t="str" cm="1">
        <f t="array" ref="AP1428">_xlfn.IFS(AO1428 &lt;= 3, "Recently[1-3]", AO1428 &lt;= 6, "Due Soon[4-6]", AO1428 &lt;= 10, "Overdue[7-10]", AO1428 &lt;= 15, "Long Overdue[11-15]")</f>
        <v>Due Soon[4-6]</v>
      </c>
      <c r="AQ1428" s="9" t="str" cm="1">
        <f t="array" ref="AQ1428">_xlfn.IFS(AR1428 &lt;= 3, "New Relationship[1-3]", AR1428 &lt;= 7, "Established Relationship[4-7]", AR1428 &lt;= 12, "Long Term Relationship[8-12]", AR1428 &lt;= 17, "Very Long Term Relationship[13-17]")</f>
        <v>New Relationship[1-3]</v>
      </c>
      <c r="AR1428" s="1">
        <v>1</v>
      </c>
    </row>
    <row r="1429" spans="1:44" x14ac:dyDescent="0.25">
      <c r="A1429" s="1">
        <v>40</v>
      </c>
      <c r="B1429" s="8" t="str" cm="1">
        <f t="array" ref="B1429">_xlfn.IFS(A1429 &lt;= 25, "[18-25]", A1429 &lt;= 35, "[26-35]", A1429 &lt;=45, "[36-45]", A1429 &lt;= 60, "[46- 60]")</f>
        <v>[36-45]</v>
      </c>
      <c r="C1429" s="3" t="s">
        <v>43</v>
      </c>
      <c r="D1429">
        <f t="shared" si="22"/>
        <v>0</v>
      </c>
      <c r="E1429" t="s">
        <v>36</v>
      </c>
      <c r="F1429" s="1">
        <v>543</v>
      </c>
      <c r="G1429" s="3" t="s">
        <v>45</v>
      </c>
      <c r="H1429" s="1">
        <v>1</v>
      </c>
      <c r="I1429" s="9" t="str" cm="1">
        <f t="array" ref="I1429">_xlfn.IFS(H1429 &lt;= 2, "[1-2] very close", H1429 &lt;= 10, "[3-10] close", H1429 &lt;= 20, "[11-20] moderate", H1429 &lt;= 30, "[21-30] far")</f>
        <v>[1-2] very close</v>
      </c>
      <c r="J1429" s="1">
        <v>4</v>
      </c>
      <c r="K1429" s="3" t="s">
        <v>38</v>
      </c>
      <c r="L1429" s="1">
        <v>1</v>
      </c>
      <c r="M1429" s="1">
        <v>2012</v>
      </c>
      <c r="N1429" s="1">
        <v>1</v>
      </c>
      <c r="O1429" s="3" t="s">
        <v>46</v>
      </c>
      <c r="P1429" s="1">
        <v>83</v>
      </c>
      <c r="Q1429" s="1">
        <v>3</v>
      </c>
      <c r="R1429" s="1">
        <v>1</v>
      </c>
      <c r="S1429" s="3" t="s">
        <v>50</v>
      </c>
      <c r="T1429" s="1">
        <v>4</v>
      </c>
      <c r="U1429" s="3" t="s">
        <v>48</v>
      </c>
      <c r="V1429" s="4">
        <v>2406</v>
      </c>
      <c r="W1429" s="1">
        <v>4060</v>
      </c>
      <c r="X1429" s="1">
        <v>8</v>
      </c>
      <c r="Y1429" s="3" t="s">
        <v>42</v>
      </c>
      <c r="Z1429" s="3" t="s">
        <v>43</v>
      </c>
      <c r="AA1429" s="5">
        <v>0.19</v>
      </c>
      <c r="AB1429" s="10" t="str" cm="1">
        <f t="array" ref="AB1429">_xlfn.IFS(AA1429 &lt;= 15%, "Low Hike[11-15%]", AA1429 &lt;= 20%, "Moderate Hike[16-20%]", AA1429 &lt;= 25%,"High Hike[21-25%]")</f>
        <v>Moderate Hike[16-20%]</v>
      </c>
      <c r="AC1429" s="1">
        <v>3</v>
      </c>
      <c r="AD1429" s="1">
        <v>3</v>
      </c>
      <c r="AE1429" s="1">
        <v>80</v>
      </c>
      <c r="AF1429" s="1">
        <v>2</v>
      </c>
      <c r="AG1429" s="1">
        <v>8</v>
      </c>
      <c r="AH1429" s="9" t="str" cm="1">
        <f t="array" ref="AH1429">_xlfn.IFS(AG1429 &lt;= 5, "New[1-5]", AG1429 &lt;= 10, "Early Career[6-10]", AG1429 &lt;= 20, "Established[11-20]", AG1429 &lt;= 30, "Veteran[21-30]", AG1429 &lt;= 40, "Late Career[31-40]")</f>
        <v>Early Career[6-10]</v>
      </c>
      <c r="AI1429" s="1">
        <v>3</v>
      </c>
      <c r="AJ1429" s="1">
        <v>2</v>
      </c>
      <c r="AK1429" s="1">
        <v>1</v>
      </c>
      <c r="AL1429" s="9" t="str" cm="1">
        <f t="array" ref="AL1429">_xlfn.IFS(AK1429 &lt;= 5, "New[1-5]", AK1429 &lt;= 10, "Early Career[6-10]", AK1429 &lt;= 20, "Established[11-20]", AK1429 &lt;= 30, "Veteran[21-30]", AK1429 &lt;= 40, "Late Career[31-40]")</f>
        <v>New[1-5]</v>
      </c>
      <c r="AM1429" s="1">
        <v>0</v>
      </c>
      <c r="AN1429" s="9" t="str" cm="1">
        <f t="array" ref="AN1429">_xlfn.IFS(AM1429 &lt;= 3, "New to Role[1-3]", AM1429 &lt;= 7, "Settled[4-7]", AM1429 &lt;= 12, "Experienced[[8-12]", AM1429 &lt;= 18, "Long Tenured[13-18]")</f>
        <v>New to Role[1-3]</v>
      </c>
      <c r="AO1429" s="1">
        <v>0</v>
      </c>
      <c r="AP1429" s="9" t="str" cm="1">
        <f t="array" ref="AP1429">_xlfn.IFS(AO1429 &lt;= 3, "Recently[1-3]", AO1429 &lt;= 6, "Due Soon[4-6]", AO1429 &lt;= 10, "Overdue[7-10]", AO1429 &lt;= 15, "Long Overdue[11-15]")</f>
        <v>Recently[1-3]</v>
      </c>
      <c r="AQ1429" s="9" t="str" cm="1">
        <f t="array" ref="AQ1429">_xlfn.IFS(AR1429 &lt;= 3, "New Relationship[1-3]", AR1429 &lt;= 7, "Established Relationship[4-7]", AR1429 &lt;= 12, "Long Term Relationship[8-12]", AR1429 &lt;= 17, "Very Long Term Relationship[13-17]")</f>
        <v>New Relationship[1-3]</v>
      </c>
      <c r="AR1429" s="1">
        <v>0</v>
      </c>
    </row>
    <row r="1430" spans="1:44" x14ac:dyDescent="0.25">
      <c r="A1430" s="1">
        <v>32</v>
      </c>
      <c r="B1430" s="8" t="str" cm="1">
        <f t="array" ref="B1430">_xlfn.IFS(A1430 &lt;= 25, "[18-25]", A1430 &lt;= 35, "[26-35]", A1430 &lt;=45, "[36-45]", A1430 &lt;= 60, "[46- 60]")</f>
        <v>[26-35]</v>
      </c>
      <c r="C1430" s="3" t="s">
        <v>43</v>
      </c>
      <c r="D1430">
        <f t="shared" si="22"/>
        <v>0</v>
      </c>
      <c r="E1430" t="s">
        <v>36</v>
      </c>
      <c r="F1430" s="1">
        <v>234</v>
      </c>
      <c r="G1430" s="3" t="s">
        <v>37</v>
      </c>
      <c r="H1430" s="1">
        <v>1</v>
      </c>
      <c r="I1430" s="9" t="str" cm="1">
        <f t="array" ref="I1430">_xlfn.IFS(H1430 &lt;= 2, "[1-2] very close", H1430 &lt;= 10, "[3-10] close", H1430 &lt;= 20, "[11-20] moderate", H1430 &lt;= 30, "[21-30] far")</f>
        <v>[1-2] very close</v>
      </c>
      <c r="J1430" s="1">
        <v>4</v>
      </c>
      <c r="K1430" s="3" t="s">
        <v>51</v>
      </c>
      <c r="L1430" s="1">
        <v>1</v>
      </c>
      <c r="M1430" s="1">
        <v>2013</v>
      </c>
      <c r="N1430" s="1">
        <v>2</v>
      </c>
      <c r="O1430" s="3" t="s">
        <v>46</v>
      </c>
      <c r="P1430" s="1">
        <v>68</v>
      </c>
      <c r="Q1430" s="1">
        <v>2</v>
      </c>
      <c r="R1430" s="1">
        <v>1</v>
      </c>
      <c r="S1430" s="3" t="s">
        <v>57</v>
      </c>
      <c r="T1430" s="1">
        <v>2</v>
      </c>
      <c r="U1430" s="3" t="s">
        <v>48</v>
      </c>
      <c r="V1430" s="4">
        <v>2269</v>
      </c>
      <c r="W1430" s="1">
        <v>18024</v>
      </c>
      <c r="X1430" s="1">
        <v>0</v>
      </c>
      <c r="Y1430" s="3" t="s">
        <v>42</v>
      </c>
      <c r="Z1430" s="3" t="s">
        <v>43</v>
      </c>
      <c r="AA1430" s="5">
        <v>0.14000000000000001</v>
      </c>
      <c r="AB1430" s="10" t="str" cm="1">
        <f t="array" ref="AB1430">_xlfn.IFS(AA1430 &lt;= 15%, "Low Hike[11-15%]", AA1430 &lt;= 20%, "Moderate Hike[16-20%]", AA1430 &lt;= 25%,"High Hike[21-25%]")</f>
        <v>Low Hike[11-15%]</v>
      </c>
      <c r="AC1430" s="1">
        <v>3</v>
      </c>
      <c r="AD1430" s="1">
        <v>2</v>
      </c>
      <c r="AE1430" s="1">
        <v>80</v>
      </c>
      <c r="AF1430" s="1">
        <v>1</v>
      </c>
      <c r="AG1430" s="1">
        <v>3</v>
      </c>
      <c r="AH1430" s="9" t="str" cm="1">
        <f t="array" ref="AH1430">_xlfn.IFS(AG1430 &lt;= 5, "New[1-5]", AG1430 &lt;= 10, "Early Career[6-10]", AG1430 &lt;= 20, "Established[11-20]", AG1430 &lt;= 30, "Veteran[21-30]", AG1430 &lt;= 40, "Late Career[31-40]")</f>
        <v>New[1-5]</v>
      </c>
      <c r="AI1430" s="1">
        <v>2</v>
      </c>
      <c r="AJ1430" s="1">
        <v>3</v>
      </c>
      <c r="AK1430" s="1">
        <v>2</v>
      </c>
      <c r="AL1430" s="9" t="str" cm="1">
        <f t="array" ref="AL1430">_xlfn.IFS(AK1430 &lt;= 5, "New[1-5]", AK1430 &lt;= 10, "Early Career[6-10]", AK1430 &lt;= 20, "Established[11-20]", AK1430 &lt;= 30, "Veteran[21-30]", AK1430 &lt;= 40, "Late Career[31-40]")</f>
        <v>New[1-5]</v>
      </c>
      <c r="AM1430" s="1">
        <v>2</v>
      </c>
      <c r="AN1430" s="9" t="str" cm="1">
        <f t="array" ref="AN1430">_xlfn.IFS(AM1430 &lt;= 3, "New to Role[1-3]", AM1430 &lt;= 7, "Settled[4-7]", AM1430 &lt;= 12, "Experienced[[8-12]", AM1430 &lt;= 18, "Long Tenured[13-18]")</f>
        <v>New to Role[1-3]</v>
      </c>
      <c r="AO1430" s="1">
        <v>2</v>
      </c>
      <c r="AP1430" s="9" t="str" cm="1">
        <f t="array" ref="AP1430">_xlfn.IFS(AO1430 &lt;= 3, "Recently[1-3]", AO1430 &lt;= 6, "Due Soon[4-6]", AO1430 &lt;= 10, "Overdue[7-10]", AO1430 &lt;= 15, "Long Overdue[11-15]")</f>
        <v>Recently[1-3]</v>
      </c>
      <c r="AQ1430" s="9" t="str" cm="1">
        <f t="array" ref="AQ1430">_xlfn.IFS(AR1430 &lt;= 3, "New Relationship[1-3]", AR1430 &lt;= 7, "Established Relationship[4-7]", AR1430 &lt;= 12, "Long Term Relationship[8-12]", AR1430 &lt;= 17, "Very Long Term Relationship[13-17]")</f>
        <v>New Relationship[1-3]</v>
      </c>
      <c r="AR1430" s="1">
        <v>2</v>
      </c>
    </row>
    <row r="1431" spans="1:44" x14ac:dyDescent="0.25">
      <c r="A1431" s="1">
        <v>39</v>
      </c>
      <c r="B1431" s="8" t="str" cm="1">
        <f t="array" ref="B1431">_xlfn.IFS(A1431 &lt;= 25, "[18-25]", A1431 &lt;= 35, "[26-35]", A1431 &lt;=45, "[36-45]", A1431 &lt;= 60, "[46- 60]")</f>
        <v>[36-45]</v>
      </c>
      <c r="C1431" s="3" t="s">
        <v>43</v>
      </c>
      <c r="D1431">
        <f t="shared" si="22"/>
        <v>0</v>
      </c>
      <c r="E1431" t="s">
        <v>36</v>
      </c>
      <c r="F1431" s="1">
        <v>116</v>
      </c>
      <c r="G1431" s="3" t="s">
        <v>45</v>
      </c>
      <c r="H1431" s="1">
        <v>24</v>
      </c>
      <c r="I1431" s="9" t="str" cm="1">
        <f t="array" ref="I1431">_xlfn.IFS(H1431 &lt;= 2, "[1-2] very close", H1431 &lt;= 10, "[3-10] close", H1431 &lt;= 20, "[11-20] moderate", H1431 &lt;= 30, "[21-30] far")</f>
        <v>[21-30] far</v>
      </c>
      <c r="J1431" s="1">
        <v>1</v>
      </c>
      <c r="K1431" s="3" t="s">
        <v>38</v>
      </c>
      <c r="L1431" s="1">
        <v>1</v>
      </c>
      <c r="M1431" s="1">
        <v>2014</v>
      </c>
      <c r="N1431" s="1">
        <v>1</v>
      </c>
      <c r="O1431" s="3" t="s">
        <v>46</v>
      </c>
      <c r="P1431" s="1">
        <v>52</v>
      </c>
      <c r="Q1431" s="1">
        <v>3</v>
      </c>
      <c r="R1431" s="1">
        <v>2</v>
      </c>
      <c r="S1431" s="3" t="s">
        <v>47</v>
      </c>
      <c r="T1431" s="1">
        <v>4</v>
      </c>
      <c r="U1431" s="3" t="s">
        <v>41</v>
      </c>
      <c r="V1431" s="4">
        <v>4108</v>
      </c>
      <c r="W1431" s="1">
        <v>5340</v>
      </c>
      <c r="X1431" s="1">
        <v>7</v>
      </c>
      <c r="Y1431" s="3" t="s">
        <v>42</v>
      </c>
      <c r="Z1431" s="3" t="s">
        <v>43</v>
      </c>
      <c r="AA1431" s="5">
        <v>0.13</v>
      </c>
      <c r="AB1431" s="10" t="str" cm="1">
        <f t="array" ref="AB1431">_xlfn.IFS(AA1431 &lt;= 15%, "Low Hike[11-15%]", AA1431 &lt;= 20%, "Moderate Hike[16-20%]", AA1431 &lt;= 25%,"High Hike[21-25%]")</f>
        <v>Low Hike[11-15%]</v>
      </c>
      <c r="AC1431" s="1">
        <v>3</v>
      </c>
      <c r="AD1431" s="1">
        <v>1</v>
      </c>
      <c r="AE1431" s="1">
        <v>80</v>
      </c>
      <c r="AF1431" s="1">
        <v>0</v>
      </c>
      <c r="AG1431" s="1">
        <v>18</v>
      </c>
      <c r="AH1431" s="9" t="str" cm="1">
        <f t="array" ref="AH1431">_xlfn.IFS(AG1431 &lt;= 5, "New[1-5]", AG1431 &lt;= 10, "Early Career[6-10]", AG1431 &lt;= 20, "Established[11-20]", AG1431 &lt;= 30, "Veteran[21-30]", AG1431 &lt;= 40, "Late Career[31-40]")</f>
        <v>Established[11-20]</v>
      </c>
      <c r="AI1431" s="1">
        <v>2</v>
      </c>
      <c r="AJ1431" s="1">
        <v>3</v>
      </c>
      <c r="AK1431" s="1">
        <v>7</v>
      </c>
      <c r="AL1431" s="9" t="str" cm="1">
        <f t="array" ref="AL1431">_xlfn.IFS(AK1431 &lt;= 5, "New[1-5]", AK1431 &lt;= 10, "Early Career[6-10]", AK1431 &lt;= 20, "Established[11-20]", AK1431 &lt;= 30, "Veteran[21-30]", AK1431 &lt;= 40, "Late Career[31-40]")</f>
        <v>Early Career[6-10]</v>
      </c>
      <c r="AM1431" s="1">
        <v>7</v>
      </c>
      <c r="AN1431" s="9" t="str" cm="1">
        <f t="array" ref="AN1431">_xlfn.IFS(AM1431 &lt;= 3, "New to Role[1-3]", AM1431 &lt;= 7, "Settled[4-7]", AM1431 &lt;= 12, "Experienced[[8-12]", AM1431 &lt;= 18, "Long Tenured[13-18]")</f>
        <v>Settled[4-7]</v>
      </c>
      <c r="AO1431" s="1">
        <v>1</v>
      </c>
      <c r="AP1431" s="9" t="str" cm="1">
        <f t="array" ref="AP1431">_xlfn.IFS(AO1431 &lt;= 3, "Recently[1-3]", AO1431 &lt;= 6, "Due Soon[4-6]", AO1431 &lt;= 10, "Overdue[7-10]", AO1431 &lt;= 15, "Long Overdue[11-15]")</f>
        <v>Recently[1-3]</v>
      </c>
      <c r="AQ1431" s="9" t="str" cm="1">
        <f t="array" ref="AQ1431">_xlfn.IFS(AR1431 &lt;= 3, "New Relationship[1-3]", AR1431 &lt;= 7, "Established Relationship[4-7]", AR1431 &lt;= 12, "Long Term Relationship[8-12]", AR1431 &lt;= 17, "Very Long Term Relationship[13-17]")</f>
        <v>Established Relationship[4-7]</v>
      </c>
      <c r="AR1431" s="1">
        <v>7</v>
      </c>
    </row>
    <row r="1432" spans="1:44" x14ac:dyDescent="0.25">
      <c r="A1432" s="1">
        <v>38</v>
      </c>
      <c r="B1432" s="8" t="str" cm="1">
        <f t="array" ref="B1432">_xlfn.IFS(A1432 &lt;= 25, "[18-25]", A1432 &lt;= 35, "[26-35]", A1432 &lt;=45, "[36-45]", A1432 &lt;= 60, "[46- 60]")</f>
        <v>[36-45]</v>
      </c>
      <c r="C1432" s="3" t="s">
        <v>43</v>
      </c>
      <c r="D1432">
        <f t="shared" si="22"/>
        <v>0</v>
      </c>
      <c r="E1432" t="s">
        <v>36</v>
      </c>
      <c r="F1432" s="1">
        <v>201</v>
      </c>
      <c r="G1432" s="3" t="s">
        <v>45</v>
      </c>
      <c r="H1432" s="1">
        <v>10</v>
      </c>
      <c r="I1432" s="9" t="str" cm="1">
        <f t="array" ref="I1432">_xlfn.IFS(H1432 &lt;= 2, "[1-2] very close", H1432 &lt;= 10, "[3-10] close", H1432 &lt;= 20, "[11-20] moderate", H1432 &lt;= 30, "[21-30] far")</f>
        <v>[3-10] close</v>
      </c>
      <c r="J1432" s="1">
        <v>3</v>
      </c>
      <c r="K1432" s="3" t="s">
        <v>51</v>
      </c>
      <c r="L1432" s="1">
        <v>1</v>
      </c>
      <c r="M1432" s="1">
        <v>2015</v>
      </c>
      <c r="N1432" s="1">
        <v>2</v>
      </c>
      <c r="O1432" s="3" t="s">
        <v>39</v>
      </c>
      <c r="P1432" s="1">
        <v>99</v>
      </c>
      <c r="Q1432" s="1">
        <v>1</v>
      </c>
      <c r="R1432" s="1">
        <v>3</v>
      </c>
      <c r="S1432" s="3" t="s">
        <v>58</v>
      </c>
      <c r="T1432" s="1">
        <v>3</v>
      </c>
      <c r="U1432" s="3" t="s">
        <v>48</v>
      </c>
      <c r="V1432" s="4">
        <v>13206</v>
      </c>
      <c r="W1432" s="1">
        <v>3376</v>
      </c>
      <c r="X1432" s="1">
        <v>3</v>
      </c>
      <c r="Y1432" s="3" t="s">
        <v>42</v>
      </c>
      <c r="Z1432" s="3" t="s">
        <v>43</v>
      </c>
      <c r="AA1432" s="5">
        <v>0.12</v>
      </c>
      <c r="AB1432" s="10" t="str" cm="1">
        <f t="array" ref="AB1432">_xlfn.IFS(AA1432 &lt;= 15%, "Low Hike[11-15%]", AA1432 &lt;= 20%, "Moderate Hike[16-20%]", AA1432 &lt;= 25%,"High Hike[21-25%]")</f>
        <v>Low Hike[11-15%]</v>
      </c>
      <c r="AC1432" s="1">
        <v>3</v>
      </c>
      <c r="AD1432" s="1">
        <v>1</v>
      </c>
      <c r="AE1432" s="1">
        <v>80</v>
      </c>
      <c r="AF1432" s="1">
        <v>1</v>
      </c>
      <c r="AG1432" s="1">
        <v>20</v>
      </c>
      <c r="AH1432" s="9" t="str" cm="1">
        <f t="array" ref="AH1432">_xlfn.IFS(AG1432 &lt;= 5, "New[1-5]", AG1432 &lt;= 10, "Early Career[6-10]", AG1432 &lt;= 20, "Established[11-20]", AG1432 &lt;= 30, "Veteran[21-30]", AG1432 &lt;= 40, "Late Career[31-40]")</f>
        <v>Established[11-20]</v>
      </c>
      <c r="AI1432" s="1">
        <v>3</v>
      </c>
      <c r="AJ1432" s="1">
        <v>3</v>
      </c>
      <c r="AK1432" s="1">
        <v>18</v>
      </c>
      <c r="AL1432" s="9" t="str" cm="1">
        <f t="array" ref="AL1432">_xlfn.IFS(AK1432 &lt;= 5, "New[1-5]", AK1432 &lt;= 10, "Early Career[6-10]", AK1432 &lt;= 20, "Established[11-20]", AK1432 &lt;= 30, "Veteran[21-30]", AK1432 &lt;= 40, "Late Career[31-40]")</f>
        <v>Established[11-20]</v>
      </c>
      <c r="AM1432" s="1">
        <v>16</v>
      </c>
      <c r="AN1432" s="9" t="str" cm="1">
        <f t="array" ref="AN1432">_xlfn.IFS(AM1432 &lt;= 3, "New to Role[1-3]", AM1432 &lt;= 7, "Settled[4-7]", AM1432 &lt;= 12, "Experienced[[8-12]", AM1432 &lt;= 18, "Long Tenured[13-18]")</f>
        <v>Long Tenured[13-18]</v>
      </c>
      <c r="AO1432" s="1">
        <v>1</v>
      </c>
      <c r="AP1432" s="9" t="str" cm="1">
        <f t="array" ref="AP1432">_xlfn.IFS(AO1432 &lt;= 3, "Recently[1-3]", AO1432 &lt;= 6, "Due Soon[4-6]", AO1432 &lt;= 10, "Overdue[7-10]", AO1432 &lt;= 15, "Long Overdue[11-15]")</f>
        <v>Recently[1-3]</v>
      </c>
      <c r="AQ1432" s="9" t="str" cm="1">
        <f t="array" ref="AQ1432">_xlfn.IFS(AR1432 &lt;= 3, "New Relationship[1-3]", AR1432 &lt;= 7, "Established Relationship[4-7]", AR1432 &lt;= 12, "Long Term Relationship[8-12]", AR1432 &lt;= 17, "Very Long Term Relationship[13-17]")</f>
        <v>Long Term Relationship[8-12]</v>
      </c>
      <c r="AR1432" s="1">
        <v>11</v>
      </c>
    </row>
    <row r="1433" spans="1:44" x14ac:dyDescent="0.25">
      <c r="A1433" s="1">
        <v>32</v>
      </c>
      <c r="B1433" s="8" t="str" cm="1">
        <f t="array" ref="B1433">_xlfn.IFS(A1433 &lt;= 25, "[18-25]", A1433 &lt;= 35, "[26-35]", A1433 &lt;=45, "[36-45]", A1433 &lt;= 60, "[46- 60]")</f>
        <v>[26-35]</v>
      </c>
      <c r="C1433" s="3" t="s">
        <v>43</v>
      </c>
      <c r="D1433">
        <f t="shared" si="22"/>
        <v>0</v>
      </c>
      <c r="E1433" t="s">
        <v>36</v>
      </c>
      <c r="F1433" s="1">
        <v>801</v>
      </c>
      <c r="G1433" s="3" t="s">
        <v>37</v>
      </c>
      <c r="H1433" s="1">
        <v>1</v>
      </c>
      <c r="I1433" s="9" t="str" cm="1">
        <f t="array" ref="I1433">_xlfn.IFS(H1433 &lt;= 2, "[1-2] very close", H1433 &lt;= 10, "[3-10] close", H1433 &lt;= 20, "[11-20] moderate", H1433 &lt;= 30, "[21-30] far")</f>
        <v>[1-2] very close</v>
      </c>
      <c r="J1433" s="1">
        <v>4</v>
      </c>
      <c r="K1433" s="3" t="s">
        <v>59</v>
      </c>
      <c r="L1433" s="1">
        <v>1</v>
      </c>
      <c r="M1433" s="1">
        <v>2016</v>
      </c>
      <c r="N1433" s="1">
        <v>3</v>
      </c>
      <c r="O1433" s="3" t="s">
        <v>39</v>
      </c>
      <c r="P1433" s="1">
        <v>48</v>
      </c>
      <c r="Q1433" s="1">
        <v>3</v>
      </c>
      <c r="R1433" s="1">
        <v>3</v>
      </c>
      <c r="S1433" s="3" t="s">
        <v>40</v>
      </c>
      <c r="T1433" s="1">
        <v>4</v>
      </c>
      <c r="U1433" s="3" t="s">
        <v>48</v>
      </c>
      <c r="V1433" s="4">
        <v>10422</v>
      </c>
      <c r="W1433" s="1">
        <v>24032</v>
      </c>
      <c r="X1433" s="1">
        <v>1</v>
      </c>
      <c r="Y1433" s="3" t="s">
        <v>42</v>
      </c>
      <c r="Z1433" s="3" t="s">
        <v>43</v>
      </c>
      <c r="AA1433" s="5">
        <v>0.19</v>
      </c>
      <c r="AB1433" s="10" t="str" cm="1">
        <f t="array" ref="AB1433">_xlfn.IFS(AA1433 &lt;= 15%, "Low Hike[11-15%]", AA1433 &lt;= 20%, "Moderate Hike[16-20%]", AA1433 &lt;= 25%,"High Hike[21-25%]")</f>
        <v>Moderate Hike[16-20%]</v>
      </c>
      <c r="AC1433" s="1">
        <v>3</v>
      </c>
      <c r="AD1433" s="1">
        <v>3</v>
      </c>
      <c r="AE1433" s="1">
        <v>80</v>
      </c>
      <c r="AF1433" s="1">
        <v>2</v>
      </c>
      <c r="AG1433" s="1">
        <v>14</v>
      </c>
      <c r="AH1433" s="9" t="str" cm="1">
        <f t="array" ref="AH1433">_xlfn.IFS(AG1433 &lt;= 5, "New[1-5]", AG1433 &lt;= 10, "Early Career[6-10]", AG1433 &lt;= 20, "Established[11-20]", AG1433 &lt;= 30, "Veteran[21-30]", AG1433 &lt;= 40, "Late Career[31-40]")</f>
        <v>Established[11-20]</v>
      </c>
      <c r="AI1433" s="1">
        <v>3</v>
      </c>
      <c r="AJ1433" s="1">
        <v>3</v>
      </c>
      <c r="AK1433" s="1">
        <v>14</v>
      </c>
      <c r="AL1433" s="9" t="str" cm="1">
        <f t="array" ref="AL1433">_xlfn.IFS(AK1433 &lt;= 5, "New[1-5]", AK1433 &lt;= 10, "Early Career[6-10]", AK1433 &lt;= 20, "Established[11-20]", AK1433 &lt;= 30, "Veteran[21-30]", AK1433 &lt;= 40, "Late Career[31-40]")</f>
        <v>Established[11-20]</v>
      </c>
      <c r="AM1433" s="1">
        <v>10</v>
      </c>
      <c r="AN1433" s="9" t="str" cm="1">
        <f t="array" ref="AN1433">_xlfn.IFS(AM1433 &lt;= 3, "New to Role[1-3]", AM1433 &lt;= 7, "Settled[4-7]", AM1433 &lt;= 12, "Experienced[[8-12]", AM1433 &lt;= 18, "Long Tenured[13-18]")</f>
        <v>Experienced[[8-12]</v>
      </c>
      <c r="AO1433" s="1">
        <v>5</v>
      </c>
      <c r="AP1433" s="9" t="str" cm="1">
        <f t="array" ref="AP1433">_xlfn.IFS(AO1433 &lt;= 3, "Recently[1-3]", AO1433 &lt;= 6, "Due Soon[4-6]", AO1433 &lt;= 10, "Overdue[7-10]", AO1433 &lt;= 15, "Long Overdue[11-15]")</f>
        <v>Due Soon[4-6]</v>
      </c>
      <c r="AQ1433" s="9" t="str" cm="1">
        <f t="array" ref="AQ1433">_xlfn.IFS(AR1433 &lt;= 3, "New Relationship[1-3]", AR1433 &lt;= 7, "Established Relationship[4-7]", AR1433 &lt;= 12, "Long Term Relationship[8-12]", AR1433 &lt;= 17, "Very Long Term Relationship[13-17]")</f>
        <v>Established Relationship[4-7]</v>
      </c>
      <c r="AR1433" s="1">
        <v>7</v>
      </c>
    </row>
    <row r="1434" spans="1:44" x14ac:dyDescent="0.25">
      <c r="A1434" s="1">
        <v>37</v>
      </c>
      <c r="B1434" s="8" t="str" cm="1">
        <f t="array" ref="B1434">_xlfn.IFS(A1434 &lt;= 25, "[18-25]", A1434 &lt;= 35, "[26-35]", A1434 &lt;=45, "[36-45]", A1434 &lt;= 60, "[46- 60]")</f>
        <v>[36-45]</v>
      </c>
      <c r="C1434" s="3" t="s">
        <v>43</v>
      </c>
      <c r="D1434">
        <f t="shared" si="22"/>
        <v>0</v>
      </c>
      <c r="E1434" t="s">
        <v>36</v>
      </c>
      <c r="F1434" s="1">
        <v>161</v>
      </c>
      <c r="G1434" s="3" t="s">
        <v>45</v>
      </c>
      <c r="H1434" s="1">
        <v>10</v>
      </c>
      <c r="I1434" s="9" t="str" cm="1">
        <f t="array" ref="I1434">_xlfn.IFS(H1434 &lt;= 2, "[1-2] very close", H1434 &lt;= 10, "[3-10] close", H1434 &lt;= 20, "[11-20] moderate", H1434 &lt;= 30, "[21-30] far")</f>
        <v>[3-10] close</v>
      </c>
      <c r="J1434" s="1">
        <v>3</v>
      </c>
      <c r="K1434" s="3" t="s">
        <v>38</v>
      </c>
      <c r="L1434" s="1">
        <v>1</v>
      </c>
      <c r="M1434" s="1">
        <v>2017</v>
      </c>
      <c r="N1434" s="1">
        <v>3</v>
      </c>
      <c r="O1434" s="3" t="s">
        <v>39</v>
      </c>
      <c r="P1434" s="1">
        <v>42</v>
      </c>
      <c r="Q1434" s="1">
        <v>4</v>
      </c>
      <c r="R1434" s="1">
        <v>3</v>
      </c>
      <c r="S1434" s="3" t="s">
        <v>58</v>
      </c>
      <c r="T1434" s="1">
        <v>4</v>
      </c>
      <c r="U1434" s="3" t="s">
        <v>48</v>
      </c>
      <c r="V1434" s="4">
        <v>13744</v>
      </c>
      <c r="W1434" s="1">
        <v>15471</v>
      </c>
      <c r="X1434" s="1">
        <v>1</v>
      </c>
      <c r="Y1434" s="3" t="s">
        <v>42</v>
      </c>
      <c r="Z1434" s="3" t="s">
        <v>35</v>
      </c>
      <c r="AA1434" s="5">
        <v>0.25</v>
      </c>
      <c r="AB1434" s="10" t="str" cm="1">
        <f t="array" ref="AB1434">_xlfn.IFS(AA1434 &lt;= 15%, "Low Hike[11-15%]", AA1434 &lt;= 20%, "Moderate Hike[16-20%]", AA1434 &lt;= 25%,"High Hike[21-25%]")</f>
        <v>High Hike[21-25%]</v>
      </c>
      <c r="AC1434" s="1">
        <v>4</v>
      </c>
      <c r="AD1434" s="1">
        <v>1</v>
      </c>
      <c r="AE1434" s="1">
        <v>80</v>
      </c>
      <c r="AF1434" s="1">
        <v>1</v>
      </c>
      <c r="AG1434" s="1">
        <v>16</v>
      </c>
      <c r="AH1434" s="9" t="str" cm="1">
        <f t="array" ref="AH1434">_xlfn.IFS(AG1434 &lt;= 5, "New[1-5]", AG1434 &lt;= 10, "Early Career[6-10]", AG1434 &lt;= 20, "Established[11-20]", AG1434 &lt;= 30, "Veteran[21-30]", AG1434 &lt;= 40, "Late Career[31-40]")</f>
        <v>Established[11-20]</v>
      </c>
      <c r="AI1434" s="1">
        <v>2</v>
      </c>
      <c r="AJ1434" s="1">
        <v>3</v>
      </c>
      <c r="AK1434" s="1">
        <v>16</v>
      </c>
      <c r="AL1434" s="9" t="str" cm="1">
        <f t="array" ref="AL1434">_xlfn.IFS(AK1434 &lt;= 5, "New[1-5]", AK1434 &lt;= 10, "Early Career[6-10]", AK1434 &lt;= 20, "Established[11-20]", AK1434 &lt;= 30, "Veteran[21-30]", AK1434 &lt;= 40, "Late Career[31-40]")</f>
        <v>Established[11-20]</v>
      </c>
      <c r="AM1434" s="1">
        <v>11</v>
      </c>
      <c r="AN1434" s="9" t="str" cm="1">
        <f t="array" ref="AN1434">_xlfn.IFS(AM1434 &lt;= 3, "New to Role[1-3]", AM1434 &lt;= 7, "Settled[4-7]", AM1434 &lt;= 12, "Experienced[[8-12]", AM1434 &lt;= 18, "Long Tenured[13-18]")</f>
        <v>Experienced[[8-12]</v>
      </c>
      <c r="AO1434" s="1">
        <v>6</v>
      </c>
      <c r="AP1434" s="9" t="str" cm="1">
        <f t="array" ref="AP1434">_xlfn.IFS(AO1434 &lt;= 3, "Recently[1-3]", AO1434 &lt;= 6, "Due Soon[4-6]", AO1434 &lt;= 10, "Overdue[7-10]", AO1434 &lt;= 15, "Long Overdue[11-15]")</f>
        <v>Due Soon[4-6]</v>
      </c>
      <c r="AQ1434" s="9" t="str" cm="1">
        <f t="array" ref="AQ1434">_xlfn.IFS(AR1434 &lt;= 3, "New Relationship[1-3]", AR1434 &lt;= 7, "Established Relationship[4-7]", AR1434 &lt;= 12, "Long Term Relationship[8-12]", AR1434 &lt;= 17, "Very Long Term Relationship[13-17]")</f>
        <v>Long Term Relationship[8-12]</v>
      </c>
      <c r="AR1434" s="1">
        <v>8</v>
      </c>
    </row>
    <row r="1435" spans="1:44" x14ac:dyDescent="0.25">
      <c r="A1435" s="1">
        <v>25</v>
      </c>
      <c r="B1435" s="8" t="str" cm="1">
        <f t="array" ref="B1435">_xlfn.IFS(A1435 &lt;= 25, "[18-25]", A1435 &lt;= 35, "[26-35]", A1435 &lt;=45, "[36-45]", A1435 &lt;= 60, "[46- 60]")</f>
        <v>[18-25]</v>
      </c>
      <c r="C1435" s="3" t="s">
        <v>43</v>
      </c>
      <c r="D1435">
        <f t="shared" si="22"/>
        <v>0</v>
      </c>
      <c r="E1435" t="s">
        <v>36</v>
      </c>
      <c r="F1435" s="1">
        <v>1382</v>
      </c>
      <c r="G1435" s="3" t="s">
        <v>37</v>
      </c>
      <c r="H1435" s="1">
        <v>8</v>
      </c>
      <c r="I1435" s="9" t="str" cm="1">
        <f t="array" ref="I1435">_xlfn.IFS(H1435 &lt;= 2, "[1-2] very close", H1435 &lt;= 10, "[3-10] close", H1435 &lt;= 20, "[11-20] moderate", H1435 &lt;= 30, "[21-30] far")</f>
        <v>[3-10] close</v>
      </c>
      <c r="J1435" s="1">
        <v>2</v>
      </c>
      <c r="K1435" s="3" t="s">
        <v>49</v>
      </c>
      <c r="L1435" s="1">
        <v>1</v>
      </c>
      <c r="M1435" s="1">
        <v>2018</v>
      </c>
      <c r="N1435" s="1">
        <v>1</v>
      </c>
      <c r="O1435" s="3" t="s">
        <v>39</v>
      </c>
      <c r="P1435" s="1">
        <v>85</v>
      </c>
      <c r="Q1435" s="1">
        <v>3</v>
      </c>
      <c r="R1435" s="1">
        <v>2</v>
      </c>
      <c r="S1435" s="3" t="s">
        <v>40</v>
      </c>
      <c r="T1435" s="1">
        <v>3</v>
      </c>
      <c r="U1435" s="3" t="s">
        <v>52</v>
      </c>
      <c r="V1435" s="4">
        <v>4907</v>
      </c>
      <c r="W1435" s="1">
        <v>13684</v>
      </c>
      <c r="X1435" s="1">
        <v>0</v>
      </c>
      <c r="Y1435" s="3" t="s">
        <v>42</v>
      </c>
      <c r="Z1435" s="3" t="s">
        <v>35</v>
      </c>
      <c r="AA1435" s="5">
        <v>0.22</v>
      </c>
      <c r="AB1435" s="10" t="str" cm="1">
        <f t="array" ref="AB1435">_xlfn.IFS(AA1435 &lt;= 15%, "Low Hike[11-15%]", AA1435 &lt;= 20%, "Moderate Hike[16-20%]", AA1435 &lt;= 25%,"High Hike[21-25%]")</f>
        <v>High Hike[21-25%]</v>
      </c>
      <c r="AC1435" s="1">
        <v>4</v>
      </c>
      <c r="AD1435" s="1">
        <v>2</v>
      </c>
      <c r="AE1435" s="1">
        <v>80</v>
      </c>
      <c r="AF1435" s="1">
        <v>1</v>
      </c>
      <c r="AG1435" s="1">
        <v>6</v>
      </c>
      <c r="AH1435" s="9" t="str" cm="1">
        <f t="array" ref="AH1435">_xlfn.IFS(AG1435 &lt;= 5, "New[1-5]", AG1435 &lt;= 10, "Early Career[6-10]", AG1435 &lt;= 20, "Established[11-20]", AG1435 &lt;= 30, "Veteran[21-30]", AG1435 &lt;= 40, "Late Career[31-40]")</f>
        <v>Early Career[6-10]</v>
      </c>
      <c r="AI1435" s="1">
        <v>3</v>
      </c>
      <c r="AJ1435" s="1">
        <v>2</v>
      </c>
      <c r="AK1435" s="1">
        <v>5</v>
      </c>
      <c r="AL1435" s="9" t="str" cm="1">
        <f t="array" ref="AL1435">_xlfn.IFS(AK1435 &lt;= 5, "New[1-5]", AK1435 &lt;= 10, "Early Career[6-10]", AK1435 &lt;= 20, "Established[11-20]", AK1435 &lt;= 30, "Veteran[21-30]", AK1435 &lt;= 40, "Late Career[31-40]")</f>
        <v>New[1-5]</v>
      </c>
      <c r="AM1435" s="1">
        <v>3</v>
      </c>
      <c r="AN1435" s="9" t="str" cm="1">
        <f t="array" ref="AN1435">_xlfn.IFS(AM1435 &lt;= 3, "New to Role[1-3]", AM1435 &lt;= 7, "Settled[4-7]", AM1435 &lt;= 12, "Experienced[[8-12]", AM1435 &lt;= 18, "Long Tenured[13-18]")</f>
        <v>New to Role[1-3]</v>
      </c>
      <c r="AO1435" s="1">
        <v>0</v>
      </c>
      <c r="AP1435" s="9" t="str" cm="1">
        <f t="array" ref="AP1435">_xlfn.IFS(AO1435 &lt;= 3, "Recently[1-3]", AO1435 &lt;= 6, "Due Soon[4-6]", AO1435 &lt;= 10, "Overdue[7-10]", AO1435 &lt;= 15, "Long Overdue[11-15]")</f>
        <v>Recently[1-3]</v>
      </c>
      <c r="AQ1435" s="9" t="str" cm="1">
        <f t="array" ref="AQ1435">_xlfn.IFS(AR1435 &lt;= 3, "New Relationship[1-3]", AR1435 &lt;= 7, "Established Relationship[4-7]", AR1435 &lt;= 12, "Long Term Relationship[8-12]", AR1435 &lt;= 17, "Very Long Term Relationship[13-17]")</f>
        <v>Established Relationship[4-7]</v>
      </c>
      <c r="AR1435" s="1">
        <v>4</v>
      </c>
    </row>
    <row r="1436" spans="1:44" x14ac:dyDescent="0.25">
      <c r="A1436" s="1">
        <v>52</v>
      </c>
      <c r="B1436" s="8" t="str" cm="1">
        <f t="array" ref="B1436">_xlfn.IFS(A1436 &lt;= 25, "[18-25]", A1436 &lt;= 35, "[26-35]", A1436 &lt;=45, "[36-45]", A1436 &lt;= 60, "[46- 60]")</f>
        <v>[46- 60]</v>
      </c>
      <c r="C1436" s="3" t="s">
        <v>43</v>
      </c>
      <c r="D1436">
        <f t="shared" si="22"/>
        <v>0</v>
      </c>
      <c r="E1436" t="s">
        <v>62</v>
      </c>
      <c r="F1436" s="1">
        <v>585</v>
      </c>
      <c r="G1436" s="3" t="s">
        <v>37</v>
      </c>
      <c r="H1436" s="1">
        <v>29</v>
      </c>
      <c r="I1436" s="9" t="str" cm="1">
        <f t="array" ref="I1436">_xlfn.IFS(H1436 &lt;= 2, "[1-2] very close", H1436 &lt;= 10, "[3-10] close", H1436 &lt;= 20, "[11-20] moderate", H1436 &lt;= 30, "[21-30] far")</f>
        <v>[21-30] far</v>
      </c>
      <c r="J1436" s="1">
        <v>4</v>
      </c>
      <c r="K1436" s="3" t="s">
        <v>38</v>
      </c>
      <c r="L1436" s="1">
        <v>1</v>
      </c>
      <c r="M1436" s="1">
        <v>2019</v>
      </c>
      <c r="N1436" s="1">
        <v>1</v>
      </c>
      <c r="O1436" s="3" t="s">
        <v>46</v>
      </c>
      <c r="P1436" s="1">
        <v>40</v>
      </c>
      <c r="Q1436" s="1">
        <v>3</v>
      </c>
      <c r="R1436" s="1">
        <v>1</v>
      </c>
      <c r="S1436" s="3" t="s">
        <v>57</v>
      </c>
      <c r="T1436" s="1">
        <v>4</v>
      </c>
      <c r="U1436" s="3" t="s">
        <v>52</v>
      </c>
      <c r="V1436" s="4">
        <v>3482</v>
      </c>
      <c r="W1436" s="1">
        <v>19788</v>
      </c>
      <c r="X1436" s="1">
        <v>2</v>
      </c>
      <c r="Y1436" s="3" t="s">
        <v>42</v>
      </c>
      <c r="Z1436" s="3" t="s">
        <v>43</v>
      </c>
      <c r="AA1436" s="5">
        <v>0.15</v>
      </c>
      <c r="AB1436" s="10" t="str" cm="1">
        <f t="array" ref="AB1436">_xlfn.IFS(AA1436 &lt;= 15%, "Low Hike[11-15%]", AA1436 &lt;= 20%, "Moderate Hike[16-20%]", AA1436 &lt;= 25%,"High Hike[21-25%]")</f>
        <v>Low Hike[11-15%]</v>
      </c>
      <c r="AC1436" s="1">
        <v>3</v>
      </c>
      <c r="AD1436" s="1">
        <v>2</v>
      </c>
      <c r="AE1436" s="1">
        <v>80</v>
      </c>
      <c r="AF1436" s="1">
        <v>2</v>
      </c>
      <c r="AG1436" s="1">
        <v>16</v>
      </c>
      <c r="AH1436" s="9" t="str" cm="1">
        <f t="array" ref="AH1436">_xlfn.IFS(AG1436 &lt;= 5, "New[1-5]", AG1436 &lt;= 10, "Early Career[6-10]", AG1436 &lt;= 20, "Established[11-20]", AG1436 &lt;= 30, "Veteran[21-30]", AG1436 &lt;= 40, "Late Career[31-40]")</f>
        <v>Established[11-20]</v>
      </c>
      <c r="AI1436" s="1">
        <v>3</v>
      </c>
      <c r="AJ1436" s="1">
        <v>2</v>
      </c>
      <c r="AK1436" s="1">
        <v>9</v>
      </c>
      <c r="AL1436" s="9" t="str" cm="1">
        <f t="array" ref="AL1436">_xlfn.IFS(AK1436 &lt;= 5, "New[1-5]", AK1436 &lt;= 10, "Early Career[6-10]", AK1436 &lt;= 20, "Established[11-20]", AK1436 &lt;= 30, "Veteran[21-30]", AK1436 &lt;= 40, "Late Career[31-40]")</f>
        <v>Early Career[6-10]</v>
      </c>
      <c r="AM1436" s="1">
        <v>8</v>
      </c>
      <c r="AN1436" s="9" t="str" cm="1">
        <f t="array" ref="AN1436">_xlfn.IFS(AM1436 &lt;= 3, "New to Role[1-3]", AM1436 &lt;= 7, "Settled[4-7]", AM1436 &lt;= 12, "Experienced[[8-12]", AM1436 &lt;= 18, "Long Tenured[13-18]")</f>
        <v>Experienced[[8-12]</v>
      </c>
      <c r="AO1436" s="1">
        <v>0</v>
      </c>
      <c r="AP1436" s="9" t="str" cm="1">
        <f t="array" ref="AP1436">_xlfn.IFS(AO1436 &lt;= 3, "Recently[1-3]", AO1436 &lt;= 6, "Due Soon[4-6]", AO1436 &lt;= 10, "Overdue[7-10]", AO1436 &lt;= 15, "Long Overdue[11-15]")</f>
        <v>Recently[1-3]</v>
      </c>
      <c r="AQ1436" s="9" t="str" cm="1">
        <f t="array" ref="AQ1436">_xlfn.IFS(AR1436 &lt;= 3, "New Relationship[1-3]", AR1436 &lt;= 7, "Established Relationship[4-7]", AR1436 &lt;= 12, "Long Term Relationship[8-12]", AR1436 &lt;= 17, "Very Long Term Relationship[13-17]")</f>
        <v>New Relationship[1-3]</v>
      </c>
      <c r="AR1436" s="1">
        <v>0</v>
      </c>
    </row>
    <row r="1437" spans="1:44" x14ac:dyDescent="0.25">
      <c r="A1437" s="1">
        <v>44</v>
      </c>
      <c r="B1437" s="8" t="str" cm="1">
        <f t="array" ref="B1437">_xlfn.IFS(A1437 &lt;= 25, "[18-25]", A1437 &lt;= 35, "[26-35]", A1437 &lt;=45, "[36-45]", A1437 &lt;= 60, "[46- 60]")</f>
        <v>[36-45]</v>
      </c>
      <c r="C1437" s="3" t="s">
        <v>43</v>
      </c>
      <c r="D1437">
        <f t="shared" si="22"/>
        <v>0</v>
      </c>
      <c r="E1437" t="s">
        <v>36</v>
      </c>
      <c r="F1437" s="1">
        <v>1037</v>
      </c>
      <c r="G1437" s="3" t="s">
        <v>45</v>
      </c>
      <c r="H1437" s="1">
        <v>1</v>
      </c>
      <c r="I1437" s="9" t="str" cm="1">
        <f t="array" ref="I1437">_xlfn.IFS(H1437 &lt;= 2, "[1-2] very close", H1437 &lt;= 10, "[3-10] close", H1437 &lt;= 20, "[11-20] moderate", H1437 &lt;= 30, "[21-30] far")</f>
        <v>[1-2] very close</v>
      </c>
      <c r="J1437" s="1">
        <v>3</v>
      </c>
      <c r="K1437" s="3" t="s">
        <v>51</v>
      </c>
      <c r="L1437" s="1">
        <v>1</v>
      </c>
      <c r="M1437" s="1">
        <v>2020</v>
      </c>
      <c r="N1437" s="1">
        <v>2</v>
      </c>
      <c r="O1437" s="3" t="s">
        <v>46</v>
      </c>
      <c r="P1437" s="1">
        <v>42</v>
      </c>
      <c r="Q1437" s="1">
        <v>3</v>
      </c>
      <c r="R1437" s="1">
        <v>1</v>
      </c>
      <c r="S1437" s="3" t="s">
        <v>47</v>
      </c>
      <c r="T1437" s="1">
        <v>4</v>
      </c>
      <c r="U1437" s="3" t="s">
        <v>41</v>
      </c>
      <c r="V1437" s="4">
        <v>2436</v>
      </c>
      <c r="W1437" s="1">
        <v>13422</v>
      </c>
      <c r="X1437" s="1">
        <v>6</v>
      </c>
      <c r="Y1437" s="3" t="s">
        <v>42</v>
      </c>
      <c r="Z1437" s="3" t="s">
        <v>35</v>
      </c>
      <c r="AA1437" s="5">
        <v>0.12</v>
      </c>
      <c r="AB1437" s="10" t="str" cm="1">
        <f t="array" ref="AB1437">_xlfn.IFS(AA1437 &lt;= 15%, "Low Hike[11-15%]", AA1437 &lt;= 20%, "Moderate Hike[16-20%]", AA1437 &lt;= 25%,"High Hike[21-25%]")</f>
        <v>Low Hike[11-15%]</v>
      </c>
      <c r="AC1437" s="1">
        <v>3</v>
      </c>
      <c r="AD1437" s="1">
        <v>3</v>
      </c>
      <c r="AE1437" s="1">
        <v>80</v>
      </c>
      <c r="AF1437" s="1">
        <v>0</v>
      </c>
      <c r="AG1437" s="1">
        <v>6</v>
      </c>
      <c r="AH1437" s="9" t="str" cm="1">
        <f t="array" ref="AH1437">_xlfn.IFS(AG1437 &lt;= 5, "New[1-5]", AG1437 &lt;= 10, "Early Career[6-10]", AG1437 &lt;= 20, "Established[11-20]", AG1437 &lt;= 30, "Veteran[21-30]", AG1437 &lt;= 40, "Late Career[31-40]")</f>
        <v>Early Career[6-10]</v>
      </c>
      <c r="AI1437" s="1">
        <v>2</v>
      </c>
      <c r="AJ1437" s="1">
        <v>3</v>
      </c>
      <c r="AK1437" s="1">
        <v>4</v>
      </c>
      <c r="AL1437" s="9" t="str" cm="1">
        <f t="array" ref="AL1437">_xlfn.IFS(AK1437 &lt;= 5, "New[1-5]", AK1437 &lt;= 10, "Early Career[6-10]", AK1437 &lt;= 20, "Established[11-20]", AK1437 &lt;= 30, "Veteran[21-30]", AK1437 &lt;= 40, "Late Career[31-40]")</f>
        <v>New[1-5]</v>
      </c>
      <c r="AM1437" s="1">
        <v>3</v>
      </c>
      <c r="AN1437" s="9" t="str" cm="1">
        <f t="array" ref="AN1437">_xlfn.IFS(AM1437 &lt;= 3, "New to Role[1-3]", AM1437 &lt;= 7, "Settled[4-7]", AM1437 &lt;= 12, "Experienced[[8-12]", AM1437 &lt;= 18, "Long Tenured[13-18]")</f>
        <v>New to Role[1-3]</v>
      </c>
      <c r="AO1437" s="1">
        <v>1</v>
      </c>
      <c r="AP1437" s="9" t="str" cm="1">
        <f t="array" ref="AP1437">_xlfn.IFS(AO1437 &lt;= 3, "Recently[1-3]", AO1437 &lt;= 6, "Due Soon[4-6]", AO1437 &lt;= 10, "Overdue[7-10]", AO1437 &lt;= 15, "Long Overdue[11-15]")</f>
        <v>Recently[1-3]</v>
      </c>
      <c r="AQ1437" s="9" t="str" cm="1">
        <f t="array" ref="AQ1437">_xlfn.IFS(AR1437 &lt;= 3, "New Relationship[1-3]", AR1437 &lt;= 7, "Established Relationship[4-7]", AR1437 &lt;= 12, "Long Term Relationship[8-12]", AR1437 &lt;= 17, "Very Long Term Relationship[13-17]")</f>
        <v>New Relationship[1-3]</v>
      </c>
      <c r="AR1437" s="1">
        <v>2</v>
      </c>
    </row>
    <row r="1438" spans="1:44" x14ac:dyDescent="0.25">
      <c r="A1438" s="1">
        <v>21</v>
      </c>
      <c r="B1438" s="8" t="str" cm="1">
        <f t="array" ref="B1438">_xlfn.IFS(A1438 &lt;= 25, "[18-25]", A1438 &lt;= 35, "[26-35]", A1438 &lt;=45, "[36-45]", A1438 &lt;= 60, "[46- 60]")</f>
        <v>[18-25]</v>
      </c>
      <c r="C1438" s="3" t="s">
        <v>43</v>
      </c>
      <c r="D1438">
        <f t="shared" si="22"/>
        <v>0</v>
      </c>
      <c r="E1438" t="s">
        <v>36</v>
      </c>
      <c r="F1438" s="1">
        <v>501</v>
      </c>
      <c r="G1438" s="3" t="s">
        <v>37</v>
      </c>
      <c r="H1438" s="1">
        <v>5</v>
      </c>
      <c r="I1438" s="9" t="str" cm="1">
        <f t="array" ref="I1438">_xlfn.IFS(H1438 &lt;= 2, "[1-2] very close", H1438 &lt;= 10, "[3-10] close", H1438 &lt;= 20, "[11-20] moderate", H1438 &lt;= 30, "[21-30] far")</f>
        <v>[3-10] close</v>
      </c>
      <c r="J1438" s="1">
        <v>1</v>
      </c>
      <c r="K1438" s="3" t="s">
        <v>51</v>
      </c>
      <c r="L1438" s="1">
        <v>1</v>
      </c>
      <c r="M1438" s="1">
        <v>2021</v>
      </c>
      <c r="N1438" s="1">
        <v>3</v>
      </c>
      <c r="O1438" s="3" t="s">
        <v>46</v>
      </c>
      <c r="P1438" s="1">
        <v>58</v>
      </c>
      <c r="Q1438" s="1">
        <v>3</v>
      </c>
      <c r="R1438" s="1">
        <v>1</v>
      </c>
      <c r="S1438" s="3" t="s">
        <v>57</v>
      </c>
      <c r="T1438" s="1">
        <v>1</v>
      </c>
      <c r="U1438" s="3" t="s">
        <v>41</v>
      </c>
      <c r="V1438" s="4">
        <v>2380</v>
      </c>
      <c r="W1438" s="1">
        <v>25479</v>
      </c>
      <c r="X1438" s="1">
        <v>1</v>
      </c>
      <c r="Y1438" s="3" t="s">
        <v>42</v>
      </c>
      <c r="Z1438" s="3" t="s">
        <v>35</v>
      </c>
      <c r="AA1438" s="5">
        <v>0.11</v>
      </c>
      <c r="AB1438" s="10" t="str" cm="1">
        <f t="array" ref="AB1438">_xlfn.IFS(AA1438 &lt;= 15%, "Low Hike[11-15%]", AA1438 &lt;= 20%, "Moderate Hike[16-20%]", AA1438 &lt;= 25%,"High Hike[21-25%]")</f>
        <v>Low Hike[11-15%]</v>
      </c>
      <c r="AC1438" s="1">
        <v>3</v>
      </c>
      <c r="AD1438" s="1">
        <v>4</v>
      </c>
      <c r="AE1438" s="1">
        <v>80</v>
      </c>
      <c r="AF1438" s="1">
        <v>0</v>
      </c>
      <c r="AG1438" s="1">
        <v>2</v>
      </c>
      <c r="AH1438" s="9" t="str" cm="1">
        <f t="array" ref="AH1438">_xlfn.IFS(AG1438 &lt;= 5, "New[1-5]", AG1438 &lt;= 10, "Early Career[6-10]", AG1438 &lt;= 20, "Established[11-20]", AG1438 &lt;= 30, "Veteran[21-30]", AG1438 &lt;= 40, "Late Career[31-40]")</f>
        <v>New[1-5]</v>
      </c>
      <c r="AI1438" s="1">
        <v>6</v>
      </c>
      <c r="AJ1438" s="1">
        <v>3</v>
      </c>
      <c r="AK1438" s="1">
        <v>2</v>
      </c>
      <c r="AL1438" s="9" t="str" cm="1">
        <f t="array" ref="AL1438">_xlfn.IFS(AK1438 &lt;= 5, "New[1-5]", AK1438 &lt;= 10, "Early Career[6-10]", AK1438 &lt;= 20, "Established[11-20]", AK1438 &lt;= 30, "Veteran[21-30]", AK1438 &lt;= 40, "Late Career[31-40]")</f>
        <v>New[1-5]</v>
      </c>
      <c r="AM1438" s="1">
        <v>2</v>
      </c>
      <c r="AN1438" s="9" t="str" cm="1">
        <f t="array" ref="AN1438">_xlfn.IFS(AM1438 &lt;= 3, "New to Role[1-3]", AM1438 &lt;= 7, "Settled[4-7]", AM1438 &lt;= 12, "Experienced[[8-12]", AM1438 &lt;= 18, "Long Tenured[13-18]")</f>
        <v>New to Role[1-3]</v>
      </c>
      <c r="AO1438" s="1">
        <v>1</v>
      </c>
      <c r="AP1438" s="9" t="str" cm="1">
        <f t="array" ref="AP1438">_xlfn.IFS(AO1438 &lt;= 3, "Recently[1-3]", AO1438 &lt;= 6, "Due Soon[4-6]", AO1438 &lt;= 10, "Overdue[7-10]", AO1438 &lt;= 15, "Long Overdue[11-15]")</f>
        <v>Recently[1-3]</v>
      </c>
      <c r="AQ1438" s="9" t="str" cm="1">
        <f t="array" ref="AQ1438">_xlfn.IFS(AR1438 &lt;= 3, "New Relationship[1-3]", AR1438 &lt;= 7, "Established Relationship[4-7]", AR1438 &lt;= 12, "Long Term Relationship[8-12]", AR1438 &lt;= 17, "Very Long Term Relationship[13-17]")</f>
        <v>New Relationship[1-3]</v>
      </c>
      <c r="AR1438" s="1">
        <v>2</v>
      </c>
    </row>
    <row r="1439" spans="1:44" x14ac:dyDescent="0.25">
      <c r="A1439" s="1">
        <v>39</v>
      </c>
      <c r="B1439" s="8" t="str" cm="1">
        <f t="array" ref="B1439">_xlfn.IFS(A1439 &lt;= 25, "[18-25]", A1439 &lt;= 35, "[26-35]", A1439 &lt;=45, "[36-45]", A1439 &lt;= 60, "[46- 60]")</f>
        <v>[36-45]</v>
      </c>
      <c r="C1439" s="3" t="s">
        <v>43</v>
      </c>
      <c r="D1439">
        <f t="shared" si="22"/>
        <v>0</v>
      </c>
      <c r="E1439" t="s">
        <v>62</v>
      </c>
      <c r="F1439" s="1">
        <v>105</v>
      </c>
      <c r="G1439" s="3" t="s">
        <v>45</v>
      </c>
      <c r="H1439" s="1">
        <v>9</v>
      </c>
      <c r="I1439" s="9" t="str" cm="1">
        <f t="array" ref="I1439">_xlfn.IFS(H1439 &lt;= 2, "[1-2] very close", H1439 &lt;= 10, "[3-10] close", H1439 &lt;= 20, "[11-20] moderate", H1439 &lt;= 30, "[21-30] far")</f>
        <v>[3-10] close</v>
      </c>
      <c r="J1439" s="1">
        <v>3</v>
      </c>
      <c r="K1439" s="3" t="s">
        <v>38</v>
      </c>
      <c r="L1439" s="1">
        <v>1</v>
      </c>
      <c r="M1439" s="1">
        <v>2022</v>
      </c>
      <c r="N1439" s="1">
        <v>4</v>
      </c>
      <c r="O1439" s="3" t="s">
        <v>46</v>
      </c>
      <c r="P1439" s="1">
        <v>87</v>
      </c>
      <c r="Q1439" s="1">
        <v>3</v>
      </c>
      <c r="R1439" s="1">
        <v>5</v>
      </c>
      <c r="S1439" s="3" t="s">
        <v>56</v>
      </c>
      <c r="T1439" s="1">
        <v>4</v>
      </c>
      <c r="U1439" s="3" t="s">
        <v>41</v>
      </c>
      <c r="V1439" s="4">
        <v>19431</v>
      </c>
      <c r="W1439" s="1">
        <v>15302</v>
      </c>
      <c r="X1439" s="1">
        <v>2</v>
      </c>
      <c r="Y1439" s="3" t="s">
        <v>42</v>
      </c>
      <c r="Z1439" s="3" t="s">
        <v>43</v>
      </c>
      <c r="AA1439" s="5">
        <v>0.13</v>
      </c>
      <c r="AB1439" s="10" t="str" cm="1">
        <f t="array" ref="AB1439">_xlfn.IFS(AA1439 &lt;= 15%, "Low Hike[11-15%]", AA1439 &lt;= 20%, "Moderate Hike[16-20%]", AA1439 &lt;= 25%,"High Hike[21-25%]")</f>
        <v>Low Hike[11-15%]</v>
      </c>
      <c r="AC1439" s="1">
        <v>3</v>
      </c>
      <c r="AD1439" s="1">
        <v>3</v>
      </c>
      <c r="AE1439" s="1">
        <v>80</v>
      </c>
      <c r="AF1439" s="1">
        <v>0</v>
      </c>
      <c r="AG1439" s="1">
        <v>21</v>
      </c>
      <c r="AH1439" s="9" t="str" cm="1">
        <f t="array" ref="AH1439">_xlfn.IFS(AG1439 &lt;= 5, "New[1-5]", AG1439 &lt;= 10, "Early Career[6-10]", AG1439 &lt;= 20, "Established[11-20]", AG1439 &lt;= 30, "Veteran[21-30]", AG1439 &lt;= 40, "Late Career[31-40]")</f>
        <v>Veteran[21-30]</v>
      </c>
      <c r="AI1439" s="1">
        <v>3</v>
      </c>
      <c r="AJ1439" s="1">
        <v>2</v>
      </c>
      <c r="AK1439" s="1">
        <v>6</v>
      </c>
      <c r="AL1439" s="9" t="str" cm="1">
        <f t="array" ref="AL1439">_xlfn.IFS(AK1439 &lt;= 5, "New[1-5]", AK1439 &lt;= 10, "Early Career[6-10]", AK1439 &lt;= 20, "Established[11-20]", AK1439 &lt;= 30, "Veteran[21-30]", AK1439 &lt;= 40, "Late Career[31-40]")</f>
        <v>Early Career[6-10]</v>
      </c>
      <c r="AM1439" s="1">
        <v>0</v>
      </c>
      <c r="AN1439" s="9" t="str" cm="1">
        <f t="array" ref="AN1439">_xlfn.IFS(AM1439 &lt;= 3, "New to Role[1-3]", AM1439 &lt;= 7, "Settled[4-7]", AM1439 &lt;= 12, "Experienced[[8-12]", AM1439 &lt;= 18, "Long Tenured[13-18]")</f>
        <v>New to Role[1-3]</v>
      </c>
      <c r="AO1439" s="1">
        <v>1</v>
      </c>
      <c r="AP1439" s="9" t="str" cm="1">
        <f t="array" ref="AP1439">_xlfn.IFS(AO1439 &lt;= 3, "Recently[1-3]", AO1439 &lt;= 6, "Due Soon[4-6]", AO1439 &lt;= 10, "Overdue[7-10]", AO1439 &lt;= 15, "Long Overdue[11-15]")</f>
        <v>Recently[1-3]</v>
      </c>
      <c r="AQ1439" s="9" t="str" cm="1">
        <f t="array" ref="AQ1439">_xlfn.IFS(AR1439 &lt;= 3, "New Relationship[1-3]", AR1439 &lt;= 7, "Established Relationship[4-7]", AR1439 &lt;= 12, "Long Term Relationship[8-12]", AR1439 &lt;= 17, "Very Long Term Relationship[13-17]")</f>
        <v>New Relationship[1-3]</v>
      </c>
      <c r="AR1439" s="1">
        <v>3</v>
      </c>
    </row>
    <row r="1440" spans="1:44" x14ac:dyDescent="0.25">
      <c r="A1440" s="1">
        <v>23</v>
      </c>
      <c r="B1440" s="8" t="str" cm="1">
        <f t="array" ref="B1440">_xlfn.IFS(A1440 &lt;= 25, "[18-25]", A1440 &lt;= 35, "[26-35]", A1440 &lt;=45, "[36-45]", A1440 &lt;= 60, "[46- 60]")</f>
        <v>[18-25]</v>
      </c>
      <c r="C1440" s="3" t="s">
        <v>35</v>
      </c>
      <c r="D1440">
        <f t="shared" si="22"/>
        <v>1</v>
      </c>
      <c r="E1440" t="s">
        <v>44</v>
      </c>
      <c r="F1440" s="1">
        <v>638</v>
      </c>
      <c r="G1440" s="3" t="s">
        <v>37</v>
      </c>
      <c r="H1440" s="1">
        <v>9</v>
      </c>
      <c r="I1440" s="9" t="str" cm="1">
        <f t="array" ref="I1440">_xlfn.IFS(H1440 &lt;= 2, "[1-2] very close", H1440 &lt;= 10, "[3-10] close", H1440 &lt;= 20, "[11-20] moderate", H1440 &lt;= 30, "[21-30] far")</f>
        <v>[3-10] close</v>
      </c>
      <c r="J1440" s="1">
        <v>3</v>
      </c>
      <c r="K1440" s="3" t="s">
        <v>59</v>
      </c>
      <c r="L1440" s="1">
        <v>1</v>
      </c>
      <c r="M1440" s="1">
        <v>2023</v>
      </c>
      <c r="N1440" s="1">
        <v>4</v>
      </c>
      <c r="O1440" s="3" t="s">
        <v>46</v>
      </c>
      <c r="P1440" s="1">
        <v>33</v>
      </c>
      <c r="Q1440" s="1">
        <v>3</v>
      </c>
      <c r="R1440" s="1">
        <v>1</v>
      </c>
      <c r="S1440" s="3" t="s">
        <v>57</v>
      </c>
      <c r="T1440" s="1">
        <v>1</v>
      </c>
      <c r="U1440" s="3" t="s">
        <v>48</v>
      </c>
      <c r="V1440" s="4">
        <v>1790</v>
      </c>
      <c r="W1440" s="1">
        <v>26956</v>
      </c>
      <c r="X1440" s="1">
        <v>1</v>
      </c>
      <c r="Y1440" s="3" t="s">
        <v>42</v>
      </c>
      <c r="Z1440" s="3" t="s">
        <v>43</v>
      </c>
      <c r="AA1440" s="5">
        <v>0.19</v>
      </c>
      <c r="AB1440" s="10" t="str" cm="1">
        <f t="array" ref="AB1440">_xlfn.IFS(AA1440 &lt;= 15%, "Low Hike[11-15%]", AA1440 &lt;= 20%, "Moderate Hike[16-20%]", AA1440 &lt;= 25%,"High Hike[21-25%]")</f>
        <v>Moderate Hike[16-20%]</v>
      </c>
      <c r="AC1440" s="1">
        <v>3</v>
      </c>
      <c r="AD1440" s="1">
        <v>1</v>
      </c>
      <c r="AE1440" s="1">
        <v>80</v>
      </c>
      <c r="AF1440" s="1">
        <v>1</v>
      </c>
      <c r="AG1440" s="1">
        <v>1</v>
      </c>
      <c r="AH1440" s="9" t="str" cm="1">
        <f t="array" ref="AH1440">_xlfn.IFS(AG1440 &lt;= 5, "New[1-5]", AG1440 &lt;= 10, "Early Career[6-10]", AG1440 &lt;= 20, "Established[11-20]", AG1440 &lt;= 30, "Veteran[21-30]", AG1440 &lt;= 40, "Late Career[31-40]")</f>
        <v>New[1-5]</v>
      </c>
      <c r="AI1440" s="1">
        <v>3</v>
      </c>
      <c r="AJ1440" s="1">
        <v>2</v>
      </c>
      <c r="AK1440" s="1">
        <v>1</v>
      </c>
      <c r="AL1440" s="9" t="str" cm="1">
        <f t="array" ref="AL1440">_xlfn.IFS(AK1440 &lt;= 5, "New[1-5]", AK1440 &lt;= 10, "Early Career[6-10]", AK1440 &lt;= 20, "Established[11-20]", AK1440 &lt;= 30, "Veteran[21-30]", AK1440 &lt;= 40, "Late Career[31-40]")</f>
        <v>New[1-5]</v>
      </c>
      <c r="AM1440" s="1">
        <v>0</v>
      </c>
      <c r="AN1440" s="9" t="str" cm="1">
        <f t="array" ref="AN1440">_xlfn.IFS(AM1440 &lt;= 3, "New to Role[1-3]", AM1440 &lt;= 7, "Settled[4-7]", AM1440 &lt;= 12, "Experienced[[8-12]", AM1440 &lt;= 18, "Long Tenured[13-18]")</f>
        <v>New to Role[1-3]</v>
      </c>
      <c r="AO1440" s="1">
        <v>1</v>
      </c>
      <c r="AP1440" s="9" t="str" cm="1">
        <f t="array" ref="AP1440">_xlfn.IFS(AO1440 &lt;= 3, "Recently[1-3]", AO1440 &lt;= 6, "Due Soon[4-6]", AO1440 &lt;= 10, "Overdue[7-10]", AO1440 &lt;= 15, "Long Overdue[11-15]")</f>
        <v>Recently[1-3]</v>
      </c>
      <c r="AQ1440" s="9" t="str" cm="1">
        <f t="array" ref="AQ1440">_xlfn.IFS(AR1440 &lt;= 3, "New Relationship[1-3]", AR1440 &lt;= 7, "Established Relationship[4-7]", AR1440 &lt;= 12, "Long Term Relationship[8-12]", AR1440 &lt;= 17, "Very Long Term Relationship[13-17]")</f>
        <v>New Relationship[1-3]</v>
      </c>
      <c r="AR1440" s="1">
        <v>0</v>
      </c>
    </row>
    <row r="1441" spans="1:44" x14ac:dyDescent="0.25">
      <c r="A1441" s="1">
        <v>36</v>
      </c>
      <c r="B1441" s="8" t="str" cm="1">
        <f t="array" ref="B1441">_xlfn.IFS(A1441 &lt;= 25, "[18-25]", A1441 &lt;= 35, "[26-35]", A1441 &lt;=45, "[36-45]", A1441 &lt;= 60, "[46- 60]")</f>
        <v>[36-45]</v>
      </c>
      <c r="C1441" s="3" t="s">
        <v>43</v>
      </c>
      <c r="D1441">
        <f t="shared" si="22"/>
        <v>0</v>
      </c>
      <c r="E1441" t="s">
        <v>36</v>
      </c>
      <c r="F1441" s="1">
        <v>557</v>
      </c>
      <c r="G1441" s="3" t="s">
        <v>37</v>
      </c>
      <c r="H1441" s="1">
        <v>3</v>
      </c>
      <c r="I1441" s="9" t="str" cm="1">
        <f t="array" ref="I1441">_xlfn.IFS(H1441 &lt;= 2, "[1-2] very close", H1441 &lt;= 10, "[3-10] close", H1441 &lt;= 20, "[11-20] moderate", H1441 &lt;= 30, "[21-30] far")</f>
        <v>[3-10] close</v>
      </c>
      <c r="J1441" s="1">
        <v>3</v>
      </c>
      <c r="K1441" s="3" t="s">
        <v>51</v>
      </c>
      <c r="L1441" s="1">
        <v>1</v>
      </c>
      <c r="M1441" s="1">
        <v>2024</v>
      </c>
      <c r="N1441" s="1">
        <v>1</v>
      </c>
      <c r="O1441" s="3" t="s">
        <v>39</v>
      </c>
      <c r="P1441" s="1">
        <v>94</v>
      </c>
      <c r="Q1441" s="1">
        <v>2</v>
      </c>
      <c r="R1441" s="1">
        <v>3</v>
      </c>
      <c r="S1441" s="3" t="s">
        <v>40</v>
      </c>
      <c r="T1441" s="1">
        <v>4</v>
      </c>
      <c r="U1441" s="3" t="s">
        <v>48</v>
      </c>
      <c r="V1441" s="4">
        <v>7644</v>
      </c>
      <c r="W1441" s="1">
        <v>12695</v>
      </c>
      <c r="X1441" s="1">
        <v>0</v>
      </c>
      <c r="Y1441" s="3" t="s">
        <v>42</v>
      </c>
      <c r="Z1441" s="3" t="s">
        <v>43</v>
      </c>
      <c r="AA1441" s="5">
        <v>0.19</v>
      </c>
      <c r="AB1441" s="10" t="str" cm="1">
        <f t="array" ref="AB1441">_xlfn.IFS(AA1441 &lt;= 15%, "Low Hike[11-15%]", AA1441 &lt;= 20%, "Moderate Hike[16-20%]", AA1441 &lt;= 25%,"High Hike[21-25%]")</f>
        <v>Moderate Hike[16-20%]</v>
      </c>
      <c r="AC1441" s="1">
        <v>3</v>
      </c>
      <c r="AD1441" s="1">
        <v>3</v>
      </c>
      <c r="AE1441" s="1">
        <v>80</v>
      </c>
      <c r="AF1441" s="1">
        <v>2</v>
      </c>
      <c r="AG1441" s="1">
        <v>10</v>
      </c>
      <c r="AH1441" s="9" t="str" cm="1">
        <f t="array" ref="AH1441">_xlfn.IFS(AG1441 &lt;= 5, "New[1-5]", AG1441 &lt;= 10, "Early Career[6-10]", AG1441 &lt;= 20, "Established[11-20]", AG1441 &lt;= 30, "Veteran[21-30]", AG1441 &lt;= 40, "Late Career[31-40]")</f>
        <v>Early Career[6-10]</v>
      </c>
      <c r="AI1441" s="1">
        <v>2</v>
      </c>
      <c r="AJ1441" s="1">
        <v>3</v>
      </c>
      <c r="AK1441" s="1">
        <v>9</v>
      </c>
      <c r="AL1441" s="9" t="str" cm="1">
        <f t="array" ref="AL1441">_xlfn.IFS(AK1441 &lt;= 5, "New[1-5]", AK1441 &lt;= 10, "Early Career[6-10]", AK1441 &lt;= 20, "Established[11-20]", AK1441 &lt;= 30, "Veteran[21-30]", AK1441 &lt;= 40, "Late Career[31-40]")</f>
        <v>Early Career[6-10]</v>
      </c>
      <c r="AM1441" s="1">
        <v>7</v>
      </c>
      <c r="AN1441" s="9" t="str" cm="1">
        <f t="array" ref="AN1441">_xlfn.IFS(AM1441 &lt;= 3, "New to Role[1-3]", AM1441 &lt;= 7, "Settled[4-7]", AM1441 &lt;= 12, "Experienced[[8-12]", AM1441 &lt;= 18, "Long Tenured[13-18]")</f>
        <v>Settled[4-7]</v>
      </c>
      <c r="AO1441" s="1">
        <v>3</v>
      </c>
      <c r="AP1441" s="9" t="str" cm="1">
        <f t="array" ref="AP1441">_xlfn.IFS(AO1441 &lt;= 3, "Recently[1-3]", AO1441 &lt;= 6, "Due Soon[4-6]", AO1441 &lt;= 10, "Overdue[7-10]", AO1441 &lt;= 15, "Long Overdue[11-15]")</f>
        <v>Recently[1-3]</v>
      </c>
      <c r="AQ1441" s="9" t="str" cm="1">
        <f t="array" ref="AQ1441">_xlfn.IFS(AR1441 &lt;= 3, "New Relationship[1-3]", AR1441 &lt;= 7, "Established Relationship[4-7]", AR1441 &lt;= 12, "Long Term Relationship[8-12]", AR1441 &lt;= 17, "Very Long Term Relationship[13-17]")</f>
        <v>Established Relationship[4-7]</v>
      </c>
      <c r="AR1441" s="1">
        <v>4</v>
      </c>
    </row>
    <row r="1442" spans="1:44" x14ac:dyDescent="0.25">
      <c r="A1442" s="1">
        <v>36</v>
      </c>
      <c r="B1442" s="8" t="str" cm="1">
        <f t="array" ref="B1442">_xlfn.IFS(A1442 &lt;= 25, "[18-25]", A1442 &lt;= 35, "[26-35]", A1442 &lt;=45, "[36-45]", A1442 &lt;= 60, "[46- 60]")</f>
        <v>[36-45]</v>
      </c>
      <c r="C1442" s="3" t="s">
        <v>43</v>
      </c>
      <c r="D1442">
        <f t="shared" si="22"/>
        <v>0</v>
      </c>
      <c r="E1442" t="s">
        <v>44</v>
      </c>
      <c r="F1442" s="1">
        <v>688</v>
      </c>
      <c r="G1442" s="3" t="s">
        <v>45</v>
      </c>
      <c r="H1442" s="1">
        <v>4</v>
      </c>
      <c r="I1442" s="9" t="str" cm="1">
        <f t="array" ref="I1442">_xlfn.IFS(H1442 &lt;= 2, "[1-2] very close", H1442 &lt;= 10, "[3-10] close", H1442 &lt;= 20, "[11-20] moderate", H1442 &lt;= 30, "[21-30] far")</f>
        <v>[3-10] close</v>
      </c>
      <c r="J1442" s="1">
        <v>2</v>
      </c>
      <c r="K1442" s="3" t="s">
        <v>38</v>
      </c>
      <c r="L1442" s="1">
        <v>1</v>
      </c>
      <c r="M1442" s="1">
        <v>2025</v>
      </c>
      <c r="N1442" s="1">
        <v>4</v>
      </c>
      <c r="O1442" s="3" t="s">
        <v>39</v>
      </c>
      <c r="P1442" s="1">
        <v>97</v>
      </c>
      <c r="Q1442" s="1">
        <v>3</v>
      </c>
      <c r="R1442" s="1">
        <v>2</v>
      </c>
      <c r="S1442" s="3" t="s">
        <v>53</v>
      </c>
      <c r="T1442" s="1">
        <v>2</v>
      </c>
      <c r="U1442" s="3" t="s">
        <v>52</v>
      </c>
      <c r="V1442" s="4">
        <v>5131</v>
      </c>
      <c r="W1442" s="1">
        <v>9192</v>
      </c>
      <c r="X1442" s="1">
        <v>7</v>
      </c>
      <c r="Y1442" s="3" t="s">
        <v>42</v>
      </c>
      <c r="Z1442" s="3" t="s">
        <v>43</v>
      </c>
      <c r="AA1442" s="5">
        <v>0.13</v>
      </c>
      <c r="AB1442" s="10" t="str" cm="1">
        <f t="array" ref="AB1442">_xlfn.IFS(AA1442 &lt;= 15%, "Low Hike[11-15%]", AA1442 &lt;= 20%, "Moderate Hike[16-20%]", AA1442 &lt;= 25%,"High Hike[21-25%]")</f>
        <v>Low Hike[11-15%]</v>
      </c>
      <c r="AC1442" s="1">
        <v>3</v>
      </c>
      <c r="AD1442" s="1">
        <v>2</v>
      </c>
      <c r="AE1442" s="1">
        <v>80</v>
      </c>
      <c r="AF1442" s="1">
        <v>3</v>
      </c>
      <c r="AG1442" s="1">
        <v>18</v>
      </c>
      <c r="AH1442" s="9" t="str" cm="1">
        <f t="array" ref="AH1442">_xlfn.IFS(AG1442 &lt;= 5, "New[1-5]", AG1442 &lt;= 10, "Early Career[6-10]", AG1442 &lt;= 20, "Established[11-20]", AG1442 &lt;= 30, "Veteran[21-30]", AG1442 &lt;= 40, "Late Career[31-40]")</f>
        <v>Established[11-20]</v>
      </c>
      <c r="AI1442" s="1">
        <v>3</v>
      </c>
      <c r="AJ1442" s="1">
        <v>3</v>
      </c>
      <c r="AK1442" s="1">
        <v>4</v>
      </c>
      <c r="AL1442" s="9" t="str" cm="1">
        <f t="array" ref="AL1442">_xlfn.IFS(AK1442 &lt;= 5, "New[1-5]", AK1442 &lt;= 10, "Early Career[6-10]", AK1442 &lt;= 20, "Established[11-20]", AK1442 &lt;= 30, "Veteran[21-30]", AK1442 &lt;= 40, "Late Career[31-40]")</f>
        <v>New[1-5]</v>
      </c>
      <c r="AM1442" s="1">
        <v>2</v>
      </c>
      <c r="AN1442" s="9" t="str" cm="1">
        <f t="array" ref="AN1442">_xlfn.IFS(AM1442 &lt;= 3, "New to Role[1-3]", AM1442 &lt;= 7, "Settled[4-7]", AM1442 &lt;= 12, "Experienced[[8-12]", AM1442 &lt;= 18, "Long Tenured[13-18]")</f>
        <v>New to Role[1-3]</v>
      </c>
      <c r="AO1442" s="1">
        <v>0</v>
      </c>
      <c r="AP1442" s="9" t="str" cm="1">
        <f t="array" ref="AP1442">_xlfn.IFS(AO1442 &lt;= 3, "Recently[1-3]", AO1442 &lt;= 6, "Due Soon[4-6]", AO1442 &lt;= 10, "Overdue[7-10]", AO1442 &lt;= 15, "Long Overdue[11-15]")</f>
        <v>Recently[1-3]</v>
      </c>
      <c r="AQ1442" s="9" t="str" cm="1">
        <f t="array" ref="AQ1442">_xlfn.IFS(AR1442 &lt;= 3, "New Relationship[1-3]", AR1442 &lt;= 7, "Established Relationship[4-7]", AR1442 &lt;= 12, "Long Term Relationship[8-12]", AR1442 &lt;= 17, "Very Long Term Relationship[13-17]")</f>
        <v>New Relationship[1-3]</v>
      </c>
      <c r="AR1442" s="1">
        <v>2</v>
      </c>
    </row>
    <row r="1443" spans="1:44" x14ac:dyDescent="0.25">
      <c r="A1443" s="1">
        <v>56</v>
      </c>
      <c r="B1443" s="8" t="str" cm="1">
        <f t="array" ref="B1443">_xlfn.IFS(A1443 &lt;= 25, "[18-25]", A1443 &lt;= 35, "[26-35]", A1443 &lt;=45, "[36-45]", A1443 &lt;= 60, "[46- 60]")</f>
        <v>[46- 60]</v>
      </c>
      <c r="C1443" s="3" t="s">
        <v>43</v>
      </c>
      <c r="D1443">
        <f t="shared" si="22"/>
        <v>0</v>
      </c>
      <c r="E1443" t="s">
        <v>62</v>
      </c>
      <c r="F1443" s="1">
        <v>667</v>
      </c>
      <c r="G1443" s="3" t="s">
        <v>45</v>
      </c>
      <c r="H1443" s="1">
        <v>1</v>
      </c>
      <c r="I1443" s="9" t="str" cm="1">
        <f t="array" ref="I1443">_xlfn.IFS(H1443 &lt;= 2, "[1-2] very close", H1443 &lt;= 10, "[3-10] close", H1443 &lt;= 20, "[11-20] moderate", H1443 &lt;= 30, "[21-30] far")</f>
        <v>[1-2] very close</v>
      </c>
      <c r="J1443" s="1">
        <v>4</v>
      </c>
      <c r="K1443" s="3" t="s">
        <v>38</v>
      </c>
      <c r="L1443" s="1">
        <v>1</v>
      </c>
      <c r="M1443" s="1">
        <v>2026</v>
      </c>
      <c r="N1443" s="1">
        <v>3</v>
      </c>
      <c r="O1443" s="3" t="s">
        <v>46</v>
      </c>
      <c r="P1443" s="1">
        <v>57</v>
      </c>
      <c r="Q1443" s="1">
        <v>3</v>
      </c>
      <c r="R1443" s="1">
        <v>2</v>
      </c>
      <c r="S1443" s="3" t="s">
        <v>54</v>
      </c>
      <c r="T1443" s="1">
        <v>3</v>
      </c>
      <c r="U1443" s="3" t="s">
        <v>52</v>
      </c>
      <c r="V1443" s="4">
        <v>6306</v>
      </c>
      <c r="W1443" s="1">
        <v>26236</v>
      </c>
      <c r="X1443" s="1">
        <v>1</v>
      </c>
      <c r="Y1443" s="3" t="s">
        <v>42</v>
      </c>
      <c r="Z1443" s="3" t="s">
        <v>43</v>
      </c>
      <c r="AA1443" s="5">
        <v>0.21</v>
      </c>
      <c r="AB1443" s="10" t="str" cm="1">
        <f t="array" ref="AB1443">_xlfn.IFS(AA1443 &lt;= 15%, "Low Hike[11-15%]", AA1443 &lt;= 20%, "Moderate Hike[16-20%]", AA1443 &lt;= 25%,"High Hike[21-25%]")</f>
        <v>High Hike[21-25%]</v>
      </c>
      <c r="AC1443" s="1">
        <v>4</v>
      </c>
      <c r="AD1443" s="1">
        <v>1</v>
      </c>
      <c r="AE1443" s="1">
        <v>80</v>
      </c>
      <c r="AF1443" s="1">
        <v>1</v>
      </c>
      <c r="AG1443" s="1">
        <v>13</v>
      </c>
      <c r="AH1443" s="9" t="str" cm="1">
        <f t="array" ref="AH1443">_xlfn.IFS(AG1443 &lt;= 5, "New[1-5]", AG1443 &lt;= 10, "Early Career[6-10]", AG1443 &lt;= 20, "Established[11-20]", AG1443 &lt;= 30, "Veteran[21-30]", AG1443 &lt;= 40, "Late Career[31-40]")</f>
        <v>Established[11-20]</v>
      </c>
      <c r="AI1443" s="1">
        <v>2</v>
      </c>
      <c r="AJ1443" s="1">
        <v>2</v>
      </c>
      <c r="AK1443" s="1">
        <v>13</v>
      </c>
      <c r="AL1443" s="9" t="str" cm="1">
        <f t="array" ref="AL1443">_xlfn.IFS(AK1443 &lt;= 5, "New[1-5]", AK1443 &lt;= 10, "Early Career[6-10]", AK1443 &lt;= 20, "Established[11-20]", AK1443 &lt;= 30, "Veteran[21-30]", AK1443 &lt;= 40, "Late Career[31-40]")</f>
        <v>Established[11-20]</v>
      </c>
      <c r="AM1443" s="1">
        <v>12</v>
      </c>
      <c r="AN1443" s="9" t="str" cm="1">
        <f t="array" ref="AN1443">_xlfn.IFS(AM1443 &lt;= 3, "New to Role[1-3]", AM1443 &lt;= 7, "Settled[4-7]", AM1443 &lt;= 12, "Experienced[[8-12]", AM1443 &lt;= 18, "Long Tenured[13-18]")</f>
        <v>Experienced[[8-12]</v>
      </c>
      <c r="AO1443" s="1">
        <v>1</v>
      </c>
      <c r="AP1443" s="9" t="str" cm="1">
        <f t="array" ref="AP1443">_xlfn.IFS(AO1443 &lt;= 3, "Recently[1-3]", AO1443 &lt;= 6, "Due Soon[4-6]", AO1443 &lt;= 10, "Overdue[7-10]", AO1443 &lt;= 15, "Long Overdue[11-15]")</f>
        <v>Recently[1-3]</v>
      </c>
      <c r="AQ1443" s="9" t="str" cm="1">
        <f t="array" ref="AQ1443">_xlfn.IFS(AR1443 &lt;= 3, "New Relationship[1-3]", AR1443 &lt;= 7, "Established Relationship[4-7]", AR1443 &lt;= 12, "Long Term Relationship[8-12]", AR1443 &lt;= 17, "Very Long Term Relationship[13-17]")</f>
        <v>Long Term Relationship[8-12]</v>
      </c>
      <c r="AR1443" s="1">
        <v>9</v>
      </c>
    </row>
    <row r="1444" spans="1:44" x14ac:dyDescent="0.25">
      <c r="A1444" s="1">
        <v>29</v>
      </c>
      <c r="B1444" s="8" t="str" cm="1">
        <f t="array" ref="B1444">_xlfn.IFS(A1444 &lt;= 25, "[18-25]", A1444 &lt;= 35, "[26-35]", A1444 &lt;=45, "[36-45]", A1444 &lt;= 60, "[46- 60]")</f>
        <v>[26-35]</v>
      </c>
      <c r="C1444" s="3" t="s">
        <v>35</v>
      </c>
      <c r="D1444">
        <f t="shared" si="22"/>
        <v>1</v>
      </c>
      <c r="E1444" t="s">
        <v>36</v>
      </c>
      <c r="F1444" s="1">
        <v>1092</v>
      </c>
      <c r="G1444" s="3" t="s">
        <v>45</v>
      </c>
      <c r="H1444" s="1">
        <v>1</v>
      </c>
      <c r="I1444" s="9" t="str" cm="1">
        <f t="array" ref="I1444">_xlfn.IFS(H1444 &lt;= 2, "[1-2] very close", H1444 &lt;= 10, "[3-10] close", H1444 &lt;= 20, "[11-20] moderate", H1444 &lt;= 30, "[21-30] far")</f>
        <v>[1-2] very close</v>
      </c>
      <c r="J1444" s="1">
        <v>4</v>
      </c>
      <c r="K1444" s="3" t="s">
        <v>51</v>
      </c>
      <c r="L1444" s="1">
        <v>1</v>
      </c>
      <c r="M1444" s="1">
        <v>2027</v>
      </c>
      <c r="N1444" s="1">
        <v>1</v>
      </c>
      <c r="O1444" s="3" t="s">
        <v>46</v>
      </c>
      <c r="P1444" s="1">
        <v>36</v>
      </c>
      <c r="Q1444" s="1">
        <v>3</v>
      </c>
      <c r="R1444" s="1">
        <v>1</v>
      </c>
      <c r="S1444" s="3" t="s">
        <v>47</v>
      </c>
      <c r="T1444" s="1">
        <v>4</v>
      </c>
      <c r="U1444" s="3" t="s">
        <v>48</v>
      </c>
      <c r="V1444" s="4">
        <v>4787</v>
      </c>
      <c r="W1444" s="1">
        <v>26124</v>
      </c>
      <c r="X1444" s="1">
        <v>9</v>
      </c>
      <c r="Y1444" s="3" t="s">
        <v>42</v>
      </c>
      <c r="Z1444" s="3" t="s">
        <v>35</v>
      </c>
      <c r="AA1444" s="5">
        <v>0.14000000000000001</v>
      </c>
      <c r="AB1444" s="10" t="str" cm="1">
        <f t="array" ref="AB1444">_xlfn.IFS(AA1444 &lt;= 15%, "Low Hike[11-15%]", AA1444 &lt;= 20%, "Moderate Hike[16-20%]", AA1444 &lt;= 25%,"High Hike[21-25%]")</f>
        <v>Low Hike[11-15%]</v>
      </c>
      <c r="AC1444" s="1">
        <v>3</v>
      </c>
      <c r="AD1444" s="1">
        <v>2</v>
      </c>
      <c r="AE1444" s="1">
        <v>80</v>
      </c>
      <c r="AF1444" s="1">
        <v>3</v>
      </c>
      <c r="AG1444" s="1">
        <v>4</v>
      </c>
      <c r="AH1444" s="9" t="str" cm="1">
        <f t="array" ref="AH1444">_xlfn.IFS(AG1444 &lt;= 5, "New[1-5]", AG1444 &lt;= 10, "Early Career[6-10]", AG1444 &lt;= 20, "Established[11-20]", AG1444 &lt;= 30, "Veteran[21-30]", AG1444 &lt;= 40, "Late Career[31-40]")</f>
        <v>New[1-5]</v>
      </c>
      <c r="AI1444" s="1">
        <v>3</v>
      </c>
      <c r="AJ1444" s="1">
        <v>4</v>
      </c>
      <c r="AK1444" s="1">
        <v>2</v>
      </c>
      <c r="AL1444" s="9" t="str" cm="1">
        <f t="array" ref="AL1444">_xlfn.IFS(AK1444 &lt;= 5, "New[1-5]", AK1444 &lt;= 10, "Early Career[6-10]", AK1444 &lt;= 20, "Established[11-20]", AK1444 &lt;= 30, "Veteran[21-30]", AK1444 &lt;= 40, "Late Career[31-40]")</f>
        <v>New[1-5]</v>
      </c>
      <c r="AM1444" s="1">
        <v>2</v>
      </c>
      <c r="AN1444" s="9" t="str" cm="1">
        <f t="array" ref="AN1444">_xlfn.IFS(AM1444 &lt;= 3, "New to Role[1-3]", AM1444 &lt;= 7, "Settled[4-7]", AM1444 &lt;= 12, "Experienced[[8-12]", AM1444 &lt;= 18, "Long Tenured[13-18]")</f>
        <v>New to Role[1-3]</v>
      </c>
      <c r="AO1444" s="1">
        <v>2</v>
      </c>
      <c r="AP1444" s="9" t="str" cm="1">
        <f t="array" ref="AP1444">_xlfn.IFS(AO1444 &lt;= 3, "Recently[1-3]", AO1444 &lt;= 6, "Due Soon[4-6]", AO1444 &lt;= 10, "Overdue[7-10]", AO1444 &lt;= 15, "Long Overdue[11-15]")</f>
        <v>Recently[1-3]</v>
      </c>
      <c r="AQ1444" s="9" t="str" cm="1">
        <f t="array" ref="AQ1444">_xlfn.IFS(AR1444 &lt;= 3, "New Relationship[1-3]", AR1444 &lt;= 7, "Established Relationship[4-7]", AR1444 &lt;= 12, "Long Term Relationship[8-12]", AR1444 &lt;= 17, "Very Long Term Relationship[13-17]")</f>
        <v>New Relationship[1-3]</v>
      </c>
      <c r="AR1444" s="1">
        <v>2</v>
      </c>
    </row>
    <row r="1445" spans="1:44" x14ac:dyDescent="0.25">
      <c r="A1445" s="1">
        <v>42</v>
      </c>
      <c r="B1445" s="8" t="str" cm="1">
        <f t="array" ref="B1445">_xlfn.IFS(A1445 &lt;= 25, "[18-25]", A1445 &lt;= 35, "[26-35]", A1445 &lt;=45, "[36-45]", A1445 &lt;= 60, "[46- 60]")</f>
        <v>[36-45]</v>
      </c>
      <c r="C1445" s="3" t="s">
        <v>43</v>
      </c>
      <c r="D1445">
        <f t="shared" si="22"/>
        <v>0</v>
      </c>
      <c r="E1445" t="s">
        <v>36</v>
      </c>
      <c r="F1445" s="1">
        <v>300</v>
      </c>
      <c r="G1445" s="3" t="s">
        <v>45</v>
      </c>
      <c r="H1445" s="1">
        <v>2</v>
      </c>
      <c r="I1445" s="9" t="str" cm="1">
        <f t="array" ref="I1445">_xlfn.IFS(H1445 &lt;= 2, "[1-2] very close", H1445 &lt;= 10, "[3-10] close", H1445 &lt;= 20, "[11-20] moderate", H1445 &lt;= 30, "[21-30] far")</f>
        <v>[1-2] very close</v>
      </c>
      <c r="J1445" s="1">
        <v>3</v>
      </c>
      <c r="K1445" s="3" t="s">
        <v>38</v>
      </c>
      <c r="L1445" s="1">
        <v>1</v>
      </c>
      <c r="M1445" s="1">
        <v>2031</v>
      </c>
      <c r="N1445" s="1">
        <v>1</v>
      </c>
      <c r="O1445" s="3" t="s">
        <v>46</v>
      </c>
      <c r="P1445" s="1">
        <v>56</v>
      </c>
      <c r="Q1445" s="1">
        <v>3</v>
      </c>
      <c r="R1445" s="1">
        <v>5</v>
      </c>
      <c r="S1445" s="3" t="s">
        <v>56</v>
      </c>
      <c r="T1445" s="1">
        <v>3</v>
      </c>
      <c r="U1445" s="3" t="s">
        <v>48</v>
      </c>
      <c r="V1445" s="4">
        <v>18880</v>
      </c>
      <c r="W1445" s="1">
        <v>17312</v>
      </c>
      <c r="X1445" s="1">
        <v>5</v>
      </c>
      <c r="Y1445" s="3" t="s">
        <v>42</v>
      </c>
      <c r="Z1445" s="3" t="s">
        <v>43</v>
      </c>
      <c r="AA1445" s="5">
        <v>0.11</v>
      </c>
      <c r="AB1445" s="10" t="str" cm="1">
        <f t="array" ref="AB1445">_xlfn.IFS(AA1445 &lt;= 15%, "Low Hike[11-15%]", AA1445 &lt;= 20%, "Moderate Hike[16-20%]", AA1445 &lt;= 25%,"High Hike[21-25%]")</f>
        <v>Low Hike[11-15%]</v>
      </c>
      <c r="AC1445" s="1">
        <v>3</v>
      </c>
      <c r="AD1445" s="1">
        <v>1</v>
      </c>
      <c r="AE1445" s="1">
        <v>80</v>
      </c>
      <c r="AF1445" s="1">
        <v>0</v>
      </c>
      <c r="AG1445" s="1">
        <v>24</v>
      </c>
      <c r="AH1445" s="9" t="str" cm="1">
        <f t="array" ref="AH1445">_xlfn.IFS(AG1445 &lt;= 5, "New[1-5]", AG1445 &lt;= 10, "Early Career[6-10]", AG1445 &lt;= 20, "Established[11-20]", AG1445 &lt;= 30, "Veteran[21-30]", AG1445 &lt;= 40, "Late Career[31-40]")</f>
        <v>Veteran[21-30]</v>
      </c>
      <c r="AI1445" s="1">
        <v>2</v>
      </c>
      <c r="AJ1445" s="1">
        <v>2</v>
      </c>
      <c r="AK1445" s="1">
        <v>22</v>
      </c>
      <c r="AL1445" s="9" t="str" cm="1">
        <f t="array" ref="AL1445">_xlfn.IFS(AK1445 &lt;= 5, "New[1-5]", AK1445 &lt;= 10, "Early Career[6-10]", AK1445 &lt;= 20, "Established[11-20]", AK1445 &lt;= 30, "Veteran[21-30]", AK1445 &lt;= 40, "Late Career[31-40]")</f>
        <v>Veteran[21-30]</v>
      </c>
      <c r="AM1445" s="1">
        <v>6</v>
      </c>
      <c r="AN1445" s="9" t="str" cm="1">
        <f t="array" ref="AN1445">_xlfn.IFS(AM1445 &lt;= 3, "New to Role[1-3]", AM1445 &lt;= 7, "Settled[4-7]", AM1445 &lt;= 12, "Experienced[[8-12]", AM1445 &lt;= 18, "Long Tenured[13-18]")</f>
        <v>Settled[4-7]</v>
      </c>
      <c r="AO1445" s="1">
        <v>4</v>
      </c>
      <c r="AP1445" s="9" t="str" cm="1">
        <f t="array" ref="AP1445">_xlfn.IFS(AO1445 &lt;= 3, "Recently[1-3]", AO1445 &lt;= 6, "Due Soon[4-6]", AO1445 &lt;= 10, "Overdue[7-10]", AO1445 &lt;= 15, "Long Overdue[11-15]")</f>
        <v>Due Soon[4-6]</v>
      </c>
      <c r="AQ1445" s="9" t="str" cm="1">
        <f t="array" ref="AQ1445">_xlfn.IFS(AR1445 &lt;= 3, "New Relationship[1-3]", AR1445 &lt;= 7, "Established Relationship[4-7]", AR1445 &lt;= 12, "Long Term Relationship[8-12]", AR1445 &lt;= 17, "Very Long Term Relationship[13-17]")</f>
        <v>Very Long Term Relationship[13-17]</v>
      </c>
      <c r="AR1445" s="1">
        <v>14</v>
      </c>
    </row>
    <row r="1446" spans="1:44" x14ac:dyDescent="0.25">
      <c r="A1446" s="1">
        <v>56</v>
      </c>
      <c r="B1446" s="8" t="str" cm="1">
        <f t="array" ref="B1446">_xlfn.IFS(A1446 &lt;= 25, "[18-25]", A1446 &lt;= 35, "[26-35]", A1446 &lt;=45, "[36-45]", A1446 &lt;= 60, "[46- 60]")</f>
        <v>[46- 60]</v>
      </c>
      <c r="C1446" s="3" t="s">
        <v>35</v>
      </c>
      <c r="D1446">
        <f t="shared" si="22"/>
        <v>1</v>
      </c>
      <c r="E1446" t="s">
        <v>36</v>
      </c>
      <c r="F1446" s="1">
        <v>310</v>
      </c>
      <c r="G1446" s="3" t="s">
        <v>45</v>
      </c>
      <c r="H1446" s="1">
        <v>7</v>
      </c>
      <c r="I1446" s="9" t="str" cm="1">
        <f t="array" ref="I1446">_xlfn.IFS(H1446 &lt;= 2, "[1-2] very close", H1446 &lt;= 10, "[3-10] close", H1446 &lt;= 20, "[11-20] moderate", H1446 &lt;= 30, "[21-30] far")</f>
        <v>[3-10] close</v>
      </c>
      <c r="J1446" s="1">
        <v>2</v>
      </c>
      <c r="K1446" s="3" t="s">
        <v>60</v>
      </c>
      <c r="L1446" s="1">
        <v>1</v>
      </c>
      <c r="M1446" s="1">
        <v>2032</v>
      </c>
      <c r="N1446" s="1">
        <v>4</v>
      </c>
      <c r="O1446" s="3" t="s">
        <v>46</v>
      </c>
      <c r="P1446" s="1">
        <v>72</v>
      </c>
      <c r="Q1446" s="1">
        <v>3</v>
      </c>
      <c r="R1446" s="1">
        <v>1</v>
      </c>
      <c r="S1446" s="3" t="s">
        <v>50</v>
      </c>
      <c r="T1446" s="1">
        <v>3</v>
      </c>
      <c r="U1446" s="3" t="s">
        <v>48</v>
      </c>
      <c r="V1446" s="4">
        <v>2339</v>
      </c>
      <c r="W1446" s="1">
        <v>3666</v>
      </c>
      <c r="X1446" s="1">
        <v>8</v>
      </c>
      <c r="Y1446" s="3" t="s">
        <v>42</v>
      </c>
      <c r="Z1446" s="3" t="s">
        <v>43</v>
      </c>
      <c r="AA1446" s="5">
        <v>0.11</v>
      </c>
      <c r="AB1446" s="10" t="str" cm="1">
        <f t="array" ref="AB1446">_xlfn.IFS(AA1446 &lt;= 15%, "Low Hike[11-15%]", AA1446 &lt;= 20%, "Moderate Hike[16-20%]", AA1446 &lt;= 25%,"High Hike[21-25%]")</f>
        <v>Low Hike[11-15%]</v>
      </c>
      <c r="AC1446" s="1">
        <v>3</v>
      </c>
      <c r="AD1446" s="1">
        <v>4</v>
      </c>
      <c r="AE1446" s="1">
        <v>80</v>
      </c>
      <c r="AF1446" s="1">
        <v>1</v>
      </c>
      <c r="AG1446" s="1">
        <v>14</v>
      </c>
      <c r="AH1446" s="9" t="str" cm="1">
        <f t="array" ref="AH1446">_xlfn.IFS(AG1446 &lt;= 5, "New[1-5]", AG1446 &lt;= 10, "Early Career[6-10]", AG1446 &lt;= 20, "Established[11-20]", AG1446 &lt;= 30, "Veteran[21-30]", AG1446 &lt;= 40, "Late Career[31-40]")</f>
        <v>Established[11-20]</v>
      </c>
      <c r="AI1446" s="1">
        <v>4</v>
      </c>
      <c r="AJ1446" s="1">
        <v>1</v>
      </c>
      <c r="AK1446" s="1">
        <v>10</v>
      </c>
      <c r="AL1446" s="9" t="str" cm="1">
        <f t="array" ref="AL1446">_xlfn.IFS(AK1446 &lt;= 5, "New[1-5]", AK1446 &lt;= 10, "Early Career[6-10]", AK1446 &lt;= 20, "Established[11-20]", AK1446 &lt;= 30, "Veteran[21-30]", AK1446 &lt;= 40, "Late Career[31-40]")</f>
        <v>Early Career[6-10]</v>
      </c>
      <c r="AM1446" s="1">
        <v>9</v>
      </c>
      <c r="AN1446" s="9" t="str" cm="1">
        <f t="array" ref="AN1446">_xlfn.IFS(AM1446 &lt;= 3, "New to Role[1-3]", AM1446 &lt;= 7, "Settled[4-7]", AM1446 &lt;= 12, "Experienced[[8-12]", AM1446 &lt;= 18, "Long Tenured[13-18]")</f>
        <v>Experienced[[8-12]</v>
      </c>
      <c r="AO1446" s="1">
        <v>9</v>
      </c>
      <c r="AP1446" s="9" t="str" cm="1">
        <f t="array" ref="AP1446">_xlfn.IFS(AO1446 &lt;= 3, "Recently[1-3]", AO1446 &lt;= 6, "Due Soon[4-6]", AO1446 &lt;= 10, "Overdue[7-10]", AO1446 &lt;= 15, "Long Overdue[11-15]")</f>
        <v>Overdue[7-10]</v>
      </c>
      <c r="AQ1446" s="9" t="str" cm="1">
        <f t="array" ref="AQ1446">_xlfn.IFS(AR1446 &lt;= 3, "New Relationship[1-3]", AR1446 &lt;= 7, "Established Relationship[4-7]", AR1446 &lt;= 12, "Long Term Relationship[8-12]", AR1446 &lt;= 17, "Very Long Term Relationship[13-17]")</f>
        <v>Long Term Relationship[8-12]</v>
      </c>
      <c r="AR1446" s="1">
        <v>8</v>
      </c>
    </row>
    <row r="1447" spans="1:44" x14ac:dyDescent="0.25">
      <c r="A1447" s="1">
        <v>41</v>
      </c>
      <c r="B1447" s="8" t="str" cm="1">
        <f t="array" ref="B1447">_xlfn.IFS(A1447 &lt;= 25, "[18-25]", A1447 &lt;= 35, "[26-35]", A1447 &lt;=45, "[36-45]", A1447 &lt;= 60, "[46- 60]")</f>
        <v>[36-45]</v>
      </c>
      <c r="C1447" s="3" t="s">
        <v>43</v>
      </c>
      <c r="D1447">
        <f t="shared" si="22"/>
        <v>0</v>
      </c>
      <c r="E1447" t="s">
        <v>36</v>
      </c>
      <c r="F1447" s="1">
        <v>582</v>
      </c>
      <c r="G1447" s="3" t="s">
        <v>45</v>
      </c>
      <c r="H1447" s="1">
        <v>28</v>
      </c>
      <c r="I1447" s="9" t="str" cm="1">
        <f t="array" ref="I1447">_xlfn.IFS(H1447 &lt;= 2, "[1-2] very close", H1447 &lt;= 10, "[3-10] close", H1447 &lt;= 20, "[11-20] moderate", H1447 &lt;= 30, "[21-30] far")</f>
        <v>[21-30] far</v>
      </c>
      <c r="J1447" s="1">
        <v>4</v>
      </c>
      <c r="K1447" s="3" t="s">
        <v>38</v>
      </c>
      <c r="L1447" s="1">
        <v>1</v>
      </c>
      <c r="M1447" s="1">
        <v>2034</v>
      </c>
      <c r="N1447" s="1">
        <v>1</v>
      </c>
      <c r="O1447" s="3" t="s">
        <v>39</v>
      </c>
      <c r="P1447" s="1">
        <v>60</v>
      </c>
      <c r="Q1447" s="1">
        <v>2</v>
      </c>
      <c r="R1447" s="1">
        <v>4</v>
      </c>
      <c r="S1447" s="3" t="s">
        <v>53</v>
      </c>
      <c r="T1447" s="1">
        <v>2</v>
      </c>
      <c r="U1447" s="3" t="s">
        <v>48</v>
      </c>
      <c r="V1447" s="4">
        <v>13570</v>
      </c>
      <c r="W1447" s="1">
        <v>5640</v>
      </c>
      <c r="X1447" s="1">
        <v>0</v>
      </c>
      <c r="Y1447" s="3" t="s">
        <v>42</v>
      </c>
      <c r="Z1447" s="3" t="s">
        <v>43</v>
      </c>
      <c r="AA1447" s="5">
        <v>0.23</v>
      </c>
      <c r="AB1447" s="10" t="str" cm="1">
        <f t="array" ref="AB1447">_xlfn.IFS(AA1447 &lt;= 15%, "Low Hike[11-15%]", AA1447 &lt;= 20%, "Moderate Hike[16-20%]", AA1447 &lt;= 25%,"High Hike[21-25%]")</f>
        <v>High Hike[21-25%]</v>
      </c>
      <c r="AC1447" s="1">
        <v>4</v>
      </c>
      <c r="AD1447" s="1">
        <v>3</v>
      </c>
      <c r="AE1447" s="1">
        <v>80</v>
      </c>
      <c r="AF1447" s="1">
        <v>1</v>
      </c>
      <c r="AG1447" s="1">
        <v>21</v>
      </c>
      <c r="AH1447" s="9" t="str" cm="1">
        <f t="array" ref="AH1447">_xlfn.IFS(AG1447 &lt;= 5, "New[1-5]", AG1447 &lt;= 10, "Early Career[6-10]", AG1447 &lt;= 20, "Established[11-20]", AG1447 &lt;= 30, "Veteran[21-30]", AG1447 &lt;= 40, "Late Career[31-40]")</f>
        <v>Veteran[21-30]</v>
      </c>
      <c r="AI1447" s="1">
        <v>3</v>
      </c>
      <c r="AJ1447" s="1">
        <v>3</v>
      </c>
      <c r="AK1447" s="1">
        <v>20</v>
      </c>
      <c r="AL1447" s="9" t="str" cm="1">
        <f t="array" ref="AL1447">_xlfn.IFS(AK1447 &lt;= 5, "New[1-5]", AK1447 &lt;= 10, "Early Career[6-10]", AK1447 &lt;= 20, "Established[11-20]", AK1447 &lt;= 30, "Veteran[21-30]", AK1447 &lt;= 40, "Late Career[31-40]")</f>
        <v>Established[11-20]</v>
      </c>
      <c r="AM1447" s="1">
        <v>7</v>
      </c>
      <c r="AN1447" s="9" t="str" cm="1">
        <f t="array" ref="AN1447">_xlfn.IFS(AM1447 &lt;= 3, "New to Role[1-3]", AM1447 &lt;= 7, "Settled[4-7]", AM1447 &lt;= 12, "Experienced[[8-12]", AM1447 &lt;= 18, "Long Tenured[13-18]")</f>
        <v>Settled[4-7]</v>
      </c>
      <c r="AO1447" s="1">
        <v>0</v>
      </c>
      <c r="AP1447" s="9" t="str" cm="1">
        <f t="array" ref="AP1447">_xlfn.IFS(AO1447 &lt;= 3, "Recently[1-3]", AO1447 &lt;= 6, "Due Soon[4-6]", AO1447 &lt;= 10, "Overdue[7-10]", AO1447 &lt;= 15, "Long Overdue[11-15]")</f>
        <v>Recently[1-3]</v>
      </c>
      <c r="AQ1447" s="9" t="str" cm="1">
        <f t="array" ref="AQ1447">_xlfn.IFS(AR1447 &lt;= 3, "New Relationship[1-3]", AR1447 &lt;= 7, "Established Relationship[4-7]", AR1447 &lt;= 12, "Long Term Relationship[8-12]", AR1447 &lt;= 17, "Very Long Term Relationship[13-17]")</f>
        <v>Long Term Relationship[8-12]</v>
      </c>
      <c r="AR1447" s="1">
        <v>10</v>
      </c>
    </row>
    <row r="1448" spans="1:44" x14ac:dyDescent="0.25">
      <c r="A1448" s="1">
        <v>34</v>
      </c>
      <c r="B1448" s="8" t="str" cm="1">
        <f t="array" ref="B1448">_xlfn.IFS(A1448 &lt;= 25, "[18-25]", A1448 &lt;= 35, "[26-35]", A1448 &lt;=45, "[36-45]", A1448 &lt;= 60, "[46- 60]")</f>
        <v>[26-35]</v>
      </c>
      <c r="C1448" s="3" t="s">
        <v>43</v>
      </c>
      <c r="D1448">
        <f t="shared" si="22"/>
        <v>0</v>
      </c>
      <c r="E1448" t="s">
        <v>36</v>
      </c>
      <c r="F1448" s="1">
        <v>704</v>
      </c>
      <c r="G1448" s="3" t="s">
        <v>37</v>
      </c>
      <c r="H1448" s="1">
        <v>28</v>
      </c>
      <c r="I1448" s="9" t="str" cm="1">
        <f t="array" ref="I1448">_xlfn.IFS(H1448 &lt;= 2, "[1-2] very close", H1448 &lt;= 10, "[3-10] close", H1448 &lt;= 20, "[11-20] moderate", H1448 &lt;= 30, "[21-30] far")</f>
        <v>[21-30] far</v>
      </c>
      <c r="J1448" s="1">
        <v>3</v>
      </c>
      <c r="K1448" s="3" t="s">
        <v>59</v>
      </c>
      <c r="L1448" s="1">
        <v>1</v>
      </c>
      <c r="M1448" s="1">
        <v>2035</v>
      </c>
      <c r="N1448" s="1">
        <v>4</v>
      </c>
      <c r="O1448" s="3" t="s">
        <v>39</v>
      </c>
      <c r="P1448" s="1">
        <v>95</v>
      </c>
      <c r="Q1448" s="1">
        <v>2</v>
      </c>
      <c r="R1448" s="1">
        <v>2</v>
      </c>
      <c r="S1448" s="3" t="s">
        <v>40</v>
      </c>
      <c r="T1448" s="1">
        <v>3</v>
      </c>
      <c r="U1448" s="3" t="s">
        <v>48</v>
      </c>
      <c r="V1448" s="4">
        <v>6712</v>
      </c>
      <c r="W1448" s="1">
        <v>8978</v>
      </c>
      <c r="X1448" s="1">
        <v>1</v>
      </c>
      <c r="Y1448" s="3" t="s">
        <v>42</v>
      </c>
      <c r="Z1448" s="3" t="s">
        <v>43</v>
      </c>
      <c r="AA1448" s="5">
        <v>0.21</v>
      </c>
      <c r="AB1448" s="10" t="str" cm="1">
        <f t="array" ref="AB1448">_xlfn.IFS(AA1448 &lt;= 15%, "Low Hike[11-15%]", AA1448 &lt;= 20%, "Moderate Hike[16-20%]", AA1448 &lt;= 25%,"High Hike[21-25%]")</f>
        <v>High Hike[21-25%]</v>
      </c>
      <c r="AC1448" s="1">
        <v>4</v>
      </c>
      <c r="AD1448" s="1">
        <v>4</v>
      </c>
      <c r="AE1448" s="1">
        <v>80</v>
      </c>
      <c r="AF1448" s="1">
        <v>2</v>
      </c>
      <c r="AG1448" s="1">
        <v>8</v>
      </c>
      <c r="AH1448" s="9" t="str" cm="1">
        <f t="array" ref="AH1448">_xlfn.IFS(AG1448 &lt;= 5, "New[1-5]", AG1448 &lt;= 10, "Early Career[6-10]", AG1448 &lt;= 20, "Established[11-20]", AG1448 &lt;= 30, "Veteran[21-30]", AG1448 &lt;= 40, "Late Career[31-40]")</f>
        <v>Early Career[6-10]</v>
      </c>
      <c r="AI1448" s="1">
        <v>2</v>
      </c>
      <c r="AJ1448" s="1">
        <v>3</v>
      </c>
      <c r="AK1448" s="1">
        <v>8</v>
      </c>
      <c r="AL1448" s="9" t="str" cm="1">
        <f t="array" ref="AL1448">_xlfn.IFS(AK1448 &lt;= 5, "New[1-5]", AK1448 &lt;= 10, "Early Career[6-10]", AK1448 &lt;= 20, "Established[11-20]", AK1448 &lt;= 30, "Veteran[21-30]", AK1448 &lt;= 40, "Late Career[31-40]")</f>
        <v>Early Career[6-10]</v>
      </c>
      <c r="AM1448" s="1">
        <v>7</v>
      </c>
      <c r="AN1448" s="9" t="str" cm="1">
        <f t="array" ref="AN1448">_xlfn.IFS(AM1448 &lt;= 3, "New to Role[1-3]", AM1448 &lt;= 7, "Settled[4-7]", AM1448 &lt;= 12, "Experienced[[8-12]", AM1448 &lt;= 18, "Long Tenured[13-18]")</f>
        <v>Settled[4-7]</v>
      </c>
      <c r="AO1448" s="1">
        <v>1</v>
      </c>
      <c r="AP1448" s="9" t="str" cm="1">
        <f t="array" ref="AP1448">_xlfn.IFS(AO1448 &lt;= 3, "Recently[1-3]", AO1448 &lt;= 6, "Due Soon[4-6]", AO1448 &lt;= 10, "Overdue[7-10]", AO1448 &lt;= 15, "Long Overdue[11-15]")</f>
        <v>Recently[1-3]</v>
      </c>
      <c r="AQ1448" s="9" t="str" cm="1">
        <f t="array" ref="AQ1448">_xlfn.IFS(AR1448 &lt;= 3, "New Relationship[1-3]", AR1448 &lt;= 7, "Established Relationship[4-7]", AR1448 &lt;= 12, "Long Term Relationship[8-12]", AR1448 &lt;= 17, "Very Long Term Relationship[13-17]")</f>
        <v>Established Relationship[4-7]</v>
      </c>
      <c r="AR1448" s="1">
        <v>7</v>
      </c>
    </row>
    <row r="1449" spans="1:44" x14ac:dyDescent="0.25">
      <c r="A1449" s="1">
        <v>36</v>
      </c>
      <c r="B1449" s="8" t="str" cm="1">
        <f t="array" ref="B1449">_xlfn.IFS(A1449 &lt;= 25, "[18-25]", A1449 &lt;= 35, "[26-35]", A1449 &lt;=45, "[36-45]", A1449 &lt;= 60, "[46- 60]")</f>
        <v>[36-45]</v>
      </c>
      <c r="C1449" s="3" t="s">
        <v>43</v>
      </c>
      <c r="D1449">
        <f t="shared" si="22"/>
        <v>0</v>
      </c>
      <c r="E1449" t="s">
        <v>62</v>
      </c>
      <c r="F1449" s="1">
        <v>301</v>
      </c>
      <c r="G1449" s="3" t="s">
        <v>37</v>
      </c>
      <c r="H1449" s="1">
        <v>15</v>
      </c>
      <c r="I1449" s="9" t="str" cm="1">
        <f t="array" ref="I1449">_xlfn.IFS(H1449 &lt;= 2, "[1-2] very close", H1449 &lt;= 10, "[3-10] close", H1449 &lt;= 20, "[11-20] moderate", H1449 &lt;= 30, "[21-30] far")</f>
        <v>[11-20] moderate</v>
      </c>
      <c r="J1449" s="1">
        <v>4</v>
      </c>
      <c r="K1449" s="3" t="s">
        <v>59</v>
      </c>
      <c r="L1449" s="1">
        <v>1</v>
      </c>
      <c r="M1449" s="1">
        <v>2036</v>
      </c>
      <c r="N1449" s="1">
        <v>4</v>
      </c>
      <c r="O1449" s="3" t="s">
        <v>46</v>
      </c>
      <c r="P1449" s="1">
        <v>88</v>
      </c>
      <c r="Q1449" s="1">
        <v>1</v>
      </c>
      <c r="R1449" s="1">
        <v>2</v>
      </c>
      <c r="S1449" s="3" t="s">
        <v>40</v>
      </c>
      <c r="T1449" s="1">
        <v>4</v>
      </c>
      <c r="U1449" s="3" t="s">
        <v>52</v>
      </c>
      <c r="V1449" s="4">
        <v>5406</v>
      </c>
      <c r="W1449" s="1">
        <v>10436</v>
      </c>
      <c r="X1449" s="1">
        <v>1</v>
      </c>
      <c r="Y1449" s="3" t="s">
        <v>42</v>
      </c>
      <c r="Z1449" s="3" t="s">
        <v>43</v>
      </c>
      <c r="AA1449" s="5">
        <v>0.24</v>
      </c>
      <c r="AB1449" s="10" t="str" cm="1">
        <f t="array" ref="AB1449">_xlfn.IFS(AA1449 &lt;= 15%, "Low Hike[11-15%]", AA1449 &lt;= 20%, "Moderate Hike[16-20%]", AA1449 &lt;= 25%,"High Hike[21-25%]")</f>
        <v>High Hike[21-25%]</v>
      </c>
      <c r="AC1449" s="1">
        <v>4</v>
      </c>
      <c r="AD1449" s="1">
        <v>1</v>
      </c>
      <c r="AE1449" s="1">
        <v>80</v>
      </c>
      <c r="AF1449" s="1">
        <v>1</v>
      </c>
      <c r="AG1449" s="1">
        <v>15</v>
      </c>
      <c r="AH1449" s="9" t="str" cm="1">
        <f t="array" ref="AH1449">_xlfn.IFS(AG1449 &lt;= 5, "New[1-5]", AG1449 &lt;= 10, "Early Career[6-10]", AG1449 &lt;= 20, "Established[11-20]", AG1449 &lt;= 30, "Veteran[21-30]", AG1449 &lt;= 40, "Late Career[31-40]")</f>
        <v>Established[11-20]</v>
      </c>
      <c r="AI1449" s="1">
        <v>4</v>
      </c>
      <c r="AJ1449" s="1">
        <v>2</v>
      </c>
      <c r="AK1449" s="1">
        <v>15</v>
      </c>
      <c r="AL1449" s="9" t="str" cm="1">
        <f t="array" ref="AL1449">_xlfn.IFS(AK1449 &lt;= 5, "New[1-5]", AK1449 &lt;= 10, "Early Career[6-10]", AK1449 &lt;= 20, "Established[11-20]", AK1449 &lt;= 30, "Veteran[21-30]", AK1449 &lt;= 40, "Late Career[31-40]")</f>
        <v>Established[11-20]</v>
      </c>
      <c r="AM1449" s="1">
        <v>12</v>
      </c>
      <c r="AN1449" s="9" t="str" cm="1">
        <f t="array" ref="AN1449">_xlfn.IFS(AM1449 &lt;= 3, "New to Role[1-3]", AM1449 &lt;= 7, "Settled[4-7]", AM1449 &lt;= 12, "Experienced[[8-12]", AM1449 &lt;= 18, "Long Tenured[13-18]")</f>
        <v>Experienced[[8-12]</v>
      </c>
      <c r="AO1449" s="1">
        <v>11</v>
      </c>
      <c r="AP1449" s="9" t="str" cm="1">
        <f t="array" ref="AP1449">_xlfn.IFS(AO1449 &lt;= 3, "Recently[1-3]", AO1449 &lt;= 6, "Due Soon[4-6]", AO1449 &lt;= 10, "Overdue[7-10]", AO1449 &lt;= 15, "Long Overdue[11-15]")</f>
        <v>Long Overdue[11-15]</v>
      </c>
      <c r="AQ1449" s="9" t="str" cm="1">
        <f t="array" ref="AQ1449">_xlfn.IFS(AR1449 &lt;= 3, "New Relationship[1-3]", AR1449 &lt;= 7, "Established Relationship[4-7]", AR1449 &lt;= 12, "Long Term Relationship[8-12]", AR1449 &lt;= 17, "Very Long Term Relationship[13-17]")</f>
        <v>Long Term Relationship[8-12]</v>
      </c>
      <c r="AR1449" s="1">
        <v>11</v>
      </c>
    </row>
    <row r="1450" spans="1:44" x14ac:dyDescent="0.25">
      <c r="A1450" s="1">
        <v>41</v>
      </c>
      <c r="B1450" s="8" t="str" cm="1">
        <f t="array" ref="B1450">_xlfn.IFS(A1450 &lt;= 25, "[18-25]", A1450 &lt;= 35, "[26-35]", A1450 &lt;=45, "[36-45]", A1450 &lt;= 60, "[46- 60]")</f>
        <v>[36-45]</v>
      </c>
      <c r="C1450" s="3" t="s">
        <v>43</v>
      </c>
      <c r="D1450">
        <f t="shared" si="22"/>
        <v>0</v>
      </c>
      <c r="E1450" t="s">
        <v>36</v>
      </c>
      <c r="F1450" s="1">
        <v>930</v>
      </c>
      <c r="G1450" s="3" t="s">
        <v>37</v>
      </c>
      <c r="H1450" s="1">
        <v>3</v>
      </c>
      <c r="I1450" s="9" t="str" cm="1">
        <f t="array" ref="I1450">_xlfn.IFS(H1450 &lt;= 2, "[1-2] very close", H1450 &lt;= 10, "[3-10] close", H1450 &lt;= 20, "[11-20] moderate", H1450 &lt;= 30, "[21-30] far")</f>
        <v>[3-10] close</v>
      </c>
      <c r="J1450" s="1">
        <v>3</v>
      </c>
      <c r="K1450" s="3" t="s">
        <v>38</v>
      </c>
      <c r="L1450" s="1">
        <v>1</v>
      </c>
      <c r="M1450" s="1">
        <v>2037</v>
      </c>
      <c r="N1450" s="1">
        <v>3</v>
      </c>
      <c r="O1450" s="3" t="s">
        <v>46</v>
      </c>
      <c r="P1450" s="1">
        <v>57</v>
      </c>
      <c r="Q1450" s="1">
        <v>2</v>
      </c>
      <c r="R1450" s="1">
        <v>2</v>
      </c>
      <c r="S1450" s="3" t="s">
        <v>40</v>
      </c>
      <c r="T1450" s="1">
        <v>2</v>
      </c>
      <c r="U1450" s="3" t="s">
        <v>52</v>
      </c>
      <c r="V1450" s="4">
        <v>8938</v>
      </c>
      <c r="W1450" s="1">
        <v>12227</v>
      </c>
      <c r="X1450" s="1">
        <v>2</v>
      </c>
      <c r="Y1450" s="3" t="s">
        <v>42</v>
      </c>
      <c r="Z1450" s="3" t="s">
        <v>43</v>
      </c>
      <c r="AA1450" s="5">
        <v>0.11</v>
      </c>
      <c r="AB1450" s="10" t="str" cm="1">
        <f t="array" ref="AB1450">_xlfn.IFS(AA1450 &lt;= 15%, "Low Hike[11-15%]", AA1450 &lt;= 20%, "Moderate Hike[16-20%]", AA1450 &lt;= 25%,"High Hike[21-25%]")</f>
        <v>Low Hike[11-15%]</v>
      </c>
      <c r="AC1450" s="1">
        <v>3</v>
      </c>
      <c r="AD1450" s="1">
        <v>3</v>
      </c>
      <c r="AE1450" s="1">
        <v>80</v>
      </c>
      <c r="AF1450" s="1">
        <v>1</v>
      </c>
      <c r="AG1450" s="1">
        <v>14</v>
      </c>
      <c r="AH1450" s="9" t="str" cm="1">
        <f t="array" ref="AH1450">_xlfn.IFS(AG1450 &lt;= 5, "New[1-5]", AG1450 &lt;= 10, "Early Career[6-10]", AG1450 &lt;= 20, "Established[11-20]", AG1450 &lt;= 30, "Veteran[21-30]", AG1450 &lt;= 40, "Late Career[31-40]")</f>
        <v>Established[11-20]</v>
      </c>
      <c r="AI1450" s="1">
        <v>5</v>
      </c>
      <c r="AJ1450" s="1">
        <v>3</v>
      </c>
      <c r="AK1450" s="1">
        <v>5</v>
      </c>
      <c r="AL1450" s="9" t="str" cm="1">
        <f t="array" ref="AL1450">_xlfn.IFS(AK1450 &lt;= 5, "New[1-5]", AK1450 &lt;= 10, "Early Career[6-10]", AK1450 &lt;= 20, "Established[11-20]", AK1450 &lt;= 30, "Veteran[21-30]", AK1450 &lt;= 40, "Late Career[31-40]")</f>
        <v>New[1-5]</v>
      </c>
      <c r="AM1450" s="1">
        <v>4</v>
      </c>
      <c r="AN1450" s="9" t="str" cm="1">
        <f t="array" ref="AN1450">_xlfn.IFS(AM1450 &lt;= 3, "New to Role[1-3]", AM1450 &lt;= 7, "Settled[4-7]", AM1450 &lt;= 12, "Experienced[[8-12]", AM1450 &lt;= 18, "Long Tenured[13-18]")</f>
        <v>Settled[4-7]</v>
      </c>
      <c r="AO1450" s="1">
        <v>0</v>
      </c>
      <c r="AP1450" s="9" t="str" cm="1">
        <f t="array" ref="AP1450">_xlfn.IFS(AO1450 &lt;= 3, "Recently[1-3]", AO1450 &lt;= 6, "Due Soon[4-6]", AO1450 &lt;= 10, "Overdue[7-10]", AO1450 &lt;= 15, "Long Overdue[11-15]")</f>
        <v>Recently[1-3]</v>
      </c>
      <c r="AQ1450" s="9" t="str" cm="1">
        <f t="array" ref="AQ1450">_xlfn.IFS(AR1450 &lt;= 3, "New Relationship[1-3]", AR1450 &lt;= 7, "Established Relationship[4-7]", AR1450 &lt;= 12, "Long Term Relationship[8-12]", AR1450 &lt;= 17, "Very Long Term Relationship[13-17]")</f>
        <v>Established Relationship[4-7]</v>
      </c>
      <c r="AR1450" s="1">
        <v>4</v>
      </c>
    </row>
    <row r="1451" spans="1:44" x14ac:dyDescent="0.25">
      <c r="A1451" s="1">
        <v>32</v>
      </c>
      <c r="B1451" s="8" t="str" cm="1">
        <f t="array" ref="B1451">_xlfn.IFS(A1451 &lt;= 25, "[18-25]", A1451 &lt;= 35, "[26-35]", A1451 &lt;=45, "[36-45]", A1451 &lt;= 60, "[46- 60]")</f>
        <v>[26-35]</v>
      </c>
      <c r="C1451" s="3" t="s">
        <v>43</v>
      </c>
      <c r="D1451">
        <f t="shared" si="22"/>
        <v>0</v>
      </c>
      <c r="E1451" t="s">
        <v>36</v>
      </c>
      <c r="F1451" s="1">
        <v>529</v>
      </c>
      <c r="G1451" s="3" t="s">
        <v>45</v>
      </c>
      <c r="H1451" s="1">
        <v>2</v>
      </c>
      <c r="I1451" s="9" t="str" cm="1">
        <f t="array" ref="I1451">_xlfn.IFS(H1451 &lt;= 2, "[1-2] very close", H1451 &lt;= 10, "[3-10] close", H1451 &lt;= 20, "[11-20] moderate", H1451 &lt;= 30, "[21-30] far")</f>
        <v>[1-2] very close</v>
      </c>
      <c r="J1451" s="1">
        <v>3</v>
      </c>
      <c r="K1451" s="3" t="s">
        <v>60</v>
      </c>
      <c r="L1451" s="1">
        <v>1</v>
      </c>
      <c r="M1451" s="1">
        <v>2038</v>
      </c>
      <c r="N1451" s="1">
        <v>4</v>
      </c>
      <c r="O1451" s="3" t="s">
        <v>46</v>
      </c>
      <c r="P1451" s="1">
        <v>78</v>
      </c>
      <c r="Q1451" s="1">
        <v>3</v>
      </c>
      <c r="R1451" s="1">
        <v>1</v>
      </c>
      <c r="S1451" s="3" t="s">
        <v>47</v>
      </c>
      <c r="T1451" s="1">
        <v>1</v>
      </c>
      <c r="U1451" s="3" t="s">
        <v>41</v>
      </c>
      <c r="V1451" s="4">
        <v>2439</v>
      </c>
      <c r="W1451" s="1">
        <v>11288</v>
      </c>
      <c r="X1451" s="1">
        <v>1</v>
      </c>
      <c r="Y1451" s="3" t="s">
        <v>42</v>
      </c>
      <c r="Z1451" s="3" t="s">
        <v>43</v>
      </c>
      <c r="AA1451" s="5">
        <v>0.14000000000000001</v>
      </c>
      <c r="AB1451" s="10" t="str" cm="1">
        <f t="array" ref="AB1451">_xlfn.IFS(AA1451 &lt;= 15%, "Low Hike[11-15%]", AA1451 &lt;= 20%, "Moderate Hike[16-20%]", AA1451 &lt;= 25%,"High Hike[21-25%]")</f>
        <v>Low Hike[11-15%]</v>
      </c>
      <c r="AC1451" s="1">
        <v>3</v>
      </c>
      <c r="AD1451" s="1">
        <v>4</v>
      </c>
      <c r="AE1451" s="1">
        <v>80</v>
      </c>
      <c r="AF1451" s="1">
        <v>0</v>
      </c>
      <c r="AG1451" s="1">
        <v>4</v>
      </c>
      <c r="AH1451" s="9" t="str" cm="1">
        <f t="array" ref="AH1451">_xlfn.IFS(AG1451 &lt;= 5, "New[1-5]", AG1451 &lt;= 10, "Early Career[6-10]", AG1451 &lt;= 20, "Established[11-20]", AG1451 &lt;= 30, "Veteran[21-30]", AG1451 &lt;= 40, "Late Career[31-40]")</f>
        <v>New[1-5]</v>
      </c>
      <c r="AI1451" s="1">
        <v>4</v>
      </c>
      <c r="AJ1451" s="1">
        <v>3</v>
      </c>
      <c r="AK1451" s="1">
        <v>4</v>
      </c>
      <c r="AL1451" s="9" t="str" cm="1">
        <f t="array" ref="AL1451">_xlfn.IFS(AK1451 &lt;= 5, "New[1-5]", AK1451 &lt;= 10, "Early Career[6-10]", AK1451 &lt;= 20, "Established[11-20]", AK1451 &lt;= 30, "Veteran[21-30]", AK1451 &lt;= 40, "Late Career[31-40]")</f>
        <v>New[1-5]</v>
      </c>
      <c r="AM1451" s="1">
        <v>2</v>
      </c>
      <c r="AN1451" s="9" t="str" cm="1">
        <f t="array" ref="AN1451">_xlfn.IFS(AM1451 &lt;= 3, "New to Role[1-3]", AM1451 &lt;= 7, "Settled[4-7]", AM1451 &lt;= 12, "Experienced[[8-12]", AM1451 &lt;= 18, "Long Tenured[13-18]")</f>
        <v>New to Role[1-3]</v>
      </c>
      <c r="AO1451" s="1">
        <v>1</v>
      </c>
      <c r="AP1451" s="9" t="str" cm="1">
        <f t="array" ref="AP1451">_xlfn.IFS(AO1451 &lt;= 3, "Recently[1-3]", AO1451 &lt;= 6, "Due Soon[4-6]", AO1451 &lt;= 10, "Overdue[7-10]", AO1451 &lt;= 15, "Long Overdue[11-15]")</f>
        <v>Recently[1-3]</v>
      </c>
      <c r="AQ1451" s="9" t="str" cm="1">
        <f t="array" ref="AQ1451">_xlfn.IFS(AR1451 &lt;= 3, "New Relationship[1-3]", AR1451 &lt;= 7, "Established Relationship[4-7]", AR1451 &lt;= 12, "Long Term Relationship[8-12]", AR1451 &lt;= 17, "Very Long Term Relationship[13-17]")</f>
        <v>New Relationship[1-3]</v>
      </c>
      <c r="AR1451" s="1">
        <v>2</v>
      </c>
    </row>
    <row r="1452" spans="1:44" x14ac:dyDescent="0.25">
      <c r="A1452" s="1">
        <v>35</v>
      </c>
      <c r="B1452" s="8" t="str" cm="1">
        <f t="array" ref="B1452">_xlfn.IFS(A1452 &lt;= 25, "[18-25]", A1452 &lt;= 35, "[26-35]", A1452 &lt;=45, "[36-45]", A1452 &lt;= 60, "[46- 60]")</f>
        <v>[26-35]</v>
      </c>
      <c r="C1452" s="3" t="s">
        <v>43</v>
      </c>
      <c r="D1452">
        <f t="shared" si="22"/>
        <v>0</v>
      </c>
      <c r="E1452" t="s">
        <v>36</v>
      </c>
      <c r="F1452" s="1">
        <v>1146</v>
      </c>
      <c r="G1452" s="3" t="s">
        <v>61</v>
      </c>
      <c r="H1452" s="1">
        <v>26</v>
      </c>
      <c r="I1452" s="9" t="str" cm="1">
        <f t="array" ref="I1452">_xlfn.IFS(H1452 &lt;= 2, "[1-2] very close", H1452 &lt;= 10, "[3-10] close", H1452 &lt;= 20, "[11-20] moderate", H1452 &lt;= 30, "[21-30] far")</f>
        <v>[21-30] far</v>
      </c>
      <c r="J1452" s="1">
        <v>4</v>
      </c>
      <c r="K1452" s="3" t="s">
        <v>38</v>
      </c>
      <c r="L1452" s="1">
        <v>1</v>
      </c>
      <c r="M1452" s="1">
        <v>2040</v>
      </c>
      <c r="N1452" s="1">
        <v>3</v>
      </c>
      <c r="O1452" s="3" t="s">
        <v>39</v>
      </c>
      <c r="P1452" s="1">
        <v>31</v>
      </c>
      <c r="Q1452" s="1">
        <v>3</v>
      </c>
      <c r="R1452" s="1">
        <v>3</v>
      </c>
      <c r="S1452" s="3" t="s">
        <v>61</v>
      </c>
      <c r="T1452" s="1">
        <v>4</v>
      </c>
      <c r="U1452" s="3" t="s">
        <v>41</v>
      </c>
      <c r="V1452" s="4">
        <v>8837</v>
      </c>
      <c r="W1452" s="1">
        <v>16642</v>
      </c>
      <c r="X1452" s="1">
        <v>1</v>
      </c>
      <c r="Y1452" s="3" t="s">
        <v>42</v>
      </c>
      <c r="Z1452" s="3" t="s">
        <v>35</v>
      </c>
      <c r="AA1452" s="5">
        <v>0.16</v>
      </c>
      <c r="AB1452" s="10" t="str" cm="1">
        <f t="array" ref="AB1452">_xlfn.IFS(AA1452 &lt;= 15%, "Low Hike[11-15%]", AA1452 &lt;= 20%, "Moderate Hike[16-20%]", AA1452 &lt;= 25%,"High Hike[21-25%]")</f>
        <v>Moderate Hike[16-20%]</v>
      </c>
      <c r="AC1452" s="1">
        <v>3</v>
      </c>
      <c r="AD1452" s="1">
        <v>3</v>
      </c>
      <c r="AE1452" s="1">
        <v>80</v>
      </c>
      <c r="AF1452" s="1">
        <v>0</v>
      </c>
      <c r="AG1452" s="1">
        <v>9</v>
      </c>
      <c r="AH1452" s="9" t="str" cm="1">
        <f t="array" ref="AH1452">_xlfn.IFS(AG1452 &lt;= 5, "New[1-5]", AG1452 &lt;= 10, "Early Career[6-10]", AG1452 &lt;= 20, "Established[11-20]", AG1452 &lt;= 30, "Veteran[21-30]", AG1452 &lt;= 40, "Late Career[31-40]")</f>
        <v>Early Career[6-10]</v>
      </c>
      <c r="AI1452" s="1">
        <v>2</v>
      </c>
      <c r="AJ1452" s="1">
        <v>3</v>
      </c>
      <c r="AK1452" s="1">
        <v>9</v>
      </c>
      <c r="AL1452" s="9" t="str" cm="1">
        <f t="array" ref="AL1452">_xlfn.IFS(AK1452 &lt;= 5, "New[1-5]", AK1452 &lt;= 10, "Early Career[6-10]", AK1452 &lt;= 20, "Established[11-20]", AK1452 &lt;= 30, "Veteran[21-30]", AK1452 &lt;= 40, "Late Career[31-40]")</f>
        <v>Early Career[6-10]</v>
      </c>
      <c r="AM1452" s="1">
        <v>0</v>
      </c>
      <c r="AN1452" s="9" t="str" cm="1">
        <f t="array" ref="AN1452">_xlfn.IFS(AM1452 &lt;= 3, "New to Role[1-3]", AM1452 &lt;= 7, "Settled[4-7]", AM1452 &lt;= 12, "Experienced[[8-12]", AM1452 &lt;= 18, "Long Tenured[13-18]")</f>
        <v>New to Role[1-3]</v>
      </c>
      <c r="AO1452" s="1">
        <v>1</v>
      </c>
      <c r="AP1452" s="9" t="str" cm="1">
        <f t="array" ref="AP1452">_xlfn.IFS(AO1452 &lt;= 3, "Recently[1-3]", AO1452 &lt;= 6, "Due Soon[4-6]", AO1452 &lt;= 10, "Overdue[7-10]", AO1452 &lt;= 15, "Long Overdue[11-15]")</f>
        <v>Recently[1-3]</v>
      </c>
      <c r="AQ1452" s="9" t="str" cm="1">
        <f t="array" ref="AQ1452">_xlfn.IFS(AR1452 &lt;= 3, "New Relationship[1-3]", AR1452 &lt;= 7, "Established Relationship[4-7]", AR1452 &lt;= 12, "Long Term Relationship[8-12]", AR1452 &lt;= 17, "Very Long Term Relationship[13-17]")</f>
        <v>Established Relationship[4-7]</v>
      </c>
      <c r="AR1452" s="1">
        <v>7</v>
      </c>
    </row>
    <row r="1453" spans="1:44" x14ac:dyDescent="0.25">
      <c r="A1453" s="1">
        <v>38</v>
      </c>
      <c r="B1453" s="8" t="str" cm="1">
        <f t="array" ref="B1453">_xlfn.IFS(A1453 &lt;= 25, "[18-25]", A1453 &lt;= 35, "[26-35]", A1453 &lt;=45, "[36-45]", A1453 &lt;= 60, "[46- 60]")</f>
        <v>[36-45]</v>
      </c>
      <c r="C1453" s="3" t="s">
        <v>43</v>
      </c>
      <c r="D1453">
        <f t="shared" si="22"/>
        <v>0</v>
      </c>
      <c r="E1453" t="s">
        <v>36</v>
      </c>
      <c r="F1453" s="1">
        <v>345</v>
      </c>
      <c r="G1453" s="3" t="s">
        <v>37</v>
      </c>
      <c r="H1453" s="1">
        <v>10</v>
      </c>
      <c r="I1453" s="9" t="str" cm="1">
        <f t="array" ref="I1453">_xlfn.IFS(H1453 &lt;= 2, "[1-2] very close", H1453 &lt;= 10, "[3-10] close", H1453 &lt;= 20, "[11-20] moderate", H1453 &lt;= 30, "[21-30] far")</f>
        <v>[3-10] close</v>
      </c>
      <c r="J1453" s="1">
        <v>2</v>
      </c>
      <c r="K1453" s="3" t="s">
        <v>38</v>
      </c>
      <c r="L1453" s="1">
        <v>1</v>
      </c>
      <c r="M1453" s="1">
        <v>2041</v>
      </c>
      <c r="N1453" s="1">
        <v>1</v>
      </c>
      <c r="O1453" s="3" t="s">
        <v>39</v>
      </c>
      <c r="P1453" s="1">
        <v>100</v>
      </c>
      <c r="Q1453" s="1">
        <v>3</v>
      </c>
      <c r="R1453" s="1">
        <v>2</v>
      </c>
      <c r="S1453" s="3" t="s">
        <v>40</v>
      </c>
      <c r="T1453" s="1">
        <v>4</v>
      </c>
      <c r="U1453" s="3" t="s">
        <v>48</v>
      </c>
      <c r="V1453" s="4">
        <v>5343</v>
      </c>
      <c r="W1453" s="1">
        <v>5982</v>
      </c>
      <c r="X1453" s="1">
        <v>1</v>
      </c>
      <c r="Y1453" s="3" t="s">
        <v>42</v>
      </c>
      <c r="Z1453" s="3" t="s">
        <v>43</v>
      </c>
      <c r="AA1453" s="5">
        <v>0.11</v>
      </c>
      <c r="AB1453" s="10" t="str" cm="1">
        <f t="array" ref="AB1453">_xlfn.IFS(AA1453 &lt;= 15%, "Low Hike[11-15%]", AA1453 &lt;= 20%, "Moderate Hike[16-20%]", AA1453 &lt;= 25%,"High Hike[21-25%]")</f>
        <v>Low Hike[11-15%]</v>
      </c>
      <c r="AC1453" s="1">
        <v>3</v>
      </c>
      <c r="AD1453" s="1">
        <v>3</v>
      </c>
      <c r="AE1453" s="1">
        <v>80</v>
      </c>
      <c r="AF1453" s="1">
        <v>1</v>
      </c>
      <c r="AG1453" s="1">
        <v>10</v>
      </c>
      <c r="AH1453" s="9" t="str" cm="1">
        <f t="array" ref="AH1453">_xlfn.IFS(AG1453 &lt;= 5, "New[1-5]", AG1453 &lt;= 10, "Early Career[6-10]", AG1453 &lt;= 20, "Established[11-20]", AG1453 &lt;= 30, "Veteran[21-30]", AG1453 &lt;= 40, "Late Career[31-40]")</f>
        <v>Early Career[6-10]</v>
      </c>
      <c r="AI1453" s="1">
        <v>1</v>
      </c>
      <c r="AJ1453" s="1">
        <v>3</v>
      </c>
      <c r="AK1453" s="1">
        <v>10</v>
      </c>
      <c r="AL1453" s="9" t="str" cm="1">
        <f t="array" ref="AL1453">_xlfn.IFS(AK1453 &lt;= 5, "New[1-5]", AK1453 &lt;= 10, "Early Career[6-10]", AK1453 &lt;= 20, "Established[11-20]", AK1453 &lt;= 30, "Veteran[21-30]", AK1453 &lt;= 40, "Late Career[31-40]")</f>
        <v>Early Career[6-10]</v>
      </c>
      <c r="AM1453" s="1">
        <v>7</v>
      </c>
      <c r="AN1453" s="9" t="str" cm="1">
        <f t="array" ref="AN1453">_xlfn.IFS(AM1453 &lt;= 3, "New to Role[1-3]", AM1453 &lt;= 7, "Settled[4-7]", AM1453 &lt;= 12, "Experienced[[8-12]", AM1453 &lt;= 18, "Long Tenured[13-18]")</f>
        <v>Settled[4-7]</v>
      </c>
      <c r="AO1453" s="1">
        <v>1</v>
      </c>
      <c r="AP1453" s="9" t="str" cm="1">
        <f t="array" ref="AP1453">_xlfn.IFS(AO1453 &lt;= 3, "Recently[1-3]", AO1453 &lt;= 6, "Due Soon[4-6]", AO1453 &lt;= 10, "Overdue[7-10]", AO1453 &lt;= 15, "Long Overdue[11-15]")</f>
        <v>Recently[1-3]</v>
      </c>
      <c r="AQ1453" s="9" t="str" cm="1">
        <f t="array" ref="AQ1453">_xlfn.IFS(AR1453 &lt;= 3, "New Relationship[1-3]", AR1453 &lt;= 7, "Established Relationship[4-7]", AR1453 &lt;= 12, "Long Term Relationship[8-12]", AR1453 &lt;= 17, "Very Long Term Relationship[13-17]")</f>
        <v>Long Term Relationship[8-12]</v>
      </c>
      <c r="AR1453" s="1">
        <v>9</v>
      </c>
    </row>
    <row r="1454" spans="1:44" x14ac:dyDescent="0.25">
      <c r="A1454" s="1">
        <v>50</v>
      </c>
      <c r="B1454" s="8" t="str" cm="1">
        <f t="array" ref="B1454">_xlfn.IFS(A1454 &lt;= 25, "[18-25]", A1454 &lt;= 35, "[26-35]", A1454 &lt;=45, "[36-45]", A1454 &lt;= 60, "[46- 60]")</f>
        <v>[46- 60]</v>
      </c>
      <c r="C1454" s="3" t="s">
        <v>35</v>
      </c>
      <c r="D1454">
        <f t="shared" si="22"/>
        <v>1</v>
      </c>
      <c r="E1454" t="s">
        <v>44</v>
      </c>
      <c r="F1454" s="1">
        <v>878</v>
      </c>
      <c r="G1454" s="3" t="s">
        <v>37</v>
      </c>
      <c r="H1454" s="1">
        <v>1</v>
      </c>
      <c r="I1454" s="9" t="str" cm="1">
        <f t="array" ref="I1454">_xlfn.IFS(H1454 &lt;= 2, "[1-2] very close", H1454 &lt;= 10, "[3-10] close", H1454 &lt;= 20, "[11-20] moderate", H1454 &lt;= 30, "[21-30] far")</f>
        <v>[1-2] very close</v>
      </c>
      <c r="J1454" s="1">
        <v>4</v>
      </c>
      <c r="K1454" s="3" t="s">
        <v>38</v>
      </c>
      <c r="L1454" s="1">
        <v>1</v>
      </c>
      <c r="M1454" s="1">
        <v>2044</v>
      </c>
      <c r="N1454" s="1">
        <v>2</v>
      </c>
      <c r="O1454" s="3" t="s">
        <v>46</v>
      </c>
      <c r="P1454" s="1">
        <v>94</v>
      </c>
      <c r="Q1454" s="1">
        <v>3</v>
      </c>
      <c r="R1454" s="1">
        <v>2</v>
      </c>
      <c r="S1454" s="3" t="s">
        <v>40</v>
      </c>
      <c r="T1454" s="1">
        <v>3</v>
      </c>
      <c r="U1454" s="3" t="s">
        <v>52</v>
      </c>
      <c r="V1454" s="4">
        <v>6728</v>
      </c>
      <c r="W1454" s="1">
        <v>14255</v>
      </c>
      <c r="X1454" s="1">
        <v>7</v>
      </c>
      <c r="Y1454" s="3" t="s">
        <v>42</v>
      </c>
      <c r="Z1454" s="3" t="s">
        <v>43</v>
      </c>
      <c r="AA1454" s="5">
        <v>0.12</v>
      </c>
      <c r="AB1454" s="10" t="str" cm="1">
        <f t="array" ref="AB1454">_xlfn.IFS(AA1454 &lt;= 15%, "Low Hike[11-15%]", AA1454 &lt;= 20%, "Moderate Hike[16-20%]", AA1454 &lt;= 25%,"High Hike[21-25%]")</f>
        <v>Low Hike[11-15%]</v>
      </c>
      <c r="AC1454" s="1">
        <v>3</v>
      </c>
      <c r="AD1454" s="1">
        <v>4</v>
      </c>
      <c r="AE1454" s="1">
        <v>80</v>
      </c>
      <c r="AF1454" s="1">
        <v>2</v>
      </c>
      <c r="AG1454" s="1">
        <v>12</v>
      </c>
      <c r="AH1454" s="9" t="str" cm="1">
        <f t="array" ref="AH1454">_xlfn.IFS(AG1454 &lt;= 5, "New[1-5]", AG1454 &lt;= 10, "Early Career[6-10]", AG1454 &lt;= 20, "Established[11-20]", AG1454 &lt;= 30, "Veteran[21-30]", AG1454 &lt;= 40, "Late Career[31-40]")</f>
        <v>Established[11-20]</v>
      </c>
      <c r="AI1454" s="1">
        <v>3</v>
      </c>
      <c r="AJ1454" s="1">
        <v>3</v>
      </c>
      <c r="AK1454" s="1">
        <v>6</v>
      </c>
      <c r="AL1454" s="9" t="str" cm="1">
        <f t="array" ref="AL1454">_xlfn.IFS(AK1454 &lt;= 5, "New[1-5]", AK1454 &lt;= 10, "Early Career[6-10]", AK1454 &lt;= 20, "Established[11-20]", AK1454 &lt;= 30, "Veteran[21-30]", AK1454 &lt;= 40, "Late Career[31-40]")</f>
        <v>Early Career[6-10]</v>
      </c>
      <c r="AM1454" s="1">
        <v>3</v>
      </c>
      <c r="AN1454" s="9" t="str" cm="1">
        <f t="array" ref="AN1454">_xlfn.IFS(AM1454 &lt;= 3, "New to Role[1-3]", AM1454 &lt;= 7, "Settled[4-7]", AM1454 &lt;= 12, "Experienced[[8-12]", AM1454 &lt;= 18, "Long Tenured[13-18]")</f>
        <v>New to Role[1-3]</v>
      </c>
      <c r="AO1454" s="1">
        <v>0</v>
      </c>
      <c r="AP1454" s="9" t="str" cm="1">
        <f t="array" ref="AP1454">_xlfn.IFS(AO1454 &lt;= 3, "Recently[1-3]", AO1454 &lt;= 6, "Due Soon[4-6]", AO1454 &lt;= 10, "Overdue[7-10]", AO1454 &lt;= 15, "Long Overdue[11-15]")</f>
        <v>Recently[1-3]</v>
      </c>
      <c r="AQ1454" s="9" t="str" cm="1">
        <f t="array" ref="AQ1454">_xlfn.IFS(AR1454 &lt;= 3, "New Relationship[1-3]", AR1454 &lt;= 7, "Established Relationship[4-7]", AR1454 &lt;= 12, "Long Term Relationship[8-12]", AR1454 &lt;= 17, "Very Long Term Relationship[13-17]")</f>
        <v>New Relationship[1-3]</v>
      </c>
      <c r="AR1454" s="1">
        <v>1</v>
      </c>
    </row>
    <row r="1455" spans="1:44" x14ac:dyDescent="0.25">
      <c r="A1455" s="1">
        <v>36</v>
      </c>
      <c r="B1455" s="8" t="str" cm="1">
        <f t="array" ref="B1455">_xlfn.IFS(A1455 &lt;= 25, "[18-25]", A1455 &lt;= 35, "[26-35]", A1455 &lt;=45, "[36-45]", A1455 &lt;= 60, "[46- 60]")</f>
        <v>[36-45]</v>
      </c>
      <c r="C1455" s="3" t="s">
        <v>43</v>
      </c>
      <c r="D1455">
        <f t="shared" si="22"/>
        <v>0</v>
      </c>
      <c r="E1455" t="s">
        <v>36</v>
      </c>
      <c r="F1455" s="1">
        <v>1120</v>
      </c>
      <c r="G1455" s="3" t="s">
        <v>37</v>
      </c>
      <c r="H1455" s="1">
        <v>11</v>
      </c>
      <c r="I1455" s="9" t="str" cm="1">
        <f t="array" ref="I1455">_xlfn.IFS(H1455 &lt;= 2, "[1-2] very close", H1455 &lt;= 10, "[3-10] close", H1455 &lt;= 20, "[11-20] moderate", H1455 &lt;= 30, "[21-30] far")</f>
        <v>[11-20] moderate</v>
      </c>
      <c r="J1455" s="1">
        <v>4</v>
      </c>
      <c r="K1455" s="3" t="s">
        <v>59</v>
      </c>
      <c r="L1455" s="1">
        <v>1</v>
      </c>
      <c r="M1455" s="1">
        <v>2045</v>
      </c>
      <c r="N1455" s="1">
        <v>2</v>
      </c>
      <c r="O1455" s="3" t="s">
        <v>39</v>
      </c>
      <c r="P1455" s="1">
        <v>100</v>
      </c>
      <c r="Q1455" s="1">
        <v>2</v>
      </c>
      <c r="R1455" s="1">
        <v>2</v>
      </c>
      <c r="S1455" s="3" t="s">
        <v>40</v>
      </c>
      <c r="T1455" s="1">
        <v>4</v>
      </c>
      <c r="U1455" s="3" t="s">
        <v>48</v>
      </c>
      <c r="V1455" s="4">
        <v>6652</v>
      </c>
      <c r="W1455" s="1">
        <v>14369</v>
      </c>
      <c r="X1455" s="1">
        <v>4</v>
      </c>
      <c r="Y1455" s="3" t="s">
        <v>42</v>
      </c>
      <c r="Z1455" s="3" t="s">
        <v>43</v>
      </c>
      <c r="AA1455" s="5">
        <v>0.13</v>
      </c>
      <c r="AB1455" s="10" t="str" cm="1">
        <f t="array" ref="AB1455">_xlfn.IFS(AA1455 &lt;= 15%, "Low Hike[11-15%]", AA1455 &lt;= 20%, "Moderate Hike[16-20%]", AA1455 &lt;= 25%,"High Hike[21-25%]")</f>
        <v>Low Hike[11-15%]</v>
      </c>
      <c r="AC1455" s="1">
        <v>3</v>
      </c>
      <c r="AD1455" s="1">
        <v>1</v>
      </c>
      <c r="AE1455" s="1">
        <v>80</v>
      </c>
      <c r="AF1455" s="1">
        <v>1</v>
      </c>
      <c r="AG1455" s="1">
        <v>8</v>
      </c>
      <c r="AH1455" s="9" t="str" cm="1">
        <f t="array" ref="AH1455">_xlfn.IFS(AG1455 &lt;= 5, "New[1-5]", AG1455 &lt;= 10, "Early Career[6-10]", AG1455 &lt;= 20, "Established[11-20]", AG1455 &lt;= 30, "Veteran[21-30]", AG1455 &lt;= 40, "Late Career[31-40]")</f>
        <v>Early Career[6-10]</v>
      </c>
      <c r="AI1455" s="1">
        <v>2</v>
      </c>
      <c r="AJ1455" s="1">
        <v>2</v>
      </c>
      <c r="AK1455" s="1">
        <v>6</v>
      </c>
      <c r="AL1455" s="9" t="str" cm="1">
        <f t="array" ref="AL1455">_xlfn.IFS(AK1455 &lt;= 5, "New[1-5]", AK1455 &lt;= 10, "Early Career[6-10]", AK1455 &lt;= 20, "Established[11-20]", AK1455 &lt;= 30, "Veteran[21-30]", AK1455 &lt;= 40, "Late Career[31-40]")</f>
        <v>Early Career[6-10]</v>
      </c>
      <c r="AM1455" s="1">
        <v>3</v>
      </c>
      <c r="AN1455" s="9" t="str" cm="1">
        <f t="array" ref="AN1455">_xlfn.IFS(AM1455 &lt;= 3, "New to Role[1-3]", AM1455 &lt;= 7, "Settled[4-7]", AM1455 &lt;= 12, "Experienced[[8-12]", AM1455 &lt;= 18, "Long Tenured[13-18]")</f>
        <v>New to Role[1-3]</v>
      </c>
      <c r="AO1455" s="1">
        <v>0</v>
      </c>
      <c r="AP1455" s="9" t="str" cm="1">
        <f t="array" ref="AP1455">_xlfn.IFS(AO1455 &lt;= 3, "Recently[1-3]", AO1455 &lt;= 6, "Due Soon[4-6]", AO1455 &lt;= 10, "Overdue[7-10]", AO1455 &lt;= 15, "Long Overdue[11-15]")</f>
        <v>Recently[1-3]</v>
      </c>
      <c r="AQ1455" s="9" t="str" cm="1">
        <f t="array" ref="AQ1455">_xlfn.IFS(AR1455 &lt;= 3, "New Relationship[1-3]", AR1455 &lt;= 7, "Established Relationship[4-7]", AR1455 &lt;= 12, "Long Term Relationship[8-12]", AR1455 &lt;= 17, "Very Long Term Relationship[13-17]")</f>
        <v>New Relationship[1-3]</v>
      </c>
      <c r="AR1455" s="1">
        <v>0</v>
      </c>
    </row>
    <row r="1456" spans="1:44" x14ac:dyDescent="0.25">
      <c r="A1456" s="1">
        <v>45</v>
      </c>
      <c r="B1456" s="8" t="str" cm="1">
        <f t="array" ref="B1456">_xlfn.IFS(A1456 &lt;= 25, "[18-25]", A1456 &lt;= 35, "[26-35]", A1456 &lt;=45, "[36-45]", A1456 &lt;= 60, "[46- 60]")</f>
        <v>[36-45]</v>
      </c>
      <c r="C1456" s="3" t="s">
        <v>43</v>
      </c>
      <c r="D1456">
        <f t="shared" si="22"/>
        <v>0</v>
      </c>
      <c r="E1456" t="s">
        <v>36</v>
      </c>
      <c r="F1456" s="1">
        <v>374</v>
      </c>
      <c r="G1456" s="3" t="s">
        <v>37</v>
      </c>
      <c r="H1456" s="1">
        <v>20</v>
      </c>
      <c r="I1456" s="9" t="str" cm="1">
        <f t="array" ref="I1456">_xlfn.IFS(H1456 &lt;= 2, "[1-2] very close", H1456 &lt;= 10, "[3-10] close", H1456 &lt;= 20, "[11-20] moderate", H1456 &lt;= 30, "[21-30] far")</f>
        <v>[11-20] moderate</v>
      </c>
      <c r="J1456" s="1">
        <v>3</v>
      </c>
      <c r="K1456" s="3" t="s">
        <v>38</v>
      </c>
      <c r="L1456" s="1">
        <v>1</v>
      </c>
      <c r="M1456" s="1">
        <v>2046</v>
      </c>
      <c r="N1456" s="1">
        <v>4</v>
      </c>
      <c r="O1456" s="3" t="s">
        <v>39</v>
      </c>
      <c r="P1456" s="1">
        <v>50</v>
      </c>
      <c r="Q1456" s="1">
        <v>3</v>
      </c>
      <c r="R1456" s="1">
        <v>2</v>
      </c>
      <c r="S1456" s="3" t="s">
        <v>40</v>
      </c>
      <c r="T1456" s="1">
        <v>3</v>
      </c>
      <c r="U1456" s="3" t="s">
        <v>41</v>
      </c>
      <c r="V1456" s="4">
        <v>4850</v>
      </c>
      <c r="W1456" s="1">
        <v>23333</v>
      </c>
      <c r="X1456" s="1">
        <v>8</v>
      </c>
      <c r="Y1456" s="3" t="s">
        <v>42</v>
      </c>
      <c r="Z1456" s="3" t="s">
        <v>43</v>
      </c>
      <c r="AA1456" s="5">
        <v>0.15</v>
      </c>
      <c r="AB1456" s="10" t="str" cm="1">
        <f t="array" ref="AB1456">_xlfn.IFS(AA1456 &lt;= 15%, "Low Hike[11-15%]", AA1456 &lt;= 20%, "Moderate Hike[16-20%]", AA1456 &lt;= 25%,"High Hike[21-25%]")</f>
        <v>Low Hike[11-15%]</v>
      </c>
      <c r="AC1456" s="1">
        <v>3</v>
      </c>
      <c r="AD1456" s="1">
        <v>3</v>
      </c>
      <c r="AE1456" s="1">
        <v>80</v>
      </c>
      <c r="AF1456" s="1">
        <v>0</v>
      </c>
      <c r="AG1456" s="1">
        <v>8</v>
      </c>
      <c r="AH1456" s="9" t="str" cm="1">
        <f t="array" ref="AH1456">_xlfn.IFS(AG1456 &lt;= 5, "New[1-5]", AG1456 &lt;= 10, "Early Career[6-10]", AG1456 &lt;= 20, "Established[11-20]", AG1456 &lt;= 30, "Veteran[21-30]", AG1456 &lt;= 40, "Late Career[31-40]")</f>
        <v>Early Career[6-10]</v>
      </c>
      <c r="AI1456" s="1">
        <v>3</v>
      </c>
      <c r="AJ1456" s="1">
        <v>3</v>
      </c>
      <c r="AK1456" s="1">
        <v>5</v>
      </c>
      <c r="AL1456" s="9" t="str" cm="1">
        <f t="array" ref="AL1456">_xlfn.IFS(AK1456 &lt;= 5, "New[1-5]", AK1456 &lt;= 10, "Early Career[6-10]", AK1456 &lt;= 20, "Established[11-20]", AK1456 &lt;= 30, "Veteran[21-30]", AK1456 &lt;= 40, "Late Career[31-40]")</f>
        <v>New[1-5]</v>
      </c>
      <c r="AM1456" s="1">
        <v>3</v>
      </c>
      <c r="AN1456" s="9" t="str" cm="1">
        <f t="array" ref="AN1456">_xlfn.IFS(AM1456 &lt;= 3, "New to Role[1-3]", AM1456 &lt;= 7, "Settled[4-7]", AM1456 &lt;= 12, "Experienced[[8-12]", AM1456 &lt;= 18, "Long Tenured[13-18]")</f>
        <v>New to Role[1-3]</v>
      </c>
      <c r="AO1456" s="1">
        <v>0</v>
      </c>
      <c r="AP1456" s="9" t="str" cm="1">
        <f t="array" ref="AP1456">_xlfn.IFS(AO1456 &lt;= 3, "Recently[1-3]", AO1456 &lt;= 6, "Due Soon[4-6]", AO1456 &lt;= 10, "Overdue[7-10]", AO1456 &lt;= 15, "Long Overdue[11-15]")</f>
        <v>Recently[1-3]</v>
      </c>
      <c r="AQ1456" s="9" t="str" cm="1">
        <f t="array" ref="AQ1456">_xlfn.IFS(AR1456 &lt;= 3, "New Relationship[1-3]", AR1456 &lt;= 7, "Established Relationship[4-7]", AR1456 &lt;= 12, "Long Term Relationship[8-12]", AR1456 &lt;= 17, "Very Long Term Relationship[13-17]")</f>
        <v>New Relationship[1-3]</v>
      </c>
      <c r="AR1456" s="1">
        <v>1</v>
      </c>
    </row>
    <row r="1457" spans="1:44" x14ac:dyDescent="0.25">
      <c r="A1457" s="1">
        <v>40</v>
      </c>
      <c r="B1457" s="8" t="str" cm="1">
        <f t="array" ref="B1457">_xlfn.IFS(A1457 &lt;= 25, "[18-25]", A1457 &lt;= 35, "[26-35]", A1457 &lt;=45, "[36-45]", A1457 &lt;= 60, "[46- 60]")</f>
        <v>[36-45]</v>
      </c>
      <c r="C1457" s="3" t="s">
        <v>43</v>
      </c>
      <c r="D1457">
        <f t="shared" si="22"/>
        <v>0</v>
      </c>
      <c r="E1457" t="s">
        <v>36</v>
      </c>
      <c r="F1457" s="1">
        <v>1322</v>
      </c>
      <c r="G1457" s="3" t="s">
        <v>45</v>
      </c>
      <c r="H1457" s="1">
        <v>2</v>
      </c>
      <c r="I1457" s="9" t="str" cm="1">
        <f t="array" ref="I1457">_xlfn.IFS(H1457 &lt;= 2, "[1-2] very close", H1457 &lt;= 10, "[3-10] close", H1457 &lt;= 20, "[11-20] moderate", H1457 &lt;= 30, "[21-30] far")</f>
        <v>[1-2] very close</v>
      </c>
      <c r="J1457" s="1">
        <v>4</v>
      </c>
      <c r="K1457" s="3" t="s">
        <v>38</v>
      </c>
      <c r="L1457" s="1">
        <v>1</v>
      </c>
      <c r="M1457" s="1">
        <v>2048</v>
      </c>
      <c r="N1457" s="1">
        <v>3</v>
      </c>
      <c r="O1457" s="3" t="s">
        <v>46</v>
      </c>
      <c r="P1457" s="1">
        <v>52</v>
      </c>
      <c r="Q1457" s="1">
        <v>2</v>
      </c>
      <c r="R1457" s="1">
        <v>1</v>
      </c>
      <c r="S1457" s="3" t="s">
        <v>47</v>
      </c>
      <c r="T1457" s="1">
        <v>3</v>
      </c>
      <c r="U1457" s="3" t="s">
        <v>41</v>
      </c>
      <c r="V1457" s="4">
        <v>2809</v>
      </c>
      <c r="W1457" s="1">
        <v>2725</v>
      </c>
      <c r="X1457" s="1">
        <v>2</v>
      </c>
      <c r="Y1457" s="3" t="s">
        <v>42</v>
      </c>
      <c r="Z1457" s="3" t="s">
        <v>43</v>
      </c>
      <c r="AA1457" s="5">
        <v>0.14000000000000001</v>
      </c>
      <c r="AB1457" s="10" t="str" cm="1">
        <f t="array" ref="AB1457">_xlfn.IFS(AA1457 &lt;= 15%, "Low Hike[11-15%]", AA1457 &lt;= 20%, "Moderate Hike[16-20%]", AA1457 &lt;= 25%,"High Hike[21-25%]")</f>
        <v>Low Hike[11-15%]</v>
      </c>
      <c r="AC1457" s="1">
        <v>3</v>
      </c>
      <c r="AD1457" s="1">
        <v>4</v>
      </c>
      <c r="AE1457" s="1">
        <v>80</v>
      </c>
      <c r="AF1457" s="1">
        <v>0</v>
      </c>
      <c r="AG1457" s="1">
        <v>8</v>
      </c>
      <c r="AH1457" s="9" t="str" cm="1">
        <f t="array" ref="AH1457">_xlfn.IFS(AG1457 &lt;= 5, "New[1-5]", AG1457 &lt;= 10, "Early Career[6-10]", AG1457 &lt;= 20, "Established[11-20]", AG1457 &lt;= 30, "Veteran[21-30]", AG1457 &lt;= 40, "Late Career[31-40]")</f>
        <v>Early Career[6-10]</v>
      </c>
      <c r="AI1457" s="1">
        <v>2</v>
      </c>
      <c r="AJ1457" s="1">
        <v>3</v>
      </c>
      <c r="AK1457" s="1">
        <v>2</v>
      </c>
      <c r="AL1457" s="9" t="str" cm="1">
        <f t="array" ref="AL1457">_xlfn.IFS(AK1457 &lt;= 5, "New[1-5]", AK1457 &lt;= 10, "Early Career[6-10]", AK1457 &lt;= 20, "Established[11-20]", AK1457 &lt;= 30, "Veteran[21-30]", AK1457 &lt;= 40, "Late Career[31-40]")</f>
        <v>New[1-5]</v>
      </c>
      <c r="AM1457" s="1">
        <v>2</v>
      </c>
      <c r="AN1457" s="9" t="str" cm="1">
        <f t="array" ref="AN1457">_xlfn.IFS(AM1457 &lt;= 3, "New to Role[1-3]", AM1457 &lt;= 7, "Settled[4-7]", AM1457 &lt;= 12, "Experienced[[8-12]", AM1457 &lt;= 18, "Long Tenured[13-18]")</f>
        <v>New to Role[1-3]</v>
      </c>
      <c r="AO1457" s="1">
        <v>2</v>
      </c>
      <c r="AP1457" s="9" t="str" cm="1">
        <f t="array" ref="AP1457">_xlfn.IFS(AO1457 &lt;= 3, "Recently[1-3]", AO1457 &lt;= 6, "Due Soon[4-6]", AO1457 &lt;= 10, "Overdue[7-10]", AO1457 &lt;= 15, "Long Overdue[11-15]")</f>
        <v>Recently[1-3]</v>
      </c>
      <c r="AQ1457" s="9" t="str" cm="1">
        <f t="array" ref="AQ1457">_xlfn.IFS(AR1457 &lt;= 3, "New Relationship[1-3]", AR1457 &lt;= 7, "Established Relationship[4-7]", AR1457 &lt;= 12, "Long Term Relationship[8-12]", AR1457 &lt;= 17, "Very Long Term Relationship[13-17]")</f>
        <v>New Relationship[1-3]</v>
      </c>
      <c r="AR1457" s="1">
        <v>2</v>
      </c>
    </row>
    <row r="1458" spans="1:44" x14ac:dyDescent="0.25">
      <c r="A1458" s="1">
        <v>35</v>
      </c>
      <c r="B1458" s="8" t="str" cm="1">
        <f t="array" ref="B1458">_xlfn.IFS(A1458 &lt;= 25, "[18-25]", A1458 &lt;= 35, "[26-35]", A1458 &lt;=45, "[36-45]", A1458 &lt;= 60, "[46- 60]")</f>
        <v>[26-35]</v>
      </c>
      <c r="C1458" s="3" t="s">
        <v>43</v>
      </c>
      <c r="D1458">
        <f t="shared" si="22"/>
        <v>0</v>
      </c>
      <c r="E1458" t="s">
        <v>44</v>
      </c>
      <c r="F1458" s="1">
        <v>1199</v>
      </c>
      <c r="G1458" s="3" t="s">
        <v>45</v>
      </c>
      <c r="H1458" s="1">
        <v>18</v>
      </c>
      <c r="I1458" s="9" t="str" cm="1">
        <f t="array" ref="I1458">_xlfn.IFS(H1458 &lt;= 2, "[1-2] very close", H1458 &lt;= 10, "[3-10] close", H1458 &lt;= 20, "[11-20] moderate", H1458 &lt;= 30, "[21-30] far")</f>
        <v>[11-20] moderate</v>
      </c>
      <c r="J1458" s="1">
        <v>4</v>
      </c>
      <c r="K1458" s="3" t="s">
        <v>38</v>
      </c>
      <c r="L1458" s="1">
        <v>1</v>
      </c>
      <c r="M1458" s="1">
        <v>2049</v>
      </c>
      <c r="N1458" s="1">
        <v>3</v>
      </c>
      <c r="O1458" s="3" t="s">
        <v>46</v>
      </c>
      <c r="P1458" s="1">
        <v>80</v>
      </c>
      <c r="Q1458" s="1">
        <v>3</v>
      </c>
      <c r="R1458" s="1">
        <v>2</v>
      </c>
      <c r="S1458" s="3" t="s">
        <v>54</v>
      </c>
      <c r="T1458" s="1">
        <v>3</v>
      </c>
      <c r="U1458" s="3" t="s">
        <v>48</v>
      </c>
      <c r="V1458" s="4">
        <v>5689</v>
      </c>
      <c r="W1458" s="1">
        <v>24594</v>
      </c>
      <c r="X1458" s="1">
        <v>1</v>
      </c>
      <c r="Y1458" s="3" t="s">
        <v>42</v>
      </c>
      <c r="Z1458" s="3" t="s">
        <v>35</v>
      </c>
      <c r="AA1458" s="5">
        <v>0.14000000000000001</v>
      </c>
      <c r="AB1458" s="10" t="str" cm="1">
        <f t="array" ref="AB1458">_xlfn.IFS(AA1458 &lt;= 15%, "Low Hike[11-15%]", AA1458 &lt;= 20%, "Moderate Hike[16-20%]", AA1458 &lt;= 25%,"High Hike[21-25%]")</f>
        <v>Low Hike[11-15%]</v>
      </c>
      <c r="AC1458" s="1">
        <v>3</v>
      </c>
      <c r="AD1458" s="1">
        <v>4</v>
      </c>
      <c r="AE1458" s="1">
        <v>80</v>
      </c>
      <c r="AF1458" s="1">
        <v>2</v>
      </c>
      <c r="AG1458" s="1">
        <v>10</v>
      </c>
      <c r="AH1458" s="9" t="str" cm="1">
        <f t="array" ref="AH1458">_xlfn.IFS(AG1458 &lt;= 5, "New[1-5]", AG1458 &lt;= 10, "Early Career[6-10]", AG1458 &lt;= 20, "Established[11-20]", AG1458 &lt;= 30, "Veteran[21-30]", AG1458 &lt;= 40, "Late Career[31-40]")</f>
        <v>Early Career[6-10]</v>
      </c>
      <c r="AI1458" s="1">
        <v>2</v>
      </c>
      <c r="AJ1458" s="1">
        <v>4</v>
      </c>
      <c r="AK1458" s="1">
        <v>10</v>
      </c>
      <c r="AL1458" s="9" t="str" cm="1">
        <f t="array" ref="AL1458">_xlfn.IFS(AK1458 &lt;= 5, "New[1-5]", AK1458 &lt;= 10, "Early Career[6-10]", AK1458 &lt;= 20, "Established[11-20]", AK1458 &lt;= 30, "Veteran[21-30]", AK1458 &lt;= 40, "Late Career[31-40]")</f>
        <v>Early Career[6-10]</v>
      </c>
      <c r="AM1458" s="1">
        <v>2</v>
      </c>
      <c r="AN1458" s="9" t="str" cm="1">
        <f t="array" ref="AN1458">_xlfn.IFS(AM1458 &lt;= 3, "New to Role[1-3]", AM1458 &lt;= 7, "Settled[4-7]", AM1458 &lt;= 12, "Experienced[[8-12]", AM1458 &lt;= 18, "Long Tenured[13-18]")</f>
        <v>New to Role[1-3]</v>
      </c>
      <c r="AO1458" s="1">
        <v>0</v>
      </c>
      <c r="AP1458" s="9" t="str" cm="1">
        <f t="array" ref="AP1458">_xlfn.IFS(AO1458 &lt;= 3, "Recently[1-3]", AO1458 &lt;= 6, "Due Soon[4-6]", AO1458 &lt;= 10, "Overdue[7-10]", AO1458 &lt;= 15, "Long Overdue[11-15]")</f>
        <v>Recently[1-3]</v>
      </c>
      <c r="AQ1458" s="9" t="str" cm="1">
        <f t="array" ref="AQ1458">_xlfn.IFS(AR1458 &lt;= 3, "New Relationship[1-3]", AR1458 &lt;= 7, "Established Relationship[4-7]", AR1458 &lt;= 12, "Long Term Relationship[8-12]", AR1458 &lt;= 17, "Very Long Term Relationship[13-17]")</f>
        <v>New Relationship[1-3]</v>
      </c>
      <c r="AR1458" s="1">
        <v>2</v>
      </c>
    </row>
    <row r="1459" spans="1:44" x14ac:dyDescent="0.25">
      <c r="A1459" s="1">
        <v>40</v>
      </c>
      <c r="B1459" s="8" t="str" cm="1">
        <f t="array" ref="B1459">_xlfn.IFS(A1459 &lt;= 25, "[18-25]", A1459 &lt;= 35, "[26-35]", A1459 &lt;=45, "[36-45]", A1459 &lt;= 60, "[46- 60]")</f>
        <v>[36-45]</v>
      </c>
      <c r="C1459" s="3" t="s">
        <v>43</v>
      </c>
      <c r="D1459">
        <f t="shared" si="22"/>
        <v>0</v>
      </c>
      <c r="E1459" t="s">
        <v>36</v>
      </c>
      <c r="F1459" s="1">
        <v>1194</v>
      </c>
      <c r="G1459" s="3" t="s">
        <v>45</v>
      </c>
      <c r="H1459" s="1">
        <v>2</v>
      </c>
      <c r="I1459" s="9" t="str" cm="1">
        <f t="array" ref="I1459">_xlfn.IFS(H1459 &lt;= 2, "[1-2] very close", H1459 &lt;= 10, "[3-10] close", H1459 &lt;= 20, "[11-20] moderate", H1459 &lt;= 30, "[21-30] far")</f>
        <v>[1-2] very close</v>
      </c>
      <c r="J1459" s="1">
        <v>4</v>
      </c>
      <c r="K1459" s="3" t="s">
        <v>51</v>
      </c>
      <c r="L1459" s="1">
        <v>1</v>
      </c>
      <c r="M1459" s="1">
        <v>2051</v>
      </c>
      <c r="N1459" s="1">
        <v>3</v>
      </c>
      <c r="O1459" s="3" t="s">
        <v>39</v>
      </c>
      <c r="P1459" s="1">
        <v>98</v>
      </c>
      <c r="Q1459" s="1">
        <v>3</v>
      </c>
      <c r="R1459" s="1">
        <v>1</v>
      </c>
      <c r="S1459" s="3" t="s">
        <v>47</v>
      </c>
      <c r="T1459" s="1">
        <v>3</v>
      </c>
      <c r="U1459" s="3" t="s">
        <v>48</v>
      </c>
      <c r="V1459" s="4">
        <v>2001</v>
      </c>
      <c r="W1459" s="1">
        <v>12549</v>
      </c>
      <c r="X1459" s="1">
        <v>2</v>
      </c>
      <c r="Y1459" s="3" t="s">
        <v>42</v>
      </c>
      <c r="Z1459" s="3" t="s">
        <v>43</v>
      </c>
      <c r="AA1459" s="5">
        <v>0.14000000000000001</v>
      </c>
      <c r="AB1459" s="10" t="str" cm="1">
        <f t="array" ref="AB1459">_xlfn.IFS(AA1459 &lt;= 15%, "Low Hike[11-15%]", AA1459 &lt;= 20%, "Moderate Hike[16-20%]", AA1459 &lt;= 25%,"High Hike[21-25%]")</f>
        <v>Low Hike[11-15%]</v>
      </c>
      <c r="AC1459" s="1">
        <v>3</v>
      </c>
      <c r="AD1459" s="1">
        <v>2</v>
      </c>
      <c r="AE1459" s="1">
        <v>80</v>
      </c>
      <c r="AF1459" s="1">
        <v>3</v>
      </c>
      <c r="AG1459" s="1">
        <v>20</v>
      </c>
      <c r="AH1459" s="9" t="str" cm="1">
        <f t="array" ref="AH1459">_xlfn.IFS(AG1459 &lt;= 5, "New[1-5]", AG1459 &lt;= 10, "Early Career[6-10]", AG1459 &lt;= 20, "Established[11-20]", AG1459 &lt;= 30, "Veteran[21-30]", AG1459 &lt;= 40, "Late Career[31-40]")</f>
        <v>Established[11-20]</v>
      </c>
      <c r="AI1459" s="1">
        <v>2</v>
      </c>
      <c r="AJ1459" s="1">
        <v>3</v>
      </c>
      <c r="AK1459" s="1">
        <v>5</v>
      </c>
      <c r="AL1459" s="9" t="str" cm="1">
        <f t="array" ref="AL1459">_xlfn.IFS(AK1459 &lt;= 5, "New[1-5]", AK1459 &lt;= 10, "Early Career[6-10]", AK1459 &lt;= 20, "Established[11-20]", AK1459 &lt;= 30, "Veteran[21-30]", AK1459 &lt;= 40, "Late Career[31-40]")</f>
        <v>New[1-5]</v>
      </c>
      <c r="AM1459" s="1">
        <v>3</v>
      </c>
      <c r="AN1459" s="9" t="str" cm="1">
        <f t="array" ref="AN1459">_xlfn.IFS(AM1459 &lt;= 3, "New to Role[1-3]", AM1459 &lt;= 7, "Settled[4-7]", AM1459 &lt;= 12, "Experienced[[8-12]", AM1459 &lt;= 18, "Long Tenured[13-18]")</f>
        <v>New to Role[1-3]</v>
      </c>
      <c r="AO1459" s="1">
        <v>0</v>
      </c>
      <c r="AP1459" s="9" t="str" cm="1">
        <f t="array" ref="AP1459">_xlfn.IFS(AO1459 &lt;= 3, "Recently[1-3]", AO1459 &lt;= 6, "Due Soon[4-6]", AO1459 &lt;= 10, "Overdue[7-10]", AO1459 &lt;= 15, "Long Overdue[11-15]")</f>
        <v>Recently[1-3]</v>
      </c>
      <c r="AQ1459" s="9" t="str" cm="1">
        <f t="array" ref="AQ1459">_xlfn.IFS(AR1459 &lt;= 3, "New Relationship[1-3]", AR1459 &lt;= 7, "Established Relationship[4-7]", AR1459 &lt;= 12, "Long Term Relationship[8-12]", AR1459 &lt;= 17, "Very Long Term Relationship[13-17]")</f>
        <v>New Relationship[1-3]</v>
      </c>
      <c r="AR1459" s="1">
        <v>2</v>
      </c>
    </row>
    <row r="1460" spans="1:44" x14ac:dyDescent="0.25">
      <c r="A1460" s="1">
        <v>35</v>
      </c>
      <c r="B1460" s="8" t="str" cm="1">
        <f t="array" ref="B1460">_xlfn.IFS(A1460 &lt;= 25, "[18-25]", A1460 &lt;= 35, "[26-35]", A1460 &lt;=45, "[36-45]", A1460 &lt;= 60, "[46- 60]")</f>
        <v>[26-35]</v>
      </c>
      <c r="C1460" s="3" t="s">
        <v>43</v>
      </c>
      <c r="D1460">
        <f t="shared" si="22"/>
        <v>0</v>
      </c>
      <c r="E1460" t="s">
        <v>36</v>
      </c>
      <c r="F1460" s="1">
        <v>287</v>
      </c>
      <c r="G1460" s="3" t="s">
        <v>45</v>
      </c>
      <c r="H1460" s="1">
        <v>1</v>
      </c>
      <c r="I1460" s="9" t="str" cm="1">
        <f t="array" ref="I1460">_xlfn.IFS(H1460 &lt;= 2, "[1-2] very close", H1460 &lt;= 10, "[3-10] close", H1460 &lt;= 20, "[11-20] moderate", H1460 &lt;= 30, "[21-30] far")</f>
        <v>[1-2] very close</v>
      </c>
      <c r="J1460" s="1">
        <v>4</v>
      </c>
      <c r="K1460" s="3" t="s">
        <v>38</v>
      </c>
      <c r="L1460" s="1">
        <v>1</v>
      </c>
      <c r="M1460" s="1">
        <v>2052</v>
      </c>
      <c r="N1460" s="1">
        <v>3</v>
      </c>
      <c r="O1460" s="3" t="s">
        <v>39</v>
      </c>
      <c r="P1460" s="1">
        <v>62</v>
      </c>
      <c r="Q1460" s="1">
        <v>1</v>
      </c>
      <c r="R1460" s="1">
        <v>1</v>
      </c>
      <c r="S1460" s="3" t="s">
        <v>47</v>
      </c>
      <c r="T1460" s="1">
        <v>4</v>
      </c>
      <c r="U1460" s="3" t="s">
        <v>48</v>
      </c>
      <c r="V1460" s="4">
        <v>2977</v>
      </c>
      <c r="W1460" s="1">
        <v>8952</v>
      </c>
      <c r="X1460" s="1">
        <v>1</v>
      </c>
      <c r="Y1460" s="3" t="s">
        <v>42</v>
      </c>
      <c r="Z1460" s="3" t="s">
        <v>43</v>
      </c>
      <c r="AA1460" s="5">
        <v>0.12</v>
      </c>
      <c r="AB1460" s="10" t="str" cm="1">
        <f t="array" ref="AB1460">_xlfn.IFS(AA1460 &lt;= 15%, "Low Hike[11-15%]", AA1460 &lt;= 20%, "Moderate Hike[16-20%]", AA1460 &lt;= 25%,"High Hike[21-25%]")</f>
        <v>Low Hike[11-15%]</v>
      </c>
      <c r="AC1460" s="1">
        <v>3</v>
      </c>
      <c r="AD1460" s="1">
        <v>4</v>
      </c>
      <c r="AE1460" s="1">
        <v>80</v>
      </c>
      <c r="AF1460" s="1">
        <v>1</v>
      </c>
      <c r="AG1460" s="1">
        <v>4</v>
      </c>
      <c r="AH1460" s="9" t="str" cm="1">
        <f t="array" ref="AH1460">_xlfn.IFS(AG1460 &lt;= 5, "New[1-5]", AG1460 &lt;= 10, "Early Career[6-10]", AG1460 &lt;= 20, "Established[11-20]", AG1460 &lt;= 30, "Veteran[21-30]", AG1460 &lt;= 40, "Late Career[31-40]")</f>
        <v>New[1-5]</v>
      </c>
      <c r="AI1460" s="1">
        <v>5</v>
      </c>
      <c r="AJ1460" s="1">
        <v>3</v>
      </c>
      <c r="AK1460" s="1">
        <v>4</v>
      </c>
      <c r="AL1460" s="9" t="str" cm="1">
        <f t="array" ref="AL1460">_xlfn.IFS(AK1460 &lt;= 5, "New[1-5]", AK1460 &lt;= 10, "Early Career[6-10]", AK1460 &lt;= 20, "Established[11-20]", AK1460 &lt;= 30, "Veteran[21-30]", AK1460 &lt;= 40, "Late Career[31-40]")</f>
        <v>New[1-5]</v>
      </c>
      <c r="AM1460" s="1">
        <v>3</v>
      </c>
      <c r="AN1460" s="9" t="str" cm="1">
        <f t="array" ref="AN1460">_xlfn.IFS(AM1460 &lt;= 3, "New to Role[1-3]", AM1460 &lt;= 7, "Settled[4-7]", AM1460 &lt;= 12, "Experienced[[8-12]", AM1460 &lt;= 18, "Long Tenured[13-18]")</f>
        <v>New to Role[1-3]</v>
      </c>
      <c r="AO1460" s="1">
        <v>1</v>
      </c>
      <c r="AP1460" s="9" t="str" cm="1">
        <f t="array" ref="AP1460">_xlfn.IFS(AO1460 &lt;= 3, "Recently[1-3]", AO1460 &lt;= 6, "Due Soon[4-6]", AO1460 &lt;= 10, "Overdue[7-10]", AO1460 &lt;= 15, "Long Overdue[11-15]")</f>
        <v>Recently[1-3]</v>
      </c>
      <c r="AQ1460" s="9" t="str" cm="1">
        <f t="array" ref="AQ1460">_xlfn.IFS(AR1460 &lt;= 3, "New Relationship[1-3]", AR1460 &lt;= 7, "Established Relationship[4-7]", AR1460 &lt;= 12, "Long Term Relationship[8-12]", AR1460 &lt;= 17, "Very Long Term Relationship[13-17]")</f>
        <v>New Relationship[1-3]</v>
      </c>
      <c r="AR1460" s="1">
        <v>1</v>
      </c>
    </row>
    <row r="1461" spans="1:44" x14ac:dyDescent="0.25">
      <c r="A1461" s="1">
        <v>29</v>
      </c>
      <c r="B1461" s="8" t="str" cm="1">
        <f t="array" ref="B1461">_xlfn.IFS(A1461 &lt;= 25, "[18-25]", A1461 &lt;= 35, "[26-35]", A1461 &lt;=45, "[36-45]", A1461 &lt;= 60, "[46- 60]")</f>
        <v>[26-35]</v>
      </c>
      <c r="C1461" s="3" t="s">
        <v>43</v>
      </c>
      <c r="D1461">
        <f t="shared" si="22"/>
        <v>0</v>
      </c>
      <c r="E1461" t="s">
        <v>36</v>
      </c>
      <c r="F1461" s="1">
        <v>1378</v>
      </c>
      <c r="G1461" s="3" t="s">
        <v>45</v>
      </c>
      <c r="H1461" s="1">
        <v>13</v>
      </c>
      <c r="I1461" s="9" t="str" cm="1">
        <f t="array" ref="I1461">_xlfn.IFS(H1461 &lt;= 2, "[1-2] very close", H1461 &lt;= 10, "[3-10] close", H1461 &lt;= 20, "[11-20] moderate", H1461 &lt;= 30, "[21-30] far")</f>
        <v>[11-20] moderate</v>
      </c>
      <c r="J1461" s="1">
        <v>2</v>
      </c>
      <c r="K1461" s="3" t="s">
        <v>49</v>
      </c>
      <c r="L1461" s="1">
        <v>1</v>
      </c>
      <c r="M1461" s="1">
        <v>2053</v>
      </c>
      <c r="N1461" s="1">
        <v>4</v>
      </c>
      <c r="O1461" s="3" t="s">
        <v>46</v>
      </c>
      <c r="P1461" s="1">
        <v>46</v>
      </c>
      <c r="Q1461" s="1">
        <v>2</v>
      </c>
      <c r="R1461" s="1">
        <v>2</v>
      </c>
      <c r="S1461" s="3" t="s">
        <v>50</v>
      </c>
      <c r="T1461" s="1">
        <v>2</v>
      </c>
      <c r="U1461" s="3" t="s">
        <v>48</v>
      </c>
      <c r="V1461" s="4">
        <v>4025</v>
      </c>
      <c r="W1461" s="1">
        <v>23679</v>
      </c>
      <c r="X1461" s="1">
        <v>4</v>
      </c>
      <c r="Y1461" s="3" t="s">
        <v>42</v>
      </c>
      <c r="Z1461" s="3" t="s">
        <v>35</v>
      </c>
      <c r="AA1461" s="5">
        <v>0.13</v>
      </c>
      <c r="AB1461" s="10" t="str" cm="1">
        <f t="array" ref="AB1461">_xlfn.IFS(AA1461 &lt;= 15%, "Low Hike[11-15%]", AA1461 &lt;= 20%, "Moderate Hike[16-20%]", AA1461 &lt;= 25%,"High Hike[21-25%]")</f>
        <v>Low Hike[11-15%]</v>
      </c>
      <c r="AC1461" s="1">
        <v>3</v>
      </c>
      <c r="AD1461" s="1">
        <v>1</v>
      </c>
      <c r="AE1461" s="1">
        <v>80</v>
      </c>
      <c r="AF1461" s="1">
        <v>1</v>
      </c>
      <c r="AG1461" s="1">
        <v>10</v>
      </c>
      <c r="AH1461" s="9" t="str" cm="1">
        <f t="array" ref="AH1461">_xlfn.IFS(AG1461 &lt;= 5, "New[1-5]", AG1461 &lt;= 10, "Early Career[6-10]", AG1461 &lt;= 20, "Established[11-20]", AG1461 &lt;= 30, "Veteran[21-30]", AG1461 &lt;= 40, "Late Career[31-40]")</f>
        <v>Early Career[6-10]</v>
      </c>
      <c r="AI1461" s="1">
        <v>2</v>
      </c>
      <c r="AJ1461" s="1">
        <v>3</v>
      </c>
      <c r="AK1461" s="1">
        <v>4</v>
      </c>
      <c r="AL1461" s="9" t="str" cm="1">
        <f t="array" ref="AL1461">_xlfn.IFS(AK1461 &lt;= 5, "New[1-5]", AK1461 &lt;= 10, "Early Career[6-10]", AK1461 &lt;= 20, "Established[11-20]", AK1461 &lt;= 30, "Veteran[21-30]", AK1461 &lt;= 40, "Late Career[31-40]")</f>
        <v>New[1-5]</v>
      </c>
      <c r="AM1461" s="1">
        <v>3</v>
      </c>
      <c r="AN1461" s="9" t="str" cm="1">
        <f t="array" ref="AN1461">_xlfn.IFS(AM1461 &lt;= 3, "New to Role[1-3]", AM1461 &lt;= 7, "Settled[4-7]", AM1461 &lt;= 12, "Experienced[[8-12]", AM1461 &lt;= 18, "Long Tenured[13-18]")</f>
        <v>New to Role[1-3]</v>
      </c>
      <c r="AO1461" s="1">
        <v>0</v>
      </c>
      <c r="AP1461" s="9" t="str" cm="1">
        <f t="array" ref="AP1461">_xlfn.IFS(AO1461 &lt;= 3, "Recently[1-3]", AO1461 &lt;= 6, "Due Soon[4-6]", AO1461 &lt;= 10, "Overdue[7-10]", AO1461 &lt;= 15, "Long Overdue[11-15]")</f>
        <v>Recently[1-3]</v>
      </c>
      <c r="AQ1461" s="9" t="str" cm="1">
        <f t="array" ref="AQ1461">_xlfn.IFS(AR1461 &lt;= 3, "New Relationship[1-3]", AR1461 &lt;= 7, "Established Relationship[4-7]", AR1461 &lt;= 12, "Long Term Relationship[8-12]", AR1461 &lt;= 17, "Very Long Term Relationship[13-17]")</f>
        <v>New Relationship[1-3]</v>
      </c>
      <c r="AR1461" s="1">
        <v>3</v>
      </c>
    </row>
    <row r="1462" spans="1:44" x14ac:dyDescent="0.25">
      <c r="A1462" s="1">
        <v>29</v>
      </c>
      <c r="B1462" s="8" t="str" cm="1">
        <f t="array" ref="B1462">_xlfn.IFS(A1462 &lt;= 25, "[18-25]", A1462 &lt;= 35, "[26-35]", A1462 &lt;=45, "[36-45]", A1462 &lt;= 60, "[46- 60]")</f>
        <v>[26-35]</v>
      </c>
      <c r="C1462" s="3" t="s">
        <v>43</v>
      </c>
      <c r="D1462">
        <f t="shared" si="22"/>
        <v>0</v>
      </c>
      <c r="E1462" t="s">
        <v>36</v>
      </c>
      <c r="F1462" s="1">
        <v>468</v>
      </c>
      <c r="G1462" s="3" t="s">
        <v>45</v>
      </c>
      <c r="H1462" s="1">
        <v>28</v>
      </c>
      <c r="I1462" s="9" t="str" cm="1">
        <f t="array" ref="I1462">_xlfn.IFS(H1462 &lt;= 2, "[1-2] very close", H1462 &lt;= 10, "[3-10] close", H1462 &lt;= 20, "[11-20] moderate", H1462 &lt;= 30, "[21-30] far")</f>
        <v>[21-30] far</v>
      </c>
      <c r="J1462" s="1">
        <v>4</v>
      </c>
      <c r="K1462" s="3" t="s">
        <v>51</v>
      </c>
      <c r="L1462" s="1">
        <v>1</v>
      </c>
      <c r="M1462" s="1">
        <v>2054</v>
      </c>
      <c r="N1462" s="1">
        <v>4</v>
      </c>
      <c r="O1462" s="3" t="s">
        <v>39</v>
      </c>
      <c r="P1462" s="1">
        <v>73</v>
      </c>
      <c r="Q1462" s="1">
        <v>2</v>
      </c>
      <c r="R1462" s="1">
        <v>1</v>
      </c>
      <c r="S1462" s="3" t="s">
        <v>47</v>
      </c>
      <c r="T1462" s="1">
        <v>1</v>
      </c>
      <c r="U1462" s="3" t="s">
        <v>41</v>
      </c>
      <c r="V1462" s="4">
        <v>3785</v>
      </c>
      <c r="W1462" s="1">
        <v>8489</v>
      </c>
      <c r="X1462" s="1">
        <v>1</v>
      </c>
      <c r="Y1462" s="3" t="s">
        <v>42</v>
      </c>
      <c r="Z1462" s="3" t="s">
        <v>43</v>
      </c>
      <c r="AA1462" s="5">
        <v>0.14000000000000001</v>
      </c>
      <c r="AB1462" s="10" t="str" cm="1">
        <f t="array" ref="AB1462">_xlfn.IFS(AA1462 &lt;= 15%, "Low Hike[11-15%]", AA1462 &lt;= 20%, "Moderate Hike[16-20%]", AA1462 &lt;= 25%,"High Hike[21-25%]")</f>
        <v>Low Hike[11-15%]</v>
      </c>
      <c r="AC1462" s="1">
        <v>3</v>
      </c>
      <c r="AD1462" s="1">
        <v>2</v>
      </c>
      <c r="AE1462" s="1">
        <v>80</v>
      </c>
      <c r="AF1462" s="1">
        <v>0</v>
      </c>
      <c r="AG1462" s="1">
        <v>5</v>
      </c>
      <c r="AH1462" s="9" t="str" cm="1">
        <f t="array" ref="AH1462">_xlfn.IFS(AG1462 &lt;= 5, "New[1-5]", AG1462 &lt;= 10, "Early Career[6-10]", AG1462 &lt;= 20, "Established[11-20]", AG1462 &lt;= 30, "Veteran[21-30]", AG1462 &lt;= 40, "Late Career[31-40]")</f>
        <v>New[1-5]</v>
      </c>
      <c r="AI1462" s="1">
        <v>3</v>
      </c>
      <c r="AJ1462" s="1">
        <v>1</v>
      </c>
      <c r="AK1462" s="1">
        <v>5</v>
      </c>
      <c r="AL1462" s="9" t="str" cm="1">
        <f t="array" ref="AL1462">_xlfn.IFS(AK1462 &lt;= 5, "New[1-5]", AK1462 &lt;= 10, "Early Career[6-10]", AK1462 &lt;= 20, "Established[11-20]", AK1462 &lt;= 30, "Veteran[21-30]", AK1462 &lt;= 40, "Late Career[31-40]")</f>
        <v>New[1-5]</v>
      </c>
      <c r="AM1462" s="1">
        <v>4</v>
      </c>
      <c r="AN1462" s="9" t="str" cm="1">
        <f t="array" ref="AN1462">_xlfn.IFS(AM1462 &lt;= 3, "New to Role[1-3]", AM1462 &lt;= 7, "Settled[4-7]", AM1462 &lt;= 12, "Experienced[[8-12]", AM1462 &lt;= 18, "Long Tenured[13-18]")</f>
        <v>Settled[4-7]</v>
      </c>
      <c r="AO1462" s="1">
        <v>0</v>
      </c>
      <c r="AP1462" s="9" t="str" cm="1">
        <f t="array" ref="AP1462">_xlfn.IFS(AO1462 &lt;= 3, "Recently[1-3]", AO1462 &lt;= 6, "Due Soon[4-6]", AO1462 &lt;= 10, "Overdue[7-10]", AO1462 &lt;= 15, "Long Overdue[11-15]")</f>
        <v>Recently[1-3]</v>
      </c>
      <c r="AQ1462" s="9" t="str" cm="1">
        <f t="array" ref="AQ1462">_xlfn.IFS(AR1462 &lt;= 3, "New Relationship[1-3]", AR1462 &lt;= 7, "Established Relationship[4-7]", AR1462 &lt;= 12, "Long Term Relationship[8-12]", AR1462 &lt;= 17, "Very Long Term Relationship[13-17]")</f>
        <v>Established Relationship[4-7]</v>
      </c>
      <c r="AR1462" s="1">
        <v>4</v>
      </c>
    </row>
    <row r="1463" spans="1:44" x14ac:dyDescent="0.25">
      <c r="A1463" s="1">
        <v>50</v>
      </c>
      <c r="B1463" s="8" t="str" cm="1">
        <f t="array" ref="B1463">_xlfn.IFS(A1463 &lt;= 25, "[18-25]", A1463 &lt;= 35, "[26-35]", A1463 &lt;=45, "[36-45]", A1463 &lt;= 60, "[46- 60]")</f>
        <v>[46- 60]</v>
      </c>
      <c r="C1463" s="3" t="s">
        <v>35</v>
      </c>
      <c r="D1463">
        <f t="shared" si="22"/>
        <v>1</v>
      </c>
      <c r="E1463" t="s">
        <v>36</v>
      </c>
      <c r="F1463" s="1">
        <v>410</v>
      </c>
      <c r="G1463" s="3" t="s">
        <v>37</v>
      </c>
      <c r="H1463" s="1">
        <v>28</v>
      </c>
      <c r="I1463" s="9" t="str" cm="1">
        <f t="array" ref="I1463">_xlfn.IFS(H1463 &lt;= 2, "[1-2] very close", H1463 &lt;= 10, "[3-10] close", H1463 &lt;= 20, "[11-20] moderate", H1463 &lt;= 30, "[21-30] far")</f>
        <v>[21-30] far</v>
      </c>
      <c r="J1463" s="1">
        <v>3</v>
      </c>
      <c r="K1463" s="3" t="s">
        <v>59</v>
      </c>
      <c r="L1463" s="1">
        <v>1</v>
      </c>
      <c r="M1463" s="1">
        <v>2055</v>
      </c>
      <c r="N1463" s="1">
        <v>4</v>
      </c>
      <c r="O1463" s="3" t="s">
        <v>46</v>
      </c>
      <c r="P1463" s="1">
        <v>39</v>
      </c>
      <c r="Q1463" s="1">
        <v>2</v>
      </c>
      <c r="R1463" s="1">
        <v>3</v>
      </c>
      <c r="S1463" s="3" t="s">
        <v>40</v>
      </c>
      <c r="T1463" s="1">
        <v>1</v>
      </c>
      <c r="U1463" s="3" t="s">
        <v>52</v>
      </c>
      <c r="V1463" s="4">
        <v>10854</v>
      </c>
      <c r="W1463" s="1">
        <v>16586</v>
      </c>
      <c r="X1463" s="1">
        <v>4</v>
      </c>
      <c r="Y1463" s="3" t="s">
        <v>42</v>
      </c>
      <c r="Z1463" s="3" t="s">
        <v>35</v>
      </c>
      <c r="AA1463" s="5">
        <v>0.13</v>
      </c>
      <c r="AB1463" s="10" t="str" cm="1">
        <f t="array" ref="AB1463">_xlfn.IFS(AA1463 &lt;= 15%, "Low Hike[11-15%]", AA1463 &lt;= 20%, "Moderate Hike[16-20%]", AA1463 &lt;= 25%,"High Hike[21-25%]")</f>
        <v>Low Hike[11-15%]</v>
      </c>
      <c r="AC1463" s="1">
        <v>3</v>
      </c>
      <c r="AD1463" s="1">
        <v>2</v>
      </c>
      <c r="AE1463" s="1">
        <v>80</v>
      </c>
      <c r="AF1463" s="1">
        <v>1</v>
      </c>
      <c r="AG1463" s="1">
        <v>20</v>
      </c>
      <c r="AH1463" s="9" t="str" cm="1">
        <f t="array" ref="AH1463">_xlfn.IFS(AG1463 &lt;= 5, "New[1-5]", AG1463 &lt;= 10, "Early Career[6-10]", AG1463 &lt;= 20, "Established[11-20]", AG1463 &lt;= 30, "Veteran[21-30]", AG1463 &lt;= 40, "Late Career[31-40]")</f>
        <v>Established[11-20]</v>
      </c>
      <c r="AI1463" s="1">
        <v>3</v>
      </c>
      <c r="AJ1463" s="1">
        <v>3</v>
      </c>
      <c r="AK1463" s="1">
        <v>3</v>
      </c>
      <c r="AL1463" s="9" t="str" cm="1">
        <f t="array" ref="AL1463">_xlfn.IFS(AK1463 &lt;= 5, "New[1-5]", AK1463 &lt;= 10, "Early Career[6-10]", AK1463 &lt;= 20, "Established[11-20]", AK1463 &lt;= 30, "Veteran[21-30]", AK1463 &lt;= 40, "Late Career[31-40]")</f>
        <v>New[1-5]</v>
      </c>
      <c r="AM1463" s="1">
        <v>2</v>
      </c>
      <c r="AN1463" s="9" t="str" cm="1">
        <f t="array" ref="AN1463">_xlfn.IFS(AM1463 &lt;= 3, "New to Role[1-3]", AM1463 &lt;= 7, "Settled[4-7]", AM1463 &lt;= 12, "Experienced[[8-12]", AM1463 &lt;= 18, "Long Tenured[13-18]")</f>
        <v>New to Role[1-3]</v>
      </c>
      <c r="AO1463" s="1">
        <v>2</v>
      </c>
      <c r="AP1463" s="9" t="str" cm="1">
        <f t="array" ref="AP1463">_xlfn.IFS(AO1463 &lt;= 3, "Recently[1-3]", AO1463 &lt;= 6, "Due Soon[4-6]", AO1463 &lt;= 10, "Overdue[7-10]", AO1463 &lt;= 15, "Long Overdue[11-15]")</f>
        <v>Recently[1-3]</v>
      </c>
      <c r="AQ1463" s="9" t="str" cm="1">
        <f t="array" ref="AQ1463">_xlfn.IFS(AR1463 &lt;= 3, "New Relationship[1-3]", AR1463 &lt;= 7, "Established Relationship[4-7]", AR1463 &lt;= 12, "Long Term Relationship[8-12]", AR1463 &lt;= 17, "Very Long Term Relationship[13-17]")</f>
        <v>New Relationship[1-3]</v>
      </c>
      <c r="AR1463" s="1">
        <v>0</v>
      </c>
    </row>
    <row r="1464" spans="1:44" x14ac:dyDescent="0.25">
      <c r="A1464" s="1">
        <v>39</v>
      </c>
      <c r="B1464" s="8" t="str" cm="1">
        <f t="array" ref="B1464">_xlfn.IFS(A1464 &lt;= 25, "[18-25]", A1464 &lt;= 35, "[26-35]", A1464 &lt;=45, "[36-45]", A1464 &lt;= 60, "[46- 60]")</f>
        <v>[36-45]</v>
      </c>
      <c r="C1464" s="3" t="s">
        <v>43</v>
      </c>
      <c r="D1464">
        <f t="shared" si="22"/>
        <v>0</v>
      </c>
      <c r="E1464" t="s">
        <v>36</v>
      </c>
      <c r="F1464" s="1">
        <v>722</v>
      </c>
      <c r="G1464" s="3" t="s">
        <v>37</v>
      </c>
      <c r="H1464" s="1">
        <v>24</v>
      </c>
      <c r="I1464" s="9" t="str" cm="1">
        <f t="array" ref="I1464">_xlfn.IFS(H1464 &lt;= 2, "[1-2] very close", H1464 &lt;= 10, "[3-10] close", H1464 &lt;= 20, "[11-20] moderate", H1464 &lt;= 30, "[21-30] far")</f>
        <v>[21-30] far</v>
      </c>
      <c r="J1464" s="1">
        <v>1</v>
      </c>
      <c r="K1464" s="3" t="s">
        <v>59</v>
      </c>
      <c r="L1464" s="1">
        <v>1</v>
      </c>
      <c r="M1464" s="1">
        <v>2056</v>
      </c>
      <c r="N1464" s="1">
        <v>2</v>
      </c>
      <c r="O1464" s="3" t="s">
        <v>39</v>
      </c>
      <c r="P1464" s="1">
        <v>60</v>
      </c>
      <c r="Q1464" s="1">
        <v>2</v>
      </c>
      <c r="R1464" s="1">
        <v>4</v>
      </c>
      <c r="S1464" s="3" t="s">
        <v>40</v>
      </c>
      <c r="T1464" s="1">
        <v>4</v>
      </c>
      <c r="U1464" s="3" t="s">
        <v>48</v>
      </c>
      <c r="V1464" s="4">
        <v>12031</v>
      </c>
      <c r="W1464" s="1">
        <v>8828</v>
      </c>
      <c r="X1464" s="1">
        <v>0</v>
      </c>
      <c r="Y1464" s="3" t="s">
        <v>42</v>
      </c>
      <c r="Z1464" s="3" t="s">
        <v>43</v>
      </c>
      <c r="AA1464" s="5">
        <v>0.11</v>
      </c>
      <c r="AB1464" s="10" t="str" cm="1">
        <f t="array" ref="AB1464">_xlfn.IFS(AA1464 &lt;= 15%, "Low Hike[11-15%]", AA1464 &lt;= 20%, "Moderate Hike[16-20%]", AA1464 &lt;= 25%,"High Hike[21-25%]")</f>
        <v>Low Hike[11-15%]</v>
      </c>
      <c r="AC1464" s="1">
        <v>3</v>
      </c>
      <c r="AD1464" s="1">
        <v>1</v>
      </c>
      <c r="AE1464" s="1">
        <v>80</v>
      </c>
      <c r="AF1464" s="1">
        <v>1</v>
      </c>
      <c r="AG1464" s="1">
        <v>21</v>
      </c>
      <c r="AH1464" s="9" t="str" cm="1">
        <f t="array" ref="AH1464">_xlfn.IFS(AG1464 &lt;= 5, "New[1-5]", AG1464 &lt;= 10, "Early Career[6-10]", AG1464 &lt;= 20, "Established[11-20]", AG1464 &lt;= 30, "Veteran[21-30]", AG1464 &lt;= 40, "Late Career[31-40]")</f>
        <v>Veteran[21-30]</v>
      </c>
      <c r="AI1464" s="1">
        <v>2</v>
      </c>
      <c r="AJ1464" s="1">
        <v>2</v>
      </c>
      <c r="AK1464" s="1">
        <v>20</v>
      </c>
      <c r="AL1464" s="9" t="str" cm="1">
        <f t="array" ref="AL1464">_xlfn.IFS(AK1464 &lt;= 5, "New[1-5]", AK1464 &lt;= 10, "Early Career[6-10]", AK1464 &lt;= 20, "Established[11-20]", AK1464 &lt;= 30, "Veteran[21-30]", AK1464 &lt;= 40, "Late Career[31-40]")</f>
        <v>Established[11-20]</v>
      </c>
      <c r="AM1464" s="1">
        <v>9</v>
      </c>
      <c r="AN1464" s="9" t="str" cm="1">
        <f t="array" ref="AN1464">_xlfn.IFS(AM1464 &lt;= 3, "New to Role[1-3]", AM1464 &lt;= 7, "Settled[4-7]", AM1464 &lt;= 12, "Experienced[[8-12]", AM1464 &lt;= 18, "Long Tenured[13-18]")</f>
        <v>Experienced[[8-12]</v>
      </c>
      <c r="AO1464" s="1">
        <v>9</v>
      </c>
      <c r="AP1464" s="9" t="str" cm="1">
        <f t="array" ref="AP1464">_xlfn.IFS(AO1464 &lt;= 3, "Recently[1-3]", AO1464 &lt;= 6, "Due Soon[4-6]", AO1464 &lt;= 10, "Overdue[7-10]", AO1464 &lt;= 15, "Long Overdue[11-15]")</f>
        <v>Overdue[7-10]</v>
      </c>
      <c r="AQ1464" s="9" t="str" cm="1">
        <f t="array" ref="AQ1464">_xlfn.IFS(AR1464 &lt;= 3, "New Relationship[1-3]", AR1464 &lt;= 7, "Established Relationship[4-7]", AR1464 &lt;= 12, "Long Term Relationship[8-12]", AR1464 &lt;= 17, "Very Long Term Relationship[13-17]")</f>
        <v>Established Relationship[4-7]</v>
      </c>
      <c r="AR1464" s="1">
        <v>6</v>
      </c>
    </row>
    <row r="1465" spans="1:44" x14ac:dyDescent="0.25">
      <c r="A1465" s="1">
        <v>31</v>
      </c>
      <c r="B1465" s="8" t="str" cm="1">
        <f t="array" ref="B1465">_xlfn.IFS(A1465 &lt;= 25, "[18-25]", A1465 &lt;= 35, "[26-35]", A1465 &lt;=45, "[36-45]", A1465 &lt;= 60, "[46- 60]")</f>
        <v>[26-35]</v>
      </c>
      <c r="C1465" s="3" t="s">
        <v>43</v>
      </c>
      <c r="D1465">
        <f t="shared" si="22"/>
        <v>0</v>
      </c>
      <c r="E1465" t="s">
        <v>62</v>
      </c>
      <c r="F1465" s="1">
        <v>325</v>
      </c>
      <c r="G1465" s="3" t="s">
        <v>45</v>
      </c>
      <c r="H1465" s="1">
        <v>5</v>
      </c>
      <c r="I1465" s="9" t="str" cm="1">
        <f t="array" ref="I1465">_xlfn.IFS(H1465 &lt;= 2, "[1-2] very close", H1465 &lt;= 10, "[3-10] close", H1465 &lt;= 20, "[11-20] moderate", H1465 &lt;= 30, "[21-30] far")</f>
        <v>[3-10] close</v>
      </c>
      <c r="J1465" s="1">
        <v>3</v>
      </c>
      <c r="K1465" s="3" t="s">
        <v>51</v>
      </c>
      <c r="L1465" s="1">
        <v>1</v>
      </c>
      <c r="M1465" s="1">
        <v>2057</v>
      </c>
      <c r="N1465" s="1">
        <v>2</v>
      </c>
      <c r="O1465" s="3" t="s">
        <v>46</v>
      </c>
      <c r="P1465" s="1">
        <v>74</v>
      </c>
      <c r="Q1465" s="1">
        <v>3</v>
      </c>
      <c r="R1465" s="1">
        <v>2</v>
      </c>
      <c r="S1465" s="3" t="s">
        <v>53</v>
      </c>
      <c r="T1465" s="1">
        <v>1</v>
      </c>
      <c r="U1465" s="3" t="s">
        <v>41</v>
      </c>
      <c r="V1465" s="4">
        <v>9936</v>
      </c>
      <c r="W1465" s="1">
        <v>3787</v>
      </c>
      <c r="X1465" s="1">
        <v>0</v>
      </c>
      <c r="Y1465" s="3" t="s">
        <v>42</v>
      </c>
      <c r="Z1465" s="3" t="s">
        <v>43</v>
      </c>
      <c r="AA1465" s="5">
        <v>0.19</v>
      </c>
      <c r="AB1465" s="10" t="str" cm="1">
        <f t="array" ref="AB1465">_xlfn.IFS(AA1465 &lt;= 15%, "Low Hike[11-15%]", AA1465 &lt;= 20%, "Moderate Hike[16-20%]", AA1465 &lt;= 25%,"High Hike[21-25%]")</f>
        <v>Moderate Hike[16-20%]</v>
      </c>
      <c r="AC1465" s="1">
        <v>3</v>
      </c>
      <c r="AD1465" s="1">
        <v>2</v>
      </c>
      <c r="AE1465" s="1">
        <v>80</v>
      </c>
      <c r="AF1465" s="1">
        <v>0</v>
      </c>
      <c r="AG1465" s="1">
        <v>10</v>
      </c>
      <c r="AH1465" s="9" t="str" cm="1">
        <f t="array" ref="AH1465">_xlfn.IFS(AG1465 &lt;= 5, "New[1-5]", AG1465 &lt;= 10, "Early Career[6-10]", AG1465 &lt;= 20, "Established[11-20]", AG1465 &lt;= 30, "Veteran[21-30]", AG1465 &lt;= 40, "Late Career[31-40]")</f>
        <v>Early Career[6-10]</v>
      </c>
      <c r="AI1465" s="1">
        <v>2</v>
      </c>
      <c r="AJ1465" s="1">
        <v>3</v>
      </c>
      <c r="AK1465" s="1">
        <v>9</v>
      </c>
      <c r="AL1465" s="9" t="str" cm="1">
        <f t="array" ref="AL1465">_xlfn.IFS(AK1465 &lt;= 5, "New[1-5]", AK1465 &lt;= 10, "Early Career[6-10]", AK1465 &lt;= 20, "Established[11-20]", AK1465 &lt;= 30, "Veteran[21-30]", AK1465 &lt;= 40, "Late Career[31-40]")</f>
        <v>Early Career[6-10]</v>
      </c>
      <c r="AM1465" s="1">
        <v>4</v>
      </c>
      <c r="AN1465" s="9" t="str" cm="1">
        <f t="array" ref="AN1465">_xlfn.IFS(AM1465 &lt;= 3, "New to Role[1-3]", AM1465 &lt;= 7, "Settled[4-7]", AM1465 &lt;= 12, "Experienced[[8-12]", AM1465 &lt;= 18, "Long Tenured[13-18]")</f>
        <v>Settled[4-7]</v>
      </c>
      <c r="AO1465" s="1">
        <v>1</v>
      </c>
      <c r="AP1465" s="9" t="str" cm="1">
        <f t="array" ref="AP1465">_xlfn.IFS(AO1465 &lt;= 3, "Recently[1-3]", AO1465 &lt;= 6, "Due Soon[4-6]", AO1465 &lt;= 10, "Overdue[7-10]", AO1465 &lt;= 15, "Long Overdue[11-15]")</f>
        <v>Recently[1-3]</v>
      </c>
      <c r="AQ1465" s="9" t="str" cm="1">
        <f t="array" ref="AQ1465">_xlfn.IFS(AR1465 &lt;= 3, "New Relationship[1-3]", AR1465 &lt;= 7, "Established Relationship[4-7]", AR1465 &lt;= 12, "Long Term Relationship[8-12]", AR1465 &lt;= 17, "Very Long Term Relationship[13-17]")</f>
        <v>Established Relationship[4-7]</v>
      </c>
      <c r="AR1465" s="1">
        <v>7</v>
      </c>
    </row>
    <row r="1466" spans="1:44" x14ac:dyDescent="0.25">
      <c r="A1466" s="1">
        <v>26</v>
      </c>
      <c r="B1466" s="8" t="str" cm="1">
        <f t="array" ref="B1466">_xlfn.IFS(A1466 &lt;= 25, "[18-25]", A1466 &lt;= 35, "[26-35]", A1466 &lt;=45, "[36-45]", A1466 &lt;= 60, "[46- 60]")</f>
        <v>[26-35]</v>
      </c>
      <c r="C1466" s="3" t="s">
        <v>43</v>
      </c>
      <c r="D1466">
        <f t="shared" si="22"/>
        <v>0</v>
      </c>
      <c r="E1466" t="s">
        <v>36</v>
      </c>
      <c r="F1466" s="1">
        <v>1167</v>
      </c>
      <c r="G1466" s="3" t="s">
        <v>37</v>
      </c>
      <c r="H1466" s="1">
        <v>5</v>
      </c>
      <c r="I1466" s="9" t="str" cm="1">
        <f t="array" ref="I1466">_xlfn.IFS(H1466 &lt;= 2, "[1-2] very close", H1466 &lt;= 10, "[3-10] close", H1466 &lt;= 20, "[11-20] moderate", H1466 &lt;= 30, "[21-30] far")</f>
        <v>[3-10] close</v>
      </c>
      <c r="J1466" s="1">
        <v>3</v>
      </c>
      <c r="K1466" s="3" t="s">
        <v>49</v>
      </c>
      <c r="L1466" s="1">
        <v>1</v>
      </c>
      <c r="M1466" s="1">
        <v>2060</v>
      </c>
      <c r="N1466" s="1">
        <v>4</v>
      </c>
      <c r="O1466" s="3" t="s">
        <v>39</v>
      </c>
      <c r="P1466" s="1">
        <v>30</v>
      </c>
      <c r="Q1466" s="1">
        <v>2</v>
      </c>
      <c r="R1466" s="1">
        <v>1</v>
      </c>
      <c r="S1466" s="3" t="s">
        <v>57</v>
      </c>
      <c r="T1466" s="1">
        <v>3</v>
      </c>
      <c r="U1466" s="3" t="s">
        <v>41</v>
      </c>
      <c r="V1466" s="4">
        <v>2966</v>
      </c>
      <c r="W1466" s="1">
        <v>21378</v>
      </c>
      <c r="X1466" s="1">
        <v>0</v>
      </c>
      <c r="Y1466" s="3" t="s">
        <v>42</v>
      </c>
      <c r="Z1466" s="3" t="s">
        <v>43</v>
      </c>
      <c r="AA1466" s="5">
        <v>0.18</v>
      </c>
      <c r="AB1466" s="10" t="str" cm="1">
        <f t="array" ref="AB1466">_xlfn.IFS(AA1466 &lt;= 15%, "Low Hike[11-15%]", AA1466 &lt;= 20%, "Moderate Hike[16-20%]", AA1466 &lt;= 25%,"High Hike[21-25%]")</f>
        <v>Moderate Hike[16-20%]</v>
      </c>
      <c r="AC1466" s="1">
        <v>3</v>
      </c>
      <c r="AD1466" s="1">
        <v>4</v>
      </c>
      <c r="AE1466" s="1">
        <v>80</v>
      </c>
      <c r="AF1466" s="1">
        <v>0</v>
      </c>
      <c r="AG1466" s="1">
        <v>5</v>
      </c>
      <c r="AH1466" s="9" t="str" cm="1">
        <f t="array" ref="AH1466">_xlfn.IFS(AG1466 &lt;= 5, "New[1-5]", AG1466 &lt;= 10, "Early Career[6-10]", AG1466 &lt;= 20, "Established[11-20]", AG1466 &lt;= 30, "Veteran[21-30]", AG1466 &lt;= 40, "Late Career[31-40]")</f>
        <v>New[1-5]</v>
      </c>
      <c r="AI1466" s="1">
        <v>2</v>
      </c>
      <c r="AJ1466" s="1">
        <v>3</v>
      </c>
      <c r="AK1466" s="1">
        <v>4</v>
      </c>
      <c r="AL1466" s="9" t="str" cm="1">
        <f t="array" ref="AL1466">_xlfn.IFS(AK1466 &lt;= 5, "New[1-5]", AK1466 &lt;= 10, "Early Career[6-10]", AK1466 &lt;= 20, "Established[11-20]", AK1466 &lt;= 30, "Veteran[21-30]", AK1466 &lt;= 40, "Late Career[31-40]")</f>
        <v>New[1-5]</v>
      </c>
      <c r="AM1466" s="1">
        <v>2</v>
      </c>
      <c r="AN1466" s="9" t="str" cm="1">
        <f t="array" ref="AN1466">_xlfn.IFS(AM1466 &lt;= 3, "New to Role[1-3]", AM1466 &lt;= 7, "Settled[4-7]", AM1466 &lt;= 12, "Experienced[[8-12]", AM1466 &lt;= 18, "Long Tenured[13-18]")</f>
        <v>New to Role[1-3]</v>
      </c>
      <c r="AO1466" s="1">
        <v>0</v>
      </c>
      <c r="AP1466" s="9" t="str" cm="1">
        <f t="array" ref="AP1466">_xlfn.IFS(AO1466 &lt;= 3, "Recently[1-3]", AO1466 &lt;= 6, "Due Soon[4-6]", AO1466 &lt;= 10, "Overdue[7-10]", AO1466 &lt;= 15, "Long Overdue[11-15]")</f>
        <v>Recently[1-3]</v>
      </c>
      <c r="AQ1466" s="9" t="str" cm="1">
        <f t="array" ref="AQ1466">_xlfn.IFS(AR1466 &lt;= 3, "New Relationship[1-3]", AR1466 &lt;= 7, "Established Relationship[4-7]", AR1466 &lt;= 12, "Long Term Relationship[8-12]", AR1466 &lt;= 17, "Very Long Term Relationship[13-17]")</f>
        <v>New Relationship[1-3]</v>
      </c>
      <c r="AR1466" s="1">
        <v>0</v>
      </c>
    </row>
    <row r="1467" spans="1:44" x14ac:dyDescent="0.25">
      <c r="A1467" s="1">
        <v>36</v>
      </c>
      <c r="B1467" s="8" t="str" cm="1">
        <f t="array" ref="B1467">_xlfn.IFS(A1467 &lt;= 25, "[18-25]", A1467 &lt;= 35, "[26-35]", A1467 &lt;=45, "[36-45]", A1467 &lt;= 60, "[46- 60]")</f>
        <v>[36-45]</v>
      </c>
      <c r="C1467" s="3" t="s">
        <v>43</v>
      </c>
      <c r="D1467">
        <f t="shared" si="22"/>
        <v>0</v>
      </c>
      <c r="E1467" t="s">
        <v>44</v>
      </c>
      <c r="F1467" s="1">
        <v>884</v>
      </c>
      <c r="G1467" s="3" t="s">
        <v>45</v>
      </c>
      <c r="H1467" s="1">
        <v>23</v>
      </c>
      <c r="I1467" s="9" t="str" cm="1">
        <f t="array" ref="I1467">_xlfn.IFS(H1467 &lt;= 2, "[1-2] very close", H1467 &lt;= 10, "[3-10] close", H1467 &lt;= 20, "[11-20] moderate", H1467 &lt;= 30, "[21-30] far")</f>
        <v>[21-30] far</v>
      </c>
      <c r="J1467" s="1">
        <v>2</v>
      </c>
      <c r="K1467" s="3" t="s">
        <v>51</v>
      </c>
      <c r="L1467" s="1">
        <v>1</v>
      </c>
      <c r="M1467" s="1">
        <v>2061</v>
      </c>
      <c r="N1467" s="1">
        <v>3</v>
      </c>
      <c r="O1467" s="3" t="s">
        <v>46</v>
      </c>
      <c r="P1467" s="1">
        <v>41</v>
      </c>
      <c r="Q1467" s="1">
        <v>4</v>
      </c>
      <c r="R1467" s="1">
        <v>2</v>
      </c>
      <c r="S1467" s="3" t="s">
        <v>50</v>
      </c>
      <c r="T1467" s="1">
        <v>4</v>
      </c>
      <c r="U1467" s="3" t="s">
        <v>48</v>
      </c>
      <c r="V1467" s="4">
        <v>2571</v>
      </c>
      <c r="W1467" s="1">
        <v>12290</v>
      </c>
      <c r="X1467" s="1">
        <v>4</v>
      </c>
      <c r="Y1467" s="3" t="s">
        <v>42</v>
      </c>
      <c r="Z1467" s="3" t="s">
        <v>43</v>
      </c>
      <c r="AA1467" s="5">
        <v>0.17</v>
      </c>
      <c r="AB1467" s="10" t="str" cm="1">
        <f t="array" ref="AB1467">_xlfn.IFS(AA1467 &lt;= 15%, "Low Hike[11-15%]", AA1467 &lt;= 20%, "Moderate Hike[16-20%]", AA1467 &lt;= 25%,"High Hike[21-25%]")</f>
        <v>Moderate Hike[16-20%]</v>
      </c>
      <c r="AC1467" s="1">
        <v>3</v>
      </c>
      <c r="AD1467" s="1">
        <v>3</v>
      </c>
      <c r="AE1467" s="1">
        <v>80</v>
      </c>
      <c r="AF1467" s="1">
        <v>1</v>
      </c>
      <c r="AG1467" s="1">
        <v>17</v>
      </c>
      <c r="AH1467" s="9" t="str" cm="1">
        <f t="array" ref="AH1467">_xlfn.IFS(AG1467 &lt;= 5, "New[1-5]", AG1467 &lt;= 10, "Early Career[6-10]", AG1467 &lt;= 20, "Established[11-20]", AG1467 &lt;= 30, "Veteran[21-30]", AG1467 &lt;= 40, "Late Career[31-40]")</f>
        <v>Established[11-20]</v>
      </c>
      <c r="AI1467" s="1">
        <v>3</v>
      </c>
      <c r="AJ1467" s="1">
        <v>3</v>
      </c>
      <c r="AK1467" s="1">
        <v>5</v>
      </c>
      <c r="AL1467" s="9" t="str" cm="1">
        <f t="array" ref="AL1467">_xlfn.IFS(AK1467 &lt;= 5, "New[1-5]", AK1467 &lt;= 10, "Early Career[6-10]", AK1467 &lt;= 20, "Established[11-20]", AK1467 &lt;= 30, "Veteran[21-30]", AK1467 &lt;= 40, "Late Career[31-40]")</f>
        <v>New[1-5]</v>
      </c>
      <c r="AM1467" s="1">
        <v>2</v>
      </c>
      <c r="AN1467" s="9" t="str" cm="1">
        <f t="array" ref="AN1467">_xlfn.IFS(AM1467 &lt;= 3, "New to Role[1-3]", AM1467 &lt;= 7, "Settled[4-7]", AM1467 &lt;= 12, "Experienced[[8-12]", AM1467 &lt;= 18, "Long Tenured[13-18]")</f>
        <v>New to Role[1-3]</v>
      </c>
      <c r="AO1467" s="1">
        <v>0</v>
      </c>
      <c r="AP1467" s="9" t="str" cm="1">
        <f t="array" ref="AP1467">_xlfn.IFS(AO1467 &lt;= 3, "Recently[1-3]", AO1467 &lt;= 6, "Due Soon[4-6]", AO1467 &lt;= 10, "Overdue[7-10]", AO1467 &lt;= 15, "Long Overdue[11-15]")</f>
        <v>Recently[1-3]</v>
      </c>
      <c r="AQ1467" s="9" t="str" cm="1">
        <f t="array" ref="AQ1467">_xlfn.IFS(AR1467 &lt;= 3, "New Relationship[1-3]", AR1467 &lt;= 7, "Established Relationship[4-7]", AR1467 &lt;= 12, "Long Term Relationship[8-12]", AR1467 &lt;= 17, "Very Long Term Relationship[13-17]")</f>
        <v>New Relationship[1-3]</v>
      </c>
      <c r="AR1467" s="1">
        <v>3</v>
      </c>
    </row>
    <row r="1468" spans="1:44" x14ac:dyDescent="0.25">
      <c r="A1468" s="1">
        <v>39</v>
      </c>
      <c r="B1468" s="8" t="str" cm="1">
        <f t="array" ref="B1468">_xlfn.IFS(A1468 &lt;= 25, "[18-25]", A1468 &lt;= 35, "[26-35]", A1468 &lt;=45, "[36-45]", A1468 &lt;= 60, "[46- 60]")</f>
        <v>[36-45]</v>
      </c>
      <c r="C1468" s="3" t="s">
        <v>43</v>
      </c>
      <c r="D1468">
        <f t="shared" si="22"/>
        <v>0</v>
      </c>
      <c r="E1468" t="s">
        <v>36</v>
      </c>
      <c r="F1468" s="1">
        <v>613</v>
      </c>
      <c r="G1468" s="3" t="s">
        <v>45</v>
      </c>
      <c r="H1468" s="1">
        <v>6</v>
      </c>
      <c r="I1468" s="9" t="str" cm="1">
        <f t="array" ref="I1468">_xlfn.IFS(H1468 &lt;= 2, "[1-2] very close", H1468 &lt;= 10, "[3-10] close", H1468 &lt;= 20, "[11-20] moderate", H1468 &lt;= 30, "[21-30] far")</f>
        <v>[3-10] close</v>
      </c>
      <c r="J1468" s="1">
        <v>1</v>
      </c>
      <c r="K1468" s="3" t="s">
        <v>51</v>
      </c>
      <c r="L1468" s="1">
        <v>1</v>
      </c>
      <c r="M1468" s="1">
        <v>2062</v>
      </c>
      <c r="N1468" s="1">
        <v>4</v>
      </c>
      <c r="O1468" s="3" t="s">
        <v>46</v>
      </c>
      <c r="P1468" s="1">
        <v>42</v>
      </c>
      <c r="Q1468" s="1">
        <v>2</v>
      </c>
      <c r="R1468" s="1">
        <v>3</v>
      </c>
      <c r="S1468" s="3" t="s">
        <v>54</v>
      </c>
      <c r="T1468" s="1">
        <v>1</v>
      </c>
      <c r="U1468" s="3" t="s">
        <v>48</v>
      </c>
      <c r="V1468" s="4">
        <v>9991</v>
      </c>
      <c r="W1468" s="1">
        <v>21457</v>
      </c>
      <c r="X1468" s="1">
        <v>4</v>
      </c>
      <c r="Y1468" s="3" t="s">
        <v>42</v>
      </c>
      <c r="Z1468" s="3" t="s">
        <v>43</v>
      </c>
      <c r="AA1468" s="5">
        <v>0.15</v>
      </c>
      <c r="AB1468" s="10" t="str" cm="1">
        <f t="array" ref="AB1468">_xlfn.IFS(AA1468 &lt;= 15%, "Low Hike[11-15%]", AA1468 &lt;= 20%, "Moderate Hike[16-20%]", AA1468 &lt;= 25%,"High Hike[21-25%]")</f>
        <v>Low Hike[11-15%]</v>
      </c>
      <c r="AC1468" s="1">
        <v>3</v>
      </c>
      <c r="AD1468" s="1">
        <v>1</v>
      </c>
      <c r="AE1468" s="1">
        <v>80</v>
      </c>
      <c r="AF1468" s="1">
        <v>1</v>
      </c>
      <c r="AG1468" s="1">
        <v>9</v>
      </c>
      <c r="AH1468" s="9" t="str" cm="1">
        <f t="array" ref="AH1468">_xlfn.IFS(AG1468 &lt;= 5, "New[1-5]", AG1468 &lt;= 10, "Early Career[6-10]", AG1468 &lt;= 20, "Established[11-20]", AG1468 &lt;= 30, "Veteran[21-30]", AG1468 &lt;= 40, "Late Career[31-40]")</f>
        <v>Early Career[6-10]</v>
      </c>
      <c r="AI1468" s="1">
        <v>5</v>
      </c>
      <c r="AJ1468" s="1">
        <v>3</v>
      </c>
      <c r="AK1468" s="1">
        <v>7</v>
      </c>
      <c r="AL1468" s="9" t="str" cm="1">
        <f t="array" ref="AL1468">_xlfn.IFS(AK1468 &lt;= 5, "New[1-5]", AK1468 &lt;= 10, "Early Career[6-10]", AK1468 &lt;= 20, "Established[11-20]", AK1468 &lt;= 30, "Veteran[21-30]", AK1468 &lt;= 40, "Late Career[31-40]")</f>
        <v>Early Career[6-10]</v>
      </c>
      <c r="AM1468" s="1">
        <v>7</v>
      </c>
      <c r="AN1468" s="9" t="str" cm="1">
        <f t="array" ref="AN1468">_xlfn.IFS(AM1468 &lt;= 3, "New to Role[1-3]", AM1468 &lt;= 7, "Settled[4-7]", AM1468 &lt;= 12, "Experienced[[8-12]", AM1468 &lt;= 18, "Long Tenured[13-18]")</f>
        <v>Settled[4-7]</v>
      </c>
      <c r="AO1468" s="1">
        <v>1</v>
      </c>
      <c r="AP1468" s="9" t="str" cm="1">
        <f t="array" ref="AP1468">_xlfn.IFS(AO1468 &lt;= 3, "Recently[1-3]", AO1468 &lt;= 6, "Due Soon[4-6]", AO1468 &lt;= 10, "Overdue[7-10]", AO1468 &lt;= 15, "Long Overdue[11-15]")</f>
        <v>Recently[1-3]</v>
      </c>
      <c r="AQ1468" s="9" t="str" cm="1">
        <f t="array" ref="AQ1468">_xlfn.IFS(AR1468 &lt;= 3, "New Relationship[1-3]", AR1468 &lt;= 7, "Established Relationship[4-7]", AR1468 &lt;= 12, "Long Term Relationship[8-12]", AR1468 &lt;= 17, "Very Long Term Relationship[13-17]")</f>
        <v>Established Relationship[4-7]</v>
      </c>
      <c r="AR1468" s="1">
        <v>7</v>
      </c>
    </row>
    <row r="1469" spans="1:44" x14ac:dyDescent="0.25">
      <c r="A1469" s="1">
        <v>27</v>
      </c>
      <c r="B1469" s="8" t="str" cm="1">
        <f t="array" ref="B1469">_xlfn.IFS(A1469 &lt;= 25, "[18-25]", A1469 &lt;= 35, "[26-35]", A1469 &lt;=45, "[36-45]", A1469 &lt;= 60, "[46- 60]")</f>
        <v>[26-35]</v>
      </c>
      <c r="C1469" s="3" t="s">
        <v>43</v>
      </c>
      <c r="D1469">
        <f t="shared" si="22"/>
        <v>0</v>
      </c>
      <c r="E1469" t="s">
        <v>36</v>
      </c>
      <c r="F1469" s="1">
        <v>155</v>
      </c>
      <c r="G1469" s="3" t="s">
        <v>45</v>
      </c>
      <c r="H1469" s="1">
        <v>4</v>
      </c>
      <c r="I1469" s="9" t="str" cm="1">
        <f t="array" ref="I1469">_xlfn.IFS(H1469 &lt;= 2, "[1-2] very close", H1469 &lt;= 10, "[3-10] close", H1469 &lt;= 20, "[11-20] moderate", H1469 &lt;= 30, "[21-30] far")</f>
        <v>[3-10] close</v>
      </c>
      <c r="J1469" s="1">
        <v>3</v>
      </c>
      <c r="K1469" s="3" t="s">
        <v>38</v>
      </c>
      <c r="L1469" s="1">
        <v>1</v>
      </c>
      <c r="M1469" s="1">
        <v>2064</v>
      </c>
      <c r="N1469" s="1">
        <v>2</v>
      </c>
      <c r="O1469" s="3" t="s">
        <v>46</v>
      </c>
      <c r="P1469" s="1">
        <v>87</v>
      </c>
      <c r="Q1469" s="1">
        <v>4</v>
      </c>
      <c r="R1469" s="1">
        <v>2</v>
      </c>
      <c r="S1469" s="3" t="s">
        <v>53</v>
      </c>
      <c r="T1469" s="1">
        <v>2</v>
      </c>
      <c r="U1469" s="3" t="s">
        <v>48</v>
      </c>
      <c r="V1469" s="4">
        <v>6142</v>
      </c>
      <c r="W1469" s="1">
        <v>5174</v>
      </c>
      <c r="X1469" s="1">
        <v>1</v>
      </c>
      <c r="Y1469" s="3" t="s">
        <v>42</v>
      </c>
      <c r="Z1469" s="3" t="s">
        <v>35</v>
      </c>
      <c r="AA1469" s="5">
        <v>0.2</v>
      </c>
      <c r="AB1469" s="10" t="str" cm="1">
        <f t="array" ref="AB1469">_xlfn.IFS(AA1469 &lt;= 15%, "Low Hike[11-15%]", AA1469 &lt;= 20%, "Moderate Hike[16-20%]", AA1469 &lt;= 25%,"High Hike[21-25%]")</f>
        <v>Moderate Hike[16-20%]</v>
      </c>
      <c r="AC1469" s="1">
        <v>4</v>
      </c>
      <c r="AD1469" s="1">
        <v>2</v>
      </c>
      <c r="AE1469" s="1">
        <v>80</v>
      </c>
      <c r="AF1469" s="1">
        <v>1</v>
      </c>
      <c r="AG1469" s="1">
        <v>6</v>
      </c>
      <c r="AH1469" s="9" t="str" cm="1">
        <f t="array" ref="AH1469">_xlfn.IFS(AG1469 &lt;= 5, "New[1-5]", AG1469 &lt;= 10, "Early Career[6-10]", AG1469 &lt;= 20, "Established[11-20]", AG1469 &lt;= 30, "Veteran[21-30]", AG1469 &lt;= 40, "Late Career[31-40]")</f>
        <v>Early Career[6-10]</v>
      </c>
      <c r="AI1469" s="1">
        <v>0</v>
      </c>
      <c r="AJ1469" s="1">
        <v>3</v>
      </c>
      <c r="AK1469" s="1">
        <v>6</v>
      </c>
      <c r="AL1469" s="9" t="str" cm="1">
        <f t="array" ref="AL1469">_xlfn.IFS(AK1469 &lt;= 5, "New[1-5]", AK1469 &lt;= 10, "Early Career[6-10]", AK1469 &lt;= 20, "Established[11-20]", AK1469 &lt;= 30, "Veteran[21-30]", AK1469 &lt;= 40, "Late Career[31-40]")</f>
        <v>Early Career[6-10]</v>
      </c>
      <c r="AM1469" s="1">
        <v>2</v>
      </c>
      <c r="AN1469" s="9" t="str" cm="1">
        <f t="array" ref="AN1469">_xlfn.IFS(AM1469 &lt;= 3, "New to Role[1-3]", AM1469 &lt;= 7, "Settled[4-7]", AM1469 &lt;= 12, "Experienced[[8-12]", AM1469 &lt;= 18, "Long Tenured[13-18]")</f>
        <v>New to Role[1-3]</v>
      </c>
      <c r="AO1469" s="1">
        <v>0</v>
      </c>
      <c r="AP1469" s="9" t="str" cm="1">
        <f t="array" ref="AP1469">_xlfn.IFS(AO1469 &lt;= 3, "Recently[1-3]", AO1469 &lt;= 6, "Due Soon[4-6]", AO1469 &lt;= 10, "Overdue[7-10]", AO1469 &lt;= 15, "Long Overdue[11-15]")</f>
        <v>Recently[1-3]</v>
      </c>
      <c r="AQ1469" s="9" t="str" cm="1">
        <f t="array" ref="AQ1469">_xlfn.IFS(AR1469 &lt;= 3, "New Relationship[1-3]", AR1469 &lt;= 7, "Established Relationship[4-7]", AR1469 &lt;= 12, "Long Term Relationship[8-12]", AR1469 &lt;= 17, "Very Long Term Relationship[13-17]")</f>
        <v>New Relationship[1-3]</v>
      </c>
      <c r="AR1469" s="1">
        <v>3</v>
      </c>
    </row>
    <row r="1470" spans="1:44" x14ac:dyDescent="0.25">
      <c r="A1470" s="1">
        <v>49</v>
      </c>
      <c r="B1470" s="8" t="str" cm="1">
        <f t="array" ref="B1470">_xlfn.IFS(A1470 &lt;= 25, "[18-25]", A1470 &lt;= 35, "[26-35]", A1470 &lt;=45, "[36-45]", A1470 &lt;= 60, "[46- 60]")</f>
        <v>[46- 60]</v>
      </c>
      <c r="C1470" s="3" t="s">
        <v>43</v>
      </c>
      <c r="D1470">
        <f t="shared" si="22"/>
        <v>0</v>
      </c>
      <c r="E1470" t="s">
        <v>44</v>
      </c>
      <c r="F1470" s="1">
        <v>1023</v>
      </c>
      <c r="G1470" s="3" t="s">
        <v>37</v>
      </c>
      <c r="H1470" s="1">
        <v>2</v>
      </c>
      <c r="I1470" s="9" t="str" cm="1">
        <f t="array" ref="I1470">_xlfn.IFS(H1470 &lt;= 2, "[1-2] very close", H1470 &lt;= 10, "[3-10] close", H1470 &lt;= 20, "[11-20] moderate", H1470 &lt;= 30, "[21-30] far")</f>
        <v>[1-2] very close</v>
      </c>
      <c r="J1470" s="1">
        <v>3</v>
      </c>
      <c r="K1470" s="3" t="s">
        <v>51</v>
      </c>
      <c r="L1470" s="1">
        <v>1</v>
      </c>
      <c r="M1470" s="1">
        <v>2065</v>
      </c>
      <c r="N1470" s="1">
        <v>4</v>
      </c>
      <c r="O1470" s="3" t="s">
        <v>46</v>
      </c>
      <c r="P1470" s="1">
        <v>63</v>
      </c>
      <c r="Q1470" s="1">
        <v>2</v>
      </c>
      <c r="R1470" s="1">
        <v>2</v>
      </c>
      <c r="S1470" s="3" t="s">
        <v>40</v>
      </c>
      <c r="T1470" s="1">
        <v>2</v>
      </c>
      <c r="U1470" s="3" t="s">
        <v>48</v>
      </c>
      <c r="V1470" s="4">
        <v>5390</v>
      </c>
      <c r="W1470" s="1">
        <v>13243</v>
      </c>
      <c r="X1470" s="1">
        <v>2</v>
      </c>
      <c r="Y1470" s="3" t="s">
        <v>42</v>
      </c>
      <c r="Z1470" s="3" t="s">
        <v>43</v>
      </c>
      <c r="AA1470" s="5">
        <v>0.14000000000000001</v>
      </c>
      <c r="AB1470" s="10" t="str" cm="1">
        <f t="array" ref="AB1470">_xlfn.IFS(AA1470 &lt;= 15%, "Low Hike[11-15%]", AA1470 &lt;= 20%, "Moderate Hike[16-20%]", AA1470 &lt;= 25%,"High Hike[21-25%]")</f>
        <v>Low Hike[11-15%]</v>
      </c>
      <c r="AC1470" s="1">
        <v>3</v>
      </c>
      <c r="AD1470" s="1">
        <v>4</v>
      </c>
      <c r="AE1470" s="1">
        <v>80</v>
      </c>
      <c r="AF1470" s="1">
        <v>0</v>
      </c>
      <c r="AG1470" s="1">
        <v>17</v>
      </c>
      <c r="AH1470" s="9" t="str" cm="1">
        <f t="array" ref="AH1470">_xlfn.IFS(AG1470 &lt;= 5, "New[1-5]", AG1470 &lt;= 10, "Early Career[6-10]", AG1470 &lt;= 20, "Established[11-20]", AG1470 &lt;= 30, "Veteran[21-30]", AG1470 &lt;= 40, "Late Career[31-40]")</f>
        <v>Established[11-20]</v>
      </c>
      <c r="AI1470" s="1">
        <v>3</v>
      </c>
      <c r="AJ1470" s="1">
        <v>2</v>
      </c>
      <c r="AK1470" s="1">
        <v>9</v>
      </c>
      <c r="AL1470" s="9" t="str" cm="1">
        <f t="array" ref="AL1470">_xlfn.IFS(AK1470 &lt;= 5, "New[1-5]", AK1470 &lt;= 10, "Early Career[6-10]", AK1470 &lt;= 20, "Established[11-20]", AK1470 &lt;= 30, "Veteran[21-30]", AK1470 &lt;= 40, "Late Career[31-40]")</f>
        <v>Early Career[6-10]</v>
      </c>
      <c r="AM1470" s="1">
        <v>6</v>
      </c>
      <c r="AN1470" s="9" t="str" cm="1">
        <f t="array" ref="AN1470">_xlfn.IFS(AM1470 &lt;= 3, "New to Role[1-3]", AM1470 &lt;= 7, "Settled[4-7]", AM1470 &lt;= 12, "Experienced[[8-12]", AM1470 &lt;= 18, "Long Tenured[13-18]")</f>
        <v>Settled[4-7]</v>
      </c>
      <c r="AO1470" s="1">
        <v>0</v>
      </c>
      <c r="AP1470" s="9" t="str" cm="1">
        <f t="array" ref="AP1470">_xlfn.IFS(AO1470 &lt;= 3, "Recently[1-3]", AO1470 &lt;= 6, "Due Soon[4-6]", AO1470 &lt;= 10, "Overdue[7-10]", AO1470 &lt;= 15, "Long Overdue[11-15]")</f>
        <v>Recently[1-3]</v>
      </c>
      <c r="AQ1470" s="9" t="str" cm="1">
        <f t="array" ref="AQ1470">_xlfn.IFS(AR1470 &lt;= 3, "New Relationship[1-3]", AR1470 &lt;= 7, "Established Relationship[4-7]", AR1470 &lt;= 12, "Long Term Relationship[8-12]", AR1470 &lt;= 17, "Very Long Term Relationship[13-17]")</f>
        <v>Long Term Relationship[8-12]</v>
      </c>
      <c r="AR1470" s="1">
        <v>8</v>
      </c>
    </row>
    <row r="1471" spans="1:44" x14ac:dyDescent="0.25">
      <c r="A1471" s="1">
        <v>34</v>
      </c>
      <c r="B1471" s="8" t="str" cm="1">
        <f t="array" ref="B1471">_xlfn.IFS(A1471 &lt;= 25, "[18-25]", A1471 &lt;= 35, "[26-35]", A1471 &lt;=45, "[36-45]", A1471 &lt;= 60, "[46- 60]")</f>
        <v>[26-35]</v>
      </c>
      <c r="C1471" s="3" t="s">
        <v>43</v>
      </c>
      <c r="D1471">
        <f t="shared" si="22"/>
        <v>0</v>
      </c>
      <c r="E1471" t="s">
        <v>36</v>
      </c>
      <c r="F1471" s="1">
        <v>628</v>
      </c>
      <c r="G1471" s="3" t="s">
        <v>45</v>
      </c>
      <c r="H1471" s="1">
        <v>8</v>
      </c>
      <c r="I1471" s="9" t="str" cm="1">
        <f t="array" ref="I1471">_xlfn.IFS(H1471 &lt;= 2, "[1-2] very close", H1471 &lt;= 10, "[3-10] close", H1471 &lt;= 20, "[11-20] moderate", H1471 &lt;= 30, "[21-30] far")</f>
        <v>[3-10] close</v>
      </c>
      <c r="J1471" s="1">
        <v>3</v>
      </c>
      <c r="K1471" s="3" t="s">
        <v>51</v>
      </c>
      <c r="L1471" s="1">
        <v>1</v>
      </c>
      <c r="M1471" s="1">
        <v>2068</v>
      </c>
      <c r="N1471" s="1">
        <v>2</v>
      </c>
      <c r="O1471" s="3" t="s">
        <v>46</v>
      </c>
      <c r="P1471" s="1">
        <v>82</v>
      </c>
      <c r="Q1471" s="1">
        <v>4</v>
      </c>
      <c r="R1471" s="1">
        <v>2</v>
      </c>
      <c r="S1471" s="3" t="s">
        <v>50</v>
      </c>
      <c r="T1471" s="1">
        <v>3</v>
      </c>
      <c r="U1471" s="3" t="s">
        <v>48</v>
      </c>
      <c r="V1471" s="4">
        <v>4404</v>
      </c>
      <c r="W1471" s="1">
        <v>10228</v>
      </c>
      <c r="X1471" s="1">
        <v>2</v>
      </c>
      <c r="Y1471" s="3" t="s">
        <v>42</v>
      </c>
      <c r="Z1471" s="3" t="s">
        <v>43</v>
      </c>
      <c r="AA1471" s="5">
        <v>0.12</v>
      </c>
      <c r="AB1471" s="10" t="str" cm="1">
        <f t="array" ref="AB1471">_xlfn.IFS(AA1471 &lt;= 15%, "Low Hike[11-15%]", AA1471 &lt;= 20%, "Moderate Hike[16-20%]", AA1471 &lt;= 25%,"High Hike[21-25%]")</f>
        <v>Low Hike[11-15%]</v>
      </c>
      <c r="AC1471" s="1">
        <v>3</v>
      </c>
      <c r="AD1471" s="1">
        <v>1</v>
      </c>
      <c r="AE1471" s="1">
        <v>80</v>
      </c>
      <c r="AF1471" s="1">
        <v>0</v>
      </c>
      <c r="AG1471" s="1">
        <v>6</v>
      </c>
      <c r="AH1471" s="9" t="str" cm="1">
        <f t="array" ref="AH1471">_xlfn.IFS(AG1471 &lt;= 5, "New[1-5]", AG1471 &lt;= 10, "Early Career[6-10]", AG1471 &lt;= 20, "Established[11-20]", AG1471 &lt;= 30, "Veteran[21-30]", AG1471 &lt;= 40, "Late Career[31-40]")</f>
        <v>Early Career[6-10]</v>
      </c>
      <c r="AI1471" s="1">
        <v>3</v>
      </c>
      <c r="AJ1471" s="1">
        <v>4</v>
      </c>
      <c r="AK1471" s="1">
        <v>4</v>
      </c>
      <c r="AL1471" s="9" t="str" cm="1">
        <f t="array" ref="AL1471">_xlfn.IFS(AK1471 &lt;= 5, "New[1-5]", AK1471 &lt;= 10, "Early Career[6-10]", AK1471 &lt;= 20, "Established[11-20]", AK1471 &lt;= 30, "Veteran[21-30]", AK1471 &lt;= 40, "Late Career[31-40]")</f>
        <v>New[1-5]</v>
      </c>
      <c r="AM1471" s="1">
        <v>3</v>
      </c>
      <c r="AN1471" s="9" t="str" cm="1">
        <f t="array" ref="AN1471">_xlfn.IFS(AM1471 &lt;= 3, "New to Role[1-3]", AM1471 &lt;= 7, "Settled[4-7]", AM1471 &lt;= 12, "Experienced[[8-12]", AM1471 &lt;= 18, "Long Tenured[13-18]")</f>
        <v>New to Role[1-3]</v>
      </c>
      <c r="AO1471" s="1">
        <v>1</v>
      </c>
      <c r="AP1471" s="9" t="str" cm="1">
        <f t="array" ref="AP1471">_xlfn.IFS(AO1471 &lt;= 3, "Recently[1-3]", AO1471 &lt;= 6, "Due Soon[4-6]", AO1471 &lt;= 10, "Overdue[7-10]", AO1471 &lt;= 15, "Long Overdue[11-15]")</f>
        <v>Recently[1-3]</v>
      </c>
      <c r="AQ1471" s="9" t="str" cm="1">
        <f t="array" ref="AQ1471">_xlfn.IFS(AR1471 &lt;= 3, "New Relationship[1-3]", AR1471 &lt;= 7, "Established Relationship[4-7]", AR1471 &lt;= 12, "Long Term Relationship[8-12]", AR1471 &lt;= 17, "Very Long Term Relationship[13-17]")</f>
        <v>New Relationship[1-3]</v>
      </c>
      <c r="AR1471" s="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IBM-HR-Employee-Attrition</vt:lpstr>
      <vt:lpstr>Working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Israel Morakinyo</cp:lastModifiedBy>
  <dcterms:created xsi:type="dcterms:W3CDTF">2026-09-10T15:40:06Z</dcterms:created>
  <dcterms:modified xsi:type="dcterms:W3CDTF">2026-09-27T09:45:05Z</dcterms:modified>
</cp:coreProperties>
</file>